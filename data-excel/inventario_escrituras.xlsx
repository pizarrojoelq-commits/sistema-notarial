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 VIVAR\Desktop\"/>
    </mc:Choice>
  </mc:AlternateContent>
  <xr:revisionPtr revIDLastSave="0" documentId="13_ncr:1_{DFE53236-357D-47A8-AA86-3270E33EFCB9}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ACTUALIZADO de REGISTRO PRODUCC" sheetId="6" state="hidden" r:id="rId1"/>
    <sheet name="INVENTARIO DE ESCRITURAS" sheetId="7" r:id="rId2"/>
    <sheet name="RESUMEN PRODUCCIÓN v1" sheetId="10" state="hidden" r:id="rId3"/>
    <sheet name="HORARIOS" sheetId="11" state="hidden" r:id="rId4"/>
    <sheet name="Respuestas de formulario 1" sheetId="12" state="hidden" r:id="rId5"/>
  </sheets>
  <definedNames>
    <definedName name="_xlnm._FilterDatabase" localSheetId="1" hidden="1">'INVENTARIO DE ESCRITURAS'!$B$3:$F$882</definedName>
    <definedName name="_xlnm._FilterDatabase" localSheetId="4" hidden="1">'Respuestas de formulario 1'!$A$2:$AL$408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8" i="12" l="1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K46" i="11"/>
  <c r="B45" i="11"/>
  <c r="B43" i="11"/>
  <c r="B42" i="11"/>
  <c r="B41" i="11"/>
  <c r="B40" i="11"/>
  <c r="D114" i="10"/>
  <c r="D113" i="10"/>
  <c r="E84" i="10"/>
  <c r="E83" i="10"/>
  <c r="E85" i="10" s="1"/>
  <c r="L76" i="10"/>
  <c r="L75" i="10"/>
  <c r="L74" i="10"/>
  <c r="L73" i="10"/>
  <c r="L72" i="10"/>
  <c r="D4" i="10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4" i="7"/>
  <c r="E540" i="7"/>
  <c r="E539" i="7"/>
  <c r="E538" i="7"/>
  <c r="E537" i="7"/>
  <c r="E529" i="7"/>
  <c r="E527" i="7"/>
  <c r="E526" i="7"/>
  <c r="E525" i="7"/>
  <c r="E520" i="7"/>
  <c r="E519" i="7"/>
  <c r="E510" i="7"/>
  <c r="E509" i="7"/>
  <c r="E506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2" i="7"/>
  <c r="E141" i="7"/>
  <c r="E140" i="7"/>
  <c r="E138" i="7"/>
  <c r="E136" i="7"/>
  <c r="E135" i="7"/>
  <c r="DQ620" i="6"/>
  <c r="DO620" i="6"/>
  <c r="DN620" i="6"/>
  <c r="DK620" i="6"/>
  <c r="DJ620" i="6"/>
  <c r="DF620" i="6"/>
  <c r="DE620" i="6"/>
  <c r="DA620" i="6"/>
  <c r="CY620" i="6"/>
  <c r="CX620" i="6"/>
  <c r="CU620" i="6"/>
  <c r="CT620" i="6"/>
  <c r="CP620" i="6"/>
  <c r="CO620" i="6"/>
  <c r="AZ620" i="6"/>
  <c r="AX620" i="6"/>
  <c r="AV620" i="6"/>
  <c r="AR620" i="6"/>
  <c r="AQ620" i="6"/>
  <c r="AM620" i="6"/>
  <c r="AH620" i="6"/>
  <c r="AF620" i="6"/>
  <c r="AE620" i="6"/>
  <c r="Z620" i="6"/>
  <c r="Y620" i="6"/>
  <c r="U620" i="6"/>
  <c r="P620" i="6"/>
  <c r="N620" i="6"/>
  <c r="M620" i="6"/>
  <c r="H620" i="6"/>
  <c r="G620" i="6"/>
  <c r="C620" i="6"/>
  <c r="DL619" i="6"/>
  <c r="CV619" i="6"/>
  <c r="AA619" i="6"/>
  <c r="I619" i="6"/>
  <c r="DL618" i="6"/>
  <c r="DM617" i="6" s="1"/>
  <c r="CV618" i="6"/>
  <c r="AA618" i="6"/>
  <c r="I618" i="6"/>
  <c r="DS617" i="6"/>
  <c r="DL617" i="6"/>
  <c r="DC617" i="6"/>
  <c r="CW617" i="6"/>
  <c r="CV617" i="6"/>
  <c r="AA617" i="6"/>
  <c r="I617" i="6"/>
  <c r="J614" i="6" s="1"/>
  <c r="DL616" i="6"/>
  <c r="CV616" i="6"/>
  <c r="DL615" i="6"/>
  <c r="CV615" i="6"/>
  <c r="DS614" i="6"/>
  <c r="DP614" i="6"/>
  <c r="DL614" i="6"/>
  <c r="DC614" i="6"/>
  <c r="CZ614" i="6"/>
  <c r="CV614" i="6"/>
  <c r="BC614" i="6"/>
  <c r="BB614" i="6"/>
  <c r="BA614" i="6"/>
  <c r="AY614" i="6"/>
  <c r="AT614" i="6"/>
  <c r="AS614" i="6"/>
  <c r="AJ614" i="6"/>
  <c r="AI614" i="6"/>
  <c r="AK614" i="6" s="1"/>
  <c r="AG614" i="6"/>
  <c r="AA614" i="6"/>
  <c r="AB614" i="6" s="1"/>
  <c r="S614" i="6"/>
  <c r="R614" i="6"/>
  <c r="Q614" i="6"/>
  <c r="O614" i="6"/>
  <c r="I614" i="6"/>
  <c r="DL613" i="6"/>
  <c r="CV613" i="6"/>
  <c r="AS613" i="6"/>
  <c r="AA613" i="6"/>
  <c r="I613" i="6"/>
  <c r="DL612" i="6"/>
  <c r="DM611" i="6" s="1"/>
  <c r="CV612" i="6"/>
  <c r="AS612" i="6"/>
  <c r="AA612" i="6"/>
  <c r="I612" i="6"/>
  <c r="DS611" i="6"/>
  <c r="DL611" i="6"/>
  <c r="DC611" i="6"/>
  <c r="CW611" i="6"/>
  <c r="CV611" i="6"/>
  <c r="AS611" i="6"/>
  <c r="AA611" i="6"/>
  <c r="I611" i="6"/>
  <c r="J608" i="6" s="1"/>
  <c r="DL610" i="6"/>
  <c r="CV610" i="6"/>
  <c r="DL609" i="6"/>
  <c r="CV609" i="6"/>
  <c r="DS608" i="6"/>
  <c r="DP608" i="6"/>
  <c r="DL608" i="6"/>
  <c r="DM608" i="6" s="1"/>
  <c r="DC608" i="6"/>
  <c r="CZ608" i="6"/>
  <c r="CV608" i="6"/>
  <c r="BB608" i="6"/>
  <c r="BA608" i="6"/>
  <c r="BC608" i="6" s="1"/>
  <c r="AY608" i="6"/>
  <c r="AT608" i="6"/>
  <c r="AS608" i="6"/>
  <c r="AK608" i="6"/>
  <c r="AJ608" i="6"/>
  <c r="AI608" i="6"/>
  <c r="AG608" i="6"/>
  <c r="AA608" i="6"/>
  <c r="AB608" i="6" s="1"/>
  <c r="R608" i="6"/>
  <c r="Q608" i="6"/>
  <c r="S608" i="6" s="1"/>
  <c r="O608" i="6"/>
  <c r="I608" i="6"/>
  <c r="DL607" i="6"/>
  <c r="AS607" i="6"/>
  <c r="AA607" i="6"/>
  <c r="I607" i="6"/>
  <c r="DL606" i="6"/>
  <c r="CV606" i="6"/>
  <c r="BC606" i="6"/>
  <c r="BA606" i="6"/>
  <c r="AS606" i="6"/>
  <c r="AA606" i="6"/>
  <c r="I606" i="6"/>
  <c r="DS605" i="6"/>
  <c r="DM605" i="6"/>
  <c r="DL605" i="6"/>
  <c r="DC605" i="6"/>
  <c r="CV605" i="6"/>
  <c r="AS605" i="6"/>
  <c r="AA605" i="6"/>
  <c r="I605" i="6"/>
  <c r="DL604" i="6"/>
  <c r="CV604" i="6"/>
  <c r="AS604" i="6"/>
  <c r="AA604" i="6"/>
  <c r="DL603" i="6"/>
  <c r="DM602" i="6" s="1"/>
  <c r="CV603" i="6"/>
  <c r="CW602" i="6" s="1"/>
  <c r="DC602" i="6" s="1"/>
  <c r="AS603" i="6"/>
  <c r="AA603" i="6"/>
  <c r="DS602" i="6"/>
  <c r="DP602" i="6"/>
  <c r="DL602" i="6"/>
  <c r="CZ602" i="6"/>
  <c r="CV602" i="6"/>
  <c r="BC602" i="6"/>
  <c r="BB602" i="6"/>
  <c r="BA602" i="6"/>
  <c r="AY602" i="6"/>
  <c r="AT602" i="6"/>
  <c r="AS602" i="6"/>
  <c r="AJ602" i="6"/>
  <c r="AI602" i="6"/>
  <c r="AK602" i="6" s="1"/>
  <c r="AG602" i="6"/>
  <c r="AA602" i="6"/>
  <c r="S602" i="6"/>
  <c r="R602" i="6"/>
  <c r="Q602" i="6"/>
  <c r="O602" i="6"/>
  <c r="I602" i="6"/>
  <c r="J602" i="6" s="1"/>
  <c r="DL601" i="6"/>
  <c r="CV601" i="6"/>
  <c r="BA601" i="6"/>
  <c r="BC601" i="6" s="1"/>
  <c r="AT601" i="6"/>
  <c r="AA601" i="6"/>
  <c r="I601" i="6"/>
  <c r="DL600" i="6"/>
  <c r="CV600" i="6"/>
  <c r="AS600" i="6"/>
  <c r="AA600" i="6"/>
  <c r="I600" i="6"/>
  <c r="DL599" i="6"/>
  <c r="DM599" i="6" s="1"/>
  <c r="DS599" i="6" s="1"/>
  <c r="CV599" i="6"/>
  <c r="CW599" i="6" s="1"/>
  <c r="DC599" i="6" s="1"/>
  <c r="DL598" i="6"/>
  <c r="CV598" i="6"/>
  <c r="DL597" i="6"/>
  <c r="CV597" i="6"/>
  <c r="DP596" i="6"/>
  <c r="DL596" i="6"/>
  <c r="DC596" i="6"/>
  <c r="CZ596" i="6"/>
  <c r="CV596" i="6"/>
  <c r="CW596" i="6" s="1"/>
  <c r="BB596" i="6"/>
  <c r="BA596" i="6"/>
  <c r="AY596" i="6"/>
  <c r="AS596" i="6"/>
  <c r="AT596" i="6" s="1"/>
  <c r="BC596" i="6" s="1"/>
  <c r="AJ596" i="6"/>
  <c r="AI596" i="6"/>
  <c r="AK596" i="6" s="1"/>
  <c r="AG596" i="6"/>
  <c r="AA596" i="6"/>
  <c r="AB596" i="6" s="1"/>
  <c r="S596" i="6"/>
  <c r="S620" i="6" s="1"/>
  <c r="R596" i="6"/>
  <c r="Q596" i="6"/>
  <c r="O596" i="6"/>
  <c r="J596" i="6"/>
  <c r="I596" i="6"/>
  <c r="DL595" i="6"/>
  <c r="CV595" i="6"/>
  <c r="AS595" i="6"/>
  <c r="AA595" i="6"/>
  <c r="I595" i="6"/>
  <c r="DL594" i="6"/>
  <c r="CV594" i="6"/>
  <c r="AS594" i="6"/>
  <c r="AA594" i="6"/>
  <c r="I594" i="6"/>
  <c r="DS593" i="6"/>
  <c r="DM593" i="6"/>
  <c r="DL593" i="6"/>
  <c r="CV593" i="6"/>
  <c r="DL592" i="6"/>
  <c r="CV592" i="6"/>
  <c r="DL591" i="6"/>
  <c r="CV591" i="6"/>
  <c r="AS591" i="6"/>
  <c r="AA591" i="6"/>
  <c r="I591" i="6"/>
  <c r="DS590" i="6"/>
  <c r="DL590" i="6"/>
  <c r="DM590" i="6" s="1"/>
  <c r="CZ590" i="6"/>
  <c r="CV590" i="6"/>
  <c r="CW590" i="6" s="1"/>
  <c r="DC590" i="6" s="1"/>
  <c r="BB590" i="6"/>
  <c r="BA590" i="6"/>
  <c r="AY590" i="6"/>
  <c r="AS590" i="6"/>
  <c r="AJ590" i="6"/>
  <c r="AI590" i="6"/>
  <c r="AK590" i="6" s="1"/>
  <c r="AG590" i="6"/>
  <c r="AA590" i="6"/>
  <c r="S590" i="6"/>
  <c r="R590" i="6"/>
  <c r="Q590" i="6"/>
  <c r="O590" i="6"/>
  <c r="I590" i="6"/>
  <c r="J590" i="6" s="1"/>
  <c r="DL589" i="6"/>
  <c r="CV589" i="6"/>
  <c r="BA589" i="6"/>
  <c r="BC589" i="6" s="1"/>
  <c r="AT589" i="6"/>
  <c r="AS589" i="6"/>
  <c r="AA589" i="6"/>
  <c r="I589" i="6"/>
  <c r="DL588" i="6"/>
  <c r="CV588" i="6"/>
  <c r="DS587" i="6"/>
  <c r="DM587" i="6"/>
  <c r="DL587" i="6"/>
  <c r="DC587" i="6"/>
  <c r="CV587" i="6"/>
  <c r="CW587" i="6" s="1"/>
  <c r="AS587" i="6"/>
  <c r="AA587" i="6"/>
  <c r="I587" i="6"/>
  <c r="DL586" i="6"/>
  <c r="CV586" i="6"/>
  <c r="AS586" i="6"/>
  <c r="AA586" i="6"/>
  <c r="I586" i="6"/>
  <c r="DL585" i="6"/>
  <c r="CV585" i="6"/>
  <c r="AS585" i="6"/>
  <c r="AA585" i="6"/>
  <c r="I585" i="6"/>
  <c r="DS584" i="6"/>
  <c r="DP584" i="6"/>
  <c r="DL584" i="6"/>
  <c r="DC584" i="6"/>
  <c r="CZ584" i="6"/>
  <c r="CV584" i="6"/>
  <c r="BB584" i="6"/>
  <c r="BA584" i="6"/>
  <c r="BC584" i="6" s="1"/>
  <c r="AY584" i="6"/>
  <c r="AS584" i="6"/>
  <c r="AK584" i="6"/>
  <c r="AJ584" i="6"/>
  <c r="AI584" i="6"/>
  <c r="AG584" i="6"/>
  <c r="AB584" i="6"/>
  <c r="AA584" i="6"/>
  <c r="R584" i="6"/>
  <c r="Q584" i="6"/>
  <c r="O584" i="6"/>
  <c r="O620" i="6" s="1"/>
  <c r="I584" i="6"/>
  <c r="DQ583" i="6"/>
  <c r="DO583" i="6"/>
  <c r="DN583" i="6"/>
  <c r="DK583" i="6"/>
  <c r="DJ583" i="6"/>
  <c r="DF583" i="6"/>
  <c r="DE583" i="6"/>
  <c r="DA583" i="6"/>
  <c r="CY583" i="6"/>
  <c r="CX583" i="6"/>
  <c r="CU583" i="6"/>
  <c r="CT583" i="6"/>
  <c r="CP583" i="6"/>
  <c r="CO583" i="6"/>
  <c r="AZ583" i="6"/>
  <c r="AX583" i="6"/>
  <c r="AV583" i="6"/>
  <c r="AR583" i="6"/>
  <c r="AQ583" i="6"/>
  <c r="AM583" i="6"/>
  <c r="AH583" i="6"/>
  <c r="AF583" i="6"/>
  <c r="AE583" i="6"/>
  <c r="Z583" i="6"/>
  <c r="Y583" i="6"/>
  <c r="U583" i="6"/>
  <c r="S583" i="6"/>
  <c r="P583" i="6"/>
  <c r="N583" i="6"/>
  <c r="M583" i="6"/>
  <c r="H583" i="6"/>
  <c r="G583" i="6"/>
  <c r="C583" i="6"/>
  <c r="DL582" i="6"/>
  <c r="CV582" i="6"/>
  <c r="AA582" i="6"/>
  <c r="I582" i="6"/>
  <c r="DL581" i="6"/>
  <c r="CV581" i="6"/>
  <c r="AA581" i="6"/>
  <c r="I581" i="6"/>
  <c r="DS580" i="6"/>
  <c r="DM580" i="6"/>
  <c r="DL580" i="6"/>
  <c r="CV580" i="6"/>
  <c r="AA580" i="6"/>
  <c r="AB577" i="6" s="1"/>
  <c r="I580" i="6"/>
  <c r="DL579" i="6"/>
  <c r="CV579" i="6"/>
  <c r="DL578" i="6"/>
  <c r="CV578" i="6"/>
  <c r="DS577" i="6"/>
  <c r="DP577" i="6"/>
  <c r="DM577" i="6"/>
  <c r="DL577" i="6"/>
  <c r="DC577" i="6"/>
  <c r="CZ577" i="6"/>
  <c r="CW577" i="6"/>
  <c r="CV577" i="6"/>
  <c r="BB577" i="6"/>
  <c r="BA577" i="6"/>
  <c r="BC577" i="6" s="1"/>
  <c r="AY577" i="6"/>
  <c r="AS577" i="6"/>
  <c r="AT577" i="6" s="1"/>
  <c r="AK577" i="6"/>
  <c r="AJ577" i="6"/>
  <c r="AI577" i="6"/>
  <c r="AG577" i="6"/>
  <c r="AA577" i="6"/>
  <c r="R577" i="6"/>
  <c r="Q577" i="6"/>
  <c r="S577" i="6" s="1"/>
  <c r="O577" i="6"/>
  <c r="I577" i="6"/>
  <c r="J577" i="6" s="1"/>
  <c r="DL576" i="6"/>
  <c r="CV576" i="6"/>
  <c r="AS576" i="6"/>
  <c r="AA576" i="6"/>
  <c r="I576" i="6"/>
  <c r="J571" i="6" s="1"/>
  <c r="DL575" i="6"/>
  <c r="CV575" i="6"/>
  <c r="AS575" i="6"/>
  <c r="AA575" i="6"/>
  <c r="I575" i="6"/>
  <c r="DS574" i="6"/>
  <c r="DL574" i="6"/>
  <c r="DM574" i="6" s="1"/>
  <c r="DC574" i="6"/>
  <c r="CV574" i="6"/>
  <c r="CW574" i="6" s="1"/>
  <c r="AS574" i="6"/>
  <c r="AA574" i="6"/>
  <c r="I574" i="6"/>
  <c r="DL573" i="6"/>
  <c r="CV573" i="6"/>
  <c r="DL572" i="6"/>
  <c r="CV572" i="6"/>
  <c r="DP571" i="6"/>
  <c r="DL571" i="6"/>
  <c r="DM571" i="6" s="1"/>
  <c r="DS571" i="6" s="1"/>
  <c r="DC571" i="6"/>
  <c r="CZ571" i="6"/>
  <c r="CV571" i="6"/>
  <c r="CW571" i="6" s="1"/>
  <c r="BC571" i="6"/>
  <c r="BB571" i="6"/>
  <c r="BA571" i="6"/>
  <c r="AY571" i="6"/>
  <c r="AT571" i="6"/>
  <c r="AS571" i="6"/>
  <c r="AJ571" i="6"/>
  <c r="AI571" i="6"/>
  <c r="AK571" i="6" s="1"/>
  <c r="AG571" i="6"/>
  <c r="AA571" i="6"/>
  <c r="S571" i="6"/>
  <c r="R571" i="6"/>
  <c r="Q571" i="6"/>
  <c r="O571" i="6"/>
  <c r="I571" i="6"/>
  <c r="DL570" i="6"/>
  <c r="AS570" i="6"/>
  <c r="AA570" i="6"/>
  <c r="I570" i="6"/>
  <c r="DL569" i="6"/>
  <c r="CV569" i="6"/>
  <c r="BC569" i="6"/>
  <c r="BA569" i="6"/>
  <c r="AS569" i="6"/>
  <c r="AA569" i="6"/>
  <c r="I569" i="6"/>
  <c r="DL568" i="6"/>
  <c r="DM568" i="6" s="1"/>
  <c r="DS568" i="6" s="1"/>
  <c r="DC568" i="6"/>
  <c r="CW568" i="6"/>
  <c r="CV568" i="6"/>
  <c r="AS568" i="6"/>
  <c r="AA568" i="6"/>
  <c r="I568" i="6"/>
  <c r="DL567" i="6"/>
  <c r="CV567" i="6"/>
  <c r="AS567" i="6"/>
  <c r="DL566" i="6"/>
  <c r="CV566" i="6"/>
  <c r="AS566" i="6"/>
  <c r="DP565" i="6"/>
  <c r="DL565" i="6"/>
  <c r="DC565" i="6"/>
  <c r="CZ565" i="6"/>
  <c r="CZ583" i="6" s="1"/>
  <c r="CV565" i="6"/>
  <c r="CW565" i="6" s="1"/>
  <c r="BB565" i="6"/>
  <c r="BA565" i="6"/>
  <c r="AY565" i="6"/>
  <c r="AS565" i="6"/>
  <c r="AT565" i="6" s="1"/>
  <c r="BC565" i="6" s="1"/>
  <c r="AJ565" i="6"/>
  <c r="AI565" i="6"/>
  <c r="AK565" i="6" s="1"/>
  <c r="AG565" i="6"/>
  <c r="AA565" i="6"/>
  <c r="AB565" i="6" s="1"/>
  <c r="S565" i="6"/>
  <c r="R565" i="6"/>
  <c r="Q565" i="6"/>
  <c r="O565" i="6"/>
  <c r="J565" i="6"/>
  <c r="I565" i="6"/>
  <c r="DL564" i="6"/>
  <c r="CV564" i="6"/>
  <c r="BC564" i="6"/>
  <c r="BA564" i="6"/>
  <c r="AT564" i="6"/>
  <c r="AA564" i="6"/>
  <c r="I564" i="6"/>
  <c r="J559" i="6" s="1"/>
  <c r="DL563" i="6"/>
  <c r="CV563" i="6"/>
  <c r="AS563" i="6"/>
  <c r="AA563" i="6"/>
  <c r="I563" i="6"/>
  <c r="DL562" i="6"/>
  <c r="DC562" i="6"/>
  <c r="CV562" i="6"/>
  <c r="CW562" i="6" s="1"/>
  <c r="DL561" i="6"/>
  <c r="CV561" i="6"/>
  <c r="DL560" i="6"/>
  <c r="CV560" i="6"/>
  <c r="DS559" i="6"/>
  <c r="DP559" i="6"/>
  <c r="DL559" i="6"/>
  <c r="DM559" i="6" s="1"/>
  <c r="DC559" i="6"/>
  <c r="CZ559" i="6"/>
  <c r="CV559" i="6"/>
  <c r="CW559" i="6" s="1"/>
  <c r="BC559" i="6"/>
  <c r="BB559" i="6"/>
  <c r="BA559" i="6"/>
  <c r="AY559" i="6"/>
  <c r="AT559" i="6"/>
  <c r="AS559" i="6"/>
  <c r="AJ559" i="6"/>
  <c r="AI559" i="6"/>
  <c r="AK559" i="6" s="1"/>
  <c r="AG559" i="6"/>
  <c r="AA559" i="6"/>
  <c r="AB559" i="6" s="1"/>
  <c r="S559" i="6"/>
  <c r="R559" i="6"/>
  <c r="Q559" i="6"/>
  <c r="O559" i="6"/>
  <c r="I559" i="6"/>
  <c r="DL558" i="6"/>
  <c r="CV558" i="6"/>
  <c r="AS558" i="6"/>
  <c r="AA558" i="6"/>
  <c r="I558" i="6"/>
  <c r="DL557" i="6"/>
  <c r="CV557" i="6"/>
  <c r="AS557" i="6"/>
  <c r="AA557" i="6"/>
  <c r="I557" i="6"/>
  <c r="DS556" i="6"/>
  <c r="DM556" i="6"/>
  <c r="DL556" i="6"/>
  <c r="CW556" i="6"/>
  <c r="DC556" i="6" s="1"/>
  <c r="CV556" i="6"/>
  <c r="DL555" i="6"/>
  <c r="CV555" i="6"/>
  <c r="DL554" i="6"/>
  <c r="CV554" i="6"/>
  <c r="AS554" i="6"/>
  <c r="AA554" i="6"/>
  <c r="I554" i="6"/>
  <c r="J553" i="6" s="1"/>
  <c r="DS553" i="6"/>
  <c r="DP553" i="6"/>
  <c r="DL553" i="6"/>
  <c r="DM553" i="6" s="1"/>
  <c r="CZ553" i="6"/>
  <c r="CV553" i="6"/>
  <c r="BC553" i="6"/>
  <c r="BB553" i="6"/>
  <c r="BA553" i="6"/>
  <c r="AY553" i="6"/>
  <c r="AY583" i="6" s="1"/>
  <c r="AT553" i="6"/>
  <c r="AS553" i="6"/>
  <c r="AJ553" i="6"/>
  <c r="AI553" i="6"/>
  <c r="AG553" i="6"/>
  <c r="AA553" i="6"/>
  <c r="AB553" i="6" s="1"/>
  <c r="S553" i="6"/>
  <c r="R553" i="6"/>
  <c r="Q553" i="6"/>
  <c r="O553" i="6"/>
  <c r="I553" i="6"/>
  <c r="DL552" i="6"/>
  <c r="CV552" i="6"/>
  <c r="BC552" i="6"/>
  <c r="BA552" i="6"/>
  <c r="AS552" i="6"/>
  <c r="AT552" i="6" s="1"/>
  <c r="AA552" i="6"/>
  <c r="I552" i="6"/>
  <c r="DL551" i="6"/>
  <c r="CV551" i="6"/>
  <c r="CV583" i="6" s="1"/>
  <c r="DS550" i="6"/>
  <c r="DL550" i="6"/>
  <c r="DM550" i="6" s="1"/>
  <c r="DC550" i="6"/>
  <c r="CW550" i="6"/>
  <c r="CV550" i="6"/>
  <c r="AS550" i="6"/>
  <c r="AA550" i="6"/>
  <c r="I550" i="6"/>
  <c r="DL549" i="6"/>
  <c r="CV549" i="6"/>
  <c r="AS549" i="6"/>
  <c r="AA549" i="6"/>
  <c r="AA583" i="6" s="1"/>
  <c r="I549" i="6"/>
  <c r="DL548" i="6"/>
  <c r="CV548" i="6"/>
  <c r="AS548" i="6"/>
  <c r="AT547" i="6" s="1"/>
  <c r="AA548" i="6"/>
  <c r="I548" i="6"/>
  <c r="DS547" i="6"/>
  <c r="DP547" i="6"/>
  <c r="DP583" i="6" s="1"/>
  <c r="DL547" i="6"/>
  <c r="CZ547" i="6"/>
  <c r="CV547" i="6"/>
  <c r="CW547" i="6" s="1"/>
  <c r="DC547" i="6" s="1"/>
  <c r="BC547" i="6"/>
  <c r="BB547" i="6"/>
  <c r="BA547" i="6"/>
  <c r="AY547" i="6"/>
  <c r="AS547" i="6"/>
  <c r="AJ547" i="6"/>
  <c r="AI547" i="6"/>
  <c r="AG547" i="6"/>
  <c r="AG583" i="6" s="1"/>
  <c r="AA547" i="6"/>
  <c r="S547" i="6"/>
  <c r="R547" i="6"/>
  <c r="Q547" i="6"/>
  <c r="O547" i="6"/>
  <c r="I547" i="6"/>
  <c r="DA546" i="6"/>
  <c r="CZ546" i="6"/>
  <c r="CY546" i="6"/>
  <c r="CU546" i="6"/>
  <c r="CT546" i="6"/>
  <c r="CP546" i="6"/>
  <c r="AZ546" i="6"/>
  <c r="AX546" i="6"/>
  <c r="AV546" i="6"/>
  <c r="AR546" i="6"/>
  <c r="AQ546" i="6"/>
  <c r="AM546" i="6"/>
  <c r="AH546" i="6"/>
  <c r="AG546" i="6"/>
  <c r="AF546" i="6"/>
  <c r="AE546" i="6"/>
  <c r="Z546" i="6"/>
  <c r="Y546" i="6"/>
  <c r="U546" i="6"/>
  <c r="S546" i="6"/>
  <c r="P546" i="6"/>
  <c r="N546" i="6"/>
  <c r="M546" i="6"/>
  <c r="H546" i="6"/>
  <c r="G546" i="6"/>
  <c r="C546" i="6"/>
  <c r="CV545" i="6"/>
  <c r="AA545" i="6"/>
  <c r="I545" i="6"/>
  <c r="CV544" i="6"/>
  <c r="AA544" i="6"/>
  <c r="I544" i="6"/>
  <c r="DC543" i="6"/>
  <c r="CV543" i="6"/>
  <c r="CW543" i="6" s="1"/>
  <c r="AA543" i="6"/>
  <c r="I543" i="6"/>
  <c r="CV542" i="6"/>
  <c r="BC542" i="6"/>
  <c r="BB542" i="6"/>
  <c r="BA542" i="6"/>
  <c r="AY542" i="6"/>
  <c r="AT542" i="6"/>
  <c r="AS542" i="6"/>
  <c r="AJ542" i="6"/>
  <c r="AI542" i="6"/>
  <c r="AK542" i="6" s="1"/>
  <c r="AG542" i="6"/>
  <c r="AA542" i="6"/>
  <c r="AB542" i="6" s="1"/>
  <c r="R542" i="6"/>
  <c r="Q542" i="6"/>
  <c r="O542" i="6"/>
  <c r="J542" i="6"/>
  <c r="S542" i="6" s="1"/>
  <c r="I542" i="6"/>
  <c r="CV541" i="6"/>
  <c r="AS541" i="6"/>
  <c r="AA541" i="6"/>
  <c r="I541" i="6"/>
  <c r="CZ540" i="6"/>
  <c r="CW540" i="6"/>
  <c r="CV540" i="6"/>
  <c r="AS540" i="6"/>
  <c r="AA540" i="6"/>
  <c r="I540" i="6"/>
  <c r="AS539" i="6"/>
  <c r="AA539" i="6"/>
  <c r="I539" i="6"/>
  <c r="BC538" i="6"/>
  <c r="BB538" i="6"/>
  <c r="BA538" i="6"/>
  <c r="AY538" i="6"/>
  <c r="AT538" i="6"/>
  <c r="AS538" i="6"/>
  <c r="AJ538" i="6"/>
  <c r="AI538" i="6"/>
  <c r="AK538" i="6" s="1"/>
  <c r="AG538" i="6"/>
  <c r="AA538" i="6"/>
  <c r="AB538" i="6" s="1"/>
  <c r="S538" i="6"/>
  <c r="R538" i="6"/>
  <c r="Q538" i="6"/>
  <c r="O538" i="6"/>
  <c r="I538" i="6"/>
  <c r="J538" i="6" s="1"/>
  <c r="AS537" i="6"/>
  <c r="AA537" i="6"/>
  <c r="I537" i="6"/>
  <c r="BC536" i="6"/>
  <c r="BA536" i="6"/>
  <c r="AS536" i="6"/>
  <c r="AA536" i="6"/>
  <c r="I536" i="6"/>
  <c r="J534" i="6" s="1"/>
  <c r="AS535" i="6"/>
  <c r="AA535" i="6"/>
  <c r="I535" i="6"/>
  <c r="BB534" i="6"/>
  <c r="BA534" i="6"/>
  <c r="AY534" i="6"/>
  <c r="AT534" i="6"/>
  <c r="BC534" i="6" s="1"/>
  <c r="AS534" i="6"/>
  <c r="AJ534" i="6"/>
  <c r="AI534" i="6"/>
  <c r="AG534" i="6"/>
  <c r="AA534" i="6"/>
  <c r="AB534" i="6" s="1"/>
  <c r="S534" i="6"/>
  <c r="R534" i="6"/>
  <c r="Q534" i="6"/>
  <c r="O534" i="6"/>
  <c r="I534" i="6"/>
  <c r="BA533" i="6"/>
  <c r="BC533" i="6" s="1"/>
  <c r="AT533" i="6"/>
  <c r="AA533" i="6"/>
  <c r="I533" i="6"/>
  <c r="AS532" i="6"/>
  <c r="AA532" i="6"/>
  <c r="I532" i="6"/>
  <c r="AS531" i="6"/>
  <c r="AA531" i="6"/>
  <c r="AB530" i="6" s="1"/>
  <c r="I531" i="6"/>
  <c r="BB530" i="6"/>
  <c r="BA530" i="6"/>
  <c r="AY530" i="6"/>
  <c r="AS530" i="6"/>
  <c r="AK530" i="6"/>
  <c r="AJ530" i="6"/>
  <c r="AI530" i="6"/>
  <c r="AG530" i="6"/>
  <c r="AA530" i="6"/>
  <c r="R530" i="6"/>
  <c r="Q530" i="6"/>
  <c r="S530" i="6" s="1"/>
  <c r="O530" i="6"/>
  <c r="I530" i="6"/>
  <c r="AS529" i="6"/>
  <c r="AT526" i="6" s="1"/>
  <c r="AA529" i="6"/>
  <c r="I529" i="6"/>
  <c r="AS528" i="6"/>
  <c r="AA528" i="6"/>
  <c r="I528" i="6"/>
  <c r="AS527" i="6"/>
  <c r="AA527" i="6"/>
  <c r="I527" i="6"/>
  <c r="J526" i="6" s="1"/>
  <c r="BC526" i="6"/>
  <c r="BB526" i="6"/>
  <c r="BA526" i="6"/>
  <c r="AY526" i="6"/>
  <c r="AS526" i="6"/>
  <c r="AJ526" i="6"/>
  <c r="AI526" i="6"/>
  <c r="AG526" i="6"/>
  <c r="AA526" i="6"/>
  <c r="S526" i="6"/>
  <c r="R526" i="6"/>
  <c r="Q526" i="6"/>
  <c r="O526" i="6"/>
  <c r="I526" i="6"/>
  <c r="BA525" i="6"/>
  <c r="BC525" i="6" s="1"/>
  <c r="AT525" i="6"/>
  <c r="AS525" i="6"/>
  <c r="AA525" i="6"/>
  <c r="I525" i="6"/>
  <c r="I546" i="6" s="1"/>
  <c r="AS524" i="6"/>
  <c r="AA524" i="6"/>
  <c r="I524" i="6"/>
  <c r="AS523" i="6"/>
  <c r="AA523" i="6"/>
  <c r="I523" i="6"/>
  <c r="AS522" i="6"/>
  <c r="AA522" i="6"/>
  <c r="I522" i="6"/>
  <c r="BB521" i="6"/>
  <c r="BA521" i="6"/>
  <c r="AY521" i="6"/>
  <c r="AS521" i="6"/>
  <c r="AK521" i="6"/>
  <c r="AJ521" i="6"/>
  <c r="AI521" i="6"/>
  <c r="AG521" i="6"/>
  <c r="AA521" i="6"/>
  <c r="AB521" i="6" s="1"/>
  <c r="R521" i="6"/>
  <c r="Q521" i="6"/>
  <c r="O521" i="6"/>
  <c r="O546" i="6" s="1"/>
  <c r="I521" i="6"/>
  <c r="J521" i="6" s="1"/>
  <c r="AZ520" i="6"/>
  <c r="AX520" i="6"/>
  <c r="AV520" i="6"/>
  <c r="AR520" i="6"/>
  <c r="AQ520" i="6"/>
  <c r="AH520" i="6"/>
  <c r="AF520" i="6"/>
  <c r="AE520" i="6"/>
  <c r="Z520" i="6"/>
  <c r="Y520" i="6"/>
  <c r="U520" i="6"/>
  <c r="P520" i="6"/>
  <c r="N520" i="6"/>
  <c r="M520" i="6"/>
  <c r="H520" i="6"/>
  <c r="G520" i="6"/>
  <c r="C520" i="6"/>
  <c r="AA519" i="6"/>
  <c r="I519" i="6"/>
  <c r="AA518" i="6"/>
  <c r="I518" i="6"/>
  <c r="AA517" i="6"/>
  <c r="AB516" i="6" s="1"/>
  <c r="I517" i="6"/>
  <c r="BB516" i="6"/>
  <c r="BA516" i="6"/>
  <c r="AY516" i="6"/>
  <c r="AS516" i="6"/>
  <c r="AT516" i="6" s="1"/>
  <c r="AK516" i="6"/>
  <c r="AJ516" i="6"/>
  <c r="AI516" i="6"/>
  <c r="AG516" i="6"/>
  <c r="AA516" i="6"/>
  <c r="R516" i="6"/>
  <c r="Q516" i="6"/>
  <c r="S516" i="6" s="1"/>
  <c r="O516" i="6"/>
  <c r="I516" i="6"/>
  <c r="J516" i="6" s="1"/>
  <c r="AS515" i="6"/>
  <c r="AA515" i="6"/>
  <c r="I515" i="6"/>
  <c r="AS514" i="6"/>
  <c r="AA514" i="6"/>
  <c r="I514" i="6"/>
  <c r="AS513" i="6"/>
  <c r="AA513" i="6"/>
  <c r="AB512" i="6" s="1"/>
  <c r="I513" i="6"/>
  <c r="BB512" i="6"/>
  <c r="BA512" i="6"/>
  <c r="AY512" i="6"/>
  <c r="AS512" i="6"/>
  <c r="AK512" i="6"/>
  <c r="AJ512" i="6"/>
  <c r="AI512" i="6"/>
  <c r="AG512" i="6"/>
  <c r="AA512" i="6"/>
  <c r="R512" i="6"/>
  <c r="Q512" i="6"/>
  <c r="S512" i="6" s="1"/>
  <c r="O512" i="6"/>
  <c r="I512" i="6"/>
  <c r="AS511" i="6"/>
  <c r="AA511" i="6"/>
  <c r="I511" i="6"/>
  <c r="BA510" i="6"/>
  <c r="BC510" i="6" s="1"/>
  <c r="AS510" i="6"/>
  <c r="AA510" i="6"/>
  <c r="I510" i="6"/>
  <c r="AS509" i="6"/>
  <c r="AA509" i="6"/>
  <c r="AB508" i="6" s="1"/>
  <c r="I509" i="6"/>
  <c r="BB508" i="6"/>
  <c r="BA508" i="6"/>
  <c r="AY508" i="6"/>
  <c r="AS508" i="6"/>
  <c r="AK508" i="6"/>
  <c r="AJ508" i="6"/>
  <c r="AI508" i="6"/>
  <c r="AG508" i="6"/>
  <c r="AA508" i="6"/>
  <c r="R508" i="6"/>
  <c r="Q508" i="6"/>
  <c r="S508" i="6" s="1"/>
  <c r="O508" i="6"/>
  <c r="I508" i="6"/>
  <c r="J508" i="6" s="1"/>
  <c r="BC507" i="6"/>
  <c r="BA507" i="6"/>
  <c r="AT507" i="6"/>
  <c r="AA507" i="6"/>
  <c r="I507" i="6"/>
  <c r="J504" i="6" s="1"/>
  <c r="AS506" i="6"/>
  <c r="AA506" i="6"/>
  <c r="I506" i="6"/>
  <c r="AS505" i="6"/>
  <c r="AA505" i="6"/>
  <c r="I505" i="6"/>
  <c r="BB504" i="6"/>
  <c r="BA504" i="6"/>
  <c r="AY504" i="6"/>
  <c r="AS504" i="6"/>
  <c r="AM504" i="6"/>
  <c r="AM520" i="6" s="1"/>
  <c r="AJ504" i="6"/>
  <c r="AI504" i="6"/>
  <c r="AK504" i="6" s="1"/>
  <c r="AG504" i="6"/>
  <c r="AA504" i="6"/>
  <c r="AB504" i="6" s="1"/>
  <c r="S504" i="6"/>
  <c r="R504" i="6"/>
  <c r="Q504" i="6"/>
  <c r="O504" i="6"/>
  <c r="I504" i="6"/>
  <c r="AS503" i="6"/>
  <c r="AA503" i="6"/>
  <c r="I503" i="6"/>
  <c r="AS502" i="6"/>
  <c r="AA502" i="6"/>
  <c r="I502" i="6"/>
  <c r="AS501" i="6"/>
  <c r="AA501" i="6"/>
  <c r="I501" i="6"/>
  <c r="BC500" i="6"/>
  <c r="BB500" i="6"/>
  <c r="BA500" i="6"/>
  <c r="AY500" i="6"/>
  <c r="AT500" i="6"/>
  <c r="AS500" i="6"/>
  <c r="AJ500" i="6"/>
  <c r="AI500" i="6"/>
  <c r="AK500" i="6" s="1"/>
  <c r="AG500" i="6"/>
  <c r="AA500" i="6"/>
  <c r="S500" i="6"/>
  <c r="R500" i="6"/>
  <c r="Q500" i="6"/>
  <c r="O500" i="6"/>
  <c r="I500" i="6"/>
  <c r="BA499" i="6"/>
  <c r="BC499" i="6" s="1"/>
  <c r="AT499" i="6"/>
  <c r="AS499" i="6"/>
  <c r="AA499" i="6"/>
  <c r="I499" i="6"/>
  <c r="AS498" i="6"/>
  <c r="AT495" i="6" s="1"/>
  <c r="AA498" i="6"/>
  <c r="I498" i="6"/>
  <c r="AS497" i="6"/>
  <c r="AA497" i="6"/>
  <c r="I497" i="6"/>
  <c r="AS496" i="6"/>
  <c r="AA496" i="6"/>
  <c r="I496" i="6"/>
  <c r="BB495" i="6"/>
  <c r="BA495" i="6"/>
  <c r="AY495" i="6"/>
  <c r="AS495" i="6"/>
  <c r="AJ495" i="6"/>
  <c r="AI495" i="6"/>
  <c r="AK495" i="6" s="1"/>
  <c r="AG495" i="6"/>
  <c r="AA495" i="6"/>
  <c r="S495" i="6"/>
  <c r="R495" i="6"/>
  <c r="Q495" i="6"/>
  <c r="O495" i="6"/>
  <c r="O520" i="6" s="1"/>
  <c r="J495" i="6"/>
  <c r="I495" i="6"/>
  <c r="AZ494" i="6"/>
  <c r="AX494" i="6"/>
  <c r="AV494" i="6"/>
  <c r="AR494" i="6"/>
  <c r="AQ494" i="6"/>
  <c r="AH494" i="6"/>
  <c r="AF494" i="6"/>
  <c r="AE494" i="6"/>
  <c r="Z494" i="6"/>
  <c r="Y494" i="6"/>
  <c r="U494" i="6"/>
  <c r="P494" i="6"/>
  <c r="N494" i="6"/>
  <c r="M494" i="6"/>
  <c r="H494" i="6"/>
  <c r="G494" i="6"/>
  <c r="C494" i="6"/>
  <c r="AA493" i="6"/>
  <c r="I493" i="6"/>
  <c r="AA492" i="6"/>
  <c r="I492" i="6"/>
  <c r="AA491" i="6"/>
  <c r="I491" i="6"/>
  <c r="BB490" i="6"/>
  <c r="BA490" i="6"/>
  <c r="BC490" i="6" s="1"/>
  <c r="AY490" i="6"/>
  <c r="AS490" i="6"/>
  <c r="AT490" i="6" s="1"/>
  <c r="AK490" i="6"/>
  <c r="AJ490" i="6"/>
  <c r="AI490" i="6"/>
  <c r="AG490" i="6"/>
  <c r="AA490" i="6"/>
  <c r="AB490" i="6" s="1"/>
  <c r="R490" i="6"/>
  <c r="Q490" i="6"/>
  <c r="S490" i="6" s="1"/>
  <c r="O490" i="6"/>
  <c r="I490" i="6"/>
  <c r="J490" i="6" s="1"/>
  <c r="AS489" i="6"/>
  <c r="AA489" i="6"/>
  <c r="I489" i="6"/>
  <c r="AS488" i="6"/>
  <c r="AA488" i="6"/>
  <c r="I488" i="6"/>
  <c r="AS487" i="6"/>
  <c r="AA487" i="6"/>
  <c r="I487" i="6"/>
  <c r="BC486" i="6"/>
  <c r="BB486" i="6"/>
  <c r="BA486" i="6"/>
  <c r="AY486" i="6"/>
  <c r="AT486" i="6"/>
  <c r="AS486" i="6"/>
  <c r="AJ486" i="6"/>
  <c r="AI486" i="6"/>
  <c r="AG486" i="6"/>
  <c r="AA486" i="6"/>
  <c r="S486" i="6"/>
  <c r="R486" i="6"/>
  <c r="Q486" i="6"/>
  <c r="O486" i="6"/>
  <c r="J486" i="6"/>
  <c r="I486" i="6"/>
  <c r="AS485" i="6"/>
  <c r="AA485" i="6"/>
  <c r="I485" i="6"/>
  <c r="BC484" i="6"/>
  <c r="BA484" i="6"/>
  <c r="AS484" i="6"/>
  <c r="AT482" i="6" s="1"/>
  <c r="AA484" i="6"/>
  <c r="AB482" i="6" s="1"/>
  <c r="I484" i="6"/>
  <c r="AS483" i="6"/>
  <c r="AA483" i="6"/>
  <c r="I483" i="6"/>
  <c r="BB482" i="6"/>
  <c r="BA482" i="6"/>
  <c r="BC482" i="6" s="1"/>
  <c r="AY482" i="6"/>
  <c r="AS482" i="6"/>
  <c r="AK482" i="6"/>
  <c r="AJ482" i="6"/>
  <c r="AI482" i="6"/>
  <c r="AG482" i="6"/>
  <c r="AA482" i="6"/>
  <c r="R482" i="6"/>
  <c r="Q482" i="6"/>
  <c r="S482" i="6" s="1"/>
  <c r="S494" i="6" s="1"/>
  <c r="O482" i="6"/>
  <c r="I482" i="6"/>
  <c r="BA481" i="6"/>
  <c r="BC481" i="6" s="1"/>
  <c r="AT481" i="6"/>
  <c r="AA481" i="6"/>
  <c r="I481" i="6"/>
  <c r="AS480" i="6"/>
  <c r="AA480" i="6"/>
  <c r="I480" i="6"/>
  <c r="AS479" i="6"/>
  <c r="AA479" i="6"/>
  <c r="AB478" i="6" s="1"/>
  <c r="AK478" i="6" s="1"/>
  <c r="I479" i="6"/>
  <c r="BB478" i="6"/>
  <c r="BA478" i="6"/>
  <c r="AY478" i="6"/>
  <c r="AS478" i="6"/>
  <c r="AJ478" i="6"/>
  <c r="AI478" i="6"/>
  <c r="AG478" i="6"/>
  <c r="AA478" i="6"/>
  <c r="R478" i="6"/>
  <c r="Q478" i="6"/>
  <c r="S478" i="6" s="1"/>
  <c r="O478" i="6"/>
  <c r="I478" i="6"/>
  <c r="J478" i="6" s="1"/>
  <c r="AS477" i="6"/>
  <c r="AA477" i="6"/>
  <c r="I477" i="6"/>
  <c r="AS476" i="6"/>
  <c r="AA476" i="6"/>
  <c r="AB474" i="6" s="1"/>
  <c r="AK474" i="6" s="1"/>
  <c r="I476" i="6"/>
  <c r="AS475" i="6"/>
  <c r="AA475" i="6"/>
  <c r="I475" i="6"/>
  <c r="I494" i="6" s="1"/>
  <c r="BB474" i="6"/>
  <c r="BA474" i="6"/>
  <c r="BC474" i="6" s="1"/>
  <c r="AY474" i="6"/>
  <c r="AS474" i="6"/>
  <c r="AJ474" i="6"/>
  <c r="AI474" i="6"/>
  <c r="AG474" i="6"/>
  <c r="AA474" i="6"/>
  <c r="R474" i="6"/>
  <c r="Q474" i="6"/>
  <c r="S474" i="6" s="1"/>
  <c r="O474" i="6"/>
  <c r="O494" i="6" s="1"/>
  <c r="I474" i="6"/>
  <c r="BA473" i="6"/>
  <c r="BC473" i="6" s="1"/>
  <c r="AS473" i="6"/>
  <c r="AT473" i="6" s="1"/>
  <c r="AA473" i="6"/>
  <c r="I473" i="6"/>
  <c r="AS472" i="6"/>
  <c r="AA472" i="6"/>
  <c r="I472" i="6"/>
  <c r="AS471" i="6"/>
  <c r="AA471" i="6"/>
  <c r="I471" i="6"/>
  <c r="AS470" i="6"/>
  <c r="AA470" i="6"/>
  <c r="I470" i="6"/>
  <c r="BB469" i="6"/>
  <c r="BA469" i="6"/>
  <c r="AY469" i="6"/>
  <c r="AS469" i="6"/>
  <c r="AM469" i="6"/>
  <c r="AM494" i="6" s="1"/>
  <c r="AJ469" i="6"/>
  <c r="AI469" i="6"/>
  <c r="AG469" i="6"/>
  <c r="AG494" i="6" s="1"/>
  <c r="AA469" i="6"/>
  <c r="AB469" i="6" s="1"/>
  <c r="S469" i="6"/>
  <c r="R469" i="6"/>
  <c r="Q469" i="6"/>
  <c r="O469" i="6"/>
  <c r="J469" i="6"/>
  <c r="I469" i="6"/>
  <c r="AZ468" i="6"/>
  <c r="AX468" i="6"/>
  <c r="AV468" i="6"/>
  <c r="AR468" i="6"/>
  <c r="AQ468" i="6"/>
  <c r="AM468" i="6"/>
  <c r="AH468" i="6"/>
  <c r="AF468" i="6"/>
  <c r="AE468" i="6"/>
  <c r="Z468" i="6"/>
  <c r="Y468" i="6"/>
  <c r="U468" i="6"/>
  <c r="P468" i="6"/>
  <c r="N468" i="6"/>
  <c r="M468" i="6"/>
  <c r="H468" i="6"/>
  <c r="G468" i="6"/>
  <c r="C468" i="6"/>
  <c r="AA467" i="6"/>
  <c r="I467" i="6"/>
  <c r="AA466" i="6"/>
  <c r="I466" i="6"/>
  <c r="AA465" i="6"/>
  <c r="I465" i="6"/>
  <c r="BC464" i="6"/>
  <c r="BB464" i="6"/>
  <c r="BA464" i="6"/>
  <c r="AY464" i="6"/>
  <c r="AT464" i="6"/>
  <c r="AJ464" i="6"/>
  <c r="AI464" i="6"/>
  <c r="AG464" i="6"/>
  <c r="AA464" i="6"/>
  <c r="AB464" i="6" s="1"/>
  <c r="S464" i="6"/>
  <c r="R464" i="6"/>
  <c r="Q464" i="6"/>
  <c r="O464" i="6"/>
  <c r="J464" i="6"/>
  <c r="I464" i="6"/>
  <c r="AS463" i="6"/>
  <c r="AA463" i="6"/>
  <c r="I463" i="6"/>
  <c r="AS462" i="6"/>
  <c r="AI462" i="6"/>
  <c r="AB462" i="6"/>
  <c r="AA462" i="6"/>
  <c r="I462" i="6"/>
  <c r="AS461" i="6"/>
  <c r="AA461" i="6"/>
  <c r="I461" i="6"/>
  <c r="BB460" i="6"/>
  <c r="BA460" i="6"/>
  <c r="AY460" i="6"/>
  <c r="AY468" i="6" s="1"/>
  <c r="AS460" i="6"/>
  <c r="AT460" i="6" s="1"/>
  <c r="AJ460" i="6"/>
  <c r="AI460" i="6"/>
  <c r="AG460" i="6"/>
  <c r="AB460" i="6"/>
  <c r="AK460" i="6" s="1"/>
  <c r="AA460" i="6"/>
  <c r="R460" i="6"/>
  <c r="Q460" i="6"/>
  <c r="S460" i="6" s="1"/>
  <c r="O460" i="6"/>
  <c r="I460" i="6"/>
  <c r="AS459" i="6"/>
  <c r="AA459" i="6"/>
  <c r="I459" i="6"/>
  <c r="BA458" i="6"/>
  <c r="BC458" i="6" s="1"/>
  <c r="AS458" i="6"/>
  <c r="AA458" i="6"/>
  <c r="I458" i="6"/>
  <c r="AS457" i="6"/>
  <c r="AA457" i="6"/>
  <c r="AB456" i="6" s="1"/>
  <c r="I457" i="6"/>
  <c r="BB456" i="6"/>
  <c r="BA456" i="6"/>
  <c r="AY456" i="6"/>
  <c r="AS456" i="6"/>
  <c r="AK456" i="6"/>
  <c r="AJ456" i="6"/>
  <c r="AI456" i="6"/>
  <c r="AG456" i="6"/>
  <c r="AA456" i="6"/>
  <c r="R456" i="6"/>
  <c r="Q456" i="6"/>
  <c r="S456" i="6" s="1"/>
  <c r="O456" i="6"/>
  <c r="I456" i="6"/>
  <c r="J456" i="6" s="1"/>
  <c r="BC455" i="6"/>
  <c r="BA455" i="6"/>
  <c r="AT455" i="6"/>
  <c r="AA455" i="6"/>
  <c r="I455" i="6"/>
  <c r="J452" i="6" s="1"/>
  <c r="S452" i="6" s="1"/>
  <c r="S468" i="6" s="1"/>
  <c r="AS454" i="6"/>
  <c r="AA454" i="6"/>
  <c r="I454" i="6"/>
  <c r="AS453" i="6"/>
  <c r="AA453" i="6"/>
  <c r="I453" i="6"/>
  <c r="BC452" i="6"/>
  <c r="BB452" i="6"/>
  <c r="BA452" i="6"/>
  <c r="AY452" i="6"/>
  <c r="AS452" i="6"/>
  <c r="AJ452" i="6"/>
  <c r="AI452" i="6"/>
  <c r="AK452" i="6" s="1"/>
  <c r="AG452" i="6"/>
  <c r="AA452" i="6"/>
  <c r="AB452" i="6" s="1"/>
  <c r="R452" i="6"/>
  <c r="Q452" i="6"/>
  <c r="O452" i="6"/>
  <c r="I452" i="6"/>
  <c r="AS451" i="6"/>
  <c r="AA451" i="6"/>
  <c r="I451" i="6"/>
  <c r="AS450" i="6"/>
  <c r="AA450" i="6"/>
  <c r="I450" i="6"/>
  <c r="AS449" i="6"/>
  <c r="AA449" i="6"/>
  <c r="I449" i="6"/>
  <c r="BB448" i="6"/>
  <c r="BA448" i="6"/>
  <c r="AY448" i="6"/>
  <c r="AS448" i="6"/>
  <c r="AJ448" i="6"/>
  <c r="AI448" i="6"/>
  <c r="AG448" i="6"/>
  <c r="AG468" i="6" s="1"/>
  <c r="AB448" i="6"/>
  <c r="AK448" i="6" s="1"/>
  <c r="AA448" i="6"/>
  <c r="R448" i="6"/>
  <c r="Q448" i="6"/>
  <c r="S448" i="6" s="1"/>
  <c r="O448" i="6"/>
  <c r="I448" i="6"/>
  <c r="J448" i="6" s="1"/>
  <c r="BC447" i="6"/>
  <c r="BA447" i="6"/>
  <c r="AS447" i="6"/>
  <c r="AT447" i="6" s="1"/>
  <c r="AA447" i="6"/>
  <c r="I447" i="6"/>
  <c r="AS446" i="6"/>
  <c r="AA446" i="6"/>
  <c r="I446" i="6"/>
  <c r="AS445" i="6"/>
  <c r="AA445" i="6"/>
  <c r="I445" i="6"/>
  <c r="J443" i="6" s="1"/>
  <c r="AS444" i="6"/>
  <c r="AA444" i="6"/>
  <c r="I444" i="6"/>
  <c r="BB443" i="6"/>
  <c r="BA443" i="6"/>
  <c r="AY443" i="6"/>
  <c r="AT443" i="6"/>
  <c r="AS443" i="6"/>
  <c r="AS468" i="6" s="1"/>
  <c r="AM443" i="6"/>
  <c r="AJ443" i="6"/>
  <c r="AI443" i="6"/>
  <c r="AG443" i="6"/>
  <c r="AA443" i="6"/>
  <c r="S443" i="6"/>
  <c r="R443" i="6"/>
  <c r="Q443" i="6"/>
  <c r="O443" i="6"/>
  <c r="O468" i="6" s="1"/>
  <c r="I443" i="6"/>
  <c r="I468" i="6" s="1"/>
  <c r="BA442" i="6"/>
  <c r="AZ442" i="6"/>
  <c r="AX442" i="6"/>
  <c r="AV442" i="6"/>
  <c r="AR442" i="6"/>
  <c r="AQ442" i="6"/>
  <c r="AM442" i="6"/>
  <c r="AH442" i="6"/>
  <c r="AF442" i="6"/>
  <c r="AE442" i="6"/>
  <c r="Z442" i="6"/>
  <c r="Y442" i="6"/>
  <c r="U442" i="6"/>
  <c r="P442" i="6"/>
  <c r="N442" i="6"/>
  <c r="M442" i="6"/>
  <c r="H442" i="6"/>
  <c r="G442" i="6"/>
  <c r="C442" i="6"/>
  <c r="AA441" i="6"/>
  <c r="I441" i="6"/>
  <c r="AA440" i="6"/>
  <c r="I440" i="6"/>
  <c r="AA439" i="6"/>
  <c r="I439" i="6"/>
  <c r="J438" i="6" s="1"/>
  <c r="BB438" i="6"/>
  <c r="BA438" i="6"/>
  <c r="BC438" i="6" s="1"/>
  <c r="AY438" i="6"/>
  <c r="AT438" i="6"/>
  <c r="AJ438" i="6"/>
  <c r="AI438" i="6"/>
  <c r="AG438" i="6"/>
  <c r="AA438" i="6"/>
  <c r="AB438" i="6" s="1"/>
  <c r="S438" i="6"/>
  <c r="R438" i="6"/>
  <c r="Q438" i="6"/>
  <c r="O438" i="6"/>
  <c r="I438" i="6"/>
  <c r="AS437" i="6"/>
  <c r="AA437" i="6"/>
  <c r="I437" i="6"/>
  <c r="AS436" i="6"/>
  <c r="AA436" i="6"/>
  <c r="I436" i="6"/>
  <c r="BC435" i="6"/>
  <c r="BA435" i="6"/>
  <c r="AS435" i="6"/>
  <c r="AT435" i="6" s="1"/>
  <c r="AA435" i="6"/>
  <c r="AB434" i="6" s="1"/>
  <c r="AK434" i="6" s="1"/>
  <c r="I435" i="6"/>
  <c r="BB434" i="6"/>
  <c r="BA434" i="6"/>
  <c r="AY434" i="6"/>
  <c r="AS434" i="6"/>
  <c r="AT434" i="6" s="1"/>
  <c r="AJ434" i="6"/>
  <c r="AI434" i="6"/>
  <c r="AG434" i="6"/>
  <c r="AA434" i="6"/>
  <c r="R434" i="6"/>
  <c r="Q434" i="6"/>
  <c r="S434" i="6" s="1"/>
  <c r="O434" i="6"/>
  <c r="I434" i="6"/>
  <c r="AA433" i="6"/>
  <c r="AB430" i="6" s="1"/>
  <c r="AK430" i="6" s="1"/>
  <c r="I433" i="6"/>
  <c r="BA432" i="6"/>
  <c r="BC432" i="6" s="1"/>
  <c r="AS432" i="6"/>
  <c r="AA432" i="6"/>
  <c r="I432" i="6"/>
  <c r="AS431" i="6"/>
  <c r="AA431" i="6"/>
  <c r="I431" i="6"/>
  <c r="BB430" i="6"/>
  <c r="BA430" i="6"/>
  <c r="AY430" i="6"/>
  <c r="AS430" i="6"/>
  <c r="AT430" i="6" s="1"/>
  <c r="AJ430" i="6"/>
  <c r="AI430" i="6"/>
  <c r="AG430" i="6"/>
  <c r="AA430" i="6"/>
  <c r="R430" i="6"/>
  <c r="Q430" i="6"/>
  <c r="S430" i="6" s="1"/>
  <c r="O430" i="6"/>
  <c r="I430" i="6"/>
  <c r="J430" i="6" s="1"/>
  <c r="BC429" i="6"/>
  <c r="BA429" i="6"/>
  <c r="AT429" i="6"/>
  <c r="AA429" i="6"/>
  <c r="I429" i="6"/>
  <c r="AS428" i="6"/>
  <c r="AA428" i="6"/>
  <c r="I428" i="6"/>
  <c r="AS427" i="6"/>
  <c r="AA427" i="6"/>
  <c r="I427" i="6"/>
  <c r="BB426" i="6"/>
  <c r="BA426" i="6"/>
  <c r="AY426" i="6"/>
  <c r="AT426" i="6"/>
  <c r="BC426" i="6" s="1"/>
  <c r="AS426" i="6"/>
  <c r="AM426" i="6"/>
  <c r="AJ426" i="6"/>
  <c r="AI426" i="6"/>
  <c r="AK426" i="6" s="1"/>
  <c r="AG426" i="6"/>
  <c r="AA426" i="6"/>
  <c r="AB426" i="6" s="1"/>
  <c r="S426" i="6"/>
  <c r="S442" i="6" s="1"/>
  <c r="R426" i="6"/>
  <c r="Q426" i="6"/>
  <c r="O426" i="6"/>
  <c r="J426" i="6"/>
  <c r="I426" i="6"/>
  <c r="AS425" i="6"/>
  <c r="AA425" i="6"/>
  <c r="AB422" i="6" s="1"/>
  <c r="I425" i="6"/>
  <c r="AS424" i="6"/>
  <c r="AA424" i="6"/>
  <c r="I424" i="6"/>
  <c r="J422" i="6" s="1"/>
  <c r="AS423" i="6"/>
  <c r="AA423" i="6"/>
  <c r="I423" i="6"/>
  <c r="BC422" i="6"/>
  <c r="BB422" i="6"/>
  <c r="BA422" i="6"/>
  <c r="AY422" i="6"/>
  <c r="AT422" i="6"/>
  <c r="AS422" i="6"/>
  <c r="AJ422" i="6"/>
  <c r="AI422" i="6"/>
  <c r="AG422" i="6"/>
  <c r="AA422" i="6"/>
  <c r="S422" i="6"/>
  <c r="R422" i="6"/>
  <c r="Q422" i="6"/>
  <c r="O422" i="6"/>
  <c r="I422" i="6"/>
  <c r="BC421" i="6"/>
  <c r="BA421" i="6"/>
  <c r="AT421" i="6"/>
  <c r="AS421" i="6"/>
  <c r="AA421" i="6"/>
  <c r="I421" i="6"/>
  <c r="AS420" i="6"/>
  <c r="AT417" i="6" s="1"/>
  <c r="AA420" i="6"/>
  <c r="I420" i="6"/>
  <c r="AS419" i="6"/>
  <c r="AA419" i="6"/>
  <c r="I419" i="6"/>
  <c r="AS418" i="6"/>
  <c r="AA418" i="6"/>
  <c r="I418" i="6"/>
  <c r="BB417" i="6"/>
  <c r="BA417" i="6"/>
  <c r="AY417" i="6"/>
  <c r="AY442" i="6" s="1"/>
  <c r="AS417" i="6"/>
  <c r="AS442" i="6" s="1"/>
  <c r="AJ417" i="6"/>
  <c r="AI417" i="6"/>
  <c r="AG417" i="6"/>
  <c r="AA417" i="6"/>
  <c r="S417" i="6"/>
  <c r="R417" i="6"/>
  <c r="Q417" i="6"/>
  <c r="O417" i="6"/>
  <c r="O442" i="6" s="1"/>
  <c r="J417" i="6"/>
  <c r="I417" i="6"/>
  <c r="AZ416" i="6"/>
  <c r="AX416" i="6"/>
  <c r="AV416" i="6"/>
  <c r="AR416" i="6"/>
  <c r="AQ416" i="6"/>
  <c r="AM416" i="6"/>
  <c r="AH416" i="6"/>
  <c r="AF416" i="6"/>
  <c r="AE416" i="6"/>
  <c r="Z416" i="6"/>
  <c r="Y416" i="6"/>
  <c r="U416" i="6"/>
  <c r="P416" i="6"/>
  <c r="N416" i="6"/>
  <c r="M416" i="6"/>
  <c r="H416" i="6"/>
  <c r="G416" i="6"/>
  <c r="C416" i="6"/>
  <c r="AA415" i="6"/>
  <c r="I415" i="6"/>
  <c r="AA414" i="6"/>
  <c r="I414" i="6"/>
  <c r="AA413" i="6"/>
  <c r="I413" i="6"/>
  <c r="J412" i="6" s="1"/>
  <c r="BB412" i="6"/>
  <c r="BA412" i="6"/>
  <c r="BC412" i="6" s="1"/>
  <c r="AY412" i="6"/>
  <c r="AT412" i="6"/>
  <c r="AJ412" i="6"/>
  <c r="AI412" i="6"/>
  <c r="AG412" i="6"/>
  <c r="AA412" i="6"/>
  <c r="S412" i="6"/>
  <c r="R412" i="6"/>
  <c r="Q412" i="6"/>
  <c r="O412" i="6"/>
  <c r="I412" i="6"/>
  <c r="AA411" i="6"/>
  <c r="I411" i="6"/>
  <c r="AA410" i="6"/>
  <c r="I410" i="6"/>
  <c r="AA409" i="6"/>
  <c r="I409" i="6"/>
  <c r="BB408" i="6"/>
  <c r="BA408" i="6"/>
  <c r="AY408" i="6"/>
  <c r="AT408" i="6"/>
  <c r="BC408" i="6" s="1"/>
  <c r="AS408" i="6"/>
  <c r="AJ408" i="6"/>
  <c r="AI408" i="6"/>
  <c r="AG408" i="6"/>
  <c r="AA408" i="6"/>
  <c r="AB408" i="6" s="1"/>
  <c r="S408" i="6"/>
  <c r="R408" i="6"/>
  <c r="Q408" i="6"/>
  <c r="O408" i="6"/>
  <c r="J408" i="6"/>
  <c r="I408" i="6"/>
  <c r="AA407" i="6"/>
  <c r="I407" i="6"/>
  <c r="BC406" i="6"/>
  <c r="BA406" i="6"/>
  <c r="AS406" i="6"/>
  <c r="AA406" i="6"/>
  <c r="AA416" i="6" s="1"/>
  <c r="I406" i="6"/>
  <c r="AS405" i="6"/>
  <c r="AA405" i="6"/>
  <c r="I405" i="6"/>
  <c r="J404" i="6" s="1"/>
  <c r="S404" i="6" s="1"/>
  <c r="BB404" i="6"/>
  <c r="BA404" i="6"/>
  <c r="AY404" i="6"/>
  <c r="AT404" i="6"/>
  <c r="BC404" i="6" s="1"/>
  <c r="AS404" i="6"/>
  <c r="AJ404" i="6"/>
  <c r="AI404" i="6"/>
  <c r="AK404" i="6" s="1"/>
  <c r="AG404" i="6"/>
  <c r="AA404" i="6"/>
  <c r="R404" i="6"/>
  <c r="Q404" i="6"/>
  <c r="O404" i="6"/>
  <c r="I404" i="6"/>
  <c r="BA403" i="6"/>
  <c r="BC403" i="6" s="1"/>
  <c r="AT403" i="6"/>
  <c r="AA403" i="6"/>
  <c r="I403" i="6"/>
  <c r="AS402" i="6"/>
  <c r="AT400" i="6" s="1"/>
  <c r="AA402" i="6"/>
  <c r="I402" i="6"/>
  <c r="AS401" i="6"/>
  <c r="AA401" i="6"/>
  <c r="I401" i="6"/>
  <c r="BB400" i="6"/>
  <c r="BA400" i="6"/>
  <c r="BC400" i="6" s="1"/>
  <c r="AY400" i="6"/>
  <c r="AS400" i="6"/>
  <c r="AM400" i="6"/>
  <c r="AK400" i="6"/>
  <c r="AJ400" i="6"/>
  <c r="AI400" i="6"/>
  <c r="AG400" i="6"/>
  <c r="AB400" i="6"/>
  <c r="AA400" i="6"/>
  <c r="R400" i="6"/>
  <c r="Q400" i="6"/>
  <c r="O400" i="6"/>
  <c r="I400" i="6"/>
  <c r="J400" i="6" s="1"/>
  <c r="AA399" i="6"/>
  <c r="I399" i="6"/>
  <c r="AA398" i="6"/>
  <c r="I398" i="6"/>
  <c r="J396" i="6" s="1"/>
  <c r="AA397" i="6"/>
  <c r="I397" i="6"/>
  <c r="BB396" i="6"/>
  <c r="BA396" i="6"/>
  <c r="BC396" i="6" s="1"/>
  <c r="AY396" i="6"/>
  <c r="AT396" i="6"/>
  <c r="AJ396" i="6"/>
  <c r="AI396" i="6"/>
  <c r="AG396" i="6"/>
  <c r="AB396" i="6"/>
  <c r="AK396" i="6" s="1"/>
  <c r="AA396" i="6"/>
  <c r="R396" i="6"/>
  <c r="Q396" i="6"/>
  <c r="S396" i="6" s="1"/>
  <c r="O396" i="6"/>
  <c r="I396" i="6"/>
  <c r="BC395" i="6"/>
  <c r="BA395" i="6"/>
  <c r="AT395" i="6"/>
  <c r="AS395" i="6"/>
  <c r="AA395" i="6"/>
  <c r="I395" i="6"/>
  <c r="AS394" i="6"/>
  <c r="AA394" i="6"/>
  <c r="I394" i="6"/>
  <c r="AS393" i="6"/>
  <c r="AA393" i="6"/>
  <c r="I393" i="6"/>
  <c r="AS392" i="6"/>
  <c r="AA392" i="6"/>
  <c r="I392" i="6"/>
  <c r="BB391" i="6"/>
  <c r="BA391" i="6"/>
  <c r="AY391" i="6"/>
  <c r="AS391" i="6"/>
  <c r="AJ391" i="6"/>
  <c r="AI391" i="6"/>
  <c r="AG391" i="6"/>
  <c r="AG416" i="6" s="1"/>
  <c r="AB391" i="6"/>
  <c r="AA391" i="6"/>
  <c r="R391" i="6"/>
  <c r="Q391" i="6"/>
  <c r="O391" i="6"/>
  <c r="I391" i="6"/>
  <c r="J391" i="6" s="1"/>
  <c r="AZ390" i="6"/>
  <c r="AX390" i="6"/>
  <c r="AV390" i="6"/>
  <c r="AR390" i="6"/>
  <c r="AQ390" i="6"/>
  <c r="AM390" i="6"/>
  <c r="AH390" i="6"/>
  <c r="AF390" i="6"/>
  <c r="AE390" i="6"/>
  <c r="Z390" i="6"/>
  <c r="Y390" i="6"/>
  <c r="U390" i="6"/>
  <c r="P390" i="6"/>
  <c r="N390" i="6"/>
  <c r="M390" i="6"/>
  <c r="H390" i="6"/>
  <c r="G390" i="6"/>
  <c r="C390" i="6"/>
  <c r="AS389" i="6"/>
  <c r="AA389" i="6"/>
  <c r="I389" i="6"/>
  <c r="AS388" i="6"/>
  <c r="AA388" i="6"/>
  <c r="I388" i="6"/>
  <c r="AS387" i="6"/>
  <c r="AA387" i="6"/>
  <c r="I387" i="6"/>
  <c r="BB386" i="6"/>
  <c r="BA386" i="6"/>
  <c r="AY386" i="6"/>
  <c r="AS386" i="6"/>
  <c r="AT386" i="6" s="1"/>
  <c r="AK386" i="6"/>
  <c r="AJ386" i="6"/>
  <c r="AI386" i="6"/>
  <c r="AG386" i="6"/>
  <c r="AB386" i="6"/>
  <c r="AA386" i="6"/>
  <c r="R386" i="6"/>
  <c r="Q386" i="6"/>
  <c r="S386" i="6" s="1"/>
  <c r="O386" i="6"/>
  <c r="I386" i="6"/>
  <c r="J386" i="6" s="1"/>
  <c r="AS385" i="6"/>
  <c r="AA385" i="6"/>
  <c r="I385" i="6"/>
  <c r="AS384" i="6"/>
  <c r="AT382" i="6" s="1"/>
  <c r="AA384" i="6"/>
  <c r="I384" i="6"/>
  <c r="AS383" i="6"/>
  <c r="AA383" i="6"/>
  <c r="I383" i="6"/>
  <c r="J382" i="6" s="1"/>
  <c r="BB382" i="6"/>
  <c r="BA382" i="6"/>
  <c r="BC382" i="6" s="1"/>
  <c r="AY382" i="6"/>
  <c r="AS382" i="6"/>
  <c r="AJ382" i="6"/>
  <c r="AI382" i="6"/>
  <c r="AG382" i="6"/>
  <c r="AB382" i="6"/>
  <c r="AK382" i="6" s="1"/>
  <c r="AA382" i="6"/>
  <c r="R382" i="6"/>
  <c r="Q382" i="6"/>
  <c r="S382" i="6" s="1"/>
  <c r="O382" i="6"/>
  <c r="I382" i="6"/>
  <c r="AS381" i="6"/>
  <c r="AA381" i="6"/>
  <c r="AB378" i="6" s="1"/>
  <c r="I381" i="6"/>
  <c r="BA380" i="6"/>
  <c r="BC380" i="6" s="1"/>
  <c r="AT380" i="6"/>
  <c r="AS380" i="6"/>
  <c r="AA380" i="6"/>
  <c r="I380" i="6"/>
  <c r="AS379" i="6"/>
  <c r="AA379" i="6"/>
  <c r="I379" i="6"/>
  <c r="BB378" i="6"/>
  <c r="BA378" i="6"/>
  <c r="AY378" i="6"/>
  <c r="AT378" i="6"/>
  <c r="BC378" i="6" s="1"/>
  <c r="AS378" i="6"/>
  <c r="AJ378" i="6"/>
  <c r="AI378" i="6"/>
  <c r="AG378" i="6"/>
  <c r="AA378" i="6"/>
  <c r="S378" i="6"/>
  <c r="R378" i="6"/>
  <c r="Q378" i="6"/>
  <c r="O378" i="6"/>
  <c r="I378" i="6"/>
  <c r="J378" i="6" s="1"/>
  <c r="BC377" i="6"/>
  <c r="BA377" i="6"/>
  <c r="AS377" i="6"/>
  <c r="AT377" i="6" s="1"/>
  <c r="AA377" i="6"/>
  <c r="I377" i="6"/>
  <c r="AS376" i="6"/>
  <c r="AT374" i="6" s="1"/>
  <c r="AA376" i="6"/>
  <c r="AB374" i="6" s="1"/>
  <c r="AK374" i="6" s="1"/>
  <c r="I376" i="6"/>
  <c r="AS375" i="6"/>
  <c r="AA375" i="6"/>
  <c r="I375" i="6"/>
  <c r="BB374" i="6"/>
  <c r="BA374" i="6"/>
  <c r="BC374" i="6" s="1"/>
  <c r="AY374" i="6"/>
  <c r="AS374" i="6"/>
  <c r="AJ374" i="6"/>
  <c r="AI374" i="6"/>
  <c r="AG374" i="6"/>
  <c r="AA374" i="6"/>
  <c r="R374" i="6"/>
  <c r="Q374" i="6"/>
  <c r="S374" i="6" s="1"/>
  <c r="S390" i="6" s="1"/>
  <c r="O374" i="6"/>
  <c r="I374" i="6"/>
  <c r="AS373" i="6"/>
  <c r="AA373" i="6"/>
  <c r="I373" i="6"/>
  <c r="AS372" i="6"/>
  <c r="AA372" i="6"/>
  <c r="I372" i="6"/>
  <c r="J370" i="6" s="1"/>
  <c r="AS371" i="6"/>
  <c r="AA371" i="6"/>
  <c r="I371" i="6"/>
  <c r="BB370" i="6"/>
  <c r="BA370" i="6"/>
  <c r="AY370" i="6"/>
  <c r="AT370" i="6"/>
  <c r="BC370" i="6" s="1"/>
  <c r="AS370" i="6"/>
  <c r="AJ370" i="6"/>
  <c r="AI370" i="6"/>
  <c r="AG370" i="6"/>
  <c r="AA370" i="6"/>
  <c r="S370" i="6"/>
  <c r="R370" i="6"/>
  <c r="Q370" i="6"/>
  <c r="O370" i="6"/>
  <c r="I370" i="6"/>
  <c r="BA369" i="6"/>
  <c r="BC369" i="6" s="1"/>
  <c r="AT369" i="6"/>
  <c r="AS369" i="6"/>
  <c r="AA369" i="6"/>
  <c r="I369" i="6"/>
  <c r="AS368" i="6"/>
  <c r="AA368" i="6"/>
  <c r="I368" i="6"/>
  <c r="AS367" i="6"/>
  <c r="AA367" i="6"/>
  <c r="I367" i="6"/>
  <c r="AS366" i="6"/>
  <c r="AA366" i="6"/>
  <c r="AB365" i="6" s="1"/>
  <c r="I366" i="6"/>
  <c r="BB365" i="6"/>
  <c r="BA365" i="6"/>
  <c r="AY365" i="6"/>
  <c r="AY390" i="6" s="1"/>
  <c r="AS365" i="6"/>
  <c r="AK365" i="6"/>
  <c r="AJ365" i="6"/>
  <c r="AI365" i="6"/>
  <c r="AG365" i="6"/>
  <c r="AA365" i="6"/>
  <c r="R365" i="6"/>
  <c r="Q365" i="6"/>
  <c r="S365" i="6" s="1"/>
  <c r="O365" i="6"/>
  <c r="I365" i="6"/>
  <c r="AZ364" i="6"/>
  <c r="AX364" i="6"/>
  <c r="AV364" i="6"/>
  <c r="AR364" i="6"/>
  <c r="AQ364" i="6"/>
  <c r="AM364" i="6"/>
  <c r="AH364" i="6"/>
  <c r="AF364" i="6"/>
  <c r="AE364" i="6"/>
  <c r="Z364" i="6"/>
  <c r="Y364" i="6"/>
  <c r="U364" i="6"/>
  <c r="P364" i="6"/>
  <c r="O364" i="6"/>
  <c r="N364" i="6"/>
  <c r="M364" i="6"/>
  <c r="H364" i="6"/>
  <c r="G364" i="6"/>
  <c r="C364" i="6"/>
  <c r="AS363" i="6"/>
  <c r="AA363" i="6"/>
  <c r="I363" i="6"/>
  <c r="AS362" i="6"/>
  <c r="AA362" i="6"/>
  <c r="I362" i="6"/>
  <c r="AS361" i="6"/>
  <c r="AA361" i="6"/>
  <c r="AB360" i="6" s="1"/>
  <c r="AK360" i="6" s="1"/>
  <c r="I361" i="6"/>
  <c r="BB360" i="6"/>
  <c r="BA360" i="6"/>
  <c r="BC360" i="6" s="1"/>
  <c r="AY360" i="6"/>
  <c r="AS360" i="6"/>
  <c r="AJ360" i="6"/>
  <c r="AI360" i="6"/>
  <c r="AG360" i="6"/>
  <c r="AA360" i="6"/>
  <c r="R360" i="6"/>
  <c r="Q360" i="6"/>
  <c r="O360" i="6"/>
  <c r="I360" i="6"/>
  <c r="AS359" i="6"/>
  <c r="AT356" i="6" s="1"/>
  <c r="AA359" i="6"/>
  <c r="I359" i="6"/>
  <c r="AS358" i="6"/>
  <c r="AA358" i="6"/>
  <c r="I358" i="6"/>
  <c r="AS357" i="6"/>
  <c r="AA357" i="6"/>
  <c r="I357" i="6"/>
  <c r="J356" i="6" s="1"/>
  <c r="BC356" i="6"/>
  <c r="BB356" i="6"/>
  <c r="BA356" i="6"/>
  <c r="AY356" i="6"/>
  <c r="AS356" i="6"/>
  <c r="AJ356" i="6"/>
  <c r="AI356" i="6"/>
  <c r="AK356" i="6" s="1"/>
  <c r="AG356" i="6"/>
  <c r="AA356" i="6"/>
  <c r="S356" i="6"/>
  <c r="R356" i="6"/>
  <c r="Q356" i="6"/>
  <c r="O356" i="6"/>
  <c r="I356" i="6"/>
  <c r="AS355" i="6"/>
  <c r="AA355" i="6"/>
  <c r="I355" i="6"/>
  <c r="BA354" i="6"/>
  <c r="BC354" i="6" s="1"/>
  <c r="AT354" i="6"/>
  <c r="AS354" i="6"/>
  <c r="AA354" i="6"/>
  <c r="I354" i="6"/>
  <c r="AS353" i="6"/>
  <c r="AA353" i="6"/>
  <c r="I353" i="6"/>
  <c r="BB352" i="6"/>
  <c r="BA352" i="6"/>
  <c r="AY352" i="6"/>
  <c r="AS352" i="6"/>
  <c r="AK352" i="6"/>
  <c r="AJ352" i="6"/>
  <c r="AI352" i="6"/>
  <c r="AG352" i="6"/>
  <c r="AB352" i="6"/>
  <c r="AA352" i="6"/>
  <c r="R352" i="6"/>
  <c r="Q352" i="6"/>
  <c r="S352" i="6" s="1"/>
  <c r="O352" i="6"/>
  <c r="I352" i="6"/>
  <c r="J352" i="6" s="1"/>
  <c r="BA351" i="6"/>
  <c r="AS351" i="6"/>
  <c r="AT351" i="6" s="1"/>
  <c r="BC351" i="6" s="1"/>
  <c r="AA351" i="6"/>
  <c r="I351" i="6"/>
  <c r="AS350" i="6"/>
  <c r="AA350" i="6"/>
  <c r="I350" i="6"/>
  <c r="AS349" i="6"/>
  <c r="AA349" i="6"/>
  <c r="I349" i="6"/>
  <c r="J348" i="6" s="1"/>
  <c r="S348" i="6" s="1"/>
  <c r="BB348" i="6"/>
  <c r="BA348" i="6"/>
  <c r="AY348" i="6"/>
  <c r="AT348" i="6"/>
  <c r="BC348" i="6" s="1"/>
  <c r="AS348" i="6"/>
  <c r="AJ348" i="6"/>
  <c r="AI348" i="6"/>
  <c r="AI364" i="6" s="1"/>
  <c r="AG348" i="6"/>
  <c r="AA348" i="6"/>
  <c r="R348" i="6"/>
  <c r="Q348" i="6"/>
  <c r="O348" i="6"/>
  <c r="I348" i="6"/>
  <c r="AS347" i="6"/>
  <c r="AA347" i="6"/>
  <c r="AB344" i="6" s="1"/>
  <c r="AK344" i="6" s="1"/>
  <c r="I347" i="6"/>
  <c r="AS346" i="6"/>
  <c r="AA346" i="6"/>
  <c r="I346" i="6"/>
  <c r="AS345" i="6"/>
  <c r="AA345" i="6"/>
  <c r="I345" i="6"/>
  <c r="BC344" i="6"/>
  <c r="BB344" i="6"/>
  <c r="BA344" i="6"/>
  <c r="AY344" i="6"/>
  <c r="AS344" i="6"/>
  <c r="AJ344" i="6"/>
  <c r="AI344" i="6"/>
  <c r="AG344" i="6"/>
  <c r="AA344" i="6"/>
  <c r="R344" i="6"/>
  <c r="Q344" i="6"/>
  <c r="S344" i="6" s="1"/>
  <c r="O344" i="6"/>
  <c r="I344" i="6"/>
  <c r="J344" i="6" s="1"/>
  <c r="BC343" i="6"/>
  <c r="BA343" i="6"/>
  <c r="AS343" i="6"/>
  <c r="AT343" i="6" s="1"/>
  <c r="AA343" i="6"/>
  <c r="I343" i="6"/>
  <c r="AS342" i="6"/>
  <c r="AA342" i="6"/>
  <c r="I342" i="6"/>
  <c r="AS341" i="6"/>
  <c r="AA341" i="6"/>
  <c r="I341" i="6"/>
  <c r="AS340" i="6"/>
  <c r="AA340" i="6"/>
  <c r="I340" i="6"/>
  <c r="BB339" i="6"/>
  <c r="BA339" i="6"/>
  <c r="AY339" i="6"/>
  <c r="AS339" i="6"/>
  <c r="AJ339" i="6"/>
  <c r="AI339" i="6"/>
  <c r="AK339" i="6" s="1"/>
  <c r="AG339" i="6"/>
  <c r="AA339" i="6"/>
  <c r="AA364" i="6" s="1"/>
  <c r="S339" i="6"/>
  <c r="R339" i="6"/>
  <c r="Q339" i="6"/>
  <c r="O339" i="6"/>
  <c r="I339" i="6"/>
  <c r="AZ338" i="6"/>
  <c r="AX338" i="6"/>
  <c r="AV338" i="6"/>
  <c r="AS338" i="6"/>
  <c r="AR338" i="6"/>
  <c r="AQ338" i="6"/>
  <c r="AH338" i="6"/>
  <c r="AF338" i="6"/>
  <c r="AE338" i="6"/>
  <c r="Z338" i="6"/>
  <c r="Y338" i="6"/>
  <c r="U338" i="6"/>
  <c r="P338" i="6"/>
  <c r="N338" i="6"/>
  <c r="M338" i="6"/>
  <c r="H338" i="6"/>
  <c r="G338" i="6"/>
  <c r="C338" i="6"/>
  <c r="AS337" i="6"/>
  <c r="AA337" i="6"/>
  <c r="I337" i="6"/>
  <c r="AS336" i="6"/>
  <c r="AA336" i="6"/>
  <c r="I336" i="6"/>
  <c r="AS335" i="6"/>
  <c r="AA335" i="6"/>
  <c r="I335" i="6"/>
  <c r="BC334" i="6"/>
  <c r="BB334" i="6"/>
  <c r="BA334" i="6"/>
  <c r="AY334" i="6"/>
  <c r="AT334" i="6"/>
  <c r="AS334" i="6"/>
  <c r="AJ334" i="6"/>
  <c r="AI334" i="6"/>
  <c r="AG334" i="6"/>
  <c r="AA334" i="6"/>
  <c r="S334" i="6"/>
  <c r="R334" i="6"/>
  <c r="Q334" i="6"/>
  <c r="O334" i="6"/>
  <c r="J334" i="6"/>
  <c r="I334" i="6"/>
  <c r="AS333" i="6"/>
  <c r="AA333" i="6"/>
  <c r="I333" i="6"/>
  <c r="AS332" i="6"/>
  <c r="AA332" i="6"/>
  <c r="I332" i="6"/>
  <c r="AS331" i="6"/>
  <c r="AA331" i="6"/>
  <c r="AB330" i="6" s="1"/>
  <c r="AK330" i="6" s="1"/>
  <c r="I331" i="6"/>
  <c r="BB330" i="6"/>
  <c r="BA330" i="6"/>
  <c r="AY330" i="6"/>
  <c r="AS330" i="6"/>
  <c r="AJ330" i="6"/>
  <c r="AI330" i="6"/>
  <c r="AG330" i="6"/>
  <c r="AA330" i="6"/>
  <c r="R330" i="6"/>
  <c r="Q330" i="6"/>
  <c r="S330" i="6" s="1"/>
  <c r="O330" i="6"/>
  <c r="I330" i="6"/>
  <c r="J330" i="6" s="1"/>
  <c r="AS329" i="6"/>
  <c r="AA329" i="6"/>
  <c r="I329" i="6"/>
  <c r="AS328" i="6"/>
  <c r="AA328" i="6"/>
  <c r="I328" i="6"/>
  <c r="AS327" i="6"/>
  <c r="AA327" i="6"/>
  <c r="AB326" i="6" s="1"/>
  <c r="AK326" i="6" s="1"/>
  <c r="I327" i="6"/>
  <c r="BB326" i="6"/>
  <c r="BA326" i="6"/>
  <c r="AY326" i="6"/>
  <c r="AS326" i="6"/>
  <c r="AM326" i="6"/>
  <c r="AM338" i="6" s="1"/>
  <c r="AJ326" i="6"/>
  <c r="AI326" i="6"/>
  <c r="AG326" i="6"/>
  <c r="AA326" i="6"/>
  <c r="R326" i="6"/>
  <c r="Q326" i="6"/>
  <c r="S326" i="6" s="1"/>
  <c r="O326" i="6"/>
  <c r="I326" i="6"/>
  <c r="J326" i="6" s="1"/>
  <c r="AS325" i="6"/>
  <c r="AA325" i="6"/>
  <c r="I325" i="6"/>
  <c r="AS324" i="6"/>
  <c r="AA324" i="6"/>
  <c r="I324" i="6"/>
  <c r="AS323" i="6"/>
  <c r="AA323" i="6"/>
  <c r="AB322" i="6" s="1"/>
  <c r="AK322" i="6" s="1"/>
  <c r="I323" i="6"/>
  <c r="BB322" i="6"/>
  <c r="BA322" i="6"/>
  <c r="AY322" i="6"/>
  <c r="AS322" i="6"/>
  <c r="AJ322" i="6"/>
  <c r="AI322" i="6"/>
  <c r="AG322" i="6"/>
  <c r="AA322" i="6"/>
  <c r="R322" i="6"/>
  <c r="Q322" i="6"/>
  <c r="S322" i="6" s="1"/>
  <c r="S338" i="6" s="1"/>
  <c r="O322" i="6"/>
  <c r="I322" i="6"/>
  <c r="AS321" i="6"/>
  <c r="AA321" i="6"/>
  <c r="I321" i="6"/>
  <c r="AS320" i="6"/>
  <c r="AA320" i="6"/>
  <c r="AA338" i="6" s="1"/>
  <c r="I320" i="6"/>
  <c r="AS319" i="6"/>
  <c r="AA319" i="6"/>
  <c r="I319" i="6"/>
  <c r="J318" i="6" s="1"/>
  <c r="BC318" i="6"/>
  <c r="BB318" i="6"/>
  <c r="BA318" i="6"/>
  <c r="AY318" i="6"/>
  <c r="AY338" i="6" s="1"/>
  <c r="AS318" i="6"/>
  <c r="AJ318" i="6"/>
  <c r="AI318" i="6"/>
  <c r="AG318" i="6"/>
  <c r="AA318" i="6"/>
  <c r="S318" i="6"/>
  <c r="R318" i="6"/>
  <c r="Q318" i="6"/>
  <c r="O318" i="6"/>
  <c r="I318" i="6"/>
  <c r="BA317" i="6"/>
  <c r="BC317" i="6" s="1"/>
  <c r="AT317" i="6"/>
  <c r="AS317" i="6"/>
  <c r="AA317" i="6"/>
  <c r="I317" i="6"/>
  <c r="AS316" i="6"/>
  <c r="AA316" i="6"/>
  <c r="AS315" i="6"/>
  <c r="AA315" i="6"/>
  <c r="I315" i="6"/>
  <c r="AS314" i="6"/>
  <c r="AA314" i="6"/>
  <c r="I314" i="6"/>
  <c r="BB313" i="6"/>
  <c r="BA313" i="6"/>
  <c r="AY313" i="6"/>
  <c r="AT313" i="6"/>
  <c r="AS313" i="6"/>
  <c r="AJ313" i="6"/>
  <c r="AI313" i="6"/>
  <c r="AG313" i="6"/>
  <c r="AG338" i="6" s="1"/>
  <c r="AA313" i="6"/>
  <c r="AB313" i="6" s="1"/>
  <c r="R313" i="6"/>
  <c r="Q313" i="6"/>
  <c r="O313" i="6"/>
  <c r="O338" i="6" s="1"/>
  <c r="I313" i="6"/>
  <c r="AZ312" i="6"/>
  <c r="AX312" i="6"/>
  <c r="AV312" i="6"/>
  <c r="AR312" i="6"/>
  <c r="AQ312" i="6"/>
  <c r="AH312" i="6"/>
  <c r="AG312" i="6"/>
  <c r="AF312" i="6"/>
  <c r="AE312" i="6"/>
  <c r="Z312" i="6"/>
  <c r="Y312" i="6"/>
  <c r="U312" i="6"/>
  <c r="P312" i="6"/>
  <c r="N312" i="6"/>
  <c r="M312" i="6"/>
  <c r="H312" i="6"/>
  <c r="G312" i="6"/>
  <c r="C312" i="6"/>
  <c r="AS311" i="6"/>
  <c r="AA311" i="6"/>
  <c r="I311" i="6"/>
  <c r="J308" i="6" s="1"/>
  <c r="AS310" i="6"/>
  <c r="AA310" i="6"/>
  <c r="I310" i="6"/>
  <c r="AS309" i="6"/>
  <c r="AA309" i="6"/>
  <c r="I309" i="6"/>
  <c r="BC308" i="6"/>
  <c r="BB308" i="6"/>
  <c r="BA308" i="6"/>
  <c r="AY308" i="6"/>
  <c r="AS308" i="6"/>
  <c r="AJ308" i="6"/>
  <c r="AI308" i="6"/>
  <c r="AG308" i="6"/>
  <c r="AB308" i="6"/>
  <c r="AA308" i="6"/>
  <c r="R308" i="6"/>
  <c r="Q308" i="6"/>
  <c r="S308" i="6" s="1"/>
  <c r="O308" i="6"/>
  <c r="I308" i="6"/>
  <c r="AS307" i="6"/>
  <c r="AT304" i="6" s="1"/>
  <c r="BC304" i="6" s="1"/>
  <c r="AA307" i="6"/>
  <c r="I307" i="6"/>
  <c r="AS306" i="6"/>
  <c r="AA306" i="6"/>
  <c r="I306" i="6"/>
  <c r="AS305" i="6"/>
  <c r="AA305" i="6"/>
  <c r="I305" i="6"/>
  <c r="J304" i="6" s="1"/>
  <c r="S304" i="6" s="1"/>
  <c r="BB304" i="6"/>
  <c r="BA304" i="6"/>
  <c r="AY304" i="6"/>
  <c r="AS304" i="6"/>
  <c r="AJ304" i="6"/>
  <c r="AI304" i="6"/>
  <c r="AK304" i="6" s="1"/>
  <c r="AG304" i="6"/>
  <c r="AA304" i="6"/>
  <c r="AB304" i="6" s="1"/>
  <c r="R304" i="6"/>
  <c r="Q304" i="6"/>
  <c r="O304" i="6"/>
  <c r="I304" i="6"/>
  <c r="AS303" i="6"/>
  <c r="AA303" i="6"/>
  <c r="AB300" i="6" s="1"/>
  <c r="I303" i="6"/>
  <c r="AS302" i="6"/>
  <c r="AA302" i="6"/>
  <c r="I302" i="6"/>
  <c r="AS301" i="6"/>
  <c r="AA301" i="6"/>
  <c r="I301" i="6"/>
  <c r="BB300" i="6"/>
  <c r="BA300" i="6"/>
  <c r="AY300" i="6"/>
  <c r="AT300" i="6"/>
  <c r="BC300" i="6" s="1"/>
  <c r="AS300" i="6"/>
  <c r="AJ300" i="6"/>
  <c r="AI300" i="6"/>
  <c r="AK300" i="6" s="1"/>
  <c r="AG300" i="6"/>
  <c r="AA300" i="6"/>
  <c r="S300" i="6"/>
  <c r="R300" i="6"/>
  <c r="Q300" i="6"/>
  <c r="O300" i="6"/>
  <c r="J300" i="6"/>
  <c r="I300" i="6"/>
  <c r="AS299" i="6"/>
  <c r="AA299" i="6"/>
  <c r="I299" i="6"/>
  <c r="AS298" i="6"/>
  <c r="AA298" i="6"/>
  <c r="I298" i="6"/>
  <c r="AS297" i="6"/>
  <c r="AA297" i="6"/>
  <c r="AB296" i="6" s="1"/>
  <c r="I297" i="6"/>
  <c r="BB296" i="6"/>
  <c r="BA296" i="6"/>
  <c r="AY296" i="6"/>
  <c r="AS296" i="6"/>
  <c r="AM296" i="6"/>
  <c r="AM312" i="6" s="1"/>
  <c r="AJ296" i="6"/>
  <c r="AI296" i="6"/>
  <c r="AG296" i="6"/>
  <c r="AA296" i="6"/>
  <c r="R296" i="6"/>
  <c r="Q296" i="6"/>
  <c r="O296" i="6"/>
  <c r="J296" i="6"/>
  <c r="S296" i="6" s="1"/>
  <c r="S312" i="6" s="1"/>
  <c r="I296" i="6"/>
  <c r="AS295" i="6"/>
  <c r="AA295" i="6"/>
  <c r="I295" i="6"/>
  <c r="J292" i="6" s="1"/>
  <c r="AS294" i="6"/>
  <c r="AA294" i="6"/>
  <c r="I294" i="6"/>
  <c r="AS293" i="6"/>
  <c r="AA293" i="6"/>
  <c r="I293" i="6"/>
  <c r="BB292" i="6"/>
  <c r="BA292" i="6"/>
  <c r="BC292" i="6" s="1"/>
  <c r="AY292" i="6"/>
  <c r="AS292" i="6"/>
  <c r="AJ292" i="6"/>
  <c r="AI292" i="6"/>
  <c r="AG292" i="6"/>
  <c r="AB292" i="6"/>
  <c r="AK292" i="6" s="1"/>
  <c r="AA292" i="6"/>
  <c r="R292" i="6"/>
  <c r="Q292" i="6"/>
  <c r="S292" i="6" s="1"/>
  <c r="O292" i="6"/>
  <c r="I292" i="6"/>
  <c r="BC291" i="6"/>
  <c r="BA291" i="6"/>
  <c r="AT291" i="6"/>
  <c r="AS291" i="6"/>
  <c r="AA291" i="6"/>
  <c r="I291" i="6"/>
  <c r="AS290" i="6"/>
  <c r="AA290" i="6"/>
  <c r="AS289" i="6"/>
  <c r="AT287" i="6" s="1"/>
  <c r="AA289" i="6"/>
  <c r="I289" i="6"/>
  <c r="AS288" i="6"/>
  <c r="AA288" i="6"/>
  <c r="AB287" i="6" s="1"/>
  <c r="AB312" i="6" s="1"/>
  <c r="I288" i="6"/>
  <c r="J287" i="6" s="1"/>
  <c r="BB287" i="6"/>
  <c r="BA287" i="6"/>
  <c r="AY287" i="6"/>
  <c r="AY312" i="6" s="1"/>
  <c r="AS287" i="6"/>
  <c r="AK287" i="6"/>
  <c r="AJ287" i="6"/>
  <c r="AI287" i="6"/>
  <c r="AG287" i="6"/>
  <c r="AA287" i="6"/>
  <c r="R287" i="6"/>
  <c r="Q287" i="6"/>
  <c r="O287" i="6"/>
  <c r="O312" i="6" s="1"/>
  <c r="I287" i="6"/>
  <c r="I312" i="6" s="1"/>
  <c r="AZ286" i="6"/>
  <c r="AX286" i="6"/>
  <c r="AV286" i="6"/>
  <c r="AR286" i="6"/>
  <c r="AQ286" i="6"/>
  <c r="AM286" i="6"/>
  <c r="AH286" i="6"/>
  <c r="AF286" i="6"/>
  <c r="AE286" i="6"/>
  <c r="Z286" i="6"/>
  <c r="Y286" i="6"/>
  <c r="U286" i="6"/>
  <c r="P286" i="6"/>
  <c r="N286" i="6"/>
  <c r="M286" i="6"/>
  <c r="H286" i="6"/>
  <c r="G286" i="6"/>
  <c r="C286" i="6"/>
  <c r="AS285" i="6"/>
  <c r="AT282" i="6" s="1"/>
  <c r="AA285" i="6"/>
  <c r="I285" i="6"/>
  <c r="AS284" i="6"/>
  <c r="AA284" i="6"/>
  <c r="I284" i="6"/>
  <c r="AS283" i="6"/>
  <c r="AA283" i="6"/>
  <c r="I283" i="6"/>
  <c r="J282" i="6" s="1"/>
  <c r="BC282" i="6"/>
  <c r="BB282" i="6"/>
  <c r="BA282" i="6"/>
  <c r="AY282" i="6"/>
  <c r="AS282" i="6"/>
  <c r="AJ282" i="6"/>
  <c r="AI282" i="6"/>
  <c r="AG282" i="6"/>
  <c r="AA282" i="6"/>
  <c r="S282" i="6"/>
  <c r="R282" i="6"/>
  <c r="Q282" i="6"/>
  <c r="O282" i="6"/>
  <c r="O286" i="6" s="1"/>
  <c r="I282" i="6"/>
  <c r="AS281" i="6"/>
  <c r="AA281" i="6"/>
  <c r="AB278" i="6" s="1"/>
  <c r="I281" i="6"/>
  <c r="AS280" i="6"/>
  <c r="AA280" i="6"/>
  <c r="I280" i="6"/>
  <c r="AS279" i="6"/>
  <c r="AA279" i="6"/>
  <c r="I279" i="6"/>
  <c r="BB278" i="6"/>
  <c r="BA278" i="6"/>
  <c r="AY278" i="6"/>
  <c r="AT278" i="6"/>
  <c r="BC278" i="6" s="1"/>
  <c r="AS278" i="6"/>
  <c r="AJ278" i="6"/>
  <c r="AI278" i="6"/>
  <c r="AK278" i="6" s="1"/>
  <c r="AG278" i="6"/>
  <c r="AA278" i="6"/>
  <c r="R278" i="6"/>
  <c r="Q278" i="6"/>
  <c r="O278" i="6"/>
  <c r="J278" i="6"/>
  <c r="S278" i="6" s="1"/>
  <c r="I278" i="6"/>
  <c r="AS277" i="6"/>
  <c r="AA277" i="6"/>
  <c r="I277" i="6"/>
  <c r="AS276" i="6"/>
  <c r="AA276" i="6"/>
  <c r="I276" i="6"/>
  <c r="AS275" i="6"/>
  <c r="AA275" i="6"/>
  <c r="I275" i="6"/>
  <c r="BB274" i="6"/>
  <c r="BA274" i="6"/>
  <c r="AY274" i="6"/>
  <c r="AS274" i="6"/>
  <c r="AJ274" i="6"/>
  <c r="AI274" i="6"/>
  <c r="AG274" i="6"/>
  <c r="AB274" i="6"/>
  <c r="AK274" i="6" s="1"/>
  <c r="AA274" i="6"/>
  <c r="R274" i="6"/>
  <c r="Q274" i="6"/>
  <c r="O274" i="6"/>
  <c r="I274" i="6"/>
  <c r="AS273" i="6"/>
  <c r="AA273" i="6"/>
  <c r="I273" i="6"/>
  <c r="AS272" i="6"/>
  <c r="AT270" i="6" s="1"/>
  <c r="AA272" i="6"/>
  <c r="I272" i="6"/>
  <c r="AS271" i="6"/>
  <c r="AA271" i="6"/>
  <c r="AB270" i="6" s="1"/>
  <c r="AK270" i="6" s="1"/>
  <c r="I271" i="6"/>
  <c r="BB270" i="6"/>
  <c r="BA270" i="6"/>
  <c r="AY270" i="6"/>
  <c r="AS270" i="6"/>
  <c r="AR270" i="6"/>
  <c r="AJ270" i="6"/>
  <c r="AI270" i="6"/>
  <c r="AG270" i="6"/>
  <c r="AA270" i="6"/>
  <c r="R270" i="6"/>
  <c r="Q270" i="6"/>
  <c r="S270" i="6" s="1"/>
  <c r="O270" i="6"/>
  <c r="I270" i="6"/>
  <c r="J270" i="6" s="1"/>
  <c r="AS269" i="6"/>
  <c r="AA269" i="6"/>
  <c r="I269" i="6"/>
  <c r="AS268" i="6"/>
  <c r="I268" i="6"/>
  <c r="AS267" i="6"/>
  <c r="AA267" i="6"/>
  <c r="I267" i="6"/>
  <c r="BC266" i="6"/>
  <c r="BB266" i="6"/>
  <c r="BA266" i="6"/>
  <c r="AY266" i="6"/>
  <c r="AS266" i="6"/>
  <c r="AJ266" i="6"/>
  <c r="AI266" i="6"/>
  <c r="AG266" i="6"/>
  <c r="AB266" i="6"/>
  <c r="AA266" i="6"/>
  <c r="S266" i="6"/>
  <c r="R266" i="6"/>
  <c r="Q266" i="6"/>
  <c r="O266" i="6"/>
  <c r="J266" i="6"/>
  <c r="I266" i="6"/>
  <c r="BC265" i="6"/>
  <c r="BA265" i="6"/>
  <c r="AT265" i="6"/>
  <c r="AS265" i="6"/>
  <c r="AA265" i="6"/>
  <c r="I265" i="6"/>
  <c r="AS264" i="6"/>
  <c r="AA264" i="6"/>
  <c r="AB261" i="6" s="1"/>
  <c r="AS263" i="6"/>
  <c r="AA263" i="6"/>
  <c r="I263" i="6"/>
  <c r="I286" i="6" s="1"/>
  <c r="AS262" i="6"/>
  <c r="AA262" i="6"/>
  <c r="I262" i="6"/>
  <c r="BB261" i="6"/>
  <c r="BA261" i="6"/>
  <c r="AY261" i="6"/>
  <c r="AT261" i="6"/>
  <c r="AS261" i="6"/>
  <c r="AJ261" i="6"/>
  <c r="AI261" i="6"/>
  <c r="AG261" i="6"/>
  <c r="AG286" i="6" s="1"/>
  <c r="AA261" i="6"/>
  <c r="S261" i="6"/>
  <c r="R261" i="6"/>
  <c r="Q261" i="6"/>
  <c r="Q286" i="6" s="1"/>
  <c r="O261" i="6"/>
  <c r="I261" i="6"/>
  <c r="AZ260" i="6"/>
  <c r="AX260" i="6"/>
  <c r="AV260" i="6"/>
  <c r="AR260" i="6"/>
  <c r="AQ260" i="6"/>
  <c r="AM260" i="6"/>
  <c r="AH260" i="6"/>
  <c r="AF260" i="6"/>
  <c r="AE260" i="6"/>
  <c r="Z260" i="6"/>
  <c r="Y260" i="6"/>
  <c r="U260" i="6"/>
  <c r="P260" i="6"/>
  <c r="N260" i="6"/>
  <c r="M260" i="6"/>
  <c r="H260" i="6"/>
  <c r="G260" i="6"/>
  <c r="C260" i="6"/>
  <c r="AS259" i="6"/>
  <c r="AA259" i="6"/>
  <c r="AB256" i="6" s="1"/>
  <c r="I259" i="6"/>
  <c r="AS258" i="6"/>
  <c r="AA258" i="6"/>
  <c r="I258" i="6"/>
  <c r="J256" i="6" s="1"/>
  <c r="AS257" i="6"/>
  <c r="AA257" i="6"/>
  <c r="I257" i="6"/>
  <c r="BC256" i="6"/>
  <c r="BB256" i="6"/>
  <c r="BA256" i="6"/>
  <c r="AY256" i="6"/>
  <c r="AT256" i="6"/>
  <c r="AS256" i="6"/>
  <c r="AJ256" i="6"/>
  <c r="AI256" i="6"/>
  <c r="AK256" i="6" s="1"/>
  <c r="AG256" i="6"/>
  <c r="AA256" i="6"/>
  <c r="S256" i="6"/>
  <c r="R256" i="6"/>
  <c r="Q256" i="6"/>
  <c r="O256" i="6"/>
  <c r="I256" i="6"/>
  <c r="AS255" i="6"/>
  <c r="AA255" i="6"/>
  <c r="I255" i="6"/>
  <c r="AS254" i="6"/>
  <c r="AA254" i="6"/>
  <c r="I254" i="6"/>
  <c r="AS253" i="6"/>
  <c r="AA253" i="6"/>
  <c r="AB252" i="6" s="1"/>
  <c r="I253" i="6"/>
  <c r="BB252" i="6"/>
  <c r="BA252" i="6"/>
  <c r="BC252" i="6" s="1"/>
  <c r="AY252" i="6"/>
  <c r="AS252" i="6"/>
  <c r="AT252" i="6" s="1"/>
  <c r="AK252" i="6"/>
  <c r="AJ252" i="6"/>
  <c r="AI252" i="6"/>
  <c r="AG252" i="6"/>
  <c r="AA252" i="6"/>
  <c r="R252" i="6"/>
  <c r="Q252" i="6"/>
  <c r="O252" i="6"/>
  <c r="I252" i="6"/>
  <c r="J252" i="6" s="1"/>
  <c r="AS251" i="6"/>
  <c r="AA251" i="6"/>
  <c r="I251" i="6"/>
  <c r="AS250" i="6"/>
  <c r="AT248" i="6" s="1"/>
  <c r="AA250" i="6"/>
  <c r="I250" i="6"/>
  <c r="AS249" i="6"/>
  <c r="AA249" i="6"/>
  <c r="I249" i="6"/>
  <c r="BB248" i="6"/>
  <c r="BA248" i="6"/>
  <c r="BC248" i="6" s="1"/>
  <c r="AY248" i="6"/>
  <c r="AS248" i="6"/>
  <c r="AK248" i="6"/>
  <c r="AJ248" i="6"/>
  <c r="AI248" i="6"/>
  <c r="AG248" i="6"/>
  <c r="AB248" i="6"/>
  <c r="AA248" i="6"/>
  <c r="R248" i="6"/>
  <c r="Q248" i="6"/>
  <c r="S248" i="6" s="1"/>
  <c r="O248" i="6"/>
  <c r="I248" i="6"/>
  <c r="AS247" i="6"/>
  <c r="AA247" i="6"/>
  <c r="I247" i="6"/>
  <c r="AS246" i="6"/>
  <c r="AA246" i="6"/>
  <c r="I246" i="6"/>
  <c r="AS245" i="6"/>
  <c r="AA245" i="6"/>
  <c r="I245" i="6"/>
  <c r="J244" i="6" s="1"/>
  <c r="BB244" i="6"/>
  <c r="BA244" i="6"/>
  <c r="AY244" i="6"/>
  <c r="AY260" i="6" s="1"/>
  <c r="AT244" i="6"/>
  <c r="BC244" i="6" s="1"/>
  <c r="AS244" i="6"/>
  <c r="AJ244" i="6"/>
  <c r="AI244" i="6"/>
  <c r="AG244" i="6"/>
  <c r="AA244" i="6"/>
  <c r="AB244" i="6" s="1"/>
  <c r="AK244" i="6" s="1"/>
  <c r="S244" i="6"/>
  <c r="S260" i="6" s="1"/>
  <c r="R244" i="6"/>
  <c r="Q244" i="6"/>
  <c r="O244" i="6"/>
  <c r="I244" i="6"/>
  <c r="AS243" i="6"/>
  <c r="AA243" i="6"/>
  <c r="AB240" i="6" s="1"/>
  <c r="AK240" i="6" s="1"/>
  <c r="I243" i="6"/>
  <c r="AS242" i="6"/>
  <c r="AA242" i="6"/>
  <c r="I242" i="6"/>
  <c r="J240" i="6" s="1"/>
  <c r="AS241" i="6"/>
  <c r="AA241" i="6"/>
  <c r="I241" i="6"/>
  <c r="BC240" i="6"/>
  <c r="BB240" i="6"/>
  <c r="BA240" i="6"/>
  <c r="AY240" i="6"/>
  <c r="AT240" i="6"/>
  <c r="AS240" i="6"/>
  <c r="AJ240" i="6"/>
  <c r="AI240" i="6"/>
  <c r="AG240" i="6"/>
  <c r="AG260" i="6" s="1"/>
  <c r="AA240" i="6"/>
  <c r="S240" i="6"/>
  <c r="R240" i="6"/>
  <c r="Q240" i="6"/>
  <c r="O240" i="6"/>
  <c r="I240" i="6"/>
  <c r="BC239" i="6"/>
  <c r="BA239" i="6"/>
  <c r="AT239" i="6"/>
  <c r="AS239" i="6"/>
  <c r="AA239" i="6"/>
  <c r="I239" i="6"/>
  <c r="AS238" i="6"/>
  <c r="AA238" i="6"/>
  <c r="AB235" i="6" s="1"/>
  <c r="AS237" i="6"/>
  <c r="AA237" i="6"/>
  <c r="I237" i="6"/>
  <c r="AS236" i="6"/>
  <c r="AA236" i="6"/>
  <c r="I236" i="6"/>
  <c r="BB235" i="6"/>
  <c r="BA235" i="6"/>
  <c r="BA260" i="6" s="1"/>
  <c r="AY235" i="6"/>
  <c r="AS235" i="6"/>
  <c r="AJ235" i="6"/>
  <c r="AI235" i="6"/>
  <c r="AG235" i="6"/>
  <c r="AA235" i="6"/>
  <c r="S235" i="6"/>
  <c r="R235" i="6"/>
  <c r="Q235" i="6"/>
  <c r="O235" i="6"/>
  <c r="J235" i="6"/>
  <c r="I235" i="6"/>
  <c r="AZ234" i="6"/>
  <c r="AX234" i="6"/>
  <c r="AV234" i="6"/>
  <c r="AR234" i="6"/>
  <c r="AQ234" i="6"/>
  <c r="AM234" i="6"/>
  <c r="AH234" i="6"/>
  <c r="AF234" i="6"/>
  <c r="AE234" i="6"/>
  <c r="Z234" i="6"/>
  <c r="Y234" i="6"/>
  <c r="U234" i="6"/>
  <c r="P234" i="6"/>
  <c r="N234" i="6"/>
  <c r="M234" i="6"/>
  <c r="H234" i="6"/>
  <c r="G234" i="6"/>
  <c r="C234" i="6"/>
  <c r="AS233" i="6"/>
  <c r="AA233" i="6"/>
  <c r="I233" i="6"/>
  <c r="AS232" i="6"/>
  <c r="AA232" i="6"/>
  <c r="I232" i="6"/>
  <c r="AS231" i="6"/>
  <c r="AA231" i="6"/>
  <c r="I231" i="6"/>
  <c r="BC230" i="6"/>
  <c r="BB230" i="6"/>
  <c r="BA230" i="6"/>
  <c r="AY230" i="6"/>
  <c r="AS230" i="6"/>
  <c r="AT230" i="6" s="1"/>
  <c r="AJ230" i="6"/>
  <c r="AI230" i="6"/>
  <c r="AK230" i="6" s="1"/>
  <c r="AG230" i="6"/>
  <c r="AA230" i="6"/>
  <c r="AB230" i="6" s="1"/>
  <c r="S230" i="6"/>
  <c r="R230" i="6"/>
  <c r="Q230" i="6"/>
  <c r="O230" i="6"/>
  <c r="I230" i="6"/>
  <c r="J230" i="6" s="1"/>
  <c r="AS229" i="6"/>
  <c r="AA229" i="6"/>
  <c r="I229" i="6"/>
  <c r="AS228" i="6"/>
  <c r="AA228" i="6"/>
  <c r="I228" i="6"/>
  <c r="AS227" i="6"/>
  <c r="AA227" i="6"/>
  <c r="AB226" i="6" s="1"/>
  <c r="AK226" i="6" s="1"/>
  <c r="I227" i="6"/>
  <c r="BB226" i="6"/>
  <c r="BA226" i="6"/>
  <c r="BC226" i="6" s="1"/>
  <c r="AY226" i="6"/>
  <c r="AS226" i="6"/>
  <c r="AJ226" i="6"/>
  <c r="AI226" i="6"/>
  <c r="AG226" i="6"/>
  <c r="AA226" i="6"/>
  <c r="R226" i="6"/>
  <c r="Q226" i="6"/>
  <c r="O226" i="6"/>
  <c r="I226" i="6"/>
  <c r="J226" i="6" s="1"/>
  <c r="AS225" i="6"/>
  <c r="AA225" i="6"/>
  <c r="I225" i="6"/>
  <c r="AS224" i="6"/>
  <c r="AA224" i="6"/>
  <c r="I224" i="6"/>
  <c r="AS223" i="6"/>
  <c r="AA223" i="6"/>
  <c r="I223" i="6"/>
  <c r="BB222" i="6"/>
  <c r="BA222" i="6"/>
  <c r="AY222" i="6"/>
  <c r="AS222" i="6"/>
  <c r="AT222" i="6" s="1"/>
  <c r="AJ222" i="6"/>
  <c r="AI222" i="6"/>
  <c r="AK222" i="6" s="1"/>
  <c r="AG222" i="6"/>
  <c r="AA222" i="6"/>
  <c r="AB222" i="6" s="1"/>
  <c r="S222" i="6"/>
  <c r="R222" i="6"/>
  <c r="Q222" i="6"/>
  <c r="O222" i="6"/>
  <c r="I222" i="6"/>
  <c r="AS221" i="6"/>
  <c r="AA221" i="6"/>
  <c r="I221" i="6"/>
  <c r="AS220" i="6"/>
  <c r="AT218" i="6" s="1"/>
  <c r="AA220" i="6"/>
  <c r="I220" i="6"/>
  <c r="AS219" i="6"/>
  <c r="AA219" i="6"/>
  <c r="I219" i="6"/>
  <c r="BB218" i="6"/>
  <c r="BA218" i="6"/>
  <c r="BC218" i="6" s="1"/>
  <c r="AY218" i="6"/>
  <c r="AS218" i="6"/>
  <c r="AJ218" i="6"/>
  <c r="AI218" i="6"/>
  <c r="AG218" i="6"/>
  <c r="AB218" i="6"/>
  <c r="AK218" i="6" s="1"/>
  <c r="AA218" i="6"/>
  <c r="R218" i="6"/>
  <c r="Q218" i="6"/>
  <c r="S218" i="6" s="1"/>
  <c r="S234" i="6" s="1"/>
  <c r="O218" i="6"/>
  <c r="J218" i="6"/>
  <c r="I218" i="6"/>
  <c r="AS217" i="6"/>
  <c r="AA217" i="6"/>
  <c r="I217" i="6"/>
  <c r="AS216" i="6"/>
  <c r="AA216" i="6"/>
  <c r="I216" i="6"/>
  <c r="AS215" i="6"/>
  <c r="AA215" i="6"/>
  <c r="I215" i="6"/>
  <c r="BB214" i="6"/>
  <c r="BA214" i="6"/>
  <c r="BC214" i="6" s="1"/>
  <c r="AY214" i="6"/>
  <c r="AS214" i="6"/>
  <c r="AT214" i="6" s="1"/>
  <c r="AJ214" i="6"/>
  <c r="AI214" i="6"/>
  <c r="AG214" i="6"/>
  <c r="AA214" i="6"/>
  <c r="AB214" i="6" s="1"/>
  <c r="AK214" i="6" s="1"/>
  <c r="R214" i="6"/>
  <c r="Q214" i="6"/>
  <c r="S214" i="6" s="1"/>
  <c r="O214" i="6"/>
  <c r="I214" i="6"/>
  <c r="J214" i="6" s="1"/>
  <c r="BA213" i="6"/>
  <c r="BC213" i="6" s="1"/>
  <c r="AS213" i="6"/>
  <c r="AT213" i="6" s="1"/>
  <c r="AA213" i="6"/>
  <c r="I213" i="6"/>
  <c r="AS212" i="6"/>
  <c r="AA212" i="6"/>
  <c r="AS211" i="6"/>
  <c r="AA211" i="6"/>
  <c r="I211" i="6"/>
  <c r="AS210" i="6"/>
  <c r="AA210" i="6"/>
  <c r="I210" i="6"/>
  <c r="BB209" i="6"/>
  <c r="BA209" i="6"/>
  <c r="AY209" i="6"/>
  <c r="AY234" i="6" s="1"/>
  <c r="AS209" i="6"/>
  <c r="AS234" i="6" s="1"/>
  <c r="AK209" i="6"/>
  <c r="AJ209" i="6"/>
  <c r="AI209" i="6"/>
  <c r="AG209" i="6"/>
  <c r="AG234" i="6" s="1"/>
  <c r="AA209" i="6"/>
  <c r="AA234" i="6" s="1"/>
  <c r="R209" i="6"/>
  <c r="Q209" i="6"/>
  <c r="O209" i="6"/>
  <c r="O234" i="6" s="1"/>
  <c r="I209" i="6"/>
  <c r="AZ208" i="6"/>
  <c r="AX208" i="6"/>
  <c r="AV208" i="6"/>
  <c r="AR208" i="6"/>
  <c r="AQ208" i="6"/>
  <c r="AM208" i="6"/>
  <c r="AH208" i="6"/>
  <c r="AF208" i="6"/>
  <c r="AE208" i="6"/>
  <c r="Z208" i="6"/>
  <c r="Y208" i="6"/>
  <c r="U208" i="6"/>
  <c r="P208" i="6"/>
  <c r="O208" i="6"/>
  <c r="N208" i="6"/>
  <c r="M208" i="6"/>
  <c r="H208" i="6"/>
  <c r="G208" i="6"/>
  <c r="C208" i="6"/>
  <c r="AS207" i="6"/>
  <c r="AA207" i="6"/>
  <c r="I207" i="6"/>
  <c r="AS206" i="6"/>
  <c r="AA206" i="6"/>
  <c r="I206" i="6"/>
  <c r="AS205" i="6"/>
  <c r="AA205" i="6"/>
  <c r="I205" i="6"/>
  <c r="BB204" i="6"/>
  <c r="BA204" i="6"/>
  <c r="BC204" i="6" s="1"/>
  <c r="AY204" i="6"/>
  <c r="AS204" i="6"/>
  <c r="AT204" i="6" s="1"/>
  <c r="AJ204" i="6"/>
  <c r="AI204" i="6"/>
  <c r="AG204" i="6"/>
  <c r="AA204" i="6"/>
  <c r="AB204" i="6" s="1"/>
  <c r="AK204" i="6" s="1"/>
  <c r="R204" i="6"/>
  <c r="Q204" i="6"/>
  <c r="S204" i="6" s="1"/>
  <c r="O204" i="6"/>
  <c r="I204" i="6"/>
  <c r="J204" i="6" s="1"/>
  <c r="BA203" i="6"/>
  <c r="BC203" i="6" s="1"/>
  <c r="AS203" i="6"/>
  <c r="AT203" i="6" s="1"/>
  <c r="AA203" i="6"/>
  <c r="I203" i="6"/>
  <c r="AS202" i="6"/>
  <c r="AA202" i="6"/>
  <c r="I202" i="6"/>
  <c r="AS201" i="6"/>
  <c r="AA201" i="6"/>
  <c r="I201" i="6"/>
  <c r="BC200" i="6"/>
  <c r="BB200" i="6"/>
  <c r="BA200" i="6"/>
  <c r="AY200" i="6"/>
  <c r="AS200" i="6"/>
  <c r="AJ200" i="6"/>
  <c r="AI200" i="6"/>
  <c r="AK200" i="6" s="1"/>
  <c r="AG200" i="6"/>
  <c r="AA200" i="6"/>
  <c r="AB200" i="6" s="1"/>
  <c r="R200" i="6"/>
  <c r="Q200" i="6"/>
  <c r="O200" i="6"/>
  <c r="I200" i="6"/>
  <c r="AS199" i="6"/>
  <c r="AA199" i="6"/>
  <c r="I199" i="6"/>
  <c r="AS198" i="6"/>
  <c r="AT196" i="6" s="1"/>
  <c r="AA198" i="6"/>
  <c r="I198" i="6"/>
  <c r="AS197" i="6"/>
  <c r="AA197" i="6"/>
  <c r="I197" i="6"/>
  <c r="BB196" i="6"/>
  <c r="BA196" i="6"/>
  <c r="BC196" i="6" s="1"/>
  <c r="AY196" i="6"/>
  <c r="AS196" i="6"/>
  <c r="AK196" i="6"/>
  <c r="AJ196" i="6"/>
  <c r="AI196" i="6"/>
  <c r="AG196" i="6"/>
  <c r="AB196" i="6"/>
  <c r="AA196" i="6"/>
  <c r="R196" i="6"/>
  <c r="Q196" i="6"/>
  <c r="S196" i="6" s="1"/>
  <c r="O196" i="6"/>
  <c r="J196" i="6"/>
  <c r="I196" i="6"/>
  <c r="AS195" i="6"/>
  <c r="AA195" i="6"/>
  <c r="I195" i="6"/>
  <c r="AS194" i="6"/>
  <c r="AA194" i="6"/>
  <c r="I194" i="6"/>
  <c r="AS193" i="6"/>
  <c r="AA193" i="6"/>
  <c r="I193" i="6"/>
  <c r="BB192" i="6"/>
  <c r="BA192" i="6"/>
  <c r="BC192" i="6" s="1"/>
  <c r="AY192" i="6"/>
  <c r="AS192" i="6"/>
  <c r="AT192" i="6" s="1"/>
  <c r="AJ192" i="6"/>
  <c r="AI192" i="6"/>
  <c r="AG192" i="6"/>
  <c r="AA192" i="6"/>
  <c r="AB192" i="6" s="1"/>
  <c r="AK192" i="6" s="1"/>
  <c r="R192" i="6"/>
  <c r="Q192" i="6"/>
  <c r="O192" i="6"/>
  <c r="I192" i="6"/>
  <c r="J192" i="6" s="1"/>
  <c r="AS191" i="6"/>
  <c r="AA191" i="6"/>
  <c r="I191" i="6"/>
  <c r="AS190" i="6"/>
  <c r="AI190" i="6"/>
  <c r="AK190" i="6" s="1"/>
  <c r="AA190" i="6"/>
  <c r="AB190" i="6" s="1"/>
  <c r="I190" i="6"/>
  <c r="AS189" i="6"/>
  <c r="AA189" i="6"/>
  <c r="I189" i="6"/>
  <c r="BC188" i="6"/>
  <c r="BB188" i="6"/>
  <c r="BA188" i="6"/>
  <c r="AY188" i="6"/>
  <c r="AS188" i="6"/>
  <c r="AJ188" i="6"/>
  <c r="AI188" i="6"/>
  <c r="AK188" i="6" s="1"/>
  <c r="AG188" i="6"/>
  <c r="AA188" i="6"/>
  <c r="AB188" i="6" s="1"/>
  <c r="S188" i="6"/>
  <c r="R188" i="6"/>
  <c r="Q188" i="6"/>
  <c r="O188" i="6"/>
  <c r="I188" i="6"/>
  <c r="J188" i="6" s="1"/>
  <c r="BA187" i="6"/>
  <c r="BC187" i="6" s="1"/>
  <c r="AS187" i="6"/>
  <c r="AT187" i="6" s="1"/>
  <c r="AA187" i="6"/>
  <c r="I187" i="6"/>
  <c r="AS186" i="6"/>
  <c r="AS185" i="6"/>
  <c r="AT183" i="6" s="1"/>
  <c r="AA185" i="6"/>
  <c r="I185" i="6"/>
  <c r="AS184" i="6"/>
  <c r="AA184" i="6"/>
  <c r="I184" i="6"/>
  <c r="BB183" i="6"/>
  <c r="BA183" i="6"/>
  <c r="BC183" i="6" s="1"/>
  <c r="AY183" i="6"/>
  <c r="AY208" i="6" s="1"/>
  <c r="AS183" i="6"/>
  <c r="AK183" i="6"/>
  <c r="AJ183" i="6"/>
  <c r="AI183" i="6"/>
  <c r="AG183" i="6"/>
  <c r="AB183" i="6"/>
  <c r="AB208" i="6" s="1"/>
  <c r="AA183" i="6"/>
  <c r="R183" i="6"/>
  <c r="Q183" i="6"/>
  <c r="O183" i="6"/>
  <c r="J183" i="6"/>
  <c r="I183" i="6"/>
  <c r="AZ182" i="6"/>
  <c r="AX182" i="6"/>
  <c r="AV182" i="6"/>
  <c r="AR182" i="6"/>
  <c r="AQ182" i="6"/>
  <c r="AM182" i="6"/>
  <c r="AI182" i="6"/>
  <c r="AH182" i="6"/>
  <c r="AF182" i="6"/>
  <c r="AE182" i="6"/>
  <c r="Z182" i="6"/>
  <c r="Y182" i="6"/>
  <c r="U182" i="6"/>
  <c r="P182" i="6"/>
  <c r="N182" i="6"/>
  <c r="M182" i="6"/>
  <c r="H182" i="6"/>
  <c r="G182" i="6"/>
  <c r="C182" i="6"/>
  <c r="AS181" i="6"/>
  <c r="AA181" i="6"/>
  <c r="I181" i="6"/>
  <c r="AS180" i="6"/>
  <c r="AT178" i="6" s="1"/>
  <c r="AA180" i="6"/>
  <c r="I180" i="6"/>
  <c r="AS179" i="6"/>
  <c r="AA179" i="6"/>
  <c r="I179" i="6"/>
  <c r="BB178" i="6"/>
  <c r="BA178" i="6"/>
  <c r="BC178" i="6" s="1"/>
  <c r="AY178" i="6"/>
  <c r="AS178" i="6"/>
  <c r="AK178" i="6"/>
  <c r="AJ178" i="6"/>
  <c r="AI178" i="6"/>
  <c r="AG178" i="6"/>
  <c r="AB178" i="6"/>
  <c r="AA178" i="6"/>
  <c r="R178" i="6"/>
  <c r="Q178" i="6"/>
  <c r="S178" i="6" s="1"/>
  <c r="O178" i="6"/>
  <c r="J178" i="6"/>
  <c r="I178" i="6"/>
  <c r="BC177" i="6"/>
  <c r="BA177" i="6"/>
  <c r="AT177" i="6"/>
  <c r="AS177" i="6"/>
  <c r="AA177" i="6"/>
  <c r="I177" i="6"/>
  <c r="AS176" i="6"/>
  <c r="AA176" i="6"/>
  <c r="I176" i="6"/>
  <c r="AS175" i="6"/>
  <c r="AA175" i="6"/>
  <c r="I175" i="6"/>
  <c r="BB174" i="6"/>
  <c r="BA174" i="6"/>
  <c r="AY174" i="6"/>
  <c r="AT174" i="6"/>
  <c r="BC174" i="6" s="1"/>
  <c r="AS174" i="6"/>
  <c r="AR174" i="6"/>
  <c r="AJ174" i="6"/>
  <c r="AI174" i="6"/>
  <c r="AG174" i="6"/>
  <c r="AA174" i="6"/>
  <c r="R174" i="6"/>
  <c r="Q174" i="6"/>
  <c r="O174" i="6"/>
  <c r="I174" i="6"/>
  <c r="AS173" i="6"/>
  <c r="AA173" i="6"/>
  <c r="AB170" i="6" s="1"/>
  <c r="I173" i="6"/>
  <c r="AS172" i="6"/>
  <c r="AA172" i="6"/>
  <c r="I172" i="6"/>
  <c r="J170" i="6" s="1"/>
  <c r="AS171" i="6"/>
  <c r="AA171" i="6"/>
  <c r="I171" i="6"/>
  <c r="BB170" i="6"/>
  <c r="BA170" i="6"/>
  <c r="AY170" i="6"/>
  <c r="AT170" i="6"/>
  <c r="BC170" i="6" s="1"/>
  <c r="AS170" i="6"/>
  <c r="AJ170" i="6"/>
  <c r="AI170" i="6"/>
  <c r="AG170" i="6"/>
  <c r="AA170" i="6"/>
  <c r="S170" i="6"/>
  <c r="R170" i="6"/>
  <c r="Q170" i="6"/>
  <c r="O170" i="6"/>
  <c r="I170" i="6"/>
  <c r="AS169" i="6"/>
  <c r="AA169" i="6"/>
  <c r="I169" i="6"/>
  <c r="AS168" i="6"/>
  <c r="AA168" i="6"/>
  <c r="I168" i="6"/>
  <c r="AS167" i="6"/>
  <c r="AA167" i="6"/>
  <c r="I167" i="6"/>
  <c r="BC166" i="6"/>
  <c r="BB166" i="6"/>
  <c r="BA166" i="6"/>
  <c r="AY166" i="6"/>
  <c r="AS166" i="6"/>
  <c r="AT166" i="6" s="1"/>
  <c r="AJ166" i="6"/>
  <c r="AI166" i="6"/>
  <c r="AG166" i="6"/>
  <c r="AA166" i="6"/>
  <c r="AB166" i="6" s="1"/>
  <c r="AK166" i="6" s="1"/>
  <c r="R166" i="6"/>
  <c r="Q166" i="6"/>
  <c r="O166" i="6"/>
  <c r="I166" i="6"/>
  <c r="J166" i="6" s="1"/>
  <c r="S166" i="6" s="1"/>
  <c r="S182" i="6" s="1"/>
  <c r="AS165" i="6"/>
  <c r="AA165" i="6"/>
  <c r="I165" i="6"/>
  <c r="AS164" i="6"/>
  <c r="AT162" i="6" s="1"/>
  <c r="AA164" i="6"/>
  <c r="I164" i="6"/>
  <c r="AS163" i="6"/>
  <c r="AA163" i="6"/>
  <c r="AB162" i="6" s="1"/>
  <c r="AK162" i="6" s="1"/>
  <c r="I163" i="6"/>
  <c r="BB162" i="6"/>
  <c r="BA162" i="6"/>
  <c r="BC162" i="6" s="1"/>
  <c r="AY162" i="6"/>
  <c r="AS162" i="6"/>
  <c r="AJ162" i="6"/>
  <c r="AI162" i="6"/>
  <c r="AG162" i="6"/>
  <c r="AA162" i="6"/>
  <c r="R162" i="6"/>
  <c r="Q162" i="6"/>
  <c r="S162" i="6" s="1"/>
  <c r="O162" i="6"/>
  <c r="J162" i="6"/>
  <c r="I162" i="6"/>
  <c r="BC161" i="6"/>
  <c r="BA161" i="6"/>
  <c r="AT161" i="6"/>
  <c r="AS161" i="6"/>
  <c r="AA161" i="6"/>
  <c r="I161" i="6"/>
  <c r="AS160" i="6"/>
  <c r="AS159" i="6"/>
  <c r="AA159" i="6"/>
  <c r="I159" i="6"/>
  <c r="AS158" i="6"/>
  <c r="AA158" i="6"/>
  <c r="I158" i="6"/>
  <c r="BB157" i="6"/>
  <c r="BA157" i="6"/>
  <c r="BA182" i="6" s="1"/>
  <c r="AY157" i="6"/>
  <c r="AY182" i="6" s="1"/>
  <c r="AS157" i="6"/>
  <c r="AK157" i="6"/>
  <c r="AJ157" i="6"/>
  <c r="AI157" i="6"/>
  <c r="AG157" i="6"/>
  <c r="AA157" i="6"/>
  <c r="R157" i="6"/>
  <c r="Q157" i="6"/>
  <c r="O157" i="6"/>
  <c r="I157" i="6"/>
  <c r="AZ156" i="6"/>
  <c r="AX156" i="6"/>
  <c r="AV156" i="6"/>
  <c r="AR156" i="6"/>
  <c r="AQ156" i="6"/>
  <c r="AM156" i="6"/>
  <c r="AH156" i="6"/>
  <c r="AF156" i="6"/>
  <c r="AE156" i="6"/>
  <c r="Z156" i="6"/>
  <c r="Y156" i="6"/>
  <c r="U156" i="6"/>
  <c r="P156" i="6"/>
  <c r="N156" i="6"/>
  <c r="M156" i="6"/>
  <c r="H156" i="6"/>
  <c r="G156" i="6"/>
  <c r="C156" i="6"/>
  <c r="AS155" i="6"/>
  <c r="AA155" i="6"/>
  <c r="I155" i="6"/>
  <c r="AS154" i="6"/>
  <c r="AA154" i="6"/>
  <c r="I154" i="6"/>
  <c r="AS153" i="6"/>
  <c r="AA153" i="6"/>
  <c r="I153" i="6"/>
  <c r="BB152" i="6"/>
  <c r="BA152" i="6"/>
  <c r="BC152" i="6" s="1"/>
  <c r="AY152" i="6"/>
  <c r="AS152" i="6"/>
  <c r="AT152" i="6" s="1"/>
  <c r="AJ152" i="6"/>
  <c r="AI152" i="6"/>
  <c r="AG152" i="6"/>
  <c r="AA152" i="6"/>
  <c r="AB152" i="6" s="1"/>
  <c r="AK152" i="6" s="1"/>
  <c r="R152" i="6"/>
  <c r="Q152" i="6"/>
  <c r="S152" i="6" s="1"/>
  <c r="O152" i="6"/>
  <c r="I152" i="6"/>
  <c r="J152" i="6" s="1"/>
  <c r="BA151" i="6"/>
  <c r="AS151" i="6"/>
  <c r="AT151" i="6" s="1"/>
  <c r="AA151" i="6"/>
  <c r="I151" i="6"/>
  <c r="AS150" i="6"/>
  <c r="AA150" i="6"/>
  <c r="I150" i="6"/>
  <c r="AS149" i="6"/>
  <c r="AA149" i="6"/>
  <c r="I149" i="6"/>
  <c r="BB148" i="6"/>
  <c r="BA148" i="6"/>
  <c r="AY148" i="6"/>
  <c r="AS148" i="6"/>
  <c r="AT148" i="6" s="1"/>
  <c r="BC148" i="6" s="1"/>
  <c r="AJ148" i="6"/>
  <c r="AI148" i="6"/>
  <c r="AG148" i="6"/>
  <c r="AA148" i="6"/>
  <c r="AB148" i="6" s="1"/>
  <c r="S148" i="6"/>
  <c r="R148" i="6"/>
  <c r="Q148" i="6"/>
  <c r="O148" i="6"/>
  <c r="I148" i="6"/>
  <c r="J148" i="6" s="1"/>
  <c r="AS147" i="6"/>
  <c r="AA147" i="6"/>
  <c r="I147" i="6"/>
  <c r="AS146" i="6"/>
  <c r="AT144" i="6" s="1"/>
  <c r="AA146" i="6"/>
  <c r="I146" i="6"/>
  <c r="AS145" i="6"/>
  <c r="AA145" i="6"/>
  <c r="AB144" i="6" s="1"/>
  <c r="I145" i="6"/>
  <c r="BB144" i="6"/>
  <c r="BA144" i="6"/>
  <c r="BC144" i="6" s="1"/>
  <c r="AY144" i="6"/>
  <c r="AS144" i="6"/>
  <c r="AK144" i="6"/>
  <c r="AJ144" i="6"/>
  <c r="AI144" i="6"/>
  <c r="AG144" i="6"/>
  <c r="AA144" i="6"/>
  <c r="R144" i="6"/>
  <c r="Q144" i="6"/>
  <c r="S144" i="6" s="1"/>
  <c r="O144" i="6"/>
  <c r="J144" i="6"/>
  <c r="I144" i="6"/>
  <c r="AS143" i="6"/>
  <c r="AA143" i="6"/>
  <c r="I143" i="6"/>
  <c r="AS142" i="6"/>
  <c r="AA142" i="6"/>
  <c r="I142" i="6"/>
  <c r="AS141" i="6"/>
  <c r="AA141" i="6"/>
  <c r="I141" i="6"/>
  <c r="BB140" i="6"/>
  <c r="BA140" i="6"/>
  <c r="BC140" i="6" s="1"/>
  <c r="AY140" i="6"/>
  <c r="AS140" i="6"/>
  <c r="AT140" i="6" s="1"/>
  <c r="AJ140" i="6"/>
  <c r="AI140" i="6"/>
  <c r="AG140" i="6"/>
  <c r="AA140" i="6"/>
  <c r="AB140" i="6" s="1"/>
  <c r="AK140" i="6" s="1"/>
  <c r="R140" i="6"/>
  <c r="Q140" i="6"/>
  <c r="S140" i="6" s="1"/>
  <c r="S156" i="6" s="1"/>
  <c r="O140" i="6"/>
  <c r="O156" i="6" s="1"/>
  <c r="I140" i="6"/>
  <c r="J140" i="6" s="1"/>
  <c r="AS139" i="6"/>
  <c r="AA139" i="6"/>
  <c r="I139" i="6"/>
  <c r="AS138" i="6"/>
  <c r="AI138" i="6"/>
  <c r="AA138" i="6"/>
  <c r="AB138" i="6" s="1"/>
  <c r="I138" i="6"/>
  <c r="AS137" i="6"/>
  <c r="AA137" i="6"/>
  <c r="I137" i="6"/>
  <c r="BC136" i="6"/>
  <c r="BB136" i="6"/>
  <c r="BA136" i="6"/>
  <c r="AY136" i="6"/>
  <c r="AS136" i="6"/>
  <c r="AT136" i="6" s="1"/>
  <c r="AJ136" i="6"/>
  <c r="AI136" i="6"/>
  <c r="AK136" i="6" s="1"/>
  <c r="AG136" i="6"/>
  <c r="AA136" i="6"/>
  <c r="AB136" i="6" s="1"/>
  <c r="S136" i="6"/>
  <c r="R136" i="6"/>
  <c r="Q136" i="6"/>
  <c r="O136" i="6"/>
  <c r="I136" i="6"/>
  <c r="J136" i="6" s="1"/>
  <c r="BA135" i="6"/>
  <c r="BC135" i="6" s="1"/>
  <c r="AS135" i="6"/>
  <c r="AT135" i="6" s="1"/>
  <c r="AA135" i="6"/>
  <c r="I135" i="6"/>
  <c r="AS134" i="6"/>
  <c r="AS133" i="6"/>
  <c r="AT131" i="6" s="1"/>
  <c r="AT156" i="6" s="1"/>
  <c r="AA133" i="6"/>
  <c r="I133" i="6"/>
  <c r="AS132" i="6"/>
  <c r="AA132" i="6"/>
  <c r="AB131" i="6" s="1"/>
  <c r="AB156" i="6" s="1"/>
  <c r="I132" i="6"/>
  <c r="BB131" i="6"/>
  <c r="BA131" i="6"/>
  <c r="AY131" i="6"/>
  <c r="AY156" i="6" s="1"/>
  <c r="AS131" i="6"/>
  <c r="AK131" i="6"/>
  <c r="AJ131" i="6"/>
  <c r="AI131" i="6"/>
  <c r="AI156" i="6" s="1"/>
  <c r="AG131" i="6"/>
  <c r="AA131" i="6"/>
  <c r="R131" i="6"/>
  <c r="Q131" i="6"/>
  <c r="O131" i="6"/>
  <c r="J131" i="6"/>
  <c r="I131" i="6"/>
  <c r="AZ130" i="6"/>
  <c r="AX130" i="6"/>
  <c r="AV130" i="6"/>
  <c r="AR130" i="6"/>
  <c r="AQ130" i="6"/>
  <c r="AH130" i="6"/>
  <c r="AF130" i="6"/>
  <c r="AE130" i="6"/>
  <c r="Z130" i="6"/>
  <c r="Y130" i="6"/>
  <c r="U130" i="6"/>
  <c r="P130" i="6"/>
  <c r="N130" i="6"/>
  <c r="M130" i="6"/>
  <c r="H130" i="6"/>
  <c r="G130" i="6"/>
  <c r="C130" i="6"/>
  <c r="AS129" i="6"/>
  <c r="AA129" i="6"/>
  <c r="I129" i="6"/>
  <c r="AS128" i="6"/>
  <c r="AA128" i="6"/>
  <c r="I128" i="6"/>
  <c r="AS127" i="6"/>
  <c r="AM127" i="6"/>
  <c r="AM130" i="6" s="1"/>
  <c r="AA127" i="6"/>
  <c r="I127" i="6"/>
  <c r="BB126" i="6"/>
  <c r="BA126" i="6"/>
  <c r="AY126" i="6"/>
  <c r="AS126" i="6"/>
  <c r="AJ126" i="6"/>
  <c r="AI126" i="6"/>
  <c r="AK126" i="6" s="1"/>
  <c r="AG126" i="6"/>
  <c r="AA126" i="6"/>
  <c r="AB126" i="6" s="1"/>
  <c r="S126" i="6"/>
  <c r="R126" i="6"/>
  <c r="Q126" i="6"/>
  <c r="O126" i="6"/>
  <c r="I126" i="6"/>
  <c r="J126" i="6" s="1"/>
  <c r="BA125" i="6"/>
  <c r="BC125" i="6" s="1"/>
  <c r="AS125" i="6"/>
  <c r="AT125" i="6" s="1"/>
  <c r="AA125" i="6"/>
  <c r="I125" i="6"/>
  <c r="AS124" i="6"/>
  <c r="AA124" i="6"/>
  <c r="I124" i="6"/>
  <c r="AS123" i="6"/>
  <c r="AA123" i="6"/>
  <c r="I123" i="6"/>
  <c r="BB122" i="6"/>
  <c r="BA122" i="6"/>
  <c r="AY122" i="6"/>
  <c r="AS122" i="6"/>
  <c r="AT122" i="6" s="1"/>
  <c r="AK122" i="6"/>
  <c r="AJ122" i="6"/>
  <c r="AI122" i="6"/>
  <c r="AG122" i="6"/>
  <c r="AA122" i="6"/>
  <c r="R122" i="6"/>
  <c r="Q122" i="6"/>
  <c r="S122" i="6" s="1"/>
  <c r="O122" i="6"/>
  <c r="I122" i="6"/>
  <c r="AS121" i="6"/>
  <c r="AA121" i="6"/>
  <c r="AB118" i="6" s="1"/>
  <c r="I121" i="6"/>
  <c r="AS120" i="6"/>
  <c r="AA120" i="6"/>
  <c r="I120" i="6"/>
  <c r="J118" i="6" s="1"/>
  <c r="AS119" i="6"/>
  <c r="AA119" i="6"/>
  <c r="I119" i="6"/>
  <c r="BC118" i="6"/>
  <c r="BB118" i="6"/>
  <c r="BA118" i="6"/>
  <c r="AY118" i="6"/>
  <c r="AT118" i="6"/>
  <c r="AS118" i="6"/>
  <c r="AJ118" i="6"/>
  <c r="AI118" i="6"/>
  <c r="AG118" i="6"/>
  <c r="AA118" i="6"/>
  <c r="S118" i="6"/>
  <c r="R118" i="6"/>
  <c r="Q118" i="6"/>
  <c r="O118" i="6"/>
  <c r="I118" i="6"/>
  <c r="AS117" i="6"/>
  <c r="AA117" i="6"/>
  <c r="I117" i="6"/>
  <c r="AS116" i="6"/>
  <c r="AI116" i="6"/>
  <c r="AA116" i="6"/>
  <c r="AK116" i="6" s="1"/>
  <c r="I116" i="6"/>
  <c r="AS115" i="6"/>
  <c r="AA115" i="6"/>
  <c r="I115" i="6"/>
  <c r="BB114" i="6"/>
  <c r="BA114" i="6"/>
  <c r="BC114" i="6" s="1"/>
  <c r="AY114" i="6"/>
  <c r="AS114" i="6"/>
  <c r="AT114" i="6" s="1"/>
  <c r="AJ114" i="6"/>
  <c r="AI114" i="6"/>
  <c r="AG114" i="6"/>
  <c r="AA114" i="6"/>
  <c r="R114" i="6"/>
  <c r="Q114" i="6"/>
  <c r="S114" i="6" s="1"/>
  <c r="S130" i="6" s="1"/>
  <c r="O114" i="6"/>
  <c r="I114" i="6"/>
  <c r="J114" i="6" s="1"/>
  <c r="AS113" i="6"/>
  <c r="AA113" i="6"/>
  <c r="I113" i="6"/>
  <c r="AS112" i="6"/>
  <c r="AI112" i="6"/>
  <c r="AK112" i="6" s="1"/>
  <c r="AA112" i="6"/>
  <c r="AB112" i="6" s="1"/>
  <c r="I112" i="6"/>
  <c r="AS111" i="6"/>
  <c r="AA111" i="6"/>
  <c r="I111" i="6"/>
  <c r="BB110" i="6"/>
  <c r="BA110" i="6"/>
  <c r="AY110" i="6"/>
  <c r="AS110" i="6"/>
  <c r="AJ110" i="6"/>
  <c r="AI110" i="6"/>
  <c r="AK110" i="6" s="1"/>
  <c r="AG110" i="6"/>
  <c r="AA110" i="6"/>
  <c r="AB110" i="6" s="1"/>
  <c r="S110" i="6"/>
  <c r="R110" i="6"/>
  <c r="Q110" i="6"/>
  <c r="O110" i="6"/>
  <c r="I110" i="6"/>
  <c r="J110" i="6" s="1"/>
  <c r="BA109" i="6"/>
  <c r="BC109" i="6" s="1"/>
  <c r="AS109" i="6"/>
  <c r="AT109" i="6" s="1"/>
  <c r="AA109" i="6"/>
  <c r="I109" i="6"/>
  <c r="AS108" i="6"/>
  <c r="AS107" i="6"/>
  <c r="AT105" i="6" s="1"/>
  <c r="AA107" i="6"/>
  <c r="I107" i="6"/>
  <c r="AS106" i="6"/>
  <c r="AA106" i="6"/>
  <c r="I106" i="6"/>
  <c r="BB105" i="6"/>
  <c r="BA105" i="6"/>
  <c r="AY105" i="6"/>
  <c r="AS105" i="6"/>
  <c r="AK105" i="6"/>
  <c r="AJ105" i="6"/>
  <c r="AI105" i="6"/>
  <c r="AG105" i="6"/>
  <c r="AB105" i="6"/>
  <c r="AA105" i="6"/>
  <c r="R105" i="6"/>
  <c r="Q105" i="6"/>
  <c r="O105" i="6"/>
  <c r="O130" i="6" s="1"/>
  <c r="J105" i="6"/>
  <c r="I105" i="6"/>
  <c r="AZ104" i="6"/>
  <c r="AX104" i="6"/>
  <c r="AV104" i="6"/>
  <c r="AR104" i="6"/>
  <c r="AQ104" i="6"/>
  <c r="AM104" i="6"/>
  <c r="AH104" i="6"/>
  <c r="AF104" i="6"/>
  <c r="AE104" i="6"/>
  <c r="Z104" i="6"/>
  <c r="Y104" i="6"/>
  <c r="U104" i="6"/>
  <c r="P104" i="6"/>
  <c r="N104" i="6"/>
  <c r="M104" i="6"/>
  <c r="H104" i="6"/>
  <c r="G104" i="6"/>
  <c r="C104" i="6"/>
  <c r="AS103" i="6"/>
  <c r="AA103" i="6"/>
  <c r="I103" i="6"/>
  <c r="AS102" i="6"/>
  <c r="AT100" i="6" s="1"/>
  <c r="AA102" i="6"/>
  <c r="I102" i="6"/>
  <c r="AS101" i="6"/>
  <c r="AA101" i="6"/>
  <c r="I101" i="6"/>
  <c r="BB100" i="6"/>
  <c r="BA100" i="6"/>
  <c r="BC100" i="6" s="1"/>
  <c r="AY100" i="6"/>
  <c r="AS100" i="6"/>
  <c r="AK100" i="6"/>
  <c r="AJ100" i="6"/>
  <c r="AI100" i="6"/>
  <c r="AG100" i="6"/>
  <c r="AB100" i="6"/>
  <c r="AA100" i="6"/>
  <c r="R100" i="6"/>
  <c r="Q100" i="6"/>
  <c r="S100" i="6" s="1"/>
  <c r="O100" i="6"/>
  <c r="J100" i="6"/>
  <c r="I100" i="6"/>
  <c r="BC99" i="6"/>
  <c r="BA99" i="6"/>
  <c r="AT99" i="6"/>
  <c r="AS99" i="6"/>
  <c r="AA99" i="6"/>
  <c r="AB96" i="6" s="1"/>
  <c r="I99" i="6"/>
  <c r="AS98" i="6"/>
  <c r="AA98" i="6"/>
  <c r="I98" i="6"/>
  <c r="J96" i="6" s="1"/>
  <c r="AS97" i="6"/>
  <c r="AA97" i="6"/>
  <c r="I97" i="6"/>
  <c r="BB96" i="6"/>
  <c r="BA96" i="6"/>
  <c r="AY96" i="6"/>
  <c r="AT96" i="6"/>
  <c r="BC96" i="6" s="1"/>
  <c r="AS96" i="6"/>
  <c r="AJ96" i="6"/>
  <c r="AI96" i="6"/>
  <c r="AG96" i="6"/>
  <c r="AA96" i="6"/>
  <c r="S96" i="6"/>
  <c r="R96" i="6"/>
  <c r="Q96" i="6"/>
  <c r="O96" i="6"/>
  <c r="I96" i="6"/>
  <c r="AS95" i="6"/>
  <c r="AA95" i="6"/>
  <c r="I95" i="6"/>
  <c r="AS94" i="6"/>
  <c r="AA94" i="6"/>
  <c r="I94" i="6"/>
  <c r="AS93" i="6"/>
  <c r="AA93" i="6"/>
  <c r="I93" i="6"/>
  <c r="BB92" i="6"/>
  <c r="BA92" i="6"/>
  <c r="AY92" i="6"/>
  <c r="AS92" i="6"/>
  <c r="AT92" i="6" s="1"/>
  <c r="BC92" i="6" s="1"/>
  <c r="AJ92" i="6"/>
  <c r="AI92" i="6"/>
  <c r="AK92" i="6" s="1"/>
  <c r="AG92" i="6"/>
  <c r="AA92" i="6"/>
  <c r="AB92" i="6" s="1"/>
  <c r="S92" i="6"/>
  <c r="R92" i="6"/>
  <c r="Q92" i="6"/>
  <c r="O92" i="6"/>
  <c r="I92" i="6"/>
  <c r="J92" i="6" s="1"/>
  <c r="AS91" i="6"/>
  <c r="AA91" i="6"/>
  <c r="I91" i="6"/>
  <c r="AS90" i="6"/>
  <c r="AI90" i="6"/>
  <c r="AK90" i="6" s="1"/>
  <c r="AA90" i="6"/>
  <c r="I90" i="6"/>
  <c r="J88" i="6" s="1"/>
  <c r="AS89" i="6"/>
  <c r="AA89" i="6"/>
  <c r="I89" i="6"/>
  <c r="BC88" i="6"/>
  <c r="BB88" i="6"/>
  <c r="BA88" i="6"/>
  <c r="AY88" i="6"/>
  <c r="AT88" i="6"/>
  <c r="AS88" i="6"/>
  <c r="AJ88" i="6"/>
  <c r="AI88" i="6"/>
  <c r="AK88" i="6" s="1"/>
  <c r="AG88" i="6"/>
  <c r="AB88" i="6"/>
  <c r="AA88" i="6"/>
  <c r="S88" i="6"/>
  <c r="S104" i="6" s="1"/>
  <c r="R88" i="6"/>
  <c r="Q88" i="6"/>
  <c r="O88" i="6"/>
  <c r="I88" i="6"/>
  <c r="AA87" i="6"/>
  <c r="I87" i="6"/>
  <c r="AK86" i="6"/>
  <c r="AI86" i="6"/>
  <c r="AB86" i="6"/>
  <c r="AA86" i="6"/>
  <c r="I86" i="6"/>
  <c r="AA85" i="6"/>
  <c r="I85" i="6"/>
  <c r="BC84" i="6"/>
  <c r="BB84" i="6"/>
  <c r="BA84" i="6"/>
  <c r="AY84" i="6"/>
  <c r="AJ84" i="6"/>
  <c r="AI84" i="6"/>
  <c r="AG84" i="6"/>
  <c r="AA84" i="6"/>
  <c r="R84" i="6"/>
  <c r="Q84" i="6"/>
  <c r="S84" i="6" s="1"/>
  <c r="O84" i="6"/>
  <c r="I84" i="6"/>
  <c r="J84" i="6" s="1"/>
  <c r="BA83" i="6"/>
  <c r="BC83" i="6" s="1"/>
  <c r="AS83" i="6"/>
  <c r="AT83" i="6" s="1"/>
  <c r="AA83" i="6"/>
  <c r="I83" i="6"/>
  <c r="AS82" i="6"/>
  <c r="AS81" i="6"/>
  <c r="AA81" i="6"/>
  <c r="I81" i="6"/>
  <c r="AS80" i="6"/>
  <c r="AA80" i="6"/>
  <c r="I80" i="6"/>
  <c r="BB79" i="6"/>
  <c r="BA79" i="6"/>
  <c r="AY79" i="6"/>
  <c r="AY104" i="6" s="1"/>
  <c r="AT79" i="6"/>
  <c r="AS79" i="6"/>
  <c r="AJ79" i="6"/>
  <c r="AI79" i="6"/>
  <c r="AK79" i="6" s="1"/>
  <c r="AG79" i="6"/>
  <c r="AG104" i="6" s="1"/>
  <c r="AB79" i="6"/>
  <c r="AA79" i="6"/>
  <c r="S79" i="6"/>
  <c r="R79" i="6"/>
  <c r="Q79" i="6"/>
  <c r="O79" i="6"/>
  <c r="J79" i="6"/>
  <c r="J104" i="6" s="1"/>
  <c r="I79" i="6"/>
  <c r="CJ78" i="6"/>
  <c r="CH78" i="6"/>
  <c r="CG78" i="6"/>
  <c r="CB78" i="6"/>
  <c r="CA78" i="6"/>
  <c r="BW78" i="6"/>
  <c r="DZ53" i="6" s="1"/>
  <c r="AZ78" i="6"/>
  <c r="AX78" i="6"/>
  <c r="AV78" i="6"/>
  <c r="AR78" i="6"/>
  <c r="AQ78" i="6"/>
  <c r="AM78" i="6"/>
  <c r="AH78" i="6"/>
  <c r="AF78" i="6"/>
  <c r="AE78" i="6"/>
  <c r="Z78" i="6"/>
  <c r="Y78" i="6"/>
  <c r="U78" i="6"/>
  <c r="P78" i="6"/>
  <c r="N78" i="6"/>
  <c r="M78" i="6"/>
  <c r="H78" i="6"/>
  <c r="G78" i="6"/>
  <c r="C78" i="6"/>
  <c r="AS77" i="6"/>
  <c r="AA77" i="6"/>
  <c r="I77" i="6"/>
  <c r="AS76" i="6"/>
  <c r="AA76" i="6"/>
  <c r="I76" i="6"/>
  <c r="AS75" i="6"/>
  <c r="AA75" i="6"/>
  <c r="I75" i="6"/>
  <c r="DV74" i="6"/>
  <c r="CL74" i="6"/>
  <c r="CK74" i="6"/>
  <c r="CM74" i="6" s="1"/>
  <c r="CI74" i="6"/>
  <c r="CD74" i="6"/>
  <c r="BC74" i="6"/>
  <c r="BB74" i="6"/>
  <c r="BA74" i="6"/>
  <c r="AY74" i="6"/>
  <c r="AS74" i="6"/>
  <c r="AT74" i="6" s="1"/>
  <c r="AJ74" i="6"/>
  <c r="AI74" i="6"/>
  <c r="AK74" i="6" s="1"/>
  <c r="AG74" i="6"/>
  <c r="AA74" i="6"/>
  <c r="AB74" i="6" s="1"/>
  <c r="S74" i="6"/>
  <c r="R74" i="6"/>
  <c r="Q74" i="6"/>
  <c r="O74" i="6"/>
  <c r="I74" i="6"/>
  <c r="J74" i="6" s="1"/>
  <c r="BA73" i="6"/>
  <c r="BC73" i="6" s="1"/>
  <c r="AS73" i="6"/>
  <c r="AT73" i="6" s="1"/>
  <c r="AA73" i="6"/>
  <c r="I73" i="6"/>
  <c r="AS72" i="6"/>
  <c r="AA72" i="6"/>
  <c r="I72" i="6"/>
  <c r="CC71" i="6"/>
  <c r="AS71" i="6"/>
  <c r="I71" i="6"/>
  <c r="CL70" i="6"/>
  <c r="CK70" i="6"/>
  <c r="CC70" i="6"/>
  <c r="CD70" i="6" s="1"/>
  <c r="CM70" i="6" s="1"/>
  <c r="BB70" i="6"/>
  <c r="BA70" i="6"/>
  <c r="BC70" i="6" s="1"/>
  <c r="AY70" i="6"/>
  <c r="AS70" i="6"/>
  <c r="AT70" i="6" s="1"/>
  <c r="AK70" i="6"/>
  <c r="AJ70" i="6"/>
  <c r="AI70" i="6"/>
  <c r="AG70" i="6"/>
  <c r="AA70" i="6"/>
  <c r="R70" i="6"/>
  <c r="Q70" i="6"/>
  <c r="DV70" i="6" s="1"/>
  <c r="O70" i="6"/>
  <c r="I70" i="6"/>
  <c r="BA69" i="6"/>
  <c r="BC69" i="6" s="1"/>
  <c r="AS69" i="6"/>
  <c r="AT69" i="6" s="1"/>
  <c r="AA69" i="6"/>
  <c r="I69" i="6"/>
  <c r="AS68" i="6"/>
  <c r="AA68" i="6"/>
  <c r="I68" i="6"/>
  <c r="CC67" i="6"/>
  <c r="AS67" i="6"/>
  <c r="AA67" i="6"/>
  <c r="I67" i="6"/>
  <c r="CL66" i="6"/>
  <c r="CK66" i="6"/>
  <c r="CI66" i="6"/>
  <c r="CD66" i="6"/>
  <c r="CM66" i="6" s="1"/>
  <c r="CC66" i="6"/>
  <c r="BB66" i="6"/>
  <c r="BA66" i="6"/>
  <c r="BC66" i="6" s="1"/>
  <c r="AY66" i="6"/>
  <c r="AT66" i="6"/>
  <c r="AS66" i="6"/>
  <c r="AK66" i="6"/>
  <c r="AJ66" i="6"/>
  <c r="AI66" i="6"/>
  <c r="AG66" i="6"/>
  <c r="AB66" i="6"/>
  <c r="AA66" i="6"/>
  <c r="R66" i="6"/>
  <c r="Q66" i="6"/>
  <c r="O66" i="6"/>
  <c r="I66" i="6"/>
  <c r="J66" i="6" s="1"/>
  <c r="DU66" i="6" s="1"/>
  <c r="AS65" i="6"/>
  <c r="AA65" i="6"/>
  <c r="I65" i="6"/>
  <c r="AS64" i="6"/>
  <c r="AK64" i="6"/>
  <c r="AI64" i="6"/>
  <c r="AA64" i="6"/>
  <c r="I64" i="6"/>
  <c r="AS63" i="6"/>
  <c r="AA63" i="6"/>
  <c r="I63" i="6"/>
  <c r="CL62" i="6"/>
  <c r="CK62" i="6"/>
  <c r="CM62" i="6" s="1"/>
  <c r="CI62" i="6"/>
  <c r="CC62" i="6"/>
  <c r="CD62" i="6" s="1"/>
  <c r="BB62" i="6"/>
  <c r="BA62" i="6"/>
  <c r="BC62" i="6" s="1"/>
  <c r="AY62" i="6"/>
  <c r="AY78" i="6" s="1"/>
  <c r="AS62" i="6"/>
  <c r="AT62" i="6" s="1"/>
  <c r="AJ62" i="6"/>
  <c r="AI62" i="6"/>
  <c r="AK62" i="6" s="1"/>
  <c r="AG62" i="6"/>
  <c r="AA62" i="6"/>
  <c r="AB62" i="6" s="1"/>
  <c r="R62" i="6"/>
  <c r="Q62" i="6"/>
  <c r="DV62" i="6" s="1"/>
  <c r="O62" i="6"/>
  <c r="I62" i="6"/>
  <c r="J62" i="6" s="1"/>
  <c r="DU62" i="6" s="1"/>
  <c r="DW62" i="6" s="1"/>
  <c r="AA61" i="6"/>
  <c r="AK60" i="6" s="1"/>
  <c r="I61" i="6"/>
  <c r="AI60" i="6"/>
  <c r="AA60" i="6"/>
  <c r="I60" i="6"/>
  <c r="CC59" i="6"/>
  <c r="AA59" i="6"/>
  <c r="I59" i="6"/>
  <c r="CL58" i="6"/>
  <c r="CK58" i="6"/>
  <c r="CM58" i="6" s="1"/>
  <c r="CI58" i="6"/>
  <c r="CD58" i="6"/>
  <c r="CC58" i="6"/>
  <c r="BC58" i="6"/>
  <c r="BB58" i="6"/>
  <c r="BA58" i="6"/>
  <c r="AY58" i="6"/>
  <c r="AK58" i="6"/>
  <c r="AJ58" i="6"/>
  <c r="AI58" i="6"/>
  <c r="AG58" i="6"/>
  <c r="AB58" i="6"/>
  <c r="AA58" i="6"/>
  <c r="R58" i="6"/>
  <c r="Q58" i="6"/>
  <c r="S58" i="6" s="1"/>
  <c r="O58" i="6"/>
  <c r="J58" i="6"/>
  <c r="DU58" i="6" s="1"/>
  <c r="I58" i="6"/>
  <c r="BC57" i="6"/>
  <c r="BA57" i="6"/>
  <c r="AT57" i="6"/>
  <c r="AS57" i="6"/>
  <c r="AA57" i="6"/>
  <c r="I57" i="6"/>
  <c r="AS56" i="6"/>
  <c r="AS55" i="6"/>
  <c r="AA55" i="6"/>
  <c r="I55" i="6"/>
  <c r="AS54" i="6"/>
  <c r="AA54" i="6"/>
  <c r="I54" i="6"/>
  <c r="CL53" i="6"/>
  <c r="CK53" i="6"/>
  <c r="CK78" i="6" s="1"/>
  <c r="CI53" i="6"/>
  <c r="CI78" i="6" s="1"/>
  <c r="CC53" i="6"/>
  <c r="BB53" i="6"/>
  <c r="BA53" i="6"/>
  <c r="BA78" i="6" s="1"/>
  <c r="AY53" i="6"/>
  <c r="AS53" i="6"/>
  <c r="AT53" i="6" s="1"/>
  <c r="AJ53" i="6"/>
  <c r="AI53" i="6"/>
  <c r="AI78" i="6" s="1"/>
  <c r="AG53" i="6"/>
  <c r="AA53" i="6"/>
  <c r="R53" i="6"/>
  <c r="Q53" i="6"/>
  <c r="DV53" i="6" s="1"/>
  <c r="O53" i="6"/>
  <c r="I53" i="6"/>
  <c r="CJ52" i="6"/>
  <c r="CH52" i="6"/>
  <c r="CG52" i="6"/>
  <c r="CB52" i="6"/>
  <c r="CA52" i="6"/>
  <c r="BW52" i="6"/>
  <c r="BR52" i="6"/>
  <c r="BP52" i="6"/>
  <c r="BO52" i="6"/>
  <c r="BJ52" i="6"/>
  <c r="BI52" i="6"/>
  <c r="BE52" i="6"/>
  <c r="AZ52" i="6"/>
  <c r="AX52" i="6"/>
  <c r="AV52" i="6"/>
  <c r="AR52" i="6"/>
  <c r="AQ52" i="6"/>
  <c r="AM52" i="6"/>
  <c r="AH52" i="6"/>
  <c r="AF52" i="6"/>
  <c r="AE52" i="6"/>
  <c r="Z52" i="6"/>
  <c r="Y52" i="6"/>
  <c r="U52" i="6"/>
  <c r="P52" i="6"/>
  <c r="N52" i="6"/>
  <c r="M52" i="6"/>
  <c r="H52" i="6"/>
  <c r="G52" i="6"/>
  <c r="C52" i="6"/>
  <c r="CC51" i="6"/>
  <c r="BK51" i="6"/>
  <c r="AS51" i="6"/>
  <c r="AA51" i="6"/>
  <c r="I51" i="6"/>
  <c r="CC50" i="6"/>
  <c r="BK50" i="6"/>
  <c r="AS50" i="6"/>
  <c r="AA50" i="6"/>
  <c r="AB48" i="6" s="1"/>
  <c r="AK48" i="6" s="1"/>
  <c r="I50" i="6"/>
  <c r="CC49" i="6"/>
  <c r="BK49" i="6"/>
  <c r="AS49" i="6"/>
  <c r="AA49" i="6"/>
  <c r="I49" i="6"/>
  <c r="CL48" i="6"/>
  <c r="CK48" i="6"/>
  <c r="CI48" i="6"/>
  <c r="CC48" i="6"/>
  <c r="CD48" i="6" s="1"/>
  <c r="BT48" i="6"/>
  <c r="BS48" i="6"/>
  <c r="BQ48" i="6"/>
  <c r="BL48" i="6"/>
  <c r="BU48" i="6" s="1"/>
  <c r="BK48" i="6"/>
  <c r="BB48" i="6"/>
  <c r="BA48" i="6"/>
  <c r="BC48" i="6" s="1"/>
  <c r="AY48" i="6"/>
  <c r="AS48" i="6"/>
  <c r="AT48" i="6" s="1"/>
  <c r="AJ48" i="6"/>
  <c r="AI48" i="6"/>
  <c r="AG48" i="6"/>
  <c r="AA48" i="6"/>
  <c r="R48" i="6"/>
  <c r="Q48" i="6"/>
  <c r="S48" i="6" s="1"/>
  <c r="O48" i="6"/>
  <c r="I48" i="6"/>
  <c r="J48" i="6" s="1"/>
  <c r="CC47" i="6"/>
  <c r="BK47" i="6"/>
  <c r="BA47" i="6"/>
  <c r="AT47" i="6"/>
  <c r="AS47" i="6"/>
  <c r="AA47" i="6"/>
  <c r="I47" i="6"/>
  <c r="CC46" i="6"/>
  <c r="CD44" i="6" s="1"/>
  <c r="BK46" i="6"/>
  <c r="AS46" i="6"/>
  <c r="AA46" i="6"/>
  <c r="I46" i="6"/>
  <c r="J44" i="6" s="1"/>
  <c r="DU44" i="6" s="1"/>
  <c r="DW44" i="6" s="1"/>
  <c r="CC45" i="6"/>
  <c r="BK45" i="6"/>
  <c r="AS45" i="6"/>
  <c r="AA45" i="6"/>
  <c r="I45" i="6"/>
  <c r="CL44" i="6"/>
  <c r="CK44" i="6"/>
  <c r="CI44" i="6"/>
  <c r="CC44" i="6"/>
  <c r="BT44" i="6"/>
  <c r="BS44" i="6"/>
  <c r="BQ44" i="6"/>
  <c r="BL44" i="6"/>
  <c r="BU44" i="6" s="1"/>
  <c r="BK44" i="6"/>
  <c r="BB44" i="6"/>
  <c r="BA44" i="6"/>
  <c r="BC44" i="6" s="1"/>
  <c r="AY44" i="6"/>
  <c r="AT44" i="6"/>
  <c r="AS44" i="6"/>
  <c r="AJ44" i="6"/>
  <c r="AI44" i="6"/>
  <c r="AG44" i="6"/>
  <c r="AB44" i="6"/>
  <c r="AK44" i="6" s="1"/>
  <c r="AA44" i="6"/>
  <c r="R44" i="6"/>
  <c r="Q44" i="6"/>
  <c r="DV44" i="6" s="1"/>
  <c r="O44" i="6"/>
  <c r="I44" i="6"/>
  <c r="CC43" i="6"/>
  <c r="BK43" i="6"/>
  <c r="BA43" i="6"/>
  <c r="AT43" i="6"/>
  <c r="BC43" i="6" s="1"/>
  <c r="AS43" i="6"/>
  <c r="AA43" i="6"/>
  <c r="I43" i="6"/>
  <c r="CC42" i="6"/>
  <c r="BK42" i="6"/>
  <c r="AS42" i="6"/>
  <c r="AA42" i="6"/>
  <c r="I42" i="6"/>
  <c r="CC41" i="6"/>
  <c r="CD40" i="6" s="1"/>
  <c r="BK41" i="6"/>
  <c r="AS41" i="6"/>
  <c r="AA41" i="6"/>
  <c r="I41" i="6"/>
  <c r="J40" i="6" s="1"/>
  <c r="DU40" i="6" s="1"/>
  <c r="CL40" i="6"/>
  <c r="CK40" i="6"/>
  <c r="CM40" i="6" s="1"/>
  <c r="CI40" i="6"/>
  <c r="CC40" i="6"/>
  <c r="BT40" i="6"/>
  <c r="BS40" i="6"/>
  <c r="BQ40" i="6"/>
  <c r="BL40" i="6"/>
  <c r="BU40" i="6" s="1"/>
  <c r="BK40" i="6"/>
  <c r="BB40" i="6"/>
  <c r="BA40" i="6"/>
  <c r="BC40" i="6" s="1"/>
  <c r="AY40" i="6"/>
  <c r="AT40" i="6"/>
  <c r="AS40" i="6"/>
  <c r="AK40" i="6"/>
  <c r="AJ40" i="6"/>
  <c r="AI40" i="6"/>
  <c r="AG40" i="6"/>
  <c r="AB40" i="6"/>
  <c r="AA40" i="6"/>
  <c r="R40" i="6"/>
  <c r="Q40" i="6"/>
  <c r="DV40" i="6" s="1"/>
  <c r="O40" i="6"/>
  <c r="I40" i="6"/>
  <c r="CC39" i="6"/>
  <c r="CD36" i="6" s="1"/>
  <c r="BK39" i="6"/>
  <c r="AS39" i="6"/>
  <c r="AA39" i="6"/>
  <c r="I39" i="6"/>
  <c r="J36" i="6" s="1"/>
  <c r="CC38" i="6"/>
  <c r="BK38" i="6"/>
  <c r="AS38" i="6"/>
  <c r="AK38" i="6"/>
  <c r="AI38" i="6"/>
  <c r="AA38" i="6"/>
  <c r="I38" i="6"/>
  <c r="CC37" i="6"/>
  <c r="BK37" i="6"/>
  <c r="AS37" i="6"/>
  <c r="AA37" i="6"/>
  <c r="I37" i="6"/>
  <c r="CM36" i="6"/>
  <c r="CL36" i="6"/>
  <c r="CK36" i="6"/>
  <c r="CI36" i="6"/>
  <c r="CC36" i="6"/>
  <c r="BT36" i="6"/>
  <c r="BS36" i="6"/>
  <c r="BU36" i="6" s="1"/>
  <c r="BQ36" i="6"/>
  <c r="BK36" i="6"/>
  <c r="BL36" i="6" s="1"/>
  <c r="BC36" i="6"/>
  <c r="BB36" i="6"/>
  <c r="BA36" i="6"/>
  <c r="AY36" i="6"/>
  <c r="AT36" i="6"/>
  <c r="AS36" i="6"/>
  <c r="AJ36" i="6"/>
  <c r="AI36" i="6"/>
  <c r="AK36" i="6" s="1"/>
  <c r="AG36" i="6"/>
  <c r="AA36" i="6"/>
  <c r="AB36" i="6" s="1"/>
  <c r="R36" i="6"/>
  <c r="Q36" i="6"/>
  <c r="DV36" i="6" s="1"/>
  <c r="O36" i="6"/>
  <c r="I36" i="6"/>
  <c r="CC35" i="6"/>
  <c r="BK35" i="6"/>
  <c r="AS35" i="6"/>
  <c r="AA35" i="6"/>
  <c r="I35" i="6"/>
  <c r="CC34" i="6"/>
  <c r="CD32" i="6" s="1"/>
  <c r="BK34" i="6"/>
  <c r="AS34" i="6"/>
  <c r="AA34" i="6"/>
  <c r="I34" i="6"/>
  <c r="CC33" i="6"/>
  <c r="BK33" i="6"/>
  <c r="BC33" i="6"/>
  <c r="BA33" i="6"/>
  <c r="AT33" i="6"/>
  <c r="AS33" i="6"/>
  <c r="AA33" i="6"/>
  <c r="I33" i="6"/>
  <c r="J32" i="6" s="1"/>
  <c r="DU32" i="6" s="1"/>
  <c r="DW32" i="6" s="1"/>
  <c r="CL32" i="6"/>
  <c r="CK32" i="6"/>
  <c r="CI32" i="6"/>
  <c r="CC32" i="6"/>
  <c r="BT32" i="6"/>
  <c r="BS32" i="6"/>
  <c r="BQ32" i="6"/>
  <c r="BL32" i="6"/>
  <c r="BU32" i="6" s="1"/>
  <c r="BK32" i="6"/>
  <c r="BB32" i="6"/>
  <c r="BA32" i="6"/>
  <c r="BC32" i="6" s="1"/>
  <c r="AY32" i="6"/>
  <c r="AT32" i="6"/>
  <c r="AS32" i="6"/>
  <c r="AJ32" i="6"/>
  <c r="AI32" i="6"/>
  <c r="AG32" i="6"/>
  <c r="AB32" i="6"/>
  <c r="AK32" i="6" s="1"/>
  <c r="AA32" i="6"/>
  <c r="R32" i="6"/>
  <c r="Q32" i="6"/>
  <c r="DV32" i="6" s="1"/>
  <c r="O32" i="6"/>
  <c r="I32" i="6"/>
  <c r="CC31" i="6"/>
  <c r="BK31" i="6"/>
  <c r="AS31" i="6"/>
  <c r="AA31" i="6"/>
  <c r="I31" i="6"/>
  <c r="CC30" i="6"/>
  <c r="BK30" i="6"/>
  <c r="AS30" i="6"/>
  <c r="AA30" i="6"/>
  <c r="AB28" i="6" s="1"/>
  <c r="AB52" i="6" s="1"/>
  <c r="I30" i="6"/>
  <c r="CC29" i="6"/>
  <c r="BK29" i="6"/>
  <c r="AS29" i="6"/>
  <c r="AA29" i="6"/>
  <c r="I29" i="6"/>
  <c r="DZ28" i="6"/>
  <c r="CL28" i="6"/>
  <c r="CK28" i="6"/>
  <c r="CI28" i="6"/>
  <c r="CI52" i="6" s="1"/>
  <c r="CC28" i="6"/>
  <c r="CC52" i="6" s="1"/>
  <c r="BT28" i="6"/>
  <c r="BS28" i="6"/>
  <c r="BS52" i="6" s="1"/>
  <c r="BQ28" i="6"/>
  <c r="BQ52" i="6" s="1"/>
  <c r="BL28" i="6"/>
  <c r="BK28" i="6"/>
  <c r="BB28" i="6"/>
  <c r="BA28" i="6"/>
  <c r="BA52" i="6" s="1"/>
  <c r="AY28" i="6"/>
  <c r="AS28" i="6"/>
  <c r="AS52" i="6" s="1"/>
  <c r="AK28" i="6"/>
  <c r="AJ28" i="6"/>
  <c r="AI28" i="6"/>
  <c r="AI52" i="6" s="1"/>
  <c r="AG28" i="6"/>
  <c r="AG52" i="6" s="1"/>
  <c r="AA28" i="6"/>
  <c r="R28" i="6"/>
  <c r="Q28" i="6"/>
  <c r="S28" i="6" s="1"/>
  <c r="O28" i="6"/>
  <c r="O52" i="6" s="1"/>
  <c r="I28" i="6"/>
  <c r="I52" i="6" s="1"/>
  <c r="CJ27" i="6"/>
  <c r="CH27" i="6"/>
  <c r="CG27" i="6"/>
  <c r="CB27" i="6"/>
  <c r="CA27" i="6"/>
  <c r="BW27" i="6"/>
  <c r="BR27" i="6"/>
  <c r="BP27" i="6"/>
  <c r="BO27" i="6"/>
  <c r="BJ27" i="6"/>
  <c r="BI27" i="6"/>
  <c r="BE27" i="6"/>
  <c r="AZ27" i="6"/>
  <c r="AX27" i="6"/>
  <c r="AV27" i="6"/>
  <c r="AR27" i="6"/>
  <c r="AQ27" i="6"/>
  <c r="AM27" i="6"/>
  <c r="AH27" i="6"/>
  <c r="AF27" i="6"/>
  <c r="AE27" i="6"/>
  <c r="Z27" i="6"/>
  <c r="Y27" i="6"/>
  <c r="U27" i="6"/>
  <c r="P27" i="6"/>
  <c r="N27" i="6"/>
  <c r="M27" i="6"/>
  <c r="H27" i="6"/>
  <c r="G27" i="6"/>
  <c r="C27" i="6"/>
  <c r="CC26" i="6"/>
  <c r="BK26" i="6"/>
  <c r="AS26" i="6"/>
  <c r="AA26" i="6"/>
  <c r="I26" i="6"/>
  <c r="CC25" i="6"/>
  <c r="CD23" i="6" s="1"/>
  <c r="BK25" i="6"/>
  <c r="AS25" i="6"/>
  <c r="AA25" i="6"/>
  <c r="I25" i="6"/>
  <c r="CC24" i="6"/>
  <c r="BK24" i="6"/>
  <c r="AS24" i="6"/>
  <c r="AT23" i="6" s="1"/>
  <c r="AA24" i="6"/>
  <c r="I24" i="6"/>
  <c r="CL23" i="6"/>
  <c r="CK23" i="6"/>
  <c r="CM23" i="6" s="1"/>
  <c r="CI23" i="6"/>
  <c r="CC23" i="6"/>
  <c r="BT23" i="6"/>
  <c r="BS23" i="6"/>
  <c r="BQ23" i="6"/>
  <c r="BL23" i="6"/>
  <c r="BU23" i="6" s="1"/>
  <c r="BK23" i="6"/>
  <c r="BB23" i="6"/>
  <c r="BA23" i="6"/>
  <c r="AY23" i="6"/>
  <c r="AS23" i="6"/>
  <c r="AK23" i="6"/>
  <c r="AJ23" i="6"/>
  <c r="AI23" i="6"/>
  <c r="AG23" i="6"/>
  <c r="AB23" i="6"/>
  <c r="AA23" i="6"/>
  <c r="R23" i="6"/>
  <c r="Q23" i="6"/>
  <c r="DV23" i="6" s="1"/>
  <c r="O23" i="6"/>
  <c r="I23" i="6"/>
  <c r="J23" i="6" s="1"/>
  <c r="CC22" i="6"/>
  <c r="BK22" i="6"/>
  <c r="AS22" i="6"/>
  <c r="AA22" i="6"/>
  <c r="I22" i="6"/>
  <c r="CC21" i="6"/>
  <c r="BK21" i="6"/>
  <c r="AS21" i="6"/>
  <c r="AA21" i="6"/>
  <c r="I21" i="6"/>
  <c r="CC20" i="6"/>
  <c r="BK20" i="6"/>
  <c r="AS20" i="6"/>
  <c r="AA20" i="6"/>
  <c r="I20" i="6"/>
  <c r="CL19" i="6"/>
  <c r="CK19" i="6"/>
  <c r="CI19" i="6"/>
  <c r="CC19" i="6"/>
  <c r="CD19" i="6" s="1"/>
  <c r="BT19" i="6"/>
  <c r="BS19" i="6"/>
  <c r="BQ19" i="6"/>
  <c r="BL19" i="6"/>
  <c r="BU19" i="6" s="1"/>
  <c r="BK19" i="6"/>
  <c r="BB19" i="6"/>
  <c r="BA19" i="6"/>
  <c r="AY19" i="6"/>
  <c r="AS19" i="6"/>
  <c r="AT19" i="6" s="1"/>
  <c r="AK19" i="6"/>
  <c r="AJ19" i="6"/>
  <c r="AI19" i="6"/>
  <c r="AG19" i="6"/>
  <c r="AB19" i="6"/>
  <c r="AA19" i="6"/>
  <c r="R19" i="6"/>
  <c r="Q19" i="6"/>
  <c r="DV19" i="6" s="1"/>
  <c r="O19" i="6"/>
  <c r="I19" i="6"/>
  <c r="J19" i="6" s="1"/>
  <c r="CC18" i="6"/>
  <c r="BK18" i="6"/>
  <c r="AS18" i="6"/>
  <c r="AA18" i="6"/>
  <c r="I18" i="6"/>
  <c r="CC17" i="6"/>
  <c r="BK17" i="6"/>
  <c r="AS17" i="6"/>
  <c r="AA17" i="6"/>
  <c r="I17" i="6"/>
  <c r="CC16" i="6"/>
  <c r="BK16" i="6"/>
  <c r="BC16" i="6"/>
  <c r="BA16" i="6"/>
  <c r="AS16" i="6"/>
  <c r="AT16" i="6" s="1"/>
  <c r="AA16" i="6"/>
  <c r="I16" i="6"/>
  <c r="CL15" i="6"/>
  <c r="CK15" i="6"/>
  <c r="CI15" i="6"/>
  <c r="CC15" i="6"/>
  <c r="CD15" i="6" s="1"/>
  <c r="BU15" i="6"/>
  <c r="BT15" i="6"/>
  <c r="BS15" i="6"/>
  <c r="BQ15" i="6"/>
  <c r="BK15" i="6"/>
  <c r="BL15" i="6" s="1"/>
  <c r="BB15" i="6"/>
  <c r="BA15" i="6"/>
  <c r="BC15" i="6" s="1"/>
  <c r="AY15" i="6"/>
  <c r="AS15" i="6"/>
  <c r="AT15" i="6" s="1"/>
  <c r="AJ15" i="6"/>
  <c r="AI15" i="6"/>
  <c r="AG15" i="6"/>
  <c r="AA15" i="6"/>
  <c r="AB15" i="6" s="1"/>
  <c r="AK15" i="6" s="1"/>
  <c r="R15" i="6"/>
  <c r="Q15" i="6"/>
  <c r="DV15" i="6" s="1"/>
  <c r="O15" i="6"/>
  <c r="I15" i="6"/>
  <c r="J15" i="6" s="1"/>
  <c r="CC14" i="6"/>
  <c r="BK14" i="6"/>
  <c r="AS14" i="6"/>
  <c r="AA14" i="6"/>
  <c r="I14" i="6"/>
  <c r="CC13" i="6"/>
  <c r="BK13" i="6"/>
  <c r="AS13" i="6"/>
  <c r="AA13" i="6"/>
  <c r="I13" i="6"/>
  <c r="CC12" i="6"/>
  <c r="BK12" i="6"/>
  <c r="AS12" i="6"/>
  <c r="AA12" i="6"/>
  <c r="I12" i="6"/>
  <c r="CL11" i="6"/>
  <c r="CK11" i="6"/>
  <c r="CI11" i="6"/>
  <c r="CC11" i="6"/>
  <c r="CD11" i="6" s="1"/>
  <c r="BT11" i="6"/>
  <c r="BS11" i="6"/>
  <c r="BQ11" i="6"/>
  <c r="BL11" i="6"/>
  <c r="BU11" i="6" s="1"/>
  <c r="BK11" i="6"/>
  <c r="BB11" i="6"/>
  <c r="BA11" i="6"/>
  <c r="AY11" i="6"/>
  <c r="AS11" i="6"/>
  <c r="AT11" i="6" s="1"/>
  <c r="AK11" i="6"/>
  <c r="AJ11" i="6"/>
  <c r="AI11" i="6"/>
  <c r="AG11" i="6"/>
  <c r="AB11" i="6"/>
  <c r="AA11" i="6"/>
  <c r="R11" i="6"/>
  <c r="Q11" i="6"/>
  <c r="DV11" i="6" s="1"/>
  <c r="O11" i="6"/>
  <c r="I11" i="6"/>
  <c r="J11" i="6" s="1"/>
  <c r="CC10" i="6"/>
  <c r="BK10" i="6"/>
  <c r="AS10" i="6"/>
  <c r="AA10" i="6"/>
  <c r="I10" i="6"/>
  <c r="CC9" i="6"/>
  <c r="BK9" i="6"/>
  <c r="AS9" i="6"/>
  <c r="AA9" i="6"/>
  <c r="I9" i="6"/>
  <c r="CC8" i="6"/>
  <c r="BK8" i="6"/>
  <c r="BA8" i="6"/>
  <c r="BC8" i="6" s="1"/>
  <c r="AT8" i="6"/>
  <c r="AS8" i="6"/>
  <c r="AA8" i="6"/>
  <c r="I8" i="6"/>
  <c r="CM7" i="6"/>
  <c r="CL7" i="6"/>
  <c r="CK7" i="6"/>
  <c r="CI7" i="6"/>
  <c r="CD7" i="6"/>
  <c r="CC7" i="6"/>
  <c r="BT7" i="6"/>
  <c r="BS7" i="6"/>
  <c r="BU7" i="6" s="1"/>
  <c r="BQ7" i="6"/>
  <c r="BK7" i="6"/>
  <c r="BL7" i="6" s="1"/>
  <c r="BC7" i="6"/>
  <c r="BB7" i="6"/>
  <c r="BA7" i="6"/>
  <c r="AY7" i="6"/>
  <c r="AS7" i="6"/>
  <c r="AT7" i="6" s="1"/>
  <c r="AJ7" i="6"/>
  <c r="AI7" i="6"/>
  <c r="AK7" i="6" s="1"/>
  <c r="AG7" i="6"/>
  <c r="AA7" i="6"/>
  <c r="AB7" i="6" s="1"/>
  <c r="R7" i="6"/>
  <c r="Q7" i="6"/>
  <c r="DV7" i="6" s="1"/>
  <c r="O7" i="6"/>
  <c r="I7" i="6"/>
  <c r="J7" i="6" s="1"/>
  <c r="CC6" i="6"/>
  <c r="BK6" i="6"/>
  <c r="AS6" i="6"/>
  <c r="AA6" i="6"/>
  <c r="I6" i="6"/>
  <c r="CC5" i="6"/>
  <c r="BK5" i="6"/>
  <c r="BA5" i="6"/>
  <c r="AS5" i="6"/>
  <c r="AT5" i="6" s="1"/>
  <c r="BC5" i="6" s="1"/>
  <c r="AA5" i="6"/>
  <c r="I5" i="6"/>
  <c r="CC4" i="6"/>
  <c r="BK4" i="6"/>
  <c r="AS4" i="6"/>
  <c r="AA4" i="6"/>
  <c r="I4" i="6"/>
  <c r="DZ3" i="6"/>
  <c r="CM3" i="6"/>
  <c r="CL3" i="6"/>
  <c r="CK3" i="6"/>
  <c r="CK27" i="6" s="1"/>
  <c r="CI3" i="6"/>
  <c r="CI27" i="6" s="1"/>
  <c r="CC3" i="6"/>
  <c r="CC27" i="6" s="1"/>
  <c r="BT3" i="6"/>
  <c r="BS3" i="6"/>
  <c r="BS27" i="6" s="1"/>
  <c r="BQ3" i="6"/>
  <c r="BQ27" i="6" s="1"/>
  <c r="BK3" i="6"/>
  <c r="BL3" i="6" s="1"/>
  <c r="BL27" i="6" s="1"/>
  <c r="BB3" i="6"/>
  <c r="BA3" i="6"/>
  <c r="BA27" i="6" s="1"/>
  <c r="AY3" i="6"/>
  <c r="AY27" i="6" s="1"/>
  <c r="AS3" i="6"/>
  <c r="AT3" i="6" s="1"/>
  <c r="AJ3" i="6"/>
  <c r="AI3" i="6"/>
  <c r="AK3" i="6" s="1"/>
  <c r="AG3" i="6"/>
  <c r="AG27" i="6" s="1"/>
  <c r="AA3" i="6"/>
  <c r="AA27" i="6" s="1"/>
  <c r="R3" i="6"/>
  <c r="Q3" i="6"/>
  <c r="Q27" i="6" s="1"/>
  <c r="O3" i="6"/>
  <c r="O27" i="6" s="1"/>
  <c r="I3" i="6"/>
  <c r="I27" i="6" s="1"/>
  <c r="J119" i="10"/>
  <c r="J118" i="10"/>
  <c r="I119" i="10"/>
  <c r="I118" i="10"/>
  <c r="F119" i="10"/>
  <c r="F118" i="10"/>
  <c r="E119" i="10"/>
  <c r="E118" i="10"/>
  <c r="D119" i="10"/>
  <c r="D118" i="10"/>
  <c r="I117" i="10"/>
  <c r="J114" i="10"/>
  <c r="J113" i="10"/>
  <c r="I114" i="10"/>
  <c r="I113" i="10"/>
  <c r="F114" i="10"/>
  <c r="F113" i="10"/>
  <c r="E114" i="10"/>
  <c r="E113" i="10"/>
  <c r="J112" i="10"/>
  <c r="J109" i="10"/>
  <c r="J108" i="10"/>
  <c r="I109" i="10"/>
  <c r="I108" i="10"/>
  <c r="F109" i="10"/>
  <c r="F108" i="10"/>
  <c r="E109" i="10"/>
  <c r="E108" i="10"/>
  <c r="D109" i="10"/>
  <c r="D108" i="10"/>
  <c r="I107" i="10"/>
  <c r="J104" i="10"/>
  <c r="J103" i="10"/>
  <c r="I104" i="10"/>
  <c r="I103" i="10"/>
  <c r="F104" i="10"/>
  <c r="F103" i="10"/>
  <c r="E104" i="10"/>
  <c r="E103" i="10"/>
  <c r="D104" i="10"/>
  <c r="L104" i="10" s="1"/>
  <c r="D103" i="10"/>
  <c r="J102" i="10"/>
  <c r="I102" i="10"/>
  <c r="E102" i="10"/>
  <c r="D102" i="10"/>
  <c r="J99" i="10"/>
  <c r="J98" i="10"/>
  <c r="I99" i="10"/>
  <c r="I98" i="10"/>
  <c r="F99" i="10"/>
  <c r="F98" i="10"/>
  <c r="E99" i="10"/>
  <c r="E98" i="10"/>
  <c r="D99" i="10"/>
  <c r="L99" i="10" s="1"/>
  <c r="D98" i="10"/>
  <c r="F97" i="10"/>
  <c r="E97" i="10"/>
  <c r="J94" i="10"/>
  <c r="J93" i="10"/>
  <c r="I94" i="10"/>
  <c r="I93" i="10"/>
  <c r="F94" i="10"/>
  <c r="F93" i="10"/>
  <c r="E94" i="10"/>
  <c r="E93" i="10"/>
  <c r="D94" i="10"/>
  <c r="L94" i="10" s="1"/>
  <c r="D93" i="10"/>
  <c r="I92" i="10"/>
  <c r="E92" i="10"/>
  <c r="J89" i="10"/>
  <c r="J88" i="10"/>
  <c r="I89" i="10"/>
  <c r="I88" i="10"/>
  <c r="F89" i="10"/>
  <c r="F88" i="10"/>
  <c r="E89" i="10"/>
  <c r="E88" i="10"/>
  <c r="D89" i="10"/>
  <c r="D88" i="10"/>
  <c r="E87" i="10"/>
  <c r="J84" i="10"/>
  <c r="J83" i="10"/>
  <c r="I84" i="10"/>
  <c r="I83" i="10"/>
  <c r="F84" i="10"/>
  <c r="F83" i="10"/>
  <c r="D84" i="10"/>
  <c r="D83" i="10"/>
  <c r="I82" i="10"/>
  <c r="J79" i="10"/>
  <c r="J78" i="10"/>
  <c r="I79" i="10"/>
  <c r="I78" i="10"/>
  <c r="F79" i="10"/>
  <c r="F78" i="10"/>
  <c r="E79" i="10"/>
  <c r="E78" i="10"/>
  <c r="D79" i="10"/>
  <c r="D78" i="10"/>
  <c r="J70" i="10"/>
  <c r="J69" i="10"/>
  <c r="J68" i="10"/>
  <c r="J67" i="10"/>
  <c r="I69" i="10"/>
  <c r="I68" i="10"/>
  <c r="I67" i="10"/>
  <c r="F69" i="10"/>
  <c r="F68" i="10"/>
  <c r="E70" i="10"/>
  <c r="E69" i="10"/>
  <c r="E68" i="10"/>
  <c r="D69" i="10"/>
  <c r="L69" i="10" s="1"/>
  <c r="D68" i="10"/>
  <c r="D67" i="10"/>
  <c r="J71" i="10"/>
  <c r="I70" i="10"/>
  <c r="F70" i="10"/>
  <c r="F67" i="10"/>
  <c r="D70" i="10"/>
  <c r="F71" i="10"/>
  <c r="D71" i="10"/>
  <c r="F64" i="10"/>
  <c r="F63" i="10"/>
  <c r="F62" i="10"/>
  <c r="E65" i="10"/>
  <c r="E64" i="10"/>
  <c r="E63" i="10"/>
  <c r="E62" i="10"/>
  <c r="D64" i="10"/>
  <c r="L64" i="10" s="1"/>
  <c r="D63" i="10"/>
  <c r="D62" i="10"/>
  <c r="D65" i="10"/>
  <c r="L65" i="10" s="1"/>
  <c r="F66" i="10"/>
  <c r="F65" i="10"/>
  <c r="E66" i="10"/>
  <c r="F59" i="10"/>
  <c r="F58" i="10"/>
  <c r="F57" i="10"/>
  <c r="E59" i="10"/>
  <c r="E58" i="10"/>
  <c r="E57" i="10"/>
  <c r="D59" i="10"/>
  <c r="L59" i="10" s="1"/>
  <c r="D58" i="10"/>
  <c r="D57" i="10"/>
  <c r="E60" i="10"/>
  <c r="F60" i="10"/>
  <c r="F61" i="10"/>
  <c r="E61" i="10"/>
  <c r="D61" i="10"/>
  <c r="D60" i="10"/>
  <c r="F54" i="10"/>
  <c r="F52" i="10"/>
  <c r="E54" i="10"/>
  <c r="E53" i="10"/>
  <c r="E52" i="10"/>
  <c r="D54" i="10"/>
  <c r="D53" i="10"/>
  <c r="D52" i="10"/>
  <c r="L52" i="10" s="1"/>
  <c r="F56" i="10"/>
  <c r="F55" i="10"/>
  <c r="E56" i="10"/>
  <c r="E55" i="10"/>
  <c r="D56" i="10"/>
  <c r="D55" i="10"/>
  <c r="F53" i="10"/>
  <c r="F49" i="10"/>
  <c r="F48" i="10"/>
  <c r="F47" i="10"/>
  <c r="E51" i="10"/>
  <c r="E50" i="10"/>
  <c r="E49" i="10"/>
  <c r="E48" i="10"/>
  <c r="E47" i="10"/>
  <c r="D50" i="10"/>
  <c r="D49" i="10"/>
  <c r="L49" i="10" s="1"/>
  <c r="D48" i="10"/>
  <c r="D47" i="10"/>
  <c r="F50" i="10"/>
  <c r="F44" i="10"/>
  <c r="F43" i="10"/>
  <c r="F42" i="10"/>
  <c r="E44" i="10"/>
  <c r="E43" i="10"/>
  <c r="E42" i="10"/>
  <c r="D44" i="10"/>
  <c r="L44" i="10" s="1"/>
  <c r="D43" i="10"/>
  <c r="D42" i="10"/>
  <c r="F46" i="10"/>
  <c r="F45" i="10"/>
  <c r="E45" i="10"/>
  <c r="D46" i="10"/>
  <c r="D45" i="10"/>
  <c r="F40" i="10"/>
  <c r="F39" i="10"/>
  <c r="F38" i="10"/>
  <c r="F37" i="10"/>
  <c r="E39" i="10"/>
  <c r="E38" i="10"/>
  <c r="E37" i="10"/>
  <c r="D39" i="10"/>
  <c r="D38" i="10"/>
  <c r="D37" i="10"/>
  <c r="D40" i="10"/>
  <c r="F41" i="10"/>
  <c r="E40" i="10"/>
  <c r="F34" i="10"/>
  <c r="F33" i="10"/>
  <c r="F32" i="10"/>
  <c r="E34" i="10"/>
  <c r="E33" i="10"/>
  <c r="E32" i="10"/>
  <c r="D34" i="10"/>
  <c r="D33" i="10"/>
  <c r="L33" i="10" s="1"/>
  <c r="D32" i="10"/>
  <c r="F35" i="10"/>
  <c r="E35" i="10"/>
  <c r="E36" i="10"/>
  <c r="D36" i="10"/>
  <c r="D35" i="10"/>
  <c r="F29" i="10"/>
  <c r="F27" i="10"/>
  <c r="E29" i="10"/>
  <c r="E28" i="10"/>
  <c r="E27" i="10"/>
  <c r="D29" i="10"/>
  <c r="D28" i="10"/>
  <c r="D27" i="10"/>
  <c r="F30" i="10"/>
  <c r="E31" i="10"/>
  <c r="E30" i="10"/>
  <c r="D31" i="10"/>
  <c r="D30" i="10"/>
  <c r="L30" i="10" s="1"/>
  <c r="F24" i="10"/>
  <c r="F23" i="10"/>
  <c r="F25" i="10" s="1"/>
  <c r="F22" i="10"/>
  <c r="E24" i="10"/>
  <c r="E23" i="10"/>
  <c r="E22" i="10"/>
  <c r="D24" i="10"/>
  <c r="L24" i="10" s="1"/>
  <c r="D23" i="10"/>
  <c r="D22" i="10"/>
  <c r="E26" i="10"/>
  <c r="F19" i="10"/>
  <c r="F18" i="10"/>
  <c r="F17" i="10"/>
  <c r="E20" i="10"/>
  <c r="E19" i="10"/>
  <c r="E18" i="10"/>
  <c r="E17" i="10"/>
  <c r="D21" i="10"/>
  <c r="D20" i="10"/>
  <c r="D19" i="10"/>
  <c r="D18" i="10"/>
  <c r="D17" i="10"/>
  <c r="L17" i="10" s="1"/>
  <c r="F21" i="10"/>
  <c r="F20" i="10"/>
  <c r="E21" i="10"/>
  <c r="F14" i="10"/>
  <c r="F13" i="10"/>
  <c r="F15" i="10" s="1"/>
  <c r="F12" i="10"/>
  <c r="E14" i="10"/>
  <c r="E13" i="10"/>
  <c r="E15" i="10" s="1"/>
  <c r="E12" i="10"/>
  <c r="D14" i="10"/>
  <c r="D13" i="10"/>
  <c r="D12" i="10"/>
  <c r="F9" i="10"/>
  <c r="F8" i="10"/>
  <c r="F7" i="10"/>
  <c r="E9" i="10"/>
  <c r="E8" i="10"/>
  <c r="E10" i="10" s="1"/>
  <c r="E7" i="10"/>
  <c r="D9" i="10"/>
  <c r="D8" i="10"/>
  <c r="D7" i="10"/>
  <c r="F4" i="10"/>
  <c r="F2" i="10"/>
  <c r="E4" i="10"/>
  <c r="E3" i="10"/>
  <c r="E2" i="10"/>
  <c r="D3" i="10"/>
  <c r="D2" i="10"/>
  <c r="E86" i="10" l="1"/>
  <c r="E16" i="10"/>
  <c r="D112" i="10"/>
  <c r="D117" i="10"/>
  <c r="F3" i="10"/>
  <c r="F6" i="10" s="1"/>
  <c r="L35" i="10"/>
  <c r="L40" i="10"/>
  <c r="F77" i="10"/>
  <c r="J92" i="10"/>
  <c r="F28" i="10"/>
  <c r="L45" i="10"/>
  <c r="L60" i="10"/>
  <c r="L70" i="10"/>
  <c r="F82" i="10"/>
  <c r="I87" i="10"/>
  <c r="I91" i="10" s="1"/>
  <c r="F112" i="10"/>
  <c r="F116" i="10" s="1"/>
  <c r="F117" i="10"/>
  <c r="D11" i="10"/>
  <c r="L7" i="10"/>
  <c r="E41" i="10"/>
  <c r="F36" i="10"/>
  <c r="D41" i="10"/>
  <c r="E46" i="10"/>
  <c r="I71" i="10"/>
  <c r="L79" i="10"/>
  <c r="I77" i="10"/>
  <c r="J80" i="10"/>
  <c r="J87" i="10"/>
  <c r="L89" i="10"/>
  <c r="I90" i="10"/>
  <c r="D92" i="10"/>
  <c r="D101" i="10"/>
  <c r="D100" i="10"/>
  <c r="L98" i="10"/>
  <c r="E101" i="10"/>
  <c r="E100" i="10"/>
  <c r="F100" i="10"/>
  <c r="F101" i="10"/>
  <c r="L103" i="10"/>
  <c r="D106" i="10"/>
  <c r="D105" i="10"/>
  <c r="E105" i="10"/>
  <c r="E106" i="10"/>
  <c r="F105" i="10"/>
  <c r="L109" i="10"/>
  <c r="J107" i="10"/>
  <c r="I112" i="10"/>
  <c r="E115" i="10"/>
  <c r="F115" i="10"/>
  <c r="E117" i="10"/>
  <c r="E121" i="10" s="1"/>
  <c r="L2" i="10"/>
  <c r="D6" i="10"/>
  <c r="L28" i="10"/>
  <c r="L8" i="10"/>
  <c r="D10" i="10"/>
  <c r="L10" i="10" s="1"/>
  <c r="D16" i="10"/>
  <c r="L12" i="10"/>
  <c r="L53" i="10"/>
  <c r="L56" i="10" s="1"/>
  <c r="L9" i="10"/>
  <c r="F11" i="10"/>
  <c r="D15" i="10"/>
  <c r="L15" i="10" s="1"/>
  <c r="L13" i="10"/>
  <c r="L19" i="10"/>
  <c r="L22" i="10"/>
  <c r="D26" i="10"/>
  <c r="E25" i="10"/>
  <c r="L38" i="10"/>
  <c r="L42" i="10"/>
  <c r="L47" i="10"/>
  <c r="D51" i="10"/>
  <c r="L55" i="10"/>
  <c r="L54" i="10"/>
  <c r="L57" i="10"/>
  <c r="L62" i="10"/>
  <c r="D66" i="10"/>
  <c r="L67" i="10"/>
  <c r="E67" i="10"/>
  <c r="E77" i="10"/>
  <c r="I80" i="10"/>
  <c r="I81" i="10"/>
  <c r="L83" i="10"/>
  <c r="D86" i="10"/>
  <c r="D85" i="10"/>
  <c r="J85" i="10"/>
  <c r="F90" i="10"/>
  <c r="I96" i="10"/>
  <c r="I95" i="10"/>
  <c r="J96" i="10"/>
  <c r="J95" i="10"/>
  <c r="I97" i="10"/>
  <c r="D107" i="10"/>
  <c r="E107" i="10"/>
  <c r="L119" i="10"/>
  <c r="J120" i="10"/>
  <c r="F26" i="10"/>
  <c r="F51" i="10"/>
  <c r="D5" i="10"/>
  <c r="L3" i="10"/>
  <c r="L5" i="10" s="1"/>
  <c r="L18" i="10"/>
  <c r="L21" i="10" s="1"/>
  <c r="L29" i="10"/>
  <c r="L34" i="10"/>
  <c r="L37" i="10"/>
  <c r="L50" i="10"/>
  <c r="E6" i="10"/>
  <c r="E11" i="10"/>
  <c r="L14" i="10"/>
  <c r="F16" i="10"/>
  <c r="L20" i="10"/>
  <c r="D25" i="10"/>
  <c r="L25" i="10" s="1"/>
  <c r="L23" i="10"/>
  <c r="L27" i="10"/>
  <c r="L32" i="10"/>
  <c r="L39" i="10"/>
  <c r="L43" i="10"/>
  <c r="L46" i="10" s="1"/>
  <c r="L48" i="10"/>
  <c r="L51" i="10" s="1"/>
  <c r="L58" i="10"/>
  <c r="L61" i="10" s="1"/>
  <c r="L63" i="10"/>
  <c r="L66" i="10" s="1"/>
  <c r="L68" i="10"/>
  <c r="L71" i="10" s="1"/>
  <c r="F80" i="10"/>
  <c r="F81" i="10"/>
  <c r="L84" i="10"/>
  <c r="I86" i="10"/>
  <c r="I85" i="10"/>
  <c r="E91" i="10"/>
  <c r="E90" i="10"/>
  <c r="L93" i="10"/>
  <c r="D95" i="10"/>
  <c r="L95" i="10" s="1"/>
  <c r="D96" i="10"/>
  <c r="E95" i="10"/>
  <c r="E96" i="10"/>
  <c r="F95" i="10"/>
  <c r="I110" i="10"/>
  <c r="I111" i="10"/>
  <c r="J111" i="10"/>
  <c r="J110" i="10"/>
  <c r="L36" i="10"/>
  <c r="D80" i="10"/>
  <c r="L78" i="10"/>
  <c r="D81" i="10"/>
  <c r="E81" i="10"/>
  <c r="E80" i="10"/>
  <c r="F86" i="10"/>
  <c r="F85" i="10"/>
  <c r="D91" i="10"/>
  <c r="D90" i="10"/>
  <c r="L90" i="10" s="1"/>
  <c r="L88" i="10"/>
  <c r="J91" i="10"/>
  <c r="J90" i="10"/>
  <c r="I100" i="10"/>
  <c r="I101" i="10"/>
  <c r="J100" i="10"/>
  <c r="I106" i="10"/>
  <c r="I105" i="10"/>
  <c r="J105" i="10"/>
  <c r="J106" i="10"/>
  <c r="D110" i="10"/>
  <c r="L108" i="10"/>
  <c r="D111" i="10"/>
  <c r="E111" i="10"/>
  <c r="E110" i="10"/>
  <c r="F110" i="10"/>
  <c r="I116" i="10"/>
  <c r="I115" i="10"/>
  <c r="J115" i="10"/>
  <c r="J116" i="10"/>
  <c r="I120" i="10"/>
  <c r="I121" i="10"/>
  <c r="D121" i="10"/>
  <c r="L118" i="10"/>
  <c r="D120" i="10"/>
  <c r="L120" i="10" s="1"/>
  <c r="E120" i="10"/>
  <c r="F120" i="10"/>
  <c r="F121" i="10"/>
  <c r="CM11" i="6"/>
  <c r="CM15" i="6"/>
  <c r="CM19" i="6"/>
  <c r="BC52" i="6"/>
  <c r="CM32" i="6"/>
  <c r="DW40" i="6"/>
  <c r="BC3" i="6"/>
  <c r="AT27" i="6"/>
  <c r="DU15" i="6"/>
  <c r="DW15" i="6" s="1"/>
  <c r="DU23" i="6"/>
  <c r="DW23" i="6" s="1"/>
  <c r="BC23" i="6"/>
  <c r="BU52" i="6"/>
  <c r="BC27" i="6"/>
  <c r="BU27" i="6"/>
  <c r="CM27" i="6"/>
  <c r="S7" i="6"/>
  <c r="DU7" i="6"/>
  <c r="DW7" i="6" s="1"/>
  <c r="DU11" i="6"/>
  <c r="DW11" i="6" s="1"/>
  <c r="BC11" i="6"/>
  <c r="DU19" i="6"/>
  <c r="DW19" i="6" s="1"/>
  <c r="BC19" i="6"/>
  <c r="DU36" i="6"/>
  <c r="DW36" i="6" s="1"/>
  <c r="S36" i="6"/>
  <c r="S52" i="6" s="1"/>
  <c r="S11" i="6"/>
  <c r="AI27" i="6"/>
  <c r="BK27" i="6"/>
  <c r="J28" i="6"/>
  <c r="AK52" i="6"/>
  <c r="AT28" i="6"/>
  <c r="AT52" i="6" s="1"/>
  <c r="BC28" i="6"/>
  <c r="CD28" i="6"/>
  <c r="CD52" i="6" s="1"/>
  <c r="BC47" i="6"/>
  <c r="I78" i="6"/>
  <c r="J53" i="6"/>
  <c r="AA78" i="6"/>
  <c r="AT78" i="6"/>
  <c r="CC78" i="6"/>
  <c r="AB60" i="6"/>
  <c r="O104" i="6"/>
  <c r="AA104" i="6"/>
  <c r="BA104" i="6"/>
  <c r="AK96" i="6"/>
  <c r="S105" i="6"/>
  <c r="Q130" i="6"/>
  <c r="AG130" i="6"/>
  <c r="AS130" i="6"/>
  <c r="AT110" i="6"/>
  <c r="BC110" i="6" s="1"/>
  <c r="AK118" i="6"/>
  <c r="BC122" i="6"/>
  <c r="AI130" i="6"/>
  <c r="J156" i="6"/>
  <c r="AA156" i="6"/>
  <c r="BC131" i="6"/>
  <c r="AK138" i="6"/>
  <c r="BC151" i="6"/>
  <c r="I182" i="6"/>
  <c r="AA182" i="6"/>
  <c r="AB157" i="6"/>
  <c r="AK170" i="6"/>
  <c r="Q208" i="6"/>
  <c r="S183" i="6"/>
  <c r="AG208" i="6"/>
  <c r="AS208" i="6"/>
  <c r="AT188" i="6"/>
  <c r="AT208" i="6" s="1"/>
  <c r="J200" i="6"/>
  <c r="S200" i="6" s="1"/>
  <c r="AT200" i="6"/>
  <c r="Q234" i="6"/>
  <c r="J222" i="6"/>
  <c r="AB3" i="6"/>
  <c r="AB27" i="6" s="1"/>
  <c r="BU3" i="6"/>
  <c r="DV3" i="6"/>
  <c r="DZ10" i="6" s="1"/>
  <c r="S15" i="6"/>
  <c r="S19" i="6"/>
  <c r="S23" i="6"/>
  <c r="AS27" i="6"/>
  <c r="AA52" i="6"/>
  <c r="AY52" i="6"/>
  <c r="BK52" i="6"/>
  <c r="S32" i="6"/>
  <c r="S40" i="6"/>
  <c r="S44" i="6"/>
  <c r="CM48" i="6"/>
  <c r="O78" i="6"/>
  <c r="AG78" i="6"/>
  <c r="DW66" i="6"/>
  <c r="DU74" i="6"/>
  <c r="DW74" i="6" s="1"/>
  <c r="Q104" i="6"/>
  <c r="AS104" i="6"/>
  <c r="AI104" i="6"/>
  <c r="I130" i="6"/>
  <c r="AY130" i="6"/>
  <c r="J122" i="6"/>
  <c r="J130" i="6" s="1"/>
  <c r="AB122" i="6"/>
  <c r="AT126" i="6"/>
  <c r="BC126" i="6" s="1"/>
  <c r="AK148" i="6"/>
  <c r="I156" i="6"/>
  <c r="O182" i="6"/>
  <c r="AG182" i="6"/>
  <c r="AS182" i="6"/>
  <c r="J174" i="6"/>
  <c r="AB174" i="6"/>
  <c r="AK174" i="6" s="1"/>
  <c r="AI208" i="6"/>
  <c r="AK208" i="6" s="1"/>
  <c r="S192" i="6"/>
  <c r="S208" i="6" s="1"/>
  <c r="BA208" i="6"/>
  <c r="Q52" i="6"/>
  <c r="BL52" i="6"/>
  <c r="BU28" i="6"/>
  <c r="CK52" i="6"/>
  <c r="CM52" i="6" s="1"/>
  <c r="DV28" i="6"/>
  <c r="CM44" i="6"/>
  <c r="DZ61" i="6"/>
  <c r="BC78" i="6"/>
  <c r="DV58" i="6"/>
  <c r="J70" i="6"/>
  <c r="AB70" i="6"/>
  <c r="AS78" i="6"/>
  <c r="I104" i="6"/>
  <c r="AT104" i="6"/>
  <c r="BC79" i="6"/>
  <c r="AK84" i="6"/>
  <c r="AB84" i="6"/>
  <c r="AB104" i="6" s="1"/>
  <c r="AA130" i="6"/>
  <c r="BC105" i="6"/>
  <c r="BA130" i="6"/>
  <c r="AK114" i="6"/>
  <c r="AB114" i="6"/>
  <c r="Q156" i="6"/>
  <c r="S131" i="6"/>
  <c r="AG156" i="6"/>
  <c r="AS156" i="6"/>
  <c r="Q182" i="6"/>
  <c r="J208" i="6"/>
  <c r="AA208" i="6"/>
  <c r="J209" i="6"/>
  <c r="AB209" i="6"/>
  <c r="AB234" i="6" s="1"/>
  <c r="S252" i="6"/>
  <c r="Q260" i="6"/>
  <c r="J3" i="6"/>
  <c r="CD3" i="6"/>
  <c r="CD27" i="6" s="1"/>
  <c r="DU48" i="6"/>
  <c r="DV48" i="6"/>
  <c r="DW58" i="6"/>
  <c r="DV66" i="6"/>
  <c r="S66" i="6"/>
  <c r="Q78" i="6"/>
  <c r="AB130" i="6"/>
  <c r="AK156" i="6"/>
  <c r="BA156" i="6"/>
  <c r="BC156" i="6" s="1"/>
  <c r="S174" i="6"/>
  <c r="I208" i="6"/>
  <c r="AB53" i="6"/>
  <c r="AK53" i="6"/>
  <c r="CD53" i="6"/>
  <c r="CD78" i="6" s="1"/>
  <c r="CM78" i="6" s="1"/>
  <c r="S62" i="6"/>
  <c r="S78" i="6" s="1"/>
  <c r="S70" i="6"/>
  <c r="J157" i="6"/>
  <c r="J182" i="6" s="1"/>
  <c r="S157" i="6"/>
  <c r="AT157" i="6"/>
  <c r="AT182" i="6" s="1"/>
  <c r="BC182" i="6" s="1"/>
  <c r="BC157" i="6"/>
  <c r="S209" i="6"/>
  <c r="AI234" i="6"/>
  <c r="AT209" i="6"/>
  <c r="S226" i="6"/>
  <c r="AT226" i="6"/>
  <c r="I260" i="6"/>
  <c r="AI260" i="6"/>
  <c r="AK235" i="6"/>
  <c r="J248" i="6"/>
  <c r="J260" i="6" s="1"/>
  <c r="AS286" i="6"/>
  <c r="AK282" i="6"/>
  <c r="S287" i="6"/>
  <c r="Q312" i="6"/>
  <c r="AS312" i="6"/>
  <c r="J312" i="6"/>
  <c r="AT296" i="6"/>
  <c r="AT312" i="6" s="1"/>
  <c r="AT308" i="6"/>
  <c r="AA312" i="6"/>
  <c r="AI338" i="6"/>
  <c r="AK313" i="6"/>
  <c r="Q390" i="6"/>
  <c r="AS416" i="6"/>
  <c r="AT391" i="6"/>
  <c r="AT416" i="6" s="1"/>
  <c r="O416" i="6"/>
  <c r="AT452" i="6"/>
  <c r="BA494" i="6"/>
  <c r="AA494" i="6"/>
  <c r="AA520" i="6"/>
  <c r="AB495" i="6"/>
  <c r="AS520" i="6"/>
  <c r="BC495" i="6"/>
  <c r="AT504" i="6"/>
  <c r="BC504" i="6" s="1"/>
  <c r="AS583" i="6"/>
  <c r="AT583" i="6"/>
  <c r="AT286" i="6"/>
  <c r="BC261" i="6"/>
  <c r="BC274" i="6"/>
  <c r="AK296" i="6"/>
  <c r="AS364" i="6"/>
  <c r="AT339" i="6"/>
  <c r="AK378" i="6"/>
  <c r="AI390" i="6"/>
  <c r="Q416" i="6"/>
  <c r="S391" i="6"/>
  <c r="AI520" i="6"/>
  <c r="AK520" i="6" s="1"/>
  <c r="BA620" i="6"/>
  <c r="BC620" i="6" s="1"/>
  <c r="BC53" i="6"/>
  <c r="BA234" i="6"/>
  <c r="O260" i="6"/>
  <c r="AS260" i="6"/>
  <c r="AB260" i="6"/>
  <c r="AA260" i="6"/>
  <c r="AK261" i="6"/>
  <c r="AI286" i="6"/>
  <c r="AY286" i="6"/>
  <c r="J274" i="6"/>
  <c r="S274" i="6" s="1"/>
  <c r="S286" i="6" s="1"/>
  <c r="AB282" i="6"/>
  <c r="BA312" i="6"/>
  <c r="BC287" i="6"/>
  <c r="BC296" i="6"/>
  <c r="I338" i="6"/>
  <c r="J313" i="6"/>
  <c r="AB390" i="6"/>
  <c r="BA416" i="6"/>
  <c r="BC416" i="6" s="1"/>
  <c r="AB417" i="6"/>
  <c r="AB442" i="6" s="1"/>
  <c r="AA442" i="6"/>
  <c r="I442" i="6"/>
  <c r="BC417" i="6"/>
  <c r="AT442" i="6"/>
  <c r="AI468" i="6"/>
  <c r="AK468" i="6" s="1"/>
  <c r="AK443" i="6"/>
  <c r="BC443" i="6"/>
  <c r="Q494" i="6"/>
  <c r="AS494" i="6"/>
  <c r="AT469" i="6"/>
  <c r="J500" i="6"/>
  <c r="I520" i="6"/>
  <c r="BC521" i="6"/>
  <c r="BA546" i="6"/>
  <c r="AA546" i="6"/>
  <c r="AI583" i="6"/>
  <c r="AK547" i="6"/>
  <c r="DL620" i="6"/>
  <c r="DM584" i="6"/>
  <c r="AT590" i="6"/>
  <c r="BC590" i="6" s="1"/>
  <c r="I234" i="6"/>
  <c r="BC222" i="6"/>
  <c r="AT235" i="6"/>
  <c r="J261" i="6"/>
  <c r="AK266" i="6"/>
  <c r="BC270" i="6"/>
  <c r="BA286" i="6"/>
  <c r="BC286" i="6" s="1"/>
  <c r="AT274" i="6"/>
  <c r="AB286" i="6"/>
  <c r="I364" i="6"/>
  <c r="J339" i="6"/>
  <c r="AS390" i="6"/>
  <c r="AK412" i="6"/>
  <c r="AG442" i="6"/>
  <c r="BC516" i="6"/>
  <c r="BA520" i="6"/>
  <c r="J546" i="6"/>
  <c r="I583" i="6"/>
  <c r="J547" i="6"/>
  <c r="J583" i="6" s="1"/>
  <c r="Q620" i="6"/>
  <c r="S584" i="6"/>
  <c r="CV620" i="6"/>
  <c r="CW584" i="6"/>
  <c r="AA286" i="6"/>
  <c r="BC313" i="6"/>
  <c r="AB318" i="6"/>
  <c r="AK318" i="6" s="1"/>
  <c r="AT322" i="6"/>
  <c r="BC322" i="6" s="1"/>
  <c r="AT326" i="6"/>
  <c r="BC326" i="6" s="1"/>
  <c r="AK334" i="6"/>
  <c r="AT360" i="6"/>
  <c r="BA364" i="6"/>
  <c r="AG390" i="6"/>
  <c r="AT365" i="6"/>
  <c r="AT390" i="6" s="1"/>
  <c r="AB370" i="6"/>
  <c r="AK370" i="6" s="1"/>
  <c r="AK391" i="6"/>
  <c r="I416" i="6"/>
  <c r="BC442" i="6"/>
  <c r="AT456" i="6"/>
  <c r="AT478" i="6"/>
  <c r="AT508" i="6"/>
  <c r="BC508" i="6" s="1"/>
  <c r="AT512" i="6"/>
  <c r="AI546" i="6"/>
  <c r="AY546" i="6"/>
  <c r="AT530" i="6"/>
  <c r="BC530" i="6" s="1"/>
  <c r="CW546" i="6"/>
  <c r="DC540" i="6"/>
  <c r="DL583" i="6"/>
  <c r="AB571" i="6"/>
  <c r="Q583" i="6"/>
  <c r="BA338" i="6"/>
  <c r="J322" i="6"/>
  <c r="AB334" i="6"/>
  <c r="Q364" i="6"/>
  <c r="AG364" i="6"/>
  <c r="AB339" i="6"/>
  <c r="AT352" i="6"/>
  <c r="BC352" i="6" s="1"/>
  <c r="J360" i="6"/>
  <c r="S360" i="6" s="1"/>
  <c r="S364" i="6" s="1"/>
  <c r="I390" i="6"/>
  <c r="AA390" i="6"/>
  <c r="BA390" i="6"/>
  <c r="BC390" i="6" s="1"/>
  <c r="BC365" i="6"/>
  <c r="AI416" i="6"/>
  <c r="AY416" i="6"/>
  <c r="S400" i="6"/>
  <c r="S416" i="6" s="1"/>
  <c r="Q442" i="6"/>
  <c r="AK422" i="6"/>
  <c r="J434" i="6"/>
  <c r="J442" i="6" s="1"/>
  <c r="BC434" i="6"/>
  <c r="AT448" i="6"/>
  <c r="BC448" i="6" s="1"/>
  <c r="BC456" i="6"/>
  <c r="J460" i="6"/>
  <c r="J468" i="6" s="1"/>
  <c r="BC460" i="6"/>
  <c r="AK462" i="6"/>
  <c r="Q468" i="6"/>
  <c r="AK469" i="6"/>
  <c r="AI494" i="6"/>
  <c r="AY494" i="6"/>
  <c r="AT474" i="6"/>
  <c r="BC478" i="6"/>
  <c r="AB486" i="6"/>
  <c r="AB494" i="6" s="1"/>
  <c r="Q520" i="6"/>
  <c r="AG520" i="6"/>
  <c r="J512" i="6"/>
  <c r="BC512" i="6"/>
  <c r="J530" i="6"/>
  <c r="AK534" i="6"/>
  <c r="BA583" i="6"/>
  <c r="BC583" i="6" s="1"/>
  <c r="AK553" i="6"/>
  <c r="CW553" i="6"/>
  <c r="DM562" i="6"/>
  <c r="DM565" i="6"/>
  <c r="DS565" i="6" s="1"/>
  <c r="CW580" i="6"/>
  <c r="AY620" i="6"/>
  <c r="CW593" i="6"/>
  <c r="DC593" i="6" s="1"/>
  <c r="CW608" i="6"/>
  <c r="AI312" i="6"/>
  <c r="AK312" i="6" s="1"/>
  <c r="AK308" i="6"/>
  <c r="AB338" i="6"/>
  <c r="AT330" i="6"/>
  <c r="BC330" i="6" s="1"/>
  <c r="Q338" i="6"/>
  <c r="AY364" i="6"/>
  <c r="AB348" i="6"/>
  <c r="AK348" i="6" s="1"/>
  <c r="AB356" i="6"/>
  <c r="O390" i="6"/>
  <c r="J374" i="6"/>
  <c r="BC386" i="6"/>
  <c r="J416" i="6"/>
  <c r="BC391" i="6"/>
  <c r="AB404" i="6"/>
  <c r="AB416" i="6" s="1"/>
  <c r="AK408" i="6"/>
  <c r="AB412" i="6"/>
  <c r="AI442" i="6"/>
  <c r="AK442" i="6" s="1"/>
  <c r="AK417" i="6"/>
  <c r="BC430" i="6"/>
  <c r="AK438" i="6"/>
  <c r="AB443" i="6"/>
  <c r="AB468" i="6" s="1"/>
  <c r="BA468" i="6"/>
  <c r="AK464" i="6"/>
  <c r="AA468" i="6"/>
  <c r="BC469" i="6"/>
  <c r="J474" i="6"/>
  <c r="J494" i="6" s="1"/>
  <c r="J482" i="6"/>
  <c r="AY520" i="6"/>
  <c r="AB500" i="6"/>
  <c r="S520" i="6"/>
  <c r="Q546" i="6"/>
  <c r="S521" i="6"/>
  <c r="AS546" i="6"/>
  <c r="AB526" i="6"/>
  <c r="AB546" i="6" s="1"/>
  <c r="CV546" i="6"/>
  <c r="DC546" i="6" s="1"/>
  <c r="O583" i="6"/>
  <c r="AB547" i="6"/>
  <c r="I620" i="6"/>
  <c r="AA620" i="6"/>
  <c r="AG620" i="6"/>
  <c r="AS620" i="6"/>
  <c r="CZ620" i="6"/>
  <c r="DP620" i="6"/>
  <c r="CW605" i="6"/>
  <c r="DM614" i="6"/>
  <c r="J365" i="6"/>
  <c r="AT521" i="6"/>
  <c r="DM547" i="6"/>
  <c r="J584" i="6"/>
  <c r="J620" i="6" s="1"/>
  <c r="AI620" i="6"/>
  <c r="AK620" i="6" s="1"/>
  <c r="AT584" i="6"/>
  <c r="AT620" i="6" s="1"/>
  <c r="AB590" i="6"/>
  <c r="AB620" i="6" s="1"/>
  <c r="DM596" i="6"/>
  <c r="DS596" i="6" s="1"/>
  <c r="AB602" i="6"/>
  <c r="CW614" i="6"/>
  <c r="L114" i="10"/>
  <c r="L113" i="10"/>
  <c r="D115" i="10"/>
  <c r="L115" i="10" s="1"/>
  <c r="F87" i="10" l="1"/>
  <c r="F91" i="10" s="1"/>
  <c r="L110" i="10"/>
  <c r="F31" i="10"/>
  <c r="L100" i="10"/>
  <c r="D87" i="10"/>
  <c r="L87" i="10" s="1"/>
  <c r="L91" i="10" s="1"/>
  <c r="BC364" i="6"/>
  <c r="BC235" i="6"/>
  <c r="AT260" i="6"/>
  <c r="BC260" i="6" s="1"/>
  <c r="AT468" i="6"/>
  <c r="AB583" i="6"/>
  <c r="AK583" i="6" s="1"/>
  <c r="BC338" i="6"/>
  <c r="AK526" i="6"/>
  <c r="AK338" i="6"/>
  <c r="DZ63" i="6"/>
  <c r="J52" i="6"/>
  <c r="DU28" i="6"/>
  <c r="L85" i="10"/>
  <c r="D77" i="10"/>
  <c r="L11" i="10"/>
  <c r="E112" i="10"/>
  <c r="E116" i="10" s="1"/>
  <c r="DZ12" i="6"/>
  <c r="BC468" i="6"/>
  <c r="DS562" i="6"/>
  <c r="AB520" i="6"/>
  <c r="DU70" i="6"/>
  <c r="DW70" i="6" s="1"/>
  <c r="AK104" i="6"/>
  <c r="L41" i="10"/>
  <c r="L26" i="10"/>
  <c r="L16" i="10"/>
  <c r="L31" i="10"/>
  <c r="L6" i="10"/>
  <c r="L105" i="10"/>
  <c r="D82" i="10"/>
  <c r="E71" i="10"/>
  <c r="D116" i="10"/>
  <c r="L112" i="10"/>
  <c r="L116" i="10" s="1"/>
  <c r="DM620" i="6"/>
  <c r="DS620" i="6" s="1"/>
  <c r="AT364" i="6"/>
  <c r="BC339" i="6"/>
  <c r="S3" i="6"/>
  <c r="J27" i="6"/>
  <c r="S27" i="6" s="1"/>
  <c r="DU3" i="6"/>
  <c r="DM583" i="6"/>
  <c r="DS583" i="6" s="1"/>
  <c r="AK494" i="6"/>
  <c r="AK486" i="6"/>
  <c r="AT338" i="6"/>
  <c r="BC234" i="6"/>
  <c r="J234" i="6"/>
  <c r="AT546" i="6"/>
  <c r="BC546" i="6" s="1"/>
  <c r="DC553" i="6"/>
  <c r="AB364" i="6"/>
  <c r="AK364" i="6" s="1"/>
  <c r="AK546" i="6"/>
  <c r="CW620" i="6"/>
  <c r="DC620" i="6" s="1"/>
  <c r="J520" i="6"/>
  <c r="J338" i="6"/>
  <c r="S313" i="6"/>
  <c r="BC312" i="6"/>
  <c r="AK390" i="6"/>
  <c r="AK260" i="6"/>
  <c r="AT234" i="6"/>
  <c r="AB78" i="6"/>
  <c r="AK78" i="6" s="1"/>
  <c r="DW48" i="6"/>
  <c r="BC209" i="6"/>
  <c r="AT130" i="6"/>
  <c r="AB182" i="6"/>
  <c r="AK182" i="6" s="1"/>
  <c r="AK130" i="6"/>
  <c r="J78" i="6"/>
  <c r="DU53" i="6"/>
  <c r="J390" i="6"/>
  <c r="DC580" i="6"/>
  <c r="AK416" i="6"/>
  <c r="J364" i="6"/>
  <c r="J286" i="6"/>
  <c r="CW583" i="6"/>
  <c r="DC583" i="6" s="1"/>
  <c r="AT494" i="6"/>
  <c r="BC494" i="6" s="1"/>
  <c r="S53" i="6"/>
  <c r="AT520" i="6"/>
  <c r="BC520" i="6" s="1"/>
  <c r="AK234" i="6"/>
  <c r="CM53" i="6"/>
  <c r="BC130" i="6"/>
  <c r="DZ35" i="6"/>
  <c r="BC208" i="6"/>
  <c r="BC104" i="6"/>
  <c r="AK27" i="6"/>
  <c r="CM28" i="6"/>
  <c r="L80" i="10"/>
  <c r="D97" i="10"/>
  <c r="J82" i="10" l="1"/>
  <c r="J86" i="10" s="1"/>
  <c r="DZ37" i="6"/>
  <c r="J117" i="10"/>
  <c r="DZ58" i="6"/>
  <c r="DZ66" i="6" s="1"/>
  <c r="DW53" i="6"/>
  <c r="DZ7" i="6"/>
  <c r="DZ15" i="6" s="1"/>
  <c r="DW3" i="6"/>
  <c r="J97" i="10"/>
  <c r="J101" i="10" s="1"/>
  <c r="F107" i="10"/>
  <c r="DW28" i="6"/>
  <c r="DZ32" i="6"/>
  <c r="DZ40" i="6" s="1"/>
  <c r="E82" i="10"/>
  <c r="L82" i="10" s="1"/>
  <c r="L86" i="10" s="1"/>
  <c r="F92" i="10"/>
  <c r="F102" i="10"/>
  <c r="J77" i="10"/>
  <c r="J81" i="10" s="1"/>
  <c r="J121" i="10" l="1"/>
  <c r="L117" i="10"/>
  <c r="L121" i="10" s="1"/>
  <c r="F96" i="10"/>
  <c r="L92" i="10"/>
  <c r="L96" i="10" s="1"/>
  <c r="L77" i="10"/>
  <c r="L81" i="10" s="1"/>
  <c r="L97" i="10"/>
  <c r="L101" i="10" s="1"/>
  <c r="F106" i="10"/>
  <c r="L102" i="10"/>
  <c r="L106" i="10" s="1"/>
  <c r="F111" i="10"/>
  <c r="L107" i="10"/>
  <c r="L111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17" authorId="0" shapeId="0" xr:uid="{00000000-0006-0000-0B00-000001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<sst xmlns="http://schemas.openxmlformats.org/spreadsheetml/2006/main" count="6679" uniqueCount="1082">
  <si>
    <t>AÑO</t>
  </si>
  <si>
    <t>SEMANA</t>
  </si>
  <si>
    <t>TOMO</t>
  </si>
  <si>
    <t>ESTADO</t>
  </si>
  <si>
    <t>OBSERVACIONES</t>
  </si>
  <si>
    <t>RESPONSABLE</t>
  </si>
  <si>
    <t>JOEL</t>
  </si>
  <si>
    <t>LUIS</t>
  </si>
  <si>
    <t>AXEL</t>
  </si>
  <si>
    <t>SAORI</t>
  </si>
  <si>
    <t>ISABEL</t>
  </si>
  <si>
    <t>ALONSO</t>
  </si>
  <si>
    <t xml:space="preserve"> </t>
  </si>
  <si>
    <t>JOYSI</t>
  </si>
  <si>
    <t>DIA</t>
  </si>
  <si>
    <t>N° ESCRITURAS</t>
  </si>
  <si>
    <t>FOLIO DE INICIO</t>
  </si>
  <si>
    <t>FOLIO FINAL</t>
  </si>
  <si>
    <t>N° DE FOLIOS (NO CORRE)</t>
  </si>
  <si>
    <t>N° de HOJAS antendidas de solicitudes</t>
  </si>
  <si>
    <t>N° HOJAS POR TOMO</t>
  </si>
  <si>
    <t>N° HOJAS TOTALES DIARIAS</t>
  </si>
  <si>
    <t>¿USO DEL ESCANER? SI/NO</t>
  </si>
  <si>
    <t>TOMO DE 2 PAGINAS POR FOLIO   SI/NO</t>
  </si>
  <si>
    <t>TIEMPO ESCANEO (horas)</t>
  </si>
  <si>
    <t>TIEMPO OTRAS ACTIVIDADES (horas)</t>
  </si>
  <si>
    <t>TIEMPO TOTAL (horas)</t>
  </si>
  <si>
    <t>TIEMPO EN ACTIVIDADES REMOTAS (horas)</t>
  </si>
  <si>
    <t>TIEMPO ESCANEO (min)</t>
  </si>
  <si>
    <t>PROD. (H/min)</t>
  </si>
  <si>
    <t>PROD. PROM. (H/min)</t>
  </si>
  <si>
    <t>FOLIO DE FIN</t>
  </si>
  <si>
    <t>HOJAS ESCANEADAS</t>
  </si>
  <si>
    <t>M. ESCANEADOS</t>
  </si>
  <si>
    <t>PRODUCTIVIDAD (H/min)</t>
  </si>
  <si>
    <t>RESUMEN CORTO</t>
  </si>
  <si>
    <t>ESCRITURAS TOTALES</t>
  </si>
  <si>
    <t>HOJAS TOTALES</t>
  </si>
  <si>
    <t>MINUTOS ESCANEO TOTAL</t>
  </si>
  <si>
    <t>HORAS ESCANEO TOTAL</t>
  </si>
  <si>
    <t>TOTAL</t>
  </si>
  <si>
    <t>TIPO DE TOMO</t>
  </si>
  <si>
    <t>N° HOJAS DIARIAS</t>
  </si>
  <si>
    <t>T. EN ACTIVIDADES REMOTAS (horas)</t>
  </si>
  <si>
    <t>VALOR MÍNIMO ESPERADO</t>
  </si>
  <si>
    <t>1 página / folio</t>
  </si>
  <si>
    <t>2 páginas / folio</t>
  </si>
  <si>
    <t>PROM. GENERAL SEMANAL (H/min)</t>
  </si>
  <si>
    <t>EN PROCESO</t>
  </si>
  <si>
    <t>-</t>
  </si>
  <si>
    <t>TOTALES</t>
  </si>
  <si>
    <t>SI</t>
  </si>
  <si>
    <t>NO</t>
  </si>
  <si>
    <t>No</t>
  </si>
  <si>
    <t>Si</t>
  </si>
  <si>
    <t>Año</t>
  </si>
  <si>
    <t>Escritura</t>
  </si>
  <si>
    <t>Folio</t>
  </si>
  <si>
    <t>Limite inferior de producción esperado</t>
  </si>
  <si>
    <t>S30</t>
  </si>
  <si>
    <t>S31</t>
  </si>
  <si>
    <t>INVENTARIO ESCRITURAS</t>
  </si>
  <si>
    <t>RANGO DE FOLIOS</t>
  </si>
  <si>
    <t>DIGITALIZADO</t>
  </si>
  <si>
    <t>1-500</t>
  </si>
  <si>
    <t>DISPONIBLE</t>
  </si>
  <si>
    <t>501-1000</t>
  </si>
  <si>
    <t>1001-1500</t>
  </si>
  <si>
    <t>1501-2000</t>
  </si>
  <si>
    <t>2001-2500</t>
  </si>
  <si>
    <t>2501-3000</t>
  </si>
  <si>
    <t>3001-3100</t>
  </si>
  <si>
    <t>3101-3600</t>
  </si>
  <si>
    <t>3601-4100</t>
  </si>
  <si>
    <t>4101-4600</t>
  </si>
  <si>
    <t>4601-5100</t>
  </si>
  <si>
    <t>5101-5600</t>
  </si>
  <si>
    <t>5601-6100</t>
  </si>
  <si>
    <t>6101-6600</t>
  </si>
  <si>
    <t>6601-7100</t>
  </si>
  <si>
    <t>7101-7600</t>
  </si>
  <si>
    <t>7601-8100</t>
  </si>
  <si>
    <t>8101-8600</t>
  </si>
  <si>
    <t>8601-9100</t>
  </si>
  <si>
    <t>9101-9600</t>
  </si>
  <si>
    <t>9601-10100</t>
  </si>
  <si>
    <t>10101-10600</t>
  </si>
  <si>
    <t>10601-11100</t>
  </si>
  <si>
    <t>11101-11600</t>
  </si>
  <si>
    <t>11601-12100</t>
  </si>
  <si>
    <t>12101-12600</t>
  </si>
  <si>
    <t>12601-13100</t>
  </si>
  <si>
    <t>13101-13600</t>
  </si>
  <si>
    <t>13601-14100</t>
  </si>
  <si>
    <t>14101-14600</t>
  </si>
  <si>
    <t>14601-15100</t>
  </si>
  <si>
    <t>15101-15250</t>
  </si>
  <si>
    <t>3001-3500</t>
  </si>
  <si>
    <t>3501-4000</t>
  </si>
  <si>
    <t>4001-4500</t>
  </si>
  <si>
    <t>4501-5000</t>
  </si>
  <si>
    <t>5001-5500</t>
  </si>
  <si>
    <t>5501-6000</t>
  </si>
  <si>
    <t>6001-6500</t>
  </si>
  <si>
    <t>6501-7000</t>
  </si>
  <si>
    <t>7001-7500</t>
  </si>
  <si>
    <t>7501-8000</t>
  </si>
  <si>
    <t>8001-8500</t>
  </si>
  <si>
    <t>8501-9000</t>
  </si>
  <si>
    <t>9001-9500</t>
  </si>
  <si>
    <t>9501-10000</t>
  </si>
  <si>
    <t>10001-10500</t>
  </si>
  <si>
    <t>10501-11000</t>
  </si>
  <si>
    <t>11001-11500</t>
  </si>
  <si>
    <t>11501-12000</t>
  </si>
  <si>
    <t>12001-12500</t>
  </si>
  <si>
    <t>12501-13000</t>
  </si>
  <si>
    <t>13001-13500</t>
  </si>
  <si>
    <t>13501-14000</t>
  </si>
  <si>
    <t>14001-14500</t>
  </si>
  <si>
    <t>12501-12700</t>
  </si>
  <si>
    <t>14501-15000</t>
  </si>
  <si>
    <t>15001-15500</t>
  </si>
  <si>
    <t>15501-16000</t>
  </si>
  <si>
    <t>16001-16500</t>
  </si>
  <si>
    <t>16501-17000</t>
  </si>
  <si>
    <t>17001-17500</t>
  </si>
  <si>
    <t>17501-17600</t>
  </si>
  <si>
    <t>17501-18000</t>
  </si>
  <si>
    <t>18001-18500</t>
  </si>
  <si>
    <t>18501-19000</t>
  </si>
  <si>
    <t>19001-19500</t>
  </si>
  <si>
    <t>19501-20000</t>
  </si>
  <si>
    <t>20001-20500</t>
  </si>
  <si>
    <t>20501-21000</t>
  </si>
  <si>
    <t>21001-21500</t>
  </si>
  <si>
    <t>21501-22000</t>
  </si>
  <si>
    <t>22001-22500</t>
  </si>
  <si>
    <t>22501-23000</t>
  </si>
  <si>
    <t>23001-23500</t>
  </si>
  <si>
    <t>23501-23750</t>
  </si>
  <si>
    <t>S32</t>
  </si>
  <si>
    <t>23501-24000</t>
  </si>
  <si>
    <t>24001-24500</t>
  </si>
  <si>
    <t>24501-25000</t>
  </si>
  <si>
    <t>25001-25500</t>
  </si>
  <si>
    <t>25501-26000</t>
  </si>
  <si>
    <t>26001-26500</t>
  </si>
  <si>
    <t>26501-27000</t>
  </si>
  <si>
    <t>27001-27500</t>
  </si>
  <si>
    <t>27501-28000</t>
  </si>
  <si>
    <t>28001-28500</t>
  </si>
  <si>
    <t>28501-29000</t>
  </si>
  <si>
    <t>29001-29500</t>
  </si>
  <si>
    <t>29501-30000</t>
  </si>
  <si>
    <t>30001-30500</t>
  </si>
  <si>
    <t>30501-31000</t>
  </si>
  <si>
    <t>31001-31500</t>
  </si>
  <si>
    <t>31501-32000</t>
  </si>
  <si>
    <t>32001-32500</t>
  </si>
  <si>
    <t>32501-33000</t>
  </si>
  <si>
    <t>33001-33500</t>
  </si>
  <si>
    <t>33501-34050</t>
  </si>
  <si>
    <t>21501-21950</t>
  </si>
  <si>
    <t>S33</t>
  </si>
  <si>
    <t>23501-23650</t>
  </si>
  <si>
    <t>27001-27450</t>
  </si>
  <si>
    <t>S34</t>
  </si>
  <si>
    <t>30001-30050</t>
  </si>
  <si>
    <t xml:space="preserve">SI </t>
  </si>
  <si>
    <t xml:space="preserve">Si
</t>
  </si>
  <si>
    <t>31001-31350</t>
  </si>
  <si>
    <t xml:space="preserve">
  Si
</t>
  </si>
  <si>
    <t xml:space="preserve">Si 
</t>
  </si>
  <si>
    <t xml:space="preserve">SI
</t>
  </si>
  <si>
    <t>S35</t>
  </si>
  <si>
    <t>24501-24950</t>
  </si>
  <si>
    <t>18001-18100</t>
  </si>
  <si>
    <t>14501-14900</t>
  </si>
  <si>
    <t>16001-16200</t>
  </si>
  <si>
    <t>S36</t>
  </si>
  <si>
    <t>16501-16950</t>
  </si>
  <si>
    <t>15501-15950</t>
  </si>
  <si>
    <t>9001-9150</t>
  </si>
  <si>
    <t>12501-12650</t>
  </si>
  <si>
    <t>S37</t>
  </si>
  <si>
    <t>16001-16350</t>
  </si>
  <si>
    <t>NO DISPONIBLE</t>
  </si>
  <si>
    <t>17501-17650</t>
  </si>
  <si>
    <t>1 - 500</t>
  </si>
  <si>
    <t>HORAS</t>
  </si>
  <si>
    <t>LUNES</t>
  </si>
  <si>
    <t>MARTES</t>
  </si>
  <si>
    <t>JUEVES</t>
  </si>
  <si>
    <t>VIERNES</t>
  </si>
  <si>
    <t>SABADO</t>
  </si>
  <si>
    <t>8: 00 a 8:50</t>
  </si>
  <si>
    <t>8:50 a 9:40</t>
  </si>
  <si>
    <t>9:40 a 10:30</t>
  </si>
  <si>
    <t>12:10 a 13:00</t>
  </si>
  <si>
    <t>13:00 a 13:50</t>
  </si>
  <si>
    <t>13:50 a 14:40</t>
  </si>
  <si>
    <t>14:40 a 15:30</t>
  </si>
  <si>
    <t>15:30 a 16:20</t>
  </si>
  <si>
    <t>16:20 a 17:10</t>
  </si>
  <si>
    <t>17:10 a 18:00</t>
  </si>
  <si>
    <t>18:00 a 18:50</t>
  </si>
  <si>
    <t>18:50 a 19:40</t>
  </si>
  <si>
    <t>19:40 a 20:30</t>
  </si>
  <si>
    <t>20:30 a 21:10</t>
  </si>
  <si>
    <t>21:10 a 22:10</t>
  </si>
  <si>
    <t>Nº SEMANA</t>
  </si>
  <si>
    <t>INDICADORES DE PRODUCTIVIDAD</t>
  </si>
  <si>
    <t xml:space="preserve">LUIS </t>
  </si>
  <si>
    <t>S1</t>
  </si>
  <si>
    <t>HOJAS ESCANEADAS SEMANAL</t>
  </si>
  <si>
    <t>HORAS DE ESCANEO</t>
  </si>
  <si>
    <t>HORAS DE ESCANEO SEMANAL</t>
  </si>
  <si>
    <t>HORAS EN OTRAS ACTIVIDADES</t>
  </si>
  <si>
    <t>MIERCOLES</t>
  </si>
  <si>
    <t>HORAS EN OTRAS ACTIVIDADES SEMANAL</t>
  </si>
  <si>
    <t>HORAS TOTALES</t>
  </si>
  <si>
    <t>SÁBADO</t>
  </si>
  <si>
    <t>HORAS TRABAJADAS SEMANAL</t>
  </si>
  <si>
    <t>PRODUCTIVIDAD (hojas/min)</t>
  </si>
  <si>
    <t>UNIVERSIDAD - ALONSO</t>
  </si>
  <si>
    <t>PROM. PROD. GENERAL (hojas/min)</t>
  </si>
  <si>
    <t>UNIVERSIDAD - JOEL</t>
  </si>
  <si>
    <t>S2</t>
  </si>
  <si>
    <t>UNIVERSIDAD - LUIS</t>
  </si>
  <si>
    <t>10:30 a 11:20</t>
  </si>
  <si>
    <t>11:20 a 12:10</t>
  </si>
  <si>
    <t>S3</t>
  </si>
  <si>
    <t>UNIVERSIDAD- JOEL</t>
  </si>
  <si>
    <t>S38</t>
  </si>
  <si>
    <t>S4</t>
  </si>
  <si>
    <t>UNIVERSIDAD LUIS</t>
  </si>
  <si>
    <t>UNIVERSIDAD JOEL</t>
  </si>
  <si>
    <t>UNIVERSIDAD ALONSO</t>
  </si>
  <si>
    <t>INSTITUTO AXEL</t>
  </si>
  <si>
    <t>INSTITUTO JOYSI</t>
  </si>
  <si>
    <t>S5</t>
  </si>
  <si>
    <t>9: 00 a 10:00</t>
  </si>
  <si>
    <t>10: 00 a 11:00</t>
  </si>
  <si>
    <t>11: 00 a 12:00</t>
  </si>
  <si>
    <t>12: 00 a 01:00</t>
  </si>
  <si>
    <t>1: 00 a 2:00</t>
  </si>
  <si>
    <t>A. PROYECTO</t>
  </si>
  <si>
    <t>2: 00 a 3:00</t>
  </si>
  <si>
    <t>S6</t>
  </si>
  <si>
    <t>3: 00 a 4:00</t>
  </si>
  <si>
    <t>4: 00 a 5:00</t>
  </si>
  <si>
    <t>5: 00 a 6:00</t>
  </si>
  <si>
    <t>6: 00 a 7:00</t>
  </si>
  <si>
    <t>7: 00 a 8:00</t>
  </si>
  <si>
    <t>NOMBRE</t>
  </si>
  <si>
    <t>H. SEMANALES</t>
  </si>
  <si>
    <t>S7</t>
  </si>
  <si>
    <t>JOEL SE RETIRARA A LAS 5:45 PM LOS DIAS LUNES, MARTES Y JUEVES</t>
  </si>
  <si>
    <t>L</t>
  </si>
  <si>
    <t>M</t>
  </si>
  <si>
    <t>X</t>
  </si>
  <si>
    <t>J</t>
  </si>
  <si>
    <t>V</t>
  </si>
  <si>
    <t>S</t>
  </si>
  <si>
    <t>PENDIENTES</t>
  </si>
  <si>
    <t>TAREAS</t>
  </si>
  <si>
    <t>CO-RESPONSABLE</t>
  </si>
  <si>
    <t>Manual de sanciones</t>
  </si>
  <si>
    <t>S8</t>
  </si>
  <si>
    <t>Inventario de archivdores</t>
  </si>
  <si>
    <t>Según disponibilidad</t>
  </si>
  <si>
    <t>Extractor de aire e inodoro del protocolo</t>
  </si>
  <si>
    <t>Proyección de digitalización</t>
  </si>
  <si>
    <t xml:space="preserve">JOEL </t>
  </si>
  <si>
    <t>Implementación de escaneo en la notaria</t>
  </si>
  <si>
    <t>Manual de escaneo</t>
  </si>
  <si>
    <t>Reunion del 18 de febrero</t>
  </si>
  <si>
    <t>Verificar que todos los tomos estén en bertello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</si>
  <si>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</si>
  <si>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</si>
  <si>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</si>
  <si>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</si>
  <si>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</si>
  <si>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</si>
  <si>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</si>
  <si>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</si>
  <si>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</si>
  <si>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Trasferencia Vehicular</t>
  </si>
  <si>
    <t>No contencioso</t>
  </si>
  <si>
    <t>S18</t>
  </si>
  <si>
    <t>Minuta</t>
  </si>
  <si>
    <t>Marca temporal</t>
  </si>
  <si>
    <t>Documentos que se solicitan</t>
  </si>
  <si>
    <t>Motivo de Solicitud</t>
  </si>
  <si>
    <t>Año de la escritura</t>
  </si>
  <si>
    <t>Fecha y Año</t>
  </si>
  <si>
    <t>N° Kardex</t>
  </si>
  <si>
    <t>N° de Escritura</t>
  </si>
  <si>
    <t>N° Minuta</t>
  </si>
  <si>
    <t>¿Incluye minuta?</t>
  </si>
  <si>
    <t>Fecha y Año 2</t>
  </si>
  <si>
    <t>N° Kardex 2</t>
  </si>
  <si>
    <t>Folio 2</t>
  </si>
  <si>
    <t>N° Acta</t>
  </si>
  <si>
    <t>N° Kardex 3</t>
  </si>
  <si>
    <t>Folio 3</t>
  </si>
  <si>
    <t>N° Escritura</t>
  </si>
  <si>
    <t>Solicitud y/o Minuta</t>
  </si>
  <si>
    <t>Fecha y Año de la Escritura</t>
  </si>
  <si>
    <t>N° de Minuta</t>
  </si>
  <si>
    <t>N° de Kardex</t>
  </si>
  <si>
    <t>Folio de la Escritura</t>
  </si>
  <si>
    <t>Nombre del usuario o solicitante</t>
  </si>
  <si>
    <t>¿Quien lo hizo?</t>
  </si>
  <si>
    <t>Duración</t>
  </si>
  <si>
    <t>Numero de Paginas</t>
  </si>
  <si>
    <t xml:space="preserve">Observaciones </t>
  </si>
  <si>
    <t>S19</t>
  </si>
  <si>
    <t>Fecha</t>
  </si>
  <si>
    <t>N° de Acta</t>
  </si>
  <si>
    <t>Instrumento</t>
  </si>
  <si>
    <t>Folio 4</t>
  </si>
  <si>
    <t>Dirección de correo electrónico</t>
  </si>
  <si>
    <t>Fecha 2</t>
  </si>
  <si>
    <t>Fecha 3</t>
  </si>
  <si>
    <t>Fecha 4</t>
  </si>
  <si>
    <t>Fojas de la minuta (Intervalo de páginas en las que se encuentra el documento)</t>
  </si>
  <si>
    <t>S20</t>
  </si>
  <si>
    <t>0304</t>
  </si>
  <si>
    <t>S21</t>
  </si>
  <si>
    <t>2222</t>
  </si>
  <si>
    <t xml:space="preserve">Franco </t>
  </si>
  <si>
    <t>francogc732004@gmail.com</t>
  </si>
  <si>
    <t>4527</t>
  </si>
  <si>
    <t>S22</t>
  </si>
  <si>
    <t>Luis Vivar Morales</t>
  </si>
  <si>
    <t/>
  </si>
  <si>
    <t>Respuesta a Oficios de Fiscalía</t>
  </si>
  <si>
    <t>Franco</t>
  </si>
  <si>
    <t>S23</t>
  </si>
  <si>
    <t>14/01/2014</t>
  </si>
  <si>
    <t>110</t>
  </si>
  <si>
    <t>Cinthia</t>
  </si>
  <si>
    <t>06/05/2014</t>
  </si>
  <si>
    <t>1125</t>
  </si>
  <si>
    <t>S24</t>
  </si>
  <si>
    <t xml:space="preserve">Cinthia </t>
  </si>
  <si>
    <t>03/01/2017</t>
  </si>
  <si>
    <t>07</t>
  </si>
  <si>
    <t>04</t>
  </si>
  <si>
    <t>Transferencia vehicular</t>
  </si>
  <si>
    <t>Cotización de Testimonio Adicional</t>
  </si>
  <si>
    <t>11/02/2020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</si>
  <si>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</si>
  <si>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13/10/2011</t>
  </si>
  <si>
    <t>14/10/2014</t>
  </si>
  <si>
    <t>02/07/2018</t>
  </si>
  <si>
    <t>2006</t>
  </si>
  <si>
    <t>S/M</t>
  </si>
  <si>
    <t>22/06/2022</t>
  </si>
  <si>
    <t>1683</t>
  </si>
  <si>
    <t>20/10/2019</t>
  </si>
  <si>
    <t>3207</t>
  </si>
  <si>
    <t>S/m</t>
  </si>
  <si>
    <t>25/4/2007</t>
  </si>
  <si>
    <t>558</t>
  </si>
  <si>
    <t>6/12/2017</t>
  </si>
  <si>
    <t>3661</t>
  </si>
  <si>
    <t>Elaboración de Parte Adicional</t>
  </si>
  <si>
    <t>27/05/2014</t>
  </si>
  <si>
    <t>1375</t>
  </si>
  <si>
    <t>24/10/2000</t>
  </si>
  <si>
    <t>2007</t>
  </si>
  <si>
    <t>05/05/2015</t>
  </si>
  <si>
    <t>21/01/2015</t>
  </si>
  <si>
    <t>198</t>
  </si>
  <si>
    <t>06/01/2004</t>
  </si>
  <si>
    <t>1599</t>
  </si>
  <si>
    <t>16/05/2003</t>
  </si>
  <si>
    <t>486</t>
  </si>
  <si>
    <t>Elaboración de Testimonio Adicional</t>
  </si>
  <si>
    <t>03/03/2022</t>
  </si>
  <si>
    <t>516</t>
  </si>
  <si>
    <t>25/07/2017</t>
  </si>
  <si>
    <t>Noemi</t>
  </si>
  <si>
    <t>31/10/2017</t>
  </si>
  <si>
    <t>06/02/2014</t>
  </si>
  <si>
    <t>374</t>
  </si>
  <si>
    <t>2335</t>
  </si>
  <si>
    <t>3318</t>
  </si>
  <si>
    <t>31/03/2021</t>
  </si>
  <si>
    <t>616</t>
  </si>
  <si>
    <t>18/7/2016</t>
  </si>
  <si>
    <t>1879</t>
  </si>
  <si>
    <t>21/03/2022</t>
  </si>
  <si>
    <t>680</t>
  </si>
  <si>
    <t>08/02/2001</t>
  </si>
  <si>
    <t>109</t>
  </si>
  <si>
    <t>07/10/2020</t>
  </si>
  <si>
    <t>04/09/2014</t>
  </si>
  <si>
    <t>2191</t>
  </si>
  <si>
    <t>05/03/2013</t>
  </si>
  <si>
    <t>621</t>
  </si>
  <si>
    <t>19/07/2017</t>
  </si>
  <si>
    <t>2260</t>
  </si>
  <si>
    <t>25/02/2016</t>
  </si>
  <si>
    <t>501</t>
  </si>
  <si>
    <t>02/12/2019</t>
  </si>
  <si>
    <t>3586</t>
  </si>
  <si>
    <t>09/02/2005</t>
  </si>
  <si>
    <t>143</t>
  </si>
  <si>
    <t>01/08/2013</t>
  </si>
  <si>
    <t>1950</t>
  </si>
  <si>
    <t>13/10/2016</t>
  </si>
  <si>
    <t>2754</t>
  </si>
  <si>
    <t>13/8/2015</t>
  </si>
  <si>
    <t>2259</t>
  </si>
  <si>
    <t>19/05/2010</t>
  </si>
  <si>
    <t>1045</t>
  </si>
  <si>
    <t>15/08/2018</t>
  </si>
  <si>
    <t>2549</t>
  </si>
  <si>
    <t>20/12/2016</t>
  </si>
  <si>
    <t>3443</t>
  </si>
  <si>
    <t>25/04/2016</t>
  </si>
  <si>
    <t>1068</t>
  </si>
  <si>
    <t>17/02/2017</t>
  </si>
  <si>
    <t>555</t>
  </si>
  <si>
    <t>11/08/2015</t>
  </si>
  <si>
    <t>2236</t>
  </si>
  <si>
    <t>25/02/2019</t>
  </si>
  <si>
    <t>703</t>
  </si>
  <si>
    <t>06/072021</t>
  </si>
  <si>
    <t>1258</t>
  </si>
  <si>
    <t>11/12/2008</t>
  </si>
  <si>
    <t>4354</t>
  </si>
  <si>
    <t>No Contencioso</t>
  </si>
  <si>
    <t>Solicita el cliente</t>
  </si>
  <si>
    <t>3/7/2021</t>
  </si>
  <si>
    <t>25/4/2002</t>
  </si>
  <si>
    <t>1501</t>
  </si>
  <si>
    <t>26/7/2011</t>
  </si>
  <si>
    <t>1832</t>
  </si>
  <si>
    <t>13/7/2012</t>
  </si>
  <si>
    <t>1886</t>
  </si>
  <si>
    <t>9/4/2021</t>
  </si>
  <si>
    <t>11/10/1901 0:00:00</t>
  </si>
  <si>
    <t>13/8/2021</t>
  </si>
  <si>
    <t>1571</t>
  </si>
  <si>
    <t>21/06/2014</t>
  </si>
  <si>
    <t>13/3/2017</t>
  </si>
  <si>
    <t>6/5/1902 0:00:00</t>
  </si>
  <si>
    <t>19/09/2017</t>
  </si>
  <si>
    <t>27/11/1907 0:00:00</t>
  </si>
  <si>
    <t>11/4/2005</t>
  </si>
  <si>
    <t>13/1/1901 0:00:00</t>
  </si>
  <si>
    <t>06/12/99</t>
  </si>
  <si>
    <t>6/11/1902 0:00:00</t>
  </si>
  <si>
    <t>21/12/2022</t>
  </si>
  <si>
    <t>4/6/1909 0:00:00</t>
  </si>
  <si>
    <t>29/11/2019</t>
  </si>
  <si>
    <t>4/10/1909 0:00:00</t>
  </si>
  <si>
    <t>22/03/2022</t>
  </si>
  <si>
    <t>23/11/1901 0:00:00</t>
  </si>
  <si>
    <t>Solicitud de Abogado para revisión</t>
  </si>
  <si>
    <t>11/04/2005</t>
  </si>
  <si>
    <t>1041</t>
  </si>
  <si>
    <t>25/4/02</t>
  </si>
  <si>
    <t>23/6/2003</t>
  </si>
  <si>
    <t>126</t>
  </si>
  <si>
    <t>09/01/2003</t>
  </si>
  <si>
    <t>32</t>
  </si>
  <si>
    <t>19/9/2005</t>
  </si>
  <si>
    <t>13/01/2006</t>
  </si>
  <si>
    <t>1646</t>
  </si>
  <si>
    <t>27/3/2015</t>
  </si>
  <si>
    <t>903</t>
  </si>
  <si>
    <t>30/10/2012</t>
  </si>
  <si>
    <t>2871</t>
  </si>
  <si>
    <t>11/9/2012</t>
  </si>
  <si>
    <t>11/09/2012</t>
  </si>
  <si>
    <t>18/7/2022</t>
  </si>
  <si>
    <t>1962</t>
  </si>
  <si>
    <t>13/7/2010</t>
  </si>
  <si>
    <t>1437</t>
  </si>
  <si>
    <t>8/6/2022</t>
  </si>
  <si>
    <t>1532</t>
  </si>
  <si>
    <t>19/10/2022</t>
  </si>
  <si>
    <t>2840</t>
  </si>
  <si>
    <t>03/01/2919</t>
  </si>
  <si>
    <t>02</t>
  </si>
  <si>
    <t>16/12/2021</t>
  </si>
  <si>
    <t>2803</t>
  </si>
  <si>
    <t>08/07/2015</t>
  </si>
  <si>
    <t>1970</t>
  </si>
  <si>
    <t>08/7/2015</t>
  </si>
  <si>
    <t>1969</t>
  </si>
  <si>
    <t>6/07/2010</t>
  </si>
  <si>
    <t>1389</t>
  </si>
  <si>
    <t>26/01/2011</t>
  </si>
  <si>
    <t>199</t>
  </si>
  <si>
    <t>5/07/2012</t>
  </si>
  <si>
    <t>1774</t>
  </si>
  <si>
    <t>13/12/2011</t>
  </si>
  <si>
    <t>3022</t>
  </si>
  <si>
    <t>16/08/2021</t>
  </si>
  <si>
    <t>9/9/2021</t>
  </si>
  <si>
    <t>1822</t>
  </si>
  <si>
    <t>17/02/2015</t>
  </si>
  <si>
    <t>470</t>
  </si>
  <si>
    <t>02/08/2005</t>
  </si>
  <si>
    <t>897</t>
  </si>
  <si>
    <t>5/01/2018</t>
  </si>
  <si>
    <t>48</t>
  </si>
  <si>
    <t>05/01/2018</t>
  </si>
  <si>
    <t>47</t>
  </si>
  <si>
    <t>28/11/2001</t>
  </si>
  <si>
    <t>1010</t>
  </si>
  <si>
    <t>27/03/2015</t>
  </si>
  <si>
    <t>14/7/2010</t>
  </si>
  <si>
    <t>1452</t>
  </si>
  <si>
    <t>07/11/2002</t>
  </si>
  <si>
    <t>2133</t>
  </si>
  <si>
    <t>11/7/2022</t>
  </si>
  <si>
    <t>1867</t>
  </si>
  <si>
    <t>28/06/2012</t>
  </si>
  <si>
    <t>1701</t>
  </si>
  <si>
    <t>21/5/2012</t>
  </si>
  <si>
    <t>1921</t>
  </si>
  <si>
    <t>18/8/2014</t>
  </si>
  <si>
    <t>2003</t>
  </si>
  <si>
    <t>14/7/2021</t>
  </si>
  <si>
    <t>1336</t>
  </si>
  <si>
    <t>28/9/2019</t>
  </si>
  <si>
    <t>2866</t>
  </si>
  <si>
    <t>28/8/2010</t>
  </si>
  <si>
    <t>1791</t>
  </si>
  <si>
    <t>30/4/2010</t>
  </si>
  <si>
    <t>928</t>
  </si>
  <si>
    <t>5/12/2022</t>
  </si>
  <si>
    <t>3274</t>
  </si>
  <si>
    <t>17/6/2010</t>
  </si>
  <si>
    <t>10/10/2020</t>
  </si>
  <si>
    <t>1479</t>
  </si>
  <si>
    <t>28/01/2010</t>
  </si>
  <si>
    <t>02/04/2013</t>
  </si>
  <si>
    <t>13/11/2012</t>
  </si>
  <si>
    <t>2972</t>
  </si>
  <si>
    <t>16/7/2012</t>
  </si>
  <si>
    <t>1920</t>
  </si>
  <si>
    <t>25/09/2014</t>
  </si>
  <si>
    <t>2379</t>
  </si>
  <si>
    <t>03/6/2015</t>
  </si>
  <si>
    <t>1581</t>
  </si>
  <si>
    <t>08/09/2017</t>
  </si>
  <si>
    <t>2792</t>
  </si>
  <si>
    <t>5/9/2012</t>
  </si>
  <si>
    <t>2397</t>
  </si>
  <si>
    <t>21/3/2018</t>
  </si>
  <si>
    <t>891</t>
  </si>
  <si>
    <t>18/5/2000</t>
  </si>
  <si>
    <t>1529</t>
  </si>
  <si>
    <t>22/01/2001</t>
  </si>
  <si>
    <t>52</t>
  </si>
  <si>
    <t>25/5/2015</t>
  </si>
  <si>
    <t>1466</t>
  </si>
  <si>
    <t>02/01/2017</t>
  </si>
  <si>
    <t>03</t>
  </si>
  <si>
    <t>04/2/2015</t>
  </si>
  <si>
    <t>17/6/2015</t>
  </si>
  <si>
    <t>06/3/2019</t>
  </si>
  <si>
    <t>6/5/2014</t>
  </si>
  <si>
    <t>02/7/2018</t>
  </si>
  <si>
    <t>26/12/2012</t>
  </si>
  <si>
    <t>3455</t>
  </si>
  <si>
    <t>17/5/2017</t>
  </si>
  <si>
    <t>1563</t>
  </si>
  <si>
    <t>01/12/2017</t>
  </si>
  <si>
    <t>16/08/2019</t>
  </si>
  <si>
    <t>03/01/2022</t>
  </si>
  <si>
    <t>01</t>
  </si>
  <si>
    <t>7/4/2016</t>
  </si>
  <si>
    <t>21/8/2023</t>
  </si>
  <si>
    <t>2493</t>
  </si>
  <si>
    <t>26/6/2018</t>
  </si>
  <si>
    <t>1966</t>
  </si>
  <si>
    <t>15/01/2014</t>
  </si>
  <si>
    <t>115</t>
  </si>
  <si>
    <t>26/01/2023</t>
  </si>
  <si>
    <t>236</t>
  </si>
  <si>
    <t>14/12/2022</t>
  </si>
  <si>
    <t>3370</t>
  </si>
  <si>
    <t>11/01/2016</t>
  </si>
  <si>
    <t>21/3/2023</t>
  </si>
  <si>
    <t>831</t>
  </si>
  <si>
    <t>4/4/2008</t>
  </si>
  <si>
    <t>2597</t>
  </si>
  <si>
    <t>22/5/2018</t>
  </si>
  <si>
    <t>1503</t>
  </si>
  <si>
    <t>12/09/2018</t>
  </si>
  <si>
    <t>2898</t>
  </si>
  <si>
    <t>TOMO EN LA NOTARÍA</t>
  </si>
  <si>
    <t>16/8/2021</t>
  </si>
  <si>
    <t>28/9/2020</t>
  </si>
  <si>
    <t>1368</t>
  </si>
  <si>
    <t>4/8/2011</t>
  </si>
  <si>
    <t>1890</t>
  </si>
  <si>
    <t>23/2/2010</t>
  </si>
  <si>
    <t>418</t>
  </si>
  <si>
    <t>3/9/2021</t>
  </si>
  <si>
    <t>1764</t>
  </si>
  <si>
    <t>8/9/2001</t>
  </si>
  <si>
    <t>749</t>
  </si>
  <si>
    <t>2/8/1997</t>
  </si>
  <si>
    <t>933</t>
  </si>
  <si>
    <t>2/8/2008</t>
  </si>
  <si>
    <t>3422</t>
  </si>
  <si>
    <t>09/06/2023</t>
  </si>
  <si>
    <t>1658</t>
  </si>
  <si>
    <t>20/8/2002</t>
  </si>
  <si>
    <t>1876</t>
  </si>
  <si>
    <t>22/2/2020</t>
  </si>
  <si>
    <t>508</t>
  </si>
  <si>
    <t>27/4/2013</t>
  </si>
  <si>
    <t>1136</t>
  </si>
  <si>
    <t>16/4/2013</t>
  </si>
  <si>
    <t>1032</t>
  </si>
  <si>
    <t>30/11/2010</t>
  </si>
  <si>
    <t>2560</t>
  </si>
  <si>
    <t>Solicitud de Notario para revisión</t>
  </si>
  <si>
    <t>11/5/2022</t>
  </si>
  <si>
    <t>14/6/97</t>
  </si>
  <si>
    <t>852</t>
  </si>
  <si>
    <t>26/4/2008</t>
  </si>
  <si>
    <t>04/02/2013</t>
  </si>
  <si>
    <t>336</t>
  </si>
  <si>
    <t>29/11/2023</t>
  </si>
  <si>
    <t>3706</t>
  </si>
  <si>
    <t>26/9/2014</t>
  </si>
  <si>
    <t>2384</t>
  </si>
  <si>
    <t>26/10/2017</t>
  </si>
  <si>
    <t>3280</t>
  </si>
  <si>
    <t>10/9/2010</t>
  </si>
  <si>
    <t>1891</t>
  </si>
  <si>
    <t>21/9/2012</t>
  </si>
  <si>
    <t>2557</t>
  </si>
  <si>
    <t>18/9/2015</t>
  </si>
  <si>
    <t>2563</t>
  </si>
  <si>
    <t>11/12/2017</t>
  </si>
  <si>
    <t>3702</t>
  </si>
  <si>
    <t>6/10/2018</t>
  </si>
  <si>
    <t>3218</t>
  </si>
  <si>
    <t>21/7/2021</t>
  </si>
  <si>
    <t>1400</t>
  </si>
  <si>
    <t>6/10/2020</t>
  </si>
  <si>
    <t>1438</t>
  </si>
  <si>
    <t>4/2/2019</t>
  </si>
  <si>
    <t>480</t>
  </si>
  <si>
    <t>13/10/2022</t>
  </si>
  <si>
    <t>2782</t>
  </si>
  <si>
    <t>16/3/2022</t>
  </si>
  <si>
    <t>628</t>
  </si>
  <si>
    <t>Luis Ballon</t>
  </si>
  <si>
    <t>30 minutos</t>
  </si>
  <si>
    <t>Adicionalmente se hizo  la minuta 1381, año 2017 de kardex 47383 debido a un error.</t>
  </si>
  <si>
    <t>23/01/2023</t>
  </si>
  <si>
    <t>196</t>
  </si>
  <si>
    <t xml:space="preserve">Joel Pizarro </t>
  </si>
  <si>
    <t xml:space="preserve">14 minutos </t>
  </si>
  <si>
    <t>Ninguna</t>
  </si>
  <si>
    <t>29/9\2010</t>
  </si>
  <si>
    <t>2065</t>
  </si>
  <si>
    <t>5 minutos</t>
  </si>
  <si>
    <t>2/01/2017</t>
  </si>
  <si>
    <t>7 minutos</t>
  </si>
  <si>
    <t>6\3\2019</t>
  </si>
  <si>
    <t>28/12/2010</t>
  </si>
  <si>
    <t>4 minutos</t>
  </si>
  <si>
    <t>3\4\2017</t>
  </si>
  <si>
    <t>1100</t>
  </si>
  <si>
    <t>18/1/2022</t>
  </si>
  <si>
    <t>137</t>
  </si>
  <si>
    <t>17\8\2022</t>
  </si>
  <si>
    <t>2186</t>
  </si>
  <si>
    <t>17/8/2022</t>
  </si>
  <si>
    <t>2185</t>
  </si>
  <si>
    <t>La notaria se lo llevo en fisico</t>
  </si>
  <si>
    <t>27/10/2023</t>
  </si>
  <si>
    <t>3320</t>
  </si>
  <si>
    <t>joel pizarro</t>
  </si>
  <si>
    <t>12 minutos</t>
  </si>
  <si>
    <t>26\9\1997</t>
  </si>
  <si>
    <t>1038</t>
  </si>
  <si>
    <t>10 minutos</t>
  </si>
  <si>
    <t>Pendiente de firma</t>
  </si>
  <si>
    <t>02/12/2022</t>
  </si>
  <si>
    <t>3266</t>
  </si>
  <si>
    <t>29\11\2023</t>
  </si>
  <si>
    <t>35 min</t>
  </si>
  <si>
    <t>TOMO FALTANTE 9</t>
  </si>
  <si>
    <t>23/11/2019</t>
  </si>
  <si>
    <t>Alonso Cortez</t>
  </si>
  <si>
    <t>5 min</t>
  </si>
  <si>
    <t>tomo para ser llevado en fisico a la notaria, incluye solicitud</t>
  </si>
  <si>
    <t>28/6/2012</t>
  </si>
  <si>
    <t>1705</t>
  </si>
  <si>
    <t>21\9\2004</t>
  </si>
  <si>
    <t>2607</t>
  </si>
  <si>
    <t>Jhoel Pizarro</t>
  </si>
  <si>
    <t>21/6/2019</t>
  </si>
  <si>
    <t>69</t>
  </si>
  <si>
    <t>25 min</t>
  </si>
  <si>
    <t>Error en el documento decia escritura y era archivo no contencioso, por eso se demoro mas tiempo</t>
  </si>
  <si>
    <t>25/4/2019</t>
  </si>
  <si>
    <t>1298</t>
  </si>
  <si>
    <t>S\M</t>
  </si>
  <si>
    <t>Luis Ballón</t>
  </si>
  <si>
    <t>9\2\2009</t>
  </si>
  <si>
    <t>269</t>
  </si>
  <si>
    <t>10 min</t>
  </si>
  <si>
    <t>31\5\2023</t>
  </si>
  <si>
    <t>1557</t>
  </si>
  <si>
    <t>4/11/1998</t>
  </si>
  <si>
    <t>2158</t>
  </si>
  <si>
    <t>15 min</t>
  </si>
  <si>
    <t>27/7/2022</t>
  </si>
  <si>
    <t>2043</t>
  </si>
  <si>
    <t>8 min</t>
  </si>
  <si>
    <t>7/6/2017</t>
  </si>
  <si>
    <t>1780</t>
  </si>
  <si>
    <t>9 min</t>
  </si>
  <si>
    <t>31/7/2014</t>
  </si>
  <si>
    <t>1866</t>
  </si>
  <si>
    <t>8/8/2022</t>
  </si>
  <si>
    <t>2101</t>
  </si>
  <si>
    <t>9/2/2023</t>
  </si>
  <si>
    <t>417</t>
  </si>
  <si>
    <t>12/4/2010</t>
  </si>
  <si>
    <t>776</t>
  </si>
  <si>
    <t>11/9/2007</t>
  </si>
  <si>
    <t>1379</t>
  </si>
  <si>
    <t>20 min</t>
  </si>
  <si>
    <t>10/10/2014</t>
  </si>
  <si>
    <t>Solo solicitud pidieron</t>
  </si>
  <si>
    <t>16/3/2009</t>
  </si>
  <si>
    <t>507</t>
  </si>
  <si>
    <t>13/5/2016</t>
  </si>
  <si>
    <t>1253</t>
  </si>
  <si>
    <t>3/11/2018</t>
  </si>
  <si>
    <t>3499</t>
  </si>
  <si>
    <t>12 min</t>
  </si>
  <si>
    <t>19/2/2013</t>
  </si>
  <si>
    <t>485</t>
  </si>
  <si>
    <t>26/11/2019</t>
  </si>
  <si>
    <t>21/10/2014</t>
  </si>
  <si>
    <t>2572</t>
  </si>
  <si>
    <t>14 min</t>
  </si>
  <si>
    <t xml:space="preserve">Pendientes de firma </t>
  </si>
  <si>
    <t>2/12/2022</t>
  </si>
  <si>
    <t>Joel Pizarro</t>
  </si>
  <si>
    <t>LISTO PARA SER LLEVADO EN FISICO A LA NOTARIA MINUTA Y ESCRITURA</t>
  </si>
  <si>
    <t>26/6/2023</t>
  </si>
  <si>
    <t>1823</t>
  </si>
  <si>
    <t>8/5/2023</t>
  </si>
  <si>
    <t>1306</t>
  </si>
  <si>
    <t>12/3/2013</t>
  </si>
  <si>
    <t>3 min</t>
  </si>
  <si>
    <t>16/8/2022</t>
  </si>
  <si>
    <t>2177</t>
  </si>
  <si>
    <t>19/12/2023</t>
  </si>
  <si>
    <t>30 min</t>
  </si>
  <si>
    <t>1865</t>
  </si>
  <si>
    <t>notifica la señorita cinthya que el pedido se realizo el dia 18 del presente mes,</t>
  </si>
  <si>
    <t>10/6/98</t>
  </si>
  <si>
    <t>1688</t>
  </si>
  <si>
    <t>30/10/2019</t>
  </si>
  <si>
    <t>3228</t>
  </si>
  <si>
    <t>60 min</t>
  </si>
  <si>
    <t>8/6/2021</t>
  </si>
  <si>
    <t>1034</t>
  </si>
  <si>
    <t>2 min</t>
  </si>
  <si>
    <t>12/11/2008</t>
  </si>
  <si>
    <t>4144</t>
  </si>
  <si>
    <t>06/2/2020</t>
  </si>
  <si>
    <t>23/9/2005</t>
  </si>
  <si>
    <t>1159</t>
  </si>
  <si>
    <t>3/4/2019</t>
  </si>
  <si>
    <t>1072</t>
  </si>
  <si>
    <t>21/12/2010</t>
  </si>
  <si>
    <t>2760</t>
  </si>
  <si>
    <t>7 min</t>
  </si>
  <si>
    <t>20/09/2013</t>
  </si>
  <si>
    <t>2507</t>
  </si>
  <si>
    <t>27/6/2014</t>
  </si>
  <si>
    <t>16/6/2017</t>
  </si>
  <si>
    <t>1894</t>
  </si>
  <si>
    <t>15/06/2017</t>
  </si>
  <si>
    <t>1892</t>
  </si>
  <si>
    <t>08/03/2018</t>
  </si>
  <si>
    <t>731</t>
  </si>
  <si>
    <t>5/6/2018</t>
  </si>
  <si>
    <t>1708</t>
  </si>
  <si>
    <t>29/10/2021</t>
  </si>
  <si>
    <t>2280</t>
  </si>
  <si>
    <t>14/6/2016</t>
  </si>
  <si>
    <t>17/11/2020</t>
  </si>
  <si>
    <t>1795</t>
  </si>
  <si>
    <t>7/7/2020</t>
  </si>
  <si>
    <t>835</t>
  </si>
  <si>
    <t>836</t>
  </si>
  <si>
    <t>7/8/2020</t>
  </si>
  <si>
    <t>1012</t>
  </si>
  <si>
    <t>3/3/2021</t>
  </si>
  <si>
    <t>400</t>
  </si>
  <si>
    <t>7/10/2014</t>
  </si>
  <si>
    <t>2466</t>
  </si>
  <si>
    <t xml:space="preserve">Información de pendiente de firma </t>
  </si>
  <si>
    <t>18/12/2023</t>
  </si>
  <si>
    <t>3963</t>
  </si>
  <si>
    <t xml:space="preserve">Pendiente de firma </t>
  </si>
  <si>
    <t>4 min</t>
  </si>
  <si>
    <t>la escritura y minuta fueron llevadas en fisico el 03/07/2025 , por encargo interno de cinthia</t>
  </si>
  <si>
    <t>11/8/2017</t>
  </si>
  <si>
    <t>2461</t>
  </si>
  <si>
    <t>8/7/2019</t>
  </si>
  <si>
    <t>2044</t>
  </si>
  <si>
    <t>29/3/2010</t>
  </si>
  <si>
    <t>685</t>
  </si>
  <si>
    <t>19/9/2013</t>
  </si>
  <si>
    <t>2418</t>
  </si>
  <si>
    <t>19/9/2913</t>
  </si>
  <si>
    <t>2419</t>
  </si>
  <si>
    <t>8/8/2017</t>
  </si>
  <si>
    <t>2424</t>
  </si>
  <si>
    <t>º</t>
  </si>
  <si>
    <t>3/3/2017</t>
  </si>
  <si>
    <t>747</t>
  </si>
  <si>
    <t>17/6/2016</t>
  </si>
  <si>
    <t>1614</t>
  </si>
  <si>
    <t>10/5/2018</t>
  </si>
  <si>
    <t>1390</t>
  </si>
  <si>
    <t>19/01/2015</t>
  </si>
  <si>
    <t>25/5/2009</t>
  </si>
  <si>
    <t>978</t>
  </si>
  <si>
    <t>30/1/2015</t>
  </si>
  <si>
    <t>301</t>
  </si>
  <si>
    <t>27/7/2023</t>
  </si>
  <si>
    <t>2224</t>
  </si>
  <si>
    <t>se utilizo la base de datos, ya que fue escaneado</t>
  </si>
  <si>
    <t>29/8/2022</t>
  </si>
  <si>
    <t>2305</t>
  </si>
  <si>
    <t>28/8/2022</t>
  </si>
  <si>
    <t>2304</t>
  </si>
  <si>
    <t>12/8/2011</t>
  </si>
  <si>
    <t>1952</t>
  </si>
  <si>
    <t>4/10/2010</t>
  </si>
  <si>
    <t>2094</t>
  </si>
  <si>
    <t>4/7/2011</t>
  </si>
  <si>
    <t>2/7/2008</t>
  </si>
  <si>
    <t>3215</t>
  </si>
  <si>
    <t>3/12/2015</t>
  </si>
  <si>
    <t>3298</t>
  </si>
  <si>
    <t>7/10/2013</t>
  </si>
  <si>
    <t>3/5/2022</t>
  </si>
  <si>
    <t>1174</t>
  </si>
  <si>
    <t>19/2/2010</t>
  </si>
  <si>
    <t>7/5/2010</t>
  </si>
  <si>
    <t>983</t>
  </si>
  <si>
    <t>9/3/2021</t>
  </si>
  <si>
    <t>15/11/2016</t>
  </si>
  <si>
    <t>3063</t>
  </si>
  <si>
    <t>29/9/2020</t>
  </si>
  <si>
    <t>1370</t>
  </si>
  <si>
    <t xml:space="preserve">Luis Ballón </t>
  </si>
  <si>
    <t>29/9/2014</t>
  </si>
  <si>
    <t>2400</t>
  </si>
  <si>
    <t>06/4/2015</t>
  </si>
  <si>
    <t>977</t>
  </si>
  <si>
    <t>Se observó que el tomo 571 presenta un error de numeración de folio</t>
  </si>
  <si>
    <t>25/7/2018</t>
  </si>
  <si>
    <t>2332</t>
  </si>
  <si>
    <t>08/3/2022</t>
  </si>
  <si>
    <t>561</t>
  </si>
  <si>
    <t>13/4/2023</t>
  </si>
  <si>
    <t>1076</t>
  </si>
  <si>
    <t>14/11/2023</t>
  </si>
  <si>
    <t>3514</t>
  </si>
  <si>
    <t>20/03/2009</t>
  </si>
  <si>
    <t>554</t>
  </si>
  <si>
    <t>4/8/2015</t>
  </si>
  <si>
    <t>2195</t>
  </si>
  <si>
    <t>26/10/2020</t>
  </si>
  <si>
    <t>1591</t>
  </si>
  <si>
    <t>23/4/2022</t>
  </si>
  <si>
    <t>1039</t>
  </si>
  <si>
    <t>7/7/2022</t>
  </si>
  <si>
    <t>Joel pizarro</t>
  </si>
  <si>
    <t>25/7/2022</t>
  </si>
  <si>
    <t>25/6/2007</t>
  </si>
  <si>
    <t>911</t>
  </si>
  <si>
    <t>22/3/2018</t>
  </si>
  <si>
    <t>896</t>
  </si>
  <si>
    <t>20/10/2001</t>
  </si>
  <si>
    <t>863</t>
  </si>
  <si>
    <t>15/12/2011</t>
  </si>
  <si>
    <t>06/02/2020</t>
  </si>
  <si>
    <t>Enviado por error</t>
  </si>
  <si>
    <t>22/6/2010</t>
  </si>
  <si>
    <t>1287</t>
  </si>
  <si>
    <t>30/5/2019</t>
  </si>
  <si>
    <t>1647</t>
  </si>
  <si>
    <t>20/9/2022</t>
  </si>
  <si>
    <t xml:space="preserve">Solicitud </t>
  </si>
  <si>
    <t>45 min</t>
  </si>
  <si>
    <t>11/9/2019</t>
  </si>
  <si>
    <t>2666</t>
  </si>
  <si>
    <t>6/7/2010</t>
  </si>
  <si>
    <t>26/1/2011</t>
  </si>
  <si>
    <t>29/8/2023</t>
  </si>
  <si>
    <t>2619</t>
  </si>
  <si>
    <t>5/9/2023</t>
  </si>
  <si>
    <t>2681</t>
  </si>
  <si>
    <t>1593</t>
  </si>
  <si>
    <t>2104</t>
  </si>
  <si>
    <t>3/1/2023</t>
  </si>
  <si>
    <t>17</t>
  </si>
  <si>
    <t>29/12/2011</t>
  </si>
  <si>
    <t>3172</t>
  </si>
  <si>
    <t>11/4/2019</t>
  </si>
  <si>
    <t>1158</t>
  </si>
  <si>
    <t>22/10/2022</t>
  </si>
  <si>
    <t>11/9/2018</t>
  </si>
  <si>
    <t>2886</t>
  </si>
  <si>
    <t>19/3/2013</t>
  </si>
  <si>
    <t>763</t>
  </si>
  <si>
    <t>26/4/2014</t>
  </si>
  <si>
    <t>14/12/2011</t>
  </si>
  <si>
    <t>3045</t>
  </si>
  <si>
    <t>15/12/2017</t>
  </si>
  <si>
    <t>3779</t>
  </si>
  <si>
    <t>4/2/2014</t>
  </si>
  <si>
    <t>339</t>
  </si>
  <si>
    <t>11/8/2018</t>
  </si>
  <si>
    <t>2525</t>
  </si>
  <si>
    <t>6/6/2018</t>
  </si>
  <si>
    <t>1710</t>
  </si>
  <si>
    <t>4/12/2023</t>
  </si>
  <si>
    <t>3759</t>
  </si>
  <si>
    <t>30/10/2023</t>
  </si>
  <si>
    <t>3346</t>
  </si>
  <si>
    <t>joel pizarro y luis ballon</t>
  </si>
  <si>
    <t>joel: escritura, luis: minuta</t>
  </si>
  <si>
    <t>03/11/2022</t>
  </si>
  <si>
    <t>2992</t>
  </si>
  <si>
    <t>10/8/2020</t>
  </si>
  <si>
    <t>1017</t>
  </si>
  <si>
    <t>Alonso</t>
  </si>
  <si>
    <t>31/01/2022</t>
  </si>
  <si>
    <t>224</t>
  </si>
  <si>
    <t>3/3/2022</t>
  </si>
  <si>
    <t>512</t>
  </si>
  <si>
    <t>el archivo fue pedido antes</t>
  </si>
  <si>
    <t>2/4/2019</t>
  </si>
  <si>
    <t>1060</t>
  </si>
  <si>
    <t>S//M</t>
  </si>
  <si>
    <t>27/8/2021</t>
  </si>
  <si>
    <t>22/3/2017</t>
  </si>
  <si>
    <t>950</t>
  </si>
  <si>
    <t>02/11/2021</t>
  </si>
  <si>
    <t>2290</t>
  </si>
  <si>
    <t>18/11/2014</t>
  </si>
  <si>
    <t>2867</t>
  </si>
  <si>
    <t>luis ballon</t>
  </si>
  <si>
    <t>1718</t>
  </si>
  <si>
    <t>17/7/2018</t>
  </si>
  <si>
    <t>18/01/2023</t>
  </si>
  <si>
    <t>152</t>
  </si>
  <si>
    <t>TOMO EN NOTARIA POR TEMA DE CORRECCION</t>
  </si>
  <si>
    <t>22/7/2010</t>
  </si>
  <si>
    <t>1514</t>
  </si>
  <si>
    <t>17/7/2013</t>
  </si>
  <si>
    <t>1824</t>
  </si>
  <si>
    <t>10/9/2015</t>
  </si>
  <si>
    <t>30/12/2021</t>
  </si>
  <si>
    <t>2944</t>
  </si>
  <si>
    <t>10/10/2018</t>
  </si>
  <si>
    <t>3249</t>
  </si>
  <si>
    <t>S49</t>
  </si>
  <si>
    <t>14/6/2019</t>
  </si>
  <si>
    <t>1797</t>
  </si>
  <si>
    <t>2/12/2013</t>
  </si>
  <si>
    <t>3175</t>
  </si>
  <si>
    <t>13 min</t>
  </si>
  <si>
    <t>3634</t>
  </si>
  <si>
    <t>20/4/2017</t>
  </si>
  <si>
    <t>1262</t>
  </si>
  <si>
    <t>6 min</t>
  </si>
  <si>
    <t>01/12/2020</t>
  </si>
  <si>
    <t>1907</t>
  </si>
  <si>
    <t>15/9/2005</t>
  </si>
  <si>
    <t>1112</t>
  </si>
  <si>
    <t>28/10/2005</t>
  </si>
  <si>
    <t>1318</t>
  </si>
  <si>
    <t>6/11/2017</t>
  </si>
  <si>
    <t>13/7/2015</t>
  </si>
  <si>
    <t>30/12/2022</t>
  </si>
  <si>
    <t>3572</t>
  </si>
  <si>
    <t>16/03/2009</t>
  </si>
  <si>
    <t>32 min</t>
  </si>
  <si>
    <t>16/01/2019</t>
  </si>
  <si>
    <t>274</t>
  </si>
  <si>
    <t>11/06/2007</t>
  </si>
  <si>
    <t>823</t>
  </si>
  <si>
    <t>7/7/2009</t>
  </si>
  <si>
    <t>1297</t>
  </si>
  <si>
    <t>29 min</t>
  </si>
  <si>
    <t>08/01/2011</t>
  </si>
  <si>
    <t>57</t>
  </si>
  <si>
    <t>27 min</t>
  </si>
  <si>
    <t>07/09/2011</t>
  </si>
  <si>
    <t>2173</t>
  </si>
  <si>
    <t>joel pizarro y alonso cortez</t>
  </si>
  <si>
    <t>alonso minuta: joel : escritura</t>
  </si>
  <si>
    <t>04/05/2012</t>
  </si>
  <si>
    <t>38 min</t>
  </si>
  <si>
    <t>29/10/2019</t>
  </si>
  <si>
    <t>06/12/2017</t>
  </si>
  <si>
    <t>0612/2017</t>
  </si>
  <si>
    <t>15/2/2006</t>
  </si>
  <si>
    <t>1821</t>
  </si>
  <si>
    <t>19 min</t>
  </si>
  <si>
    <t>22/3/2006</t>
  </si>
  <si>
    <t>2017</t>
  </si>
  <si>
    <t>22/4/2006</t>
  </si>
  <si>
    <t>2148</t>
  </si>
  <si>
    <t>05/09/2001</t>
  </si>
  <si>
    <t>739</t>
  </si>
  <si>
    <t>10/10/2023</t>
  </si>
  <si>
    <t>3090</t>
  </si>
  <si>
    <t>28/9/2022</t>
  </si>
  <si>
    <t>2610</t>
  </si>
  <si>
    <t>20/10/2023</t>
  </si>
  <si>
    <t>3232</t>
  </si>
  <si>
    <t>22/9/2008</t>
  </si>
  <si>
    <t>3774</t>
  </si>
  <si>
    <t>28/09/2010</t>
  </si>
  <si>
    <t>28/3/2022</t>
  </si>
  <si>
    <t>735</t>
  </si>
  <si>
    <t>12/4/2022</t>
  </si>
  <si>
    <t xml:space="preserve">Luis Ballon </t>
  </si>
  <si>
    <t>11/07/2025</t>
  </si>
  <si>
    <t>ERROR REGISTRADO , SE ENVIO UN MENSAJE DE DISCULPA</t>
  </si>
  <si>
    <t>01/12/2021</t>
  </si>
  <si>
    <t>2654</t>
  </si>
  <si>
    <t>30/9/2022</t>
  </si>
  <si>
    <t>2655</t>
  </si>
  <si>
    <t>03/05/2023</t>
  </si>
  <si>
    <t>1263</t>
  </si>
  <si>
    <t>TOMO EN LA NOTARIA</t>
  </si>
  <si>
    <t>27/12/2022</t>
  </si>
  <si>
    <t>3504</t>
  </si>
  <si>
    <t>28/10/2014</t>
  </si>
  <si>
    <t>2634</t>
  </si>
  <si>
    <t>12  min</t>
  </si>
  <si>
    <t>07/12/2023</t>
  </si>
  <si>
    <t>3825</t>
  </si>
  <si>
    <t>Solicitud de recojo para la notaría (TOMO 837 - Escritura y TOMO 2130 - Minuta)</t>
  </si>
  <si>
    <t>27/01/1998</t>
  </si>
  <si>
    <t>1317</t>
  </si>
  <si>
    <t>07/05/2018</t>
  </si>
  <si>
    <t>1350</t>
  </si>
  <si>
    <t>15/06/2022</t>
  </si>
  <si>
    <t>10/05/2021</t>
  </si>
  <si>
    <t>816</t>
  </si>
  <si>
    <t>07/04/2022</t>
  </si>
  <si>
    <t>858</t>
  </si>
  <si>
    <t>03/10/2024</t>
  </si>
  <si>
    <t>3138</t>
  </si>
  <si>
    <t xml:space="preserve">    </t>
  </si>
  <si>
    <t>S50</t>
  </si>
  <si>
    <t>5.5.</t>
  </si>
  <si>
    <t>Fecha y año2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</si>
</sst>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00"/>
    <numFmt numFmtId="165" formatCode="dd/mm/yy"/>
    <numFmt numFmtId="166" formatCode="0.0000"/>
    <numFmt numFmtId="167" formatCode="0.0"/>
    <numFmt numFmtId="168" formatCode="0.00000"/>
    <numFmt numFmtId="169" formatCode="0.000000"/>
    <numFmt numFmtId="170" formatCode="m/d/yyyy\ h:mm:ss"/>
    <numFmt numFmtId="171" formatCode="#,##0.0"/>
  </numFmts>
  <fonts count="2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Calibri"/>
    </font>
    <font>
      <sz val="10"/>
      <color rgb="FF434343"/>
      <name val="Arial"/>
      <scheme val="minor"/>
    </font>
    <font>
      <b/>
      <sz val="22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000000"/>
      <name val="Arial"/>
      <scheme val="minor"/>
    </font>
    <font>
      <b/>
      <sz val="10"/>
      <color rgb="FF434343"/>
      <name val="Roboto"/>
    </font>
    <font>
      <b/>
      <sz val="10"/>
      <color rgb="FFFF0000"/>
      <name val="Arial"/>
      <scheme val="minor"/>
    </font>
    <font>
      <b/>
      <sz val="10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A9D08E"/>
        <bgColor rgb="FFA9D08E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2F75B5"/>
        <bgColor rgb="FF2F75B5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45818E"/>
        <bgColor rgb="FF45818E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5B3F86"/>
        <bgColor rgb="FF5B3F86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</fills>
  <borders count="9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98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98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</borders>
  <cellStyleXfs count="1">
    <xf numFmtId="0" fontId="0" fillId="0" borderId="0"/>
  </cellStyleXfs>
  <cellXfs count="84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13" borderId="20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4" fillId="14" borderId="1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/>
    </xf>
    <xf numFmtId="0" fontId="6" fillId="20" borderId="32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 wrapText="1"/>
    </xf>
    <xf numFmtId="0" fontId="6" fillId="10" borderId="34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0" borderId="10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8" fillId="23" borderId="23" xfId="0" applyFont="1" applyFill="1" applyBorder="1" applyAlignment="1">
      <alignment horizontal="center" vertical="center"/>
    </xf>
    <xf numFmtId="0" fontId="6" fillId="21" borderId="24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0" xfId="0" applyFont="1" applyAlignment="1"/>
    <xf numFmtId="0" fontId="1" fillId="0" borderId="2" xfId="0" applyFont="1" applyBorder="1"/>
    <xf numFmtId="0" fontId="7" fillId="10" borderId="1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6" fillId="23" borderId="23" xfId="0" applyFont="1" applyFill="1" applyBorder="1" applyAlignment="1">
      <alignment horizontal="center" vertical="center"/>
    </xf>
    <xf numFmtId="0" fontId="4" fillId="13" borderId="45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5" fillId="20" borderId="32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  <xf numFmtId="165" fontId="5" fillId="20" borderId="1" xfId="0" applyNumberFormat="1" applyFont="1" applyFill="1" applyBorder="1" applyAlignment="1">
      <alignment horizontal="center" vertical="center" wrapText="1"/>
    </xf>
    <xf numFmtId="165" fontId="5" fillId="20" borderId="9" xfId="0" applyNumberFormat="1" applyFont="1" applyFill="1" applyBorder="1" applyAlignment="1">
      <alignment horizontal="center" vertical="center" wrapText="1"/>
    </xf>
    <xf numFmtId="165" fontId="5" fillId="20" borderId="51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165" fontId="5" fillId="20" borderId="16" xfId="0" applyNumberFormat="1" applyFont="1" applyFill="1" applyBorder="1" applyAlignment="1">
      <alignment horizontal="center" vertical="center" wrapText="1"/>
    </xf>
    <xf numFmtId="165" fontId="5" fillId="20" borderId="0" xfId="0" applyNumberFormat="1" applyFont="1" applyFill="1" applyAlignment="1">
      <alignment horizontal="center" vertical="center" wrapText="1"/>
    </xf>
    <xf numFmtId="165" fontId="5" fillId="20" borderId="25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19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20" borderId="1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1" fillId="0" borderId="0" xfId="0" applyFont="1"/>
    <xf numFmtId="0" fontId="6" fillId="6" borderId="30" xfId="0" applyFont="1" applyFill="1" applyBorder="1" applyAlignment="1">
      <alignment horizontal="center" vertical="center"/>
    </xf>
    <xf numFmtId="0" fontId="6" fillId="21" borderId="2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165" fontId="5" fillId="25" borderId="0" xfId="0" applyNumberFormat="1" applyFont="1" applyFill="1" applyAlignment="1">
      <alignment horizontal="center" vertical="center" wrapText="1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 wrapText="1"/>
    </xf>
    <xf numFmtId="0" fontId="6" fillId="25" borderId="0" xfId="0" applyFont="1" applyFill="1" applyAlignment="1">
      <alignment horizontal="center" vertical="center" wrapText="1"/>
    </xf>
    <xf numFmtId="0" fontId="5" fillId="25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center" vertical="center"/>
    </xf>
    <xf numFmtId="0" fontId="5" fillId="19" borderId="10" xfId="0" applyFont="1" applyFill="1" applyBorder="1" applyAlignment="1">
      <alignment horizontal="center" vertical="center" wrapText="1"/>
    </xf>
    <xf numFmtId="0" fontId="8" fillId="25" borderId="0" xfId="0" applyFont="1" applyFill="1" applyAlignment="1">
      <alignment horizontal="center" vertical="center"/>
    </xf>
    <xf numFmtId="0" fontId="6" fillId="21" borderId="23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3" fillId="26" borderId="2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16" borderId="2" xfId="0" applyFont="1" applyFill="1" applyBorder="1" applyAlignment="1"/>
    <xf numFmtId="0" fontId="5" fillId="25" borderId="0" xfId="0" applyFont="1" applyFill="1" applyAlignment="1">
      <alignment horizontal="center" vertical="center" wrapText="1"/>
    </xf>
    <xf numFmtId="168" fontId="5" fillId="25" borderId="0" xfId="0" applyNumberFormat="1" applyFont="1" applyFill="1" applyAlignment="1">
      <alignment horizontal="center" vertical="center" wrapText="1"/>
    </xf>
    <xf numFmtId="164" fontId="5" fillId="25" borderId="0" xfId="0" applyNumberFormat="1" applyFont="1" applyFill="1" applyAlignment="1">
      <alignment horizontal="center" vertical="center"/>
    </xf>
    <xf numFmtId="166" fontId="5" fillId="25" borderId="0" xfId="0" applyNumberFormat="1" applyFont="1" applyFill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165" fontId="6" fillId="20" borderId="2" xfId="0" applyNumberFormat="1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165" fontId="6" fillId="20" borderId="0" xfId="0" applyNumberFormat="1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165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20" borderId="11" xfId="0" applyFont="1" applyFill="1" applyBorder="1" applyAlignment="1">
      <alignment horizontal="center" vertical="center" wrapText="1"/>
    </xf>
    <xf numFmtId="165" fontId="6" fillId="20" borderId="2" xfId="0" applyNumberFormat="1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0" fontId="6" fillId="22" borderId="7" xfId="0" applyFont="1" applyFill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/>
    </xf>
    <xf numFmtId="0" fontId="6" fillId="23" borderId="23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22" borderId="24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23" borderId="23" xfId="0" applyFont="1" applyFill="1" applyBorder="1" applyAlignment="1">
      <alignment horizontal="center" vertical="center"/>
    </xf>
    <xf numFmtId="0" fontId="6" fillId="22" borderId="23" xfId="0" applyFont="1" applyFill="1" applyBorder="1" applyAlignment="1">
      <alignment horizontal="center" vertical="center"/>
    </xf>
    <xf numFmtId="0" fontId="6" fillId="20" borderId="3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5" borderId="0" xfId="0" applyFont="1" applyFill="1" applyAlignment="1">
      <alignment horizontal="center" vertical="center"/>
    </xf>
    <xf numFmtId="0" fontId="2" fillId="20" borderId="2" xfId="0" applyFont="1" applyFill="1" applyBorder="1" applyAlignment="1">
      <alignment horizontal="center"/>
    </xf>
    <xf numFmtId="0" fontId="2" fillId="27" borderId="2" xfId="0" applyFont="1" applyFill="1" applyBorder="1" applyAlignment="1"/>
    <xf numFmtId="0" fontId="1" fillId="0" borderId="48" xfId="0" applyFont="1" applyBorder="1" applyAlignment="1">
      <alignment horizontal="center" vertical="center"/>
    </xf>
    <xf numFmtId="0" fontId="2" fillId="17" borderId="2" xfId="0" applyFont="1" applyFill="1" applyBorder="1" applyAlignment="1">
      <alignment horizontal="center"/>
    </xf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4" fillId="0" borderId="0" xfId="0" applyFont="1" applyAlignment="1">
      <alignment horizontal="center"/>
    </xf>
    <xf numFmtId="0" fontId="2" fillId="0" borderId="2" xfId="0" applyFont="1" applyBorder="1" applyAlignment="1"/>
    <xf numFmtId="0" fontId="16" fillId="9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/>
    </xf>
    <xf numFmtId="0" fontId="1" fillId="0" borderId="2" xfId="0" applyFont="1" applyBorder="1" applyAlignment="1">
      <alignment horizontal="right" vertical="center" wrapText="1"/>
    </xf>
    <xf numFmtId="0" fontId="14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/>
    <xf numFmtId="0" fontId="2" fillId="0" borderId="61" xfId="0" applyFont="1" applyBorder="1" applyAlignment="1"/>
    <xf numFmtId="0" fontId="1" fillId="18" borderId="2" xfId="0" applyFont="1" applyFill="1" applyBorder="1" applyAlignment="1">
      <alignment horizontal="left" vertical="center" wrapText="1"/>
    </xf>
    <xf numFmtId="166" fontId="1" fillId="18" borderId="2" xfId="0" applyNumberFormat="1" applyFont="1" applyFill="1" applyBorder="1" applyAlignment="1">
      <alignment horizontal="center" vertical="center" wrapText="1"/>
    </xf>
    <xf numFmtId="0" fontId="10" fillId="0" borderId="60" xfId="0" applyFont="1" applyBorder="1" applyAlignment="1"/>
    <xf numFmtId="0" fontId="2" fillId="0" borderId="63" xfId="0" applyFont="1" applyBorder="1" applyAlignment="1"/>
    <xf numFmtId="0" fontId="10" fillId="0" borderId="37" xfId="0" applyFont="1" applyBorder="1" applyAlignment="1"/>
    <xf numFmtId="0" fontId="2" fillId="0" borderId="10" xfId="0" applyFont="1" applyBorder="1" applyAlignment="1"/>
    <xf numFmtId="0" fontId="2" fillId="0" borderId="12" xfId="0" applyFont="1" applyBorder="1" applyAlignment="1"/>
    <xf numFmtId="166" fontId="1" fillId="18" borderId="0" xfId="0" applyNumberFormat="1" applyFont="1" applyFill="1" applyAlignment="1">
      <alignment horizontal="center" vertical="center" wrapText="1"/>
    </xf>
    <xf numFmtId="0" fontId="10" fillId="0" borderId="64" xfId="0" applyFont="1" applyBorder="1" applyAlignment="1"/>
    <xf numFmtId="0" fontId="1" fillId="19" borderId="2" xfId="0" applyFont="1" applyFill="1" applyBorder="1" applyAlignment="1">
      <alignment horizontal="left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6" xfId="0" applyFont="1" applyBorder="1" applyAlignment="1"/>
    <xf numFmtId="166" fontId="1" fillId="19" borderId="2" xfId="0" applyNumberFormat="1" applyFont="1" applyFill="1" applyBorder="1" applyAlignment="1">
      <alignment horizontal="right" vertical="center" wrapText="1"/>
    </xf>
    <xf numFmtId="0" fontId="2" fillId="0" borderId="6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" fillId="0" borderId="63" xfId="0" applyFont="1" applyBorder="1" applyAlignment="1">
      <alignment horizontal="center" vertical="center" wrapText="1"/>
    </xf>
    <xf numFmtId="0" fontId="10" fillId="0" borderId="0" xfId="0" applyFont="1" applyAlignment="1"/>
    <xf numFmtId="0" fontId="2" fillId="0" borderId="16" xfId="0" applyFont="1" applyBorder="1" applyAlignment="1">
      <alignment horizontal="center"/>
    </xf>
    <xf numFmtId="0" fontId="2" fillId="0" borderId="68" xfId="0" applyFont="1" applyBorder="1" applyAlignment="1"/>
    <xf numFmtId="0" fontId="2" fillId="0" borderId="14" xfId="0" applyFont="1" applyBorder="1" applyAlignment="1"/>
    <xf numFmtId="0" fontId="10" fillId="0" borderId="21" xfId="0" applyFont="1" applyBorder="1" applyAlignment="1"/>
    <xf numFmtId="0" fontId="2" fillId="0" borderId="15" xfId="0" applyFont="1" applyBorder="1" applyAlignment="1"/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/>
    <xf numFmtId="0" fontId="1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21" xfId="0" applyFont="1" applyBorder="1" applyAlignment="1"/>
    <xf numFmtId="0" fontId="10" fillId="0" borderId="68" xfId="0" applyFont="1" applyBorder="1" applyAlignment="1"/>
    <xf numFmtId="164" fontId="1" fillId="0" borderId="2" xfId="0" applyNumberFormat="1" applyFont="1" applyBorder="1" applyAlignment="1">
      <alignment horizontal="right"/>
    </xf>
    <xf numFmtId="0" fontId="10" fillId="0" borderId="4" xfId="0" applyFont="1" applyBorder="1" applyAlignment="1"/>
    <xf numFmtId="166" fontId="1" fillId="18" borderId="2" xfId="0" applyNumberFormat="1" applyFont="1" applyFill="1" applyBorder="1" applyAlignment="1">
      <alignment horizontal="center"/>
    </xf>
    <xf numFmtId="166" fontId="1" fillId="18" borderId="0" xfId="0" applyNumberFormat="1" applyFont="1" applyFill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68" fontId="1" fillId="19" borderId="2" xfId="0" applyNumberFormat="1" applyFont="1" applyFill="1" applyBorder="1" applyAlignment="1">
      <alignment horizontal="right"/>
    </xf>
    <xf numFmtId="0" fontId="1" fillId="0" borderId="69" xfId="0" applyFont="1" applyBorder="1"/>
    <xf numFmtId="0" fontId="2" fillId="0" borderId="2" xfId="0" applyFont="1" applyBorder="1" applyAlignment="1">
      <alignment horizontal="center" vertical="center" wrapText="1"/>
    </xf>
    <xf numFmtId="0" fontId="10" fillId="0" borderId="14" xfId="0" applyFont="1" applyBorder="1" applyAlignment="1"/>
    <xf numFmtId="2" fontId="1" fillId="0" borderId="2" xfId="0" applyNumberFormat="1" applyFont="1" applyBorder="1" applyAlignment="1">
      <alignment horizontal="right"/>
    </xf>
    <xf numFmtId="0" fontId="2" fillId="0" borderId="39" xfId="0" applyFont="1" applyBorder="1" applyAlignment="1">
      <alignment horizontal="center"/>
    </xf>
    <xf numFmtId="0" fontId="2" fillId="0" borderId="74" xfId="0" applyFont="1" applyBorder="1" applyAlignment="1"/>
    <xf numFmtId="0" fontId="2" fillId="0" borderId="23" xfId="0" applyFont="1" applyBorder="1" applyAlignment="1">
      <alignment horizontal="center" vertical="center" wrapText="1"/>
    </xf>
    <xf numFmtId="0" fontId="10" fillId="0" borderId="74" xfId="0" applyFont="1" applyBorder="1" applyAlignment="1"/>
    <xf numFmtId="0" fontId="10" fillId="0" borderId="28" xfId="0" applyFont="1" applyBorder="1" applyAlignment="1"/>
    <xf numFmtId="0" fontId="2" fillId="0" borderId="23" xfId="0" applyFont="1" applyBorder="1" applyAlignment="1"/>
    <xf numFmtId="0" fontId="2" fillId="0" borderId="28" xfId="0" applyFont="1" applyBorder="1" applyAlignment="1"/>
    <xf numFmtId="0" fontId="2" fillId="0" borderId="24" xfId="0" applyFont="1" applyBorder="1" applyAlignment="1">
      <alignment horizontal="center" vertical="center" wrapText="1"/>
    </xf>
    <xf numFmtId="0" fontId="10" fillId="0" borderId="29" xfId="0" applyFont="1" applyBorder="1" applyAlignment="1"/>
    <xf numFmtId="0" fontId="2" fillId="0" borderId="30" xfId="0" applyFont="1" applyBorder="1" applyAlignment="1"/>
    <xf numFmtId="0" fontId="1" fillId="23" borderId="0" xfId="0" applyFont="1" applyFill="1"/>
    <xf numFmtId="0" fontId="1" fillId="31" borderId="0" xfId="0" applyFont="1" applyFill="1"/>
    <xf numFmtId="0" fontId="1" fillId="29" borderId="0" xfId="0" applyFont="1" applyFill="1"/>
    <xf numFmtId="0" fontId="1" fillId="24" borderId="0" xfId="0" applyFont="1" applyFill="1"/>
    <xf numFmtId="0" fontId="1" fillId="32" borderId="0" xfId="0" applyFont="1" applyFill="1"/>
    <xf numFmtId="0" fontId="17" fillId="13" borderId="75" xfId="0" applyFont="1" applyFill="1" applyBorder="1" applyAlignment="1">
      <alignment horizontal="center"/>
    </xf>
    <xf numFmtId="0" fontId="16" fillId="0" borderId="6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0" fillId="0" borderId="79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30" borderId="71" xfId="0" applyFont="1" applyFill="1" applyBorder="1" applyAlignment="1">
      <alignment horizontal="center" vertical="center"/>
    </xf>
    <xf numFmtId="0" fontId="1" fillId="23" borderId="11" xfId="0" applyFont="1" applyFill="1" applyBorder="1" applyAlignment="1">
      <alignment horizontal="center" vertical="center"/>
    </xf>
    <xf numFmtId="0" fontId="1" fillId="29" borderId="80" xfId="0" applyFont="1" applyFill="1" applyBorder="1" applyAlignment="1">
      <alignment horizontal="center" vertical="center"/>
    </xf>
    <xf numFmtId="0" fontId="1" fillId="30" borderId="72" xfId="0" applyFont="1" applyFill="1" applyBorder="1" applyAlignment="1">
      <alignment horizontal="center" vertical="center"/>
    </xf>
    <xf numFmtId="0" fontId="1" fillId="20" borderId="81" xfId="0" applyFont="1" applyFill="1" applyBorder="1" applyAlignment="1">
      <alignment horizontal="center" vertical="center"/>
    </xf>
    <xf numFmtId="0" fontId="1" fillId="23" borderId="71" xfId="0" applyFont="1" applyFill="1" applyBorder="1" applyAlignment="1">
      <alignment horizontal="center" vertical="center"/>
    </xf>
    <xf numFmtId="0" fontId="1" fillId="29" borderId="11" xfId="0" applyFont="1" applyFill="1" applyBorder="1" applyAlignment="1">
      <alignment horizontal="center" vertical="center"/>
    </xf>
    <xf numFmtId="0" fontId="1" fillId="30" borderId="10" xfId="0" applyFont="1" applyFill="1" applyBorder="1" applyAlignment="1">
      <alignment horizontal="center" vertical="center"/>
    </xf>
    <xf numFmtId="0" fontId="1" fillId="0" borderId="82" xfId="0" applyFont="1" applyBorder="1"/>
    <xf numFmtId="0" fontId="7" fillId="0" borderId="27" xfId="0" applyFont="1" applyBorder="1" applyAlignment="1">
      <alignment horizontal="center"/>
    </xf>
    <xf numFmtId="0" fontId="10" fillId="0" borderId="83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3" borderId="7" xfId="0" applyFont="1" applyFill="1" applyBorder="1" applyAlignment="1">
      <alignment horizontal="center" vertical="center"/>
    </xf>
    <xf numFmtId="0" fontId="1" fillId="29" borderId="84" xfId="0" applyFont="1" applyFill="1" applyBorder="1" applyAlignment="1">
      <alignment horizontal="center" vertical="center"/>
    </xf>
    <xf numFmtId="0" fontId="1" fillId="30" borderId="70" xfId="0" applyFont="1" applyFill="1" applyBorder="1" applyAlignment="1">
      <alignment horizontal="center" vertical="center"/>
    </xf>
    <xf numFmtId="0" fontId="1" fillId="20" borderId="82" xfId="0" applyFont="1" applyFill="1" applyBorder="1" applyAlignment="1">
      <alignment horizontal="center" vertical="center"/>
    </xf>
    <xf numFmtId="0" fontId="1" fillId="23" borderId="70" xfId="0" applyFont="1" applyFill="1" applyBorder="1" applyAlignment="1">
      <alignment horizontal="center" vertical="center"/>
    </xf>
    <xf numFmtId="0" fontId="1" fillId="29" borderId="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/>
    </xf>
    <xf numFmtId="0" fontId="1" fillId="0" borderId="68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3" borderId="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33" borderId="84" xfId="0" applyFont="1" applyFill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33" borderId="87" xfId="0" applyFont="1" applyFill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33" borderId="89" xfId="0" applyFont="1" applyFill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right"/>
    </xf>
    <xf numFmtId="0" fontId="7" fillId="0" borderId="87" xfId="0" applyFont="1" applyBorder="1" applyAlignment="1">
      <alignment horizontal="center"/>
    </xf>
    <xf numFmtId="0" fontId="1" fillId="0" borderId="89" xfId="0" applyFont="1" applyBorder="1"/>
    <xf numFmtId="0" fontId="1" fillId="0" borderId="29" xfId="0" applyFont="1" applyBorder="1" applyAlignment="1">
      <alignment horizontal="center" vertical="center"/>
    </xf>
    <xf numFmtId="0" fontId="1" fillId="33" borderId="23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6" fillId="7" borderId="57" xfId="0" applyFont="1" applyFill="1" applyBorder="1" applyAlignment="1">
      <alignment horizontal="center"/>
    </xf>
    <xf numFmtId="0" fontId="16" fillId="7" borderId="58" xfId="0" applyFont="1" applyFill="1" applyBorder="1" applyAlignment="1">
      <alignment horizontal="center"/>
    </xf>
    <xf numFmtId="0" fontId="16" fillId="23" borderId="64" xfId="0" applyFont="1" applyFill="1" applyBorder="1" applyAlignment="1"/>
    <xf numFmtId="0" fontId="1" fillId="0" borderId="61" xfId="0" applyFont="1" applyBorder="1"/>
    <xf numFmtId="0" fontId="16" fillId="30" borderId="21" xfId="0" applyFont="1" applyFill="1" applyBorder="1" applyAlignment="1"/>
    <xf numFmtId="0" fontId="1" fillId="29" borderId="7" xfId="0" applyFont="1" applyFill="1" applyBorder="1" applyAlignment="1">
      <alignment horizontal="left" vertical="center"/>
    </xf>
    <xf numFmtId="0" fontId="16" fillId="33" borderId="21" xfId="0" applyFont="1" applyFill="1" applyBorder="1" applyAlignment="1"/>
    <xf numFmtId="0" fontId="16" fillId="24" borderId="21" xfId="0" applyFont="1" applyFill="1" applyBorder="1" applyAlignment="1"/>
    <xf numFmtId="0" fontId="16" fillId="32" borderId="28" xfId="0" applyFont="1" applyFill="1" applyBorder="1" applyAlignment="1"/>
    <xf numFmtId="0" fontId="1" fillId="0" borderId="23" xfId="0" applyFont="1" applyBorder="1"/>
    <xf numFmtId="0" fontId="1" fillId="1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4" fillId="0" borderId="0" xfId="0" applyFont="1" applyAlignment="1"/>
    <xf numFmtId="0" fontId="16" fillId="0" borderId="0" xfId="0" applyFont="1" applyAlignment="1"/>
    <xf numFmtId="0" fontId="16" fillId="34" borderId="0" xfId="0" applyFont="1" applyFill="1" applyAlignment="1">
      <alignment horizontal="left" vertical="center" wrapText="1"/>
    </xf>
    <xf numFmtId="0" fontId="16" fillId="34" borderId="0" xfId="0" applyFont="1" applyFill="1" applyAlignment="1">
      <alignment horizontal="left" vertical="center" wrapText="1"/>
    </xf>
    <xf numFmtId="49" fontId="16" fillId="34" borderId="0" xfId="0" applyNumberFormat="1" applyFont="1" applyFill="1" applyAlignment="1">
      <alignment horizontal="left" vertical="center" wrapText="1"/>
    </xf>
    <xf numFmtId="0" fontId="16" fillId="0" borderId="0" xfId="0" applyFont="1" applyAlignment="1"/>
    <xf numFmtId="0" fontId="16" fillId="0" borderId="0" xfId="0" applyFont="1" applyAlignment="1"/>
    <xf numFmtId="0" fontId="16" fillId="0" borderId="0" xfId="0" applyFont="1" applyAlignment="1"/>
    <xf numFmtId="0" fontId="16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16" fillId="0" borderId="2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6" fillId="34" borderId="0" xfId="0" applyFont="1" applyFill="1" applyAlignment="1">
      <alignment horizontal="left" vertical="center" wrapText="1"/>
    </xf>
    <xf numFmtId="0" fontId="16" fillId="34" borderId="0" xfId="0" applyFont="1" applyFill="1" applyAlignment="1">
      <alignment horizontal="left" vertical="center" wrapText="1"/>
    </xf>
    <xf numFmtId="49" fontId="16" fillId="34" borderId="0" xfId="0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0" fontId="16" fillId="27" borderId="0" xfId="0" applyNumberFormat="1" applyFont="1" applyFill="1" applyAlignment="1">
      <alignment vertical="center"/>
    </xf>
    <xf numFmtId="0" fontId="16" fillId="27" borderId="0" xfId="0" applyFont="1" applyFill="1" applyAlignment="1">
      <alignment vertical="center"/>
    </xf>
    <xf numFmtId="0" fontId="16" fillId="27" borderId="27" xfId="0" applyFont="1" applyFill="1" applyBorder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49" fontId="16" fillId="27" borderId="0" xfId="0" applyNumberFormat="1" applyFont="1" applyFill="1" applyAlignment="1">
      <alignment horizontal="center" vertical="center" wrapText="1"/>
    </xf>
    <xf numFmtId="0" fontId="16" fillId="27" borderId="48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7" borderId="0" xfId="0" applyFont="1" applyFill="1" applyAlignment="1">
      <alignment vertical="center"/>
    </xf>
    <xf numFmtId="0" fontId="16" fillId="27" borderId="0" xfId="0" applyFont="1" applyFill="1" applyAlignment="1">
      <alignment vertical="center"/>
    </xf>
    <xf numFmtId="0" fontId="16" fillId="27" borderId="27" xfId="0" applyFont="1" applyFill="1" applyBorder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0" fontId="16" fillId="27" borderId="0" xfId="0" quotePrefix="1" applyFont="1" applyFill="1" applyAlignment="1">
      <alignment horizontal="center" vertical="center" wrapText="1"/>
    </xf>
    <xf numFmtId="0" fontId="16" fillId="27" borderId="48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7" borderId="0" xfId="0" quotePrefix="1" applyFont="1" applyFill="1" applyAlignment="1">
      <alignment vertical="center"/>
    </xf>
    <xf numFmtId="49" fontId="16" fillId="27" borderId="0" xfId="0" applyNumberFormat="1" applyFont="1" applyFill="1" applyAlignment="1">
      <alignment horizontal="center" vertical="center" wrapText="1"/>
    </xf>
    <xf numFmtId="0" fontId="16" fillId="27" borderId="27" xfId="0" applyFont="1" applyFill="1" applyBorder="1" applyAlignment="1">
      <alignment horizontal="center" vertical="center" wrapText="1"/>
    </xf>
    <xf numFmtId="0" fontId="16" fillId="27" borderId="48" xfId="0" applyFont="1" applyFill="1" applyBorder="1" applyAlignment="1">
      <alignment horizontal="center" vertical="center" wrapText="1"/>
    </xf>
    <xf numFmtId="170" fontId="16" fillId="24" borderId="0" xfId="0" applyNumberFormat="1" applyFont="1" applyFill="1" applyAlignment="1">
      <alignment vertical="center"/>
    </xf>
    <xf numFmtId="0" fontId="16" fillId="24" borderId="0" xfId="0" applyFont="1" applyFill="1" applyAlignment="1">
      <alignment vertical="center"/>
    </xf>
    <xf numFmtId="0" fontId="16" fillId="24" borderId="27" xfId="0" applyFont="1" applyFill="1" applyBorder="1" applyAlignment="1">
      <alignment horizontal="center" vertical="center" wrapText="1"/>
    </xf>
    <xf numFmtId="0" fontId="16" fillId="24" borderId="0" xfId="0" quotePrefix="1" applyFont="1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49" fontId="16" fillId="24" borderId="0" xfId="0" applyNumberFormat="1" applyFont="1" applyFill="1" applyAlignment="1">
      <alignment horizontal="center" vertical="center" wrapText="1"/>
    </xf>
    <xf numFmtId="0" fontId="16" fillId="24" borderId="48" xfId="0" applyFont="1" applyFill="1" applyBorder="1" applyAlignment="1">
      <alignment horizontal="center" vertical="center" wrapText="1"/>
    </xf>
    <xf numFmtId="0" fontId="16" fillId="24" borderId="27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16" fillId="24" borderId="0" xfId="0" applyFont="1" applyFill="1" applyAlignment="1">
      <alignment vertical="center"/>
    </xf>
    <xf numFmtId="167" fontId="1" fillId="0" borderId="2" xfId="0" applyNumberFormat="1" applyFont="1" applyBorder="1" applyAlignment="1">
      <alignment horizontal="right"/>
    </xf>
    <xf numFmtId="0" fontId="16" fillId="24" borderId="0" xfId="0" applyFont="1" applyFill="1"/>
    <xf numFmtId="49" fontId="16" fillId="24" borderId="0" xfId="0" applyNumberFormat="1" applyFont="1" applyFill="1" applyAlignment="1">
      <alignment horizontal="center" vertical="center" wrapText="1"/>
    </xf>
    <xf numFmtId="0" fontId="16" fillId="24" borderId="27" xfId="0" quotePrefix="1" applyFont="1" applyFill="1" applyBorder="1" applyAlignment="1">
      <alignment horizontal="center" vertical="center" wrapText="1"/>
    </xf>
    <xf numFmtId="0" fontId="16" fillId="24" borderId="48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vertical="center"/>
    </xf>
    <xf numFmtId="0" fontId="6" fillId="22" borderId="24" xfId="0" applyFont="1" applyFill="1" applyBorder="1" applyAlignment="1">
      <alignment horizontal="center" vertical="center"/>
    </xf>
    <xf numFmtId="170" fontId="16" fillId="35" borderId="0" xfId="0" applyNumberFormat="1" applyFont="1" applyFill="1" applyAlignment="1">
      <alignment vertical="center"/>
    </xf>
    <xf numFmtId="0" fontId="16" fillId="35" borderId="0" xfId="0" applyFont="1" applyFill="1" applyAlignment="1">
      <alignment vertical="center"/>
    </xf>
    <xf numFmtId="0" fontId="16" fillId="35" borderId="27" xfId="0" applyFont="1" applyFill="1" applyBorder="1" applyAlignment="1">
      <alignment horizontal="center" vertical="center" wrapText="1"/>
    </xf>
    <xf numFmtId="0" fontId="16" fillId="35" borderId="0" xfId="0" quotePrefix="1" applyFont="1" applyFill="1" applyAlignment="1">
      <alignment horizontal="center" vertical="center" wrapText="1"/>
    </xf>
    <xf numFmtId="0" fontId="16" fillId="35" borderId="0" xfId="0" applyFont="1" applyFill="1" applyAlignment="1">
      <alignment horizontal="center" vertical="center" wrapText="1"/>
    </xf>
    <xf numFmtId="49" fontId="16" fillId="35" borderId="0" xfId="0" applyNumberFormat="1" applyFont="1" applyFill="1" applyAlignment="1">
      <alignment horizontal="center" vertical="center" wrapText="1"/>
    </xf>
    <xf numFmtId="0" fontId="16" fillId="35" borderId="48" xfId="0" applyFont="1" applyFill="1" applyBorder="1" applyAlignment="1">
      <alignment horizontal="center" vertical="center" wrapText="1"/>
    </xf>
    <xf numFmtId="0" fontId="16" fillId="35" borderId="27" xfId="0" applyFont="1" applyFill="1" applyBorder="1" applyAlignment="1">
      <alignment horizontal="center" vertical="center" wrapText="1"/>
    </xf>
    <xf numFmtId="0" fontId="16" fillId="35" borderId="0" xfId="0" applyFont="1" applyFill="1" applyAlignment="1">
      <alignment horizontal="center" vertical="center" wrapText="1"/>
    </xf>
    <xf numFmtId="0" fontId="16" fillId="35" borderId="0" xfId="0" applyFont="1" applyFill="1" applyAlignment="1">
      <alignment vertical="center"/>
    </xf>
    <xf numFmtId="0" fontId="16" fillId="35" borderId="48" xfId="0" applyFont="1" applyFill="1" applyBorder="1" applyAlignment="1">
      <alignment horizontal="center" vertical="center" wrapText="1"/>
    </xf>
    <xf numFmtId="0" fontId="16" fillId="35" borderId="0" xfId="0" applyFont="1" applyFill="1" applyAlignment="1">
      <alignment vertical="center"/>
    </xf>
    <xf numFmtId="0" fontId="16" fillId="35" borderId="0" xfId="0" applyFont="1" applyFill="1"/>
    <xf numFmtId="170" fontId="18" fillId="24" borderId="0" xfId="0" applyNumberFormat="1" applyFont="1" applyFill="1" applyAlignment="1">
      <alignment vertical="center"/>
    </xf>
    <xf numFmtId="0" fontId="18" fillId="24" borderId="0" xfId="0" applyFont="1" applyFill="1" applyAlignment="1">
      <alignment horizontal="center" vertical="center" wrapText="1"/>
    </xf>
    <xf numFmtId="49" fontId="18" fillId="24" borderId="0" xfId="0" applyNumberFormat="1" applyFont="1" applyFill="1" applyAlignment="1">
      <alignment horizontal="center" vertical="center" wrapText="1"/>
    </xf>
    <xf numFmtId="0" fontId="18" fillId="24" borderId="0" xfId="0" applyFont="1" applyFill="1" applyAlignment="1">
      <alignment horizontal="center" vertical="center" wrapText="1"/>
    </xf>
    <xf numFmtId="0" fontId="18" fillId="24" borderId="0" xfId="0" applyFont="1" applyFill="1" applyAlignment="1">
      <alignment vertical="center"/>
    </xf>
    <xf numFmtId="0" fontId="18" fillId="24" borderId="0" xfId="0" applyFont="1" applyFill="1" applyAlignment="1">
      <alignment vertical="center"/>
    </xf>
    <xf numFmtId="49" fontId="18" fillId="24" borderId="0" xfId="0" applyNumberFormat="1" applyFont="1" applyFill="1" applyAlignment="1">
      <alignment horizontal="center" vertical="center" wrapText="1"/>
    </xf>
    <xf numFmtId="170" fontId="1" fillId="24" borderId="0" xfId="0" applyNumberFormat="1" applyFont="1" applyFill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27" xfId="0" applyFont="1" applyFill="1" applyBorder="1" applyAlignment="1">
      <alignment horizontal="center" vertical="center" wrapText="1"/>
    </xf>
    <xf numFmtId="0" fontId="1" fillId="24" borderId="0" xfId="0" quotePrefix="1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49" fontId="1" fillId="24" borderId="0" xfId="0" applyNumberFormat="1" applyFont="1" applyFill="1" applyAlignment="1">
      <alignment horizontal="center" vertical="center" wrapText="1"/>
    </xf>
    <xf numFmtId="0" fontId="1" fillId="24" borderId="48" xfId="0" applyFont="1" applyFill="1" applyBorder="1" applyAlignment="1">
      <alignment horizontal="center" vertical="center" wrapText="1"/>
    </xf>
    <xf numFmtId="0" fontId="1" fillId="24" borderId="27" xfId="0" applyFont="1" applyFill="1" applyBorder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vertical="center"/>
    </xf>
    <xf numFmtId="0" fontId="1" fillId="24" borderId="48" xfId="0" applyFont="1" applyFill="1" applyBorder="1" applyAlignment="1">
      <alignment horizontal="center" vertical="center" wrapText="1"/>
    </xf>
    <xf numFmtId="0" fontId="1" fillId="24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vertical="center"/>
    </xf>
    <xf numFmtId="170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0" xfId="0" quotePrefix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48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24" borderId="91" xfId="0" applyFont="1" applyFill="1" applyBorder="1" applyAlignment="1">
      <alignment horizontal="center" vertical="center" wrapText="1"/>
    </xf>
    <xf numFmtId="0" fontId="16" fillId="24" borderId="92" xfId="0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27" xfId="0" quotePrefix="1" applyFont="1" applyBorder="1" applyAlignment="1">
      <alignment horizontal="center" vertical="center" wrapText="1"/>
    </xf>
    <xf numFmtId="0" fontId="16" fillId="20" borderId="0" xfId="0" applyFont="1" applyFill="1" applyAlignment="1">
      <alignment horizontal="left" vertical="center" wrapText="1"/>
    </xf>
    <xf numFmtId="170" fontId="16" fillId="0" borderId="27" xfId="0" applyNumberFormat="1" applyFont="1" applyBorder="1" applyAlignment="1">
      <alignment horizontal="center" vertical="center" wrapText="1"/>
    </xf>
    <xf numFmtId="170" fontId="16" fillId="0" borderId="0" xfId="0" quotePrefix="1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 wrapText="1"/>
    </xf>
    <xf numFmtId="170" fontId="16" fillId="0" borderId="48" xfId="0" applyNumberFormat="1" applyFont="1" applyBorder="1" applyAlignment="1">
      <alignment horizontal="center" vertical="center" wrapText="1"/>
    </xf>
    <xf numFmtId="170" fontId="16" fillId="20" borderId="0" xfId="0" applyNumberFormat="1" applyFont="1" applyFill="1" applyAlignment="1">
      <alignment horizontal="left" vertical="center" wrapText="1"/>
    </xf>
    <xf numFmtId="170" fontId="16" fillId="24" borderId="0" xfId="0" applyNumberFormat="1" applyFont="1" applyFill="1" applyAlignment="1">
      <alignment horizontal="left" vertical="center" wrapText="1"/>
    </xf>
    <xf numFmtId="170" fontId="16" fillId="24" borderId="0" xfId="0" applyNumberFormat="1" applyFont="1" applyFill="1" applyAlignment="1"/>
    <xf numFmtId="0" fontId="16" fillId="0" borderId="92" xfId="0" applyFont="1" applyBorder="1" applyAlignment="1">
      <alignment horizontal="center" vertical="center" wrapText="1"/>
    </xf>
    <xf numFmtId="0" fontId="16" fillId="20" borderId="0" xfId="0" applyFont="1" applyFill="1" applyAlignment="1">
      <alignment horizontal="left" vertical="center" wrapText="1"/>
    </xf>
    <xf numFmtId="170" fontId="16" fillId="24" borderId="27" xfId="0" applyNumberFormat="1" applyFont="1" applyFill="1" applyBorder="1" applyAlignment="1">
      <alignment horizontal="center" vertical="center" wrapText="1"/>
    </xf>
    <xf numFmtId="170" fontId="16" fillId="24" borderId="0" xfId="0" applyNumberFormat="1" applyFont="1" applyFill="1" applyAlignment="1">
      <alignment horizontal="center" vertical="center" wrapText="1"/>
    </xf>
    <xf numFmtId="170" fontId="16" fillId="24" borderId="48" xfId="0" applyNumberFormat="1" applyFont="1" applyFill="1" applyBorder="1" applyAlignment="1">
      <alignment horizontal="center" vertical="center" wrapText="1"/>
    </xf>
    <xf numFmtId="170" fontId="16" fillId="24" borderId="27" xfId="0" quotePrefix="1" applyNumberFormat="1" applyFont="1" applyFill="1" applyBorder="1" applyAlignment="1">
      <alignment horizontal="center" vertical="center" wrapText="1"/>
    </xf>
    <xf numFmtId="170" fontId="16" fillId="24" borderId="0" xfId="0" quotePrefix="1" applyNumberFormat="1" applyFont="1" applyFill="1" applyAlignment="1">
      <alignment horizontal="center" vertical="center" wrapText="1"/>
    </xf>
    <xf numFmtId="0" fontId="19" fillId="24" borderId="0" xfId="0" applyFont="1" applyFill="1" applyAlignment="1">
      <alignment horizontal="center" vertical="center" wrapText="1"/>
    </xf>
    <xf numFmtId="0" fontId="19" fillId="24" borderId="91" xfId="0" applyFont="1" applyFill="1" applyBorder="1" applyAlignment="1">
      <alignment horizontal="center" vertical="center" wrapText="1"/>
    </xf>
    <xf numFmtId="0" fontId="19" fillId="24" borderId="92" xfId="0" applyFont="1" applyFill="1" applyBorder="1" applyAlignment="1">
      <alignment horizontal="center" vertical="center" wrapText="1"/>
    </xf>
    <xf numFmtId="170" fontId="16" fillId="0" borderId="0" xfId="0" applyNumberFormat="1" applyFont="1" applyAlignment="1"/>
    <xf numFmtId="0" fontId="6" fillId="25" borderId="0" xfId="0" applyFont="1" applyFill="1" applyAlignment="1">
      <alignment horizontal="center" vertical="center" wrapText="1"/>
    </xf>
    <xf numFmtId="0" fontId="6" fillId="6" borderId="4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20" fillId="35" borderId="0" xfId="0" applyFont="1" applyFill="1" applyAlignment="1">
      <alignment horizontal="center" vertical="center" wrapText="1"/>
    </xf>
    <xf numFmtId="49" fontId="16" fillId="35" borderId="0" xfId="0" applyNumberFormat="1" applyFont="1" applyFill="1" applyAlignment="1">
      <alignment horizontal="center" vertical="center" wrapText="1"/>
    </xf>
    <xf numFmtId="0" fontId="16" fillId="35" borderId="27" xfId="0" quotePrefix="1" applyFont="1" applyFill="1" applyBorder="1" applyAlignment="1">
      <alignment horizontal="center" vertical="center" wrapText="1"/>
    </xf>
    <xf numFmtId="0" fontId="16" fillId="35" borderId="0" xfId="0" applyFont="1" applyFill="1" applyAlignment="1">
      <alignment horizontal="left" vertical="center" wrapText="1"/>
    </xf>
    <xf numFmtId="170" fontId="16" fillId="33" borderId="0" xfId="0" applyNumberFormat="1" applyFont="1" applyFill="1" applyAlignment="1">
      <alignment vertical="center"/>
    </xf>
    <xf numFmtId="0" fontId="16" fillId="33" borderId="0" xfId="0" applyFont="1" applyFill="1" applyAlignment="1">
      <alignment vertical="center"/>
    </xf>
    <xf numFmtId="0" fontId="16" fillId="33" borderId="27" xfId="0" applyFont="1" applyFill="1" applyBorder="1" applyAlignment="1">
      <alignment horizontal="center" vertical="center" wrapText="1"/>
    </xf>
    <xf numFmtId="0" fontId="16" fillId="33" borderId="0" xfId="0" quotePrefix="1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49" fontId="16" fillId="33" borderId="0" xfId="0" applyNumberFormat="1" applyFont="1" applyFill="1" applyAlignment="1">
      <alignment horizontal="center" vertical="center" wrapText="1"/>
    </xf>
    <xf numFmtId="0" fontId="16" fillId="33" borderId="48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vertical="center"/>
    </xf>
    <xf numFmtId="0" fontId="16" fillId="33" borderId="48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left" vertical="center" wrapText="1"/>
    </xf>
    <xf numFmtId="0" fontId="16" fillId="33" borderId="0" xfId="0" applyFont="1" applyFill="1" applyAlignment="1">
      <alignment vertical="center"/>
    </xf>
    <xf numFmtId="0" fontId="16" fillId="33" borderId="0" xfId="0" applyFont="1" applyFill="1"/>
    <xf numFmtId="0" fontId="16" fillId="24" borderId="0" xfId="0" applyFont="1" applyFill="1" applyAlignment="1">
      <alignment horizontal="left" vertical="center" wrapText="1"/>
    </xf>
    <xf numFmtId="170" fontId="1" fillId="35" borderId="0" xfId="0" applyNumberFormat="1" applyFont="1" applyFill="1" applyAlignment="1">
      <alignment vertical="center"/>
    </xf>
    <xf numFmtId="0" fontId="1" fillId="35" borderId="0" xfId="0" applyFont="1" applyFill="1" applyAlignment="1">
      <alignment vertical="center"/>
    </xf>
    <xf numFmtId="0" fontId="1" fillId="35" borderId="27" xfId="0" applyFont="1" applyFill="1" applyBorder="1" applyAlignment="1">
      <alignment horizontal="center" vertical="center" wrapText="1"/>
    </xf>
    <xf numFmtId="0" fontId="1" fillId="35" borderId="0" xfId="0" quotePrefix="1" applyFont="1" applyFill="1" applyAlignment="1">
      <alignment horizontal="center" vertical="center" wrapText="1"/>
    </xf>
    <xf numFmtId="0" fontId="1" fillId="35" borderId="0" xfId="0" applyFont="1" applyFill="1" applyAlignment="1">
      <alignment horizontal="center" vertical="center" wrapText="1"/>
    </xf>
    <xf numFmtId="49" fontId="1" fillId="35" borderId="0" xfId="0" applyNumberFormat="1" applyFont="1" applyFill="1" applyAlignment="1">
      <alignment horizontal="center" vertical="center" wrapText="1"/>
    </xf>
    <xf numFmtId="0" fontId="1" fillId="35" borderId="48" xfId="0" applyFont="1" applyFill="1" applyBorder="1" applyAlignment="1">
      <alignment horizontal="center" vertical="center" wrapText="1"/>
    </xf>
    <xf numFmtId="0" fontId="1" fillId="35" borderId="0" xfId="0" applyFont="1" applyFill="1" applyAlignment="1">
      <alignment horizontal="center" vertical="center" wrapText="1"/>
    </xf>
    <xf numFmtId="0" fontId="1" fillId="35" borderId="0" xfId="0" applyFont="1" applyFill="1" applyAlignment="1">
      <alignment vertical="center"/>
    </xf>
    <xf numFmtId="0" fontId="1" fillId="35" borderId="48" xfId="0" applyFont="1" applyFill="1" applyBorder="1" applyAlignment="1">
      <alignment horizontal="center" vertical="center" wrapText="1"/>
    </xf>
    <xf numFmtId="0" fontId="1" fillId="35" borderId="0" xfId="0" applyFont="1" applyFill="1" applyAlignment="1">
      <alignment horizontal="left" vertical="center" wrapText="1"/>
    </xf>
    <xf numFmtId="0" fontId="1" fillId="35" borderId="0" xfId="0" applyFont="1" applyFill="1" applyAlignment="1">
      <alignment horizontal="left" vertical="center" wrapText="1"/>
    </xf>
    <xf numFmtId="0" fontId="1" fillId="35" borderId="0" xfId="0" applyFont="1" applyFill="1" applyAlignment="1">
      <alignment vertical="center"/>
    </xf>
    <xf numFmtId="0" fontId="1" fillId="35" borderId="0" xfId="0" applyFont="1" applyFill="1"/>
    <xf numFmtId="0" fontId="1" fillId="24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horizontal="left" vertical="center" wrapText="1"/>
    </xf>
    <xf numFmtId="49" fontId="1" fillId="35" borderId="0" xfId="0" applyNumberFormat="1" applyFont="1" applyFill="1" applyAlignment="1">
      <alignment horizontal="center" vertical="center" wrapText="1"/>
    </xf>
    <xf numFmtId="0" fontId="1" fillId="35" borderId="27" xfId="0" quotePrefix="1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49" fontId="1" fillId="24" borderId="0" xfId="0" applyNumberFormat="1" applyFont="1" applyFill="1" applyAlignment="1">
      <alignment horizontal="center" vertical="center" wrapText="1"/>
    </xf>
    <xf numFmtId="0" fontId="1" fillId="24" borderId="27" xfId="0" quotePrefix="1" applyFont="1" applyFill="1" applyBorder="1" applyAlignment="1">
      <alignment horizontal="center" vertical="center" wrapText="1"/>
    </xf>
    <xf numFmtId="170" fontId="1" fillId="36" borderId="0" xfId="0" applyNumberFormat="1" applyFont="1" applyFill="1" applyAlignment="1">
      <alignment vertical="center"/>
    </xf>
    <xf numFmtId="0" fontId="1" fillId="36" borderId="0" xfId="0" applyFont="1" applyFill="1" applyAlignment="1">
      <alignment vertical="center"/>
    </xf>
    <xf numFmtId="0" fontId="1" fillId="36" borderId="27" xfId="0" applyFont="1" applyFill="1" applyBorder="1" applyAlignment="1">
      <alignment horizontal="center" vertical="center" wrapText="1"/>
    </xf>
    <xf numFmtId="0" fontId="1" fillId="36" borderId="0" xfId="0" quotePrefix="1" applyFont="1" applyFill="1" applyAlignment="1">
      <alignment horizontal="center" vertical="center" wrapText="1"/>
    </xf>
    <xf numFmtId="0" fontId="1" fillId="36" borderId="0" xfId="0" applyFont="1" applyFill="1" applyAlignment="1">
      <alignment horizontal="center" vertical="center" wrapText="1"/>
    </xf>
    <xf numFmtId="49" fontId="1" fillId="36" borderId="0" xfId="0" applyNumberFormat="1" applyFont="1" applyFill="1" applyAlignment="1">
      <alignment horizontal="center" vertical="center" wrapText="1"/>
    </xf>
    <xf numFmtId="0" fontId="1" fillId="36" borderId="48" xfId="0" applyFont="1" applyFill="1" applyBorder="1" applyAlignment="1">
      <alignment horizontal="center" vertical="center" wrapText="1"/>
    </xf>
    <xf numFmtId="0" fontId="1" fillId="36" borderId="0" xfId="0" applyFont="1" applyFill="1" applyAlignment="1">
      <alignment horizontal="center" vertical="center" wrapText="1"/>
    </xf>
    <xf numFmtId="0" fontId="1" fillId="36" borderId="0" xfId="0" applyFont="1" applyFill="1" applyAlignment="1">
      <alignment vertical="center"/>
    </xf>
    <xf numFmtId="0" fontId="1" fillId="36" borderId="48" xfId="0" applyFont="1" applyFill="1" applyBorder="1" applyAlignment="1">
      <alignment horizontal="center" vertical="center" wrapText="1"/>
    </xf>
    <xf numFmtId="0" fontId="1" fillId="36" borderId="0" xfId="0" applyFont="1" applyFill="1" applyAlignment="1">
      <alignment horizontal="left" vertical="center" wrapText="1"/>
    </xf>
    <xf numFmtId="0" fontId="1" fillId="36" borderId="0" xfId="0" applyFont="1" applyFill="1" applyAlignment="1">
      <alignment horizontal="left" vertical="center" wrapText="1"/>
    </xf>
    <xf numFmtId="0" fontId="1" fillId="36" borderId="0" xfId="0" applyFont="1" applyFill="1" applyAlignment="1">
      <alignment vertical="center"/>
    </xf>
    <xf numFmtId="0" fontId="1" fillId="36" borderId="0" xfId="0" applyFont="1" applyFill="1"/>
    <xf numFmtId="0" fontId="6" fillId="6" borderId="0" xfId="0" applyFont="1" applyFill="1" applyAlignment="1">
      <alignment horizontal="center" vertical="center"/>
    </xf>
    <xf numFmtId="0" fontId="1" fillId="35" borderId="27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5" fontId="6" fillId="0" borderId="25" xfId="0" applyNumberFormat="1" applyFont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170" fontId="1" fillId="11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1" borderId="27" xfId="0" applyFont="1" applyFill="1" applyBorder="1" applyAlignment="1">
      <alignment horizontal="center" vertical="center" wrapText="1"/>
    </xf>
    <xf numFmtId="0" fontId="1" fillId="11" borderId="0" xfId="0" quotePrefix="1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49" fontId="1" fillId="11" borderId="0" xfId="0" applyNumberFormat="1" applyFont="1" applyFill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vertical="center"/>
    </xf>
    <xf numFmtId="0" fontId="1" fillId="11" borderId="48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1" fillId="11" borderId="0" xfId="0" applyFont="1" applyFill="1"/>
    <xf numFmtId="0" fontId="6" fillId="0" borderId="23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3" fontId="6" fillId="6" borderId="50" xfId="0" applyNumberFormat="1" applyFont="1" applyFill="1" applyBorder="1" applyAlignment="1">
      <alignment horizontal="center" vertical="center"/>
    </xf>
    <xf numFmtId="4" fontId="6" fillId="6" borderId="50" xfId="0" applyNumberFormat="1" applyFont="1" applyFill="1" applyBorder="1" applyAlignment="1">
      <alignment horizontal="center" vertical="center"/>
    </xf>
    <xf numFmtId="171" fontId="8" fillId="6" borderId="50" xfId="0" applyNumberFormat="1" applyFont="1" applyFill="1" applyBorder="1" applyAlignment="1">
      <alignment horizontal="center" vertical="center"/>
    </xf>
    <xf numFmtId="171" fontId="8" fillId="23" borderId="50" xfId="0" applyNumberFormat="1" applyFont="1" applyFill="1" applyBorder="1" applyAlignment="1">
      <alignment horizontal="center" vertical="center"/>
    </xf>
    <xf numFmtId="4" fontId="6" fillId="6" borderId="53" xfId="0" applyNumberFormat="1" applyFont="1" applyFill="1" applyBorder="1" applyAlignment="1">
      <alignment horizontal="center" vertical="center"/>
    </xf>
    <xf numFmtId="4" fontId="6" fillId="22" borderId="54" xfId="0" applyNumberFormat="1" applyFont="1" applyFill="1" applyBorder="1" applyAlignment="1">
      <alignment horizontal="center" vertical="center"/>
    </xf>
    <xf numFmtId="0" fontId="1" fillId="24" borderId="27" xfId="0" applyFont="1" applyFill="1" applyBorder="1" applyAlignment="1">
      <alignment vertical="center"/>
    </xf>
    <xf numFmtId="0" fontId="1" fillId="24" borderId="0" xfId="0" quotePrefix="1" applyFont="1" applyFill="1" applyAlignment="1">
      <alignment vertical="center"/>
    </xf>
    <xf numFmtId="49" fontId="1" fillId="24" borderId="0" xfId="0" applyNumberFormat="1" applyFont="1" applyFill="1" applyAlignment="1">
      <alignment vertical="center"/>
    </xf>
    <xf numFmtId="0" fontId="1" fillId="24" borderId="48" xfId="0" applyFont="1" applyFill="1" applyBorder="1" applyAlignment="1">
      <alignment vertical="center"/>
    </xf>
    <xf numFmtId="0" fontId="1" fillId="24" borderId="4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49" fontId="1" fillId="24" borderId="0" xfId="0" applyNumberFormat="1" applyFont="1" applyFill="1" applyAlignment="1">
      <alignment vertical="center"/>
    </xf>
    <xf numFmtId="0" fontId="1" fillId="24" borderId="27" xfId="0" quotePrefix="1" applyFont="1" applyFill="1" applyBorder="1" applyAlignment="1">
      <alignment vertical="center"/>
    </xf>
    <xf numFmtId="0" fontId="1" fillId="35" borderId="27" xfId="0" applyFont="1" applyFill="1" applyBorder="1" applyAlignment="1">
      <alignment vertical="center"/>
    </xf>
    <xf numFmtId="49" fontId="1" fillId="35" borderId="0" xfId="0" applyNumberFormat="1" applyFont="1" applyFill="1" applyAlignment="1">
      <alignment vertical="center"/>
    </xf>
    <xf numFmtId="0" fontId="1" fillId="35" borderId="48" xfId="0" applyFont="1" applyFill="1" applyBorder="1" applyAlignment="1">
      <alignment vertical="center"/>
    </xf>
    <xf numFmtId="0" fontId="1" fillId="35" borderId="48" xfId="0" applyFont="1" applyFill="1" applyBorder="1" applyAlignment="1">
      <alignment vertical="center"/>
    </xf>
    <xf numFmtId="0" fontId="1" fillId="35" borderId="0" xfId="0" quotePrefix="1" applyFont="1" applyFill="1" applyAlignment="1">
      <alignment vertical="center"/>
    </xf>
    <xf numFmtId="0" fontId="1" fillId="3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6" fillId="25" borderId="0" xfId="0" applyFont="1" applyFill="1"/>
    <xf numFmtId="0" fontId="16" fillId="25" borderId="27" xfId="0" applyFont="1" applyFill="1" applyBorder="1" applyAlignment="1">
      <alignment horizontal="center" vertical="center" wrapText="1"/>
    </xf>
    <xf numFmtId="0" fontId="16" fillId="25" borderId="0" xfId="0" applyFont="1" applyFill="1" applyAlignment="1">
      <alignment horizontal="center" vertical="center" wrapText="1"/>
    </xf>
    <xf numFmtId="0" fontId="16" fillId="25" borderId="48" xfId="0" applyFont="1" applyFill="1" applyBorder="1" applyAlignment="1">
      <alignment horizontal="center" vertical="center" wrapText="1"/>
    </xf>
    <xf numFmtId="0" fontId="16" fillId="25" borderId="0" xfId="0" applyFont="1" applyFill="1" applyAlignment="1">
      <alignment horizontal="left" vertical="center" wrapText="1"/>
    </xf>
    <xf numFmtId="0" fontId="16" fillId="25" borderId="0" xfId="0" applyFont="1" applyFill="1" applyAlignment="1"/>
    <xf numFmtId="0" fontId="16" fillId="25" borderId="0" xfId="0" applyFont="1" applyFill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8" fillId="23" borderId="24" xfId="0" applyFont="1" applyFill="1" applyBorder="1" applyAlignment="1">
      <alignment horizontal="center" vertical="center"/>
    </xf>
    <xf numFmtId="0" fontId="7" fillId="20" borderId="32" xfId="0" applyFont="1" applyFill="1" applyBorder="1" applyAlignment="1">
      <alignment horizontal="center" vertical="center"/>
    </xf>
    <xf numFmtId="0" fontId="7" fillId="20" borderId="32" xfId="0" applyFont="1" applyFill="1" applyBorder="1" applyAlignment="1">
      <alignment horizontal="center" vertical="center" wrapText="1"/>
    </xf>
    <xf numFmtId="0" fontId="7" fillId="20" borderId="3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/>
    </xf>
    <xf numFmtId="0" fontId="7" fillId="20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28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7" fillId="23" borderId="23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22" borderId="24" xfId="0" applyFont="1" applyFill="1" applyBorder="1" applyAlignment="1">
      <alignment horizontal="center" vertical="center"/>
    </xf>
    <xf numFmtId="0" fontId="7" fillId="6" borderId="5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23" borderId="23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23" borderId="23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21" fillId="23" borderId="24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0" xfId="0" applyFont="1" applyBorder="1"/>
    <xf numFmtId="0" fontId="6" fillId="10" borderId="7" xfId="0" applyFont="1" applyFill="1" applyBorder="1" applyAlignment="1">
      <alignment horizontal="center" vertical="center" wrapText="1"/>
    </xf>
    <xf numFmtId="0" fontId="6" fillId="10" borderId="47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44" xfId="0" applyFont="1" applyBorder="1"/>
    <xf numFmtId="0" fontId="6" fillId="20" borderId="7" xfId="0" applyFont="1" applyFill="1" applyBorder="1" applyAlignment="1">
      <alignment horizontal="center" vertical="center" wrapText="1"/>
    </xf>
    <xf numFmtId="0" fontId="6" fillId="8" borderId="52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46" xfId="0" applyFont="1" applyBorder="1"/>
    <xf numFmtId="0" fontId="6" fillId="20" borderId="11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 wrapText="1"/>
    </xf>
    <xf numFmtId="165" fontId="6" fillId="7" borderId="38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0" fontId="3" fillId="0" borderId="37" xfId="0" applyFont="1" applyBorder="1"/>
    <xf numFmtId="0" fontId="6" fillId="20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65" fontId="6" fillId="7" borderId="38" xfId="0" applyNumberFormat="1" applyFont="1" applyFill="1" applyBorder="1" applyAlignment="1">
      <alignment horizontal="center" vertical="center"/>
    </xf>
    <xf numFmtId="0" fontId="6" fillId="20" borderId="11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165" fontId="6" fillId="20" borderId="38" xfId="0" applyNumberFormat="1" applyFont="1" applyFill="1" applyBorder="1" applyAlignment="1">
      <alignment horizontal="center" vertical="center"/>
    </xf>
    <xf numFmtId="165" fontId="6" fillId="20" borderId="38" xfId="0" applyNumberFormat="1" applyFont="1" applyFill="1" applyBorder="1" applyAlignment="1">
      <alignment horizontal="center" vertical="center" wrapText="1"/>
    </xf>
    <xf numFmtId="0" fontId="6" fillId="17" borderId="11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3" fillId="0" borderId="12" xfId="0" applyFont="1" applyBorder="1"/>
    <xf numFmtId="0" fontId="5" fillId="25" borderId="0" xfId="0" applyFont="1" applyFill="1" applyAlignment="1">
      <alignment horizontal="center" vertical="center"/>
    </xf>
    <xf numFmtId="0" fontId="0" fillId="0" borderId="0" xfId="0" applyFont="1" applyAlignment="1"/>
    <xf numFmtId="0" fontId="5" fillId="25" borderId="0" xfId="0" applyFont="1" applyFill="1" applyAlignment="1">
      <alignment horizontal="center" vertical="center" wrapText="1"/>
    </xf>
    <xf numFmtId="0" fontId="6" fillId="20" borderId="47" xfId="0" applyFont="1" applyFill="1" applyBorder="1" applyAlignment="1">
      <alignment horizontal="center" vertical="center" wrapText="1"/>
    </xf>
    <xf numFmtId="0" fontId="6" fillId="22" borderId="52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165" fontId="5" fillId="25" borderId="0" xfId="0" applyNumberFormat="1" applyFont="1" applyFill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3" fillId="0" borderId="48" xfId="0" applyFont="1" applyBorder="1"/>
    <xf numFmtId="0" fontId="3" fillId="0" borderId="8" xfId="0" applyFont="1" applyBorder="1"/>
    <xf numFmtId="0" fontId="6" fillId="22" borderId="5" xfId="0" applyFont="1" applyFill="1" applyBorder="1" applyAlignment="1">
      <alignment horizontal="center" vertical="center" wrapText="1"/>
    </xf>
    <xf numFmtId="165" fontId="6" fillId="20" borderId="31" xfId="0" applyNumberFormat="1" applyFont="1" applyFill="1" applyBorder="1" applyAlignment="1">
      <alignment horizontal="center" vertical="center"/>
    </xf>
    <xf numFmtId="165" fontId="6" fillId="20" borderId="31" xfId="0" applyNumberFormat="1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22" borderId="35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 wrapText="1"/>
    </xf>
    <xf numFmtId="0" fontId="6" fillId="8" borderId="5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5" borderId="0" xfId="0" applyFont="1" applyFill="1" applyAlignment="1">
      <alignment horizontal="center" vertical="center"/>
    </xf>
    <xf numFmtId="165" fontId="6" fillId="20" borderId="0" xfId="0" applyNumberFormat="1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165" fontId="5" fillId="7" borderId="38" xfId="0" applyNumberFormat="1" applyFont="1" applyFill="1" applyBorder="1" applyAlignment="1">
      <alignment horizontal="center" vertical="center" wrapText="1"/>
    </xf>
    <xf numFmtId="165" fontId="5" fillId="20" borderId="38" xfId="0" applyNumberFormat="1" applyFont="1" applyFill="1" applyBorder="1" applyAlignment="1">
      <alignment horizontal="center" vertical="center" wrapText="1"/>
    </xf>
    <xf numFmtId="0" fontId="5" fillId="20" borderId="11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165" fontId="5" fillId="20" borderId="31" xfId="0" applyNumberFormat="1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5" fillId="25" borderId="0" xfId="0" applyNumberFormat="1" applyFont="1" applyFill="1" applyAlignment="1">
      <alignment horizontal="center" vertical="center"/>
    </xf>
    <xf numFmtId="0" fontId="5" fillId="19" borderId="35" xfId="0" applyFont="1" applyFill="1" applyBorder="1" applyAlignment="1">
      <alignment horizontal="center" vertical="center" wrapText="1"/>
    </xf>
    <xf numFmtId="165" fontId="5" fillId="7" borderId="26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3" fillId="0" borderId="50" xfId="0" applyFont="1" applyBorder="1"/>
    <xf numFmtId="168" fontId="5" fillId="15" borderId="35" xfId="0" applyNumberFormat="1" applyFont="1" applyFill="1" applyBorder="1" applyAlignment="1">
      <alignment horizontal="center" vertical="center"/>
    </xf>
    <xf numFmtId="0" fontId="3" fillId="0" borderId="54" xfId="0" applyFont="1" applyBorder="1"/>
    <xf numFmtId="0" fontId="5" fillId="0" borderId="0" xfId="0" applyFont="1" applyAlignment="1">
      <alignment horizontal="center" vertical="center"/>
    </xf>
    <xf numFmtId="0" fontId="5" fillId="17" borderId="11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5" fontId="5" fillId="20" borderId="26" xfId="0" applyNumberFormat="1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165" fontId="5" fillId="20" borderId="5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68" fontId="5" fillId="15" borderId="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4" fillId="12" borderId="18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4" fillId="12" borderId="45" xfId="0" applyFont="1" applyFill="1" applyBorder="1" applyAlignment="1">
      <alignment horizontal="center" vertical="center" wrapText="1"/>
    </xf>
    <xf numFmtId="0" fontId="3" fillId="0" borderId="45" xfId="0" applyFont="1" applyBorder="1"/>
    <xf numFmtId="169" fontId="5" fillId="20" borderId="7" xfId="0" applyNumberFormat="1" applyFont="1" applyFill="1" applyBorder="1" applyAlignment="1">
      <alignment horizontal="center" vertical="center" wrapText="1"/>
    </xf>
    <xf numFmtId="0" fontId="5" fillId="8" borderId="4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 wrapText="1"/>
    </xf>
    <xf numFmtId="0" fontId="7" fillId="20" borderId="5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0" borderId="7" xfId="0" applyFont="1" applyFill="1" applyBorder="1" applyAlignment="1">
      <alignment horizontal="center" vertical="center" wrapText="1"/>
    </xf>
    <xf numFmtId="0" fontId="7" fillId="19" borderId="7" xfId="0" applyFont="1" applyFill="1" applyBorder="1" applyAlignment="1">
      <alignment horizontal="center" vertical="center" wrapText="1"/>
    </xf>
    <xf numFmtId="0" fontId="7" fillId="22" borderId="7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/>
    </xf>
    <xf numFmtId="0" fontId="7" fillId="20" borderId="7" xfId="0" applyFont="1" applyFill="1" applyBorder="1" applyAlignment="1">
      <alignment horizontal="center" vertical="center"/>
    </xf>
    <xf numFmtId="0" fontId="6" fillId="20" borderId="3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0" borderId="2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 wrapText="1"/>
    </xf>
    <xf numFmtId="0" fontId="15" fillId="20" borderId="31" xfId="0" applyFont="1" applyFill="1" applyBorder="1" applyAlignment="1">
      <alignment horizontal="center" vertical="center"/>
    </xf>
    <xf numFmtId="165" fontId="6" fillId="20" borderId="55" xfId="0" applyNumberFormat="1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165" fontId="7" fillId="7" borderId="38" xfId="0" applyNumberFormat="1" applyFont="1" applyFill="1" applyBorder="1" applyAlignment="1">
      <alignment horizontal="center" vertical="center" wrapText="1"/>
    </xf>
    <xf numFmtId="165" fontId="7" fillId="20" borderId="26" xfId="0" applyNumberFormat="1" applyFont="1" applyFill="1" applyBorder="1" applyAlignment="1">
      <alignment horizontal="center" vertical="center" wrapText="1"/>
    </xf>
    <xf numFmtId="165" fontId="6" fillId="7" borderId="26" xfId="0" applyNumberFormat="1" applyFont="1" applyFill="1" applyBorder="1" applyAlignment="1">
      <alignment horizontal="center" vertical="center" wrapText="1"/>
    </xf>
    <xf numFmtId="165" fontId="6" fillId="20" borderId="26" xfId="0" applyNumberFormat="1" applyFont="1" applyFill="1" applyBorder="1" applyAlignment="1">
      <alignment horizontal="center" vertical="center" wrapText="1"/>
    </xf>
    <xf numFmtId="165" fontId="7" fillId="20" borderId="55" xfId="0" applyNumberFormat="1" applyFont="1" applyFill="1" applyBorder="1" applyAlignment="1">
      <alignment horizontal="center" vertical="center" wrapText="1"/>
    </xf>
    <xf numFmtId="165" fontId="7" fillId="7" borderId="26" xfId="0" applyNumberFormat="1" applyFont="1" applyFill="1" applyBorder="1" applyAlignment="1">
      <alignment horizontal="center" vertical="center" wrapText="1"/>
    </xf>
    <xf numFmtId="0" fontId="7" fillId="22" borderId="52" xfId="0" applyFont="1" applyFill="1" applyBorder="1" applyAlignment="1">
      <alignment horizontal="center" vertical="center" wrapText="1"/>
    </xf>
    <xf numFmtId="0" fontId="7" fillId="10" borderId="47" xfId="0" applyFont="1" applyFill="1" applyBorder="1" applyAlignment="1">
      <alignment horizontal="center" vertical="center" wrapText="1"/>
    </xf>
    <xf numFmtId="0" fontId="7" fillId="20" borderId="47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/>
    </xf>
    <xf numFmtId="0" fontId="7" fillId="20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 vertical="center" wrapText="1"/>
    </xf>
    <xf numFmtId="0" fontId="7" fillId="8" borderId="52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8" borderId="51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6" fontId="7" fillId="20" borderId="35" xfId="0" applyNumberFormat="1" applyFont="1" applyFill="1" applyBorder="1" applyAlignment="1">
      <alignment horizontal="center" vertical="center" wrapText="1"/>
    </xf>
    <xf numFmtId="0" fontId="3" fillId="0" borderId="73" xfId="0" applyFont="1" applyBorder="1"/>
    <xf numFmtId="166" fontId="7" fillId="21" borderId="35" xfId="0" applyNumberFormat="1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6" fontId="6" fillId="22" borderId="35" xfId="0" applyNumberFormat="1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6" fontId="7" fillId="20" borderId="51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10" borderId="38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5" fontId="6" fillId="0" borderId="38" xfId="0" applyNumberFormat="1" applyFont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166" fontId="7" fillId="21" borderId="25" xfId="0" applyNumberFormat="1" applyFont="1" applyFill="1" applyBorder="1" applyAlignment="1">
      <alignment horizontal="center" vertical="center"/>
    </xf>
    <xf numFmtId="166" fontId="6" fillId="8" borderId="3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66" fontId="1" fillId="0" borderId="51" xfId="0" applyNumberFormat="1" applyFont="1" applyBorder="1" applyAlignment="1">
      <alignment horizontal="center" vertical="center"/>
    </xf>
    <xf numFmtId="165" fontId="6" fillId="0" borderId="31" xfId="0" applyNumberFormat="1" applyFont="1" applyBorder="1" applyAlignment="1">
      <alignment horizontal="center" vertical="center" wrapText="1"/>
    </xf>
    <xf numFmtId="166" fontId="1" fillId="0" borderId="25" xfId="0" applyNumberFormat="1" applyFont="1" applyBorder="1" applyAlignment="1">
      <alignment horizontal="center" vertical="center"/>
    </xf>
    <xf numFmtId="0" fontId="3" fillId="0" borderId="49" xfId="0" applyFont="1" applyBorder="1"/>
    <xf numFmtId="0" fontId="5" fillId="8" borderId="36" xfId="0" applyFont="1" applyFill="1" applyBorder="1" applyAlignment="1">
      <alignment horizontal="center" vertical="center" wrapText="1"/>
    </xf>
    <xf numFmtId="0" fontId="9" fillId="20" borderId="31" xfId="0" applyFont="1" applyFill="1" applyBorder="1" applyAlignment="1">
      <alignment horizontal="center" vertical="center" wrapText="1"/>
    </xf>
    <xf numFmtId="0" fontId="5" fillId="20" borderId="3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/>
    </xf>
    <xf numFmtId="0" fontId="3" fillId="0" borderId="4" xfId="0" applyFont="1" applyBorder="1"/>
    <xf numFmtId="0" fontId="16" fillId="14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4" xfId="0" applyFont="1" applyBorder="1" applyAlignment="1"/>
    <xf numFmtId="0" fontId="2" fillId="30" borderId="7" xfId="0" applyFont="1" applyFill="1" applyBorder="1" applyAlignment="1">
      <alignment horizontal="center" vertical="center" wrapText="1"/>
    </xf>
    <xf numFmtId="0" fontId="2" fillId="23" borderId="70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3" fillId="0" borderId="72" xfId="0" applyFont="1" applyBorder="1"/>
    <xf numFmtId="0" fontId="16" fillId="13" borderId="75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16" fillId="28" borderId="75" xfId="0" applyFont="1" applyFill="1" applyBorder="1" applyAlignment="1">
      <alignment horizontal="center"/>
    </xf>
    <xf numFmtId="0" fontId="3" fillId="0" borderId="77" xfId="0" applyFont="1" applyBorder="1"/>
    <xf numFmtId="0" fontId="16" fillId="7" borderId="41" xfId="0" applyFont="1" applyFill="1" applyBorder="1" applyAlignment="1">
      <alignment horizontal="center"/>
    </xf>
    <xf numFmtId="0" fontId="3" fillId="0" borderId="42" xfId="0" applyFont="1" applyBorder="1"/>
    <xf numFmtId="0" fontId="3" fillId="0" borderId="43" xfId="0" applyFont="1" applyBorder="1"/>
    <xf numFmtId="0" fontId="1" fillId="0" borderId="53" xfId="0" applyFont="1" applyBorder="1" applyAlignment="1"/>
    <xf numFmtId="0" fontId="3" fillId="0" borderId="22" xfId="0" applyFont="1" applyBorder="1"/>
    <xf numFmtId="0" fontId="3" fillId="0" borderId="40" xfId="0" applyFont="1" applyBorder="1"/>
    <xf numFmtId="0" fontId="1" fillId="21" borderId="14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2" fillId="23" borderId="26" xfId="0" applyFont="1" applyFill="1" applyBorder="1" applyAlignment="1">
      <alignment horizontal="center" vertical="center" wrapText="1"/>
    </xf>
    <xf numFmtId="0" fontId="2" fillId="29" borderId="47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2" fillId="23" borderId="38" xfId="0" applyFont="1" applyFill="1" applyBorder="1" applyAlignment="1">
      <alignment horizontal="center" vertical="center" wrapText="1"/>
    </xf>
    <xf numFmtId="0" fontId="16" fillId="13" borderId="76" xfId="0" applyFont="1" applyFill="1" applyBorder="1" applyAlignment="1">
      <alignment horizontal="center"/>
    </xf>
    <xf numFmtId="0" fontId="16" fillId="28" borderId="78" xfId="0" applyFont="1" applyFill="1" applyBorder="1" applyAlignment="1">
      <alignment horizontal="center"/>
    </xf>
    <xf numFmtId="0" fontId="3" fillId="0" borderId="78" xfId="0" applyFont="1" applyBorder="1"/>
    <xf numFmtId="0" fontId="14" fillId="13" borderId="58" xfId="0" applyFont="1" applyFill="1" applyBorder="1" applyAlignment="1">
      <alignment horizontal="center"/>
    </xf>
    <xf numFmtId="0" fontId="3" fillId="0" borderId="9" xfId="0" applyFont="1" applyBorder="1"/>
    <xf numFmtId="0" fontId="14" fillId="28" borderId="58" xfId="0" applyFont="1" applyFill="1" applyBorder="1" applyAlignment="1">
      <alignment horizontal="center"/>
    </xf>
    <xf numFmtId="0" fontId="14" fillId="13" borderId="41" xfId="0" applyFont="1" applyFill="1" applyBorder="1" applyAlignment="1">
      <alignment horizontal="center"/>
    </xf>
    <xf numFmtId="0" fontId="14" fillId="13" borderId="9" xfId="0" applyFont="1" applyFill="1" applyBorder="1" applyAlignment="1">
      <alignment horizontal="center"/>
    </xf>
    <xf numFmtId="0" fontId="3" fillId="0" borderId="51" xfId="0" applyFont="1" applyBorder="1"/>
    <xf numFmtId="0" fontId="2" fillId="29" borderId="62" xfId="0" applyFont="1" applyFill="1" applyBorder="1" applyAlignment="1">
      <alignment horizontal="center" vertical="center" wrapText="1"/>
    </xf>
    <xf numFmtId="0" fontId="2" fillId="29" borderId="35" xfId="0" applyFont="1" applyFill="1" applyBorder="1" applyAlignment="1">
      <alignment horizontal="center" vertical="center" wrapText="1"/>
    </xf>
    <xf numFmtId="0" fontId="16" fillId="13" borderId="75" xfId="0" applyFont="1" applyFill="1" applyBorder="1" applyAlignment="1">
      <alignment horizontal="center"/>
    </xf>
    <xf numFmtId="0" fontId="16" fillId="28" borderId="76" xfId="0" applyFont="1" applyFill="1" applyBorder="1" applyAlignment="1">
      <alignment horizontal="center"/>
    </xf>
    <xf numFmtId="0" fontId="14" fillId="28" borderId="1" xfId="0" applyFont="1" applyFill="1" applyBorder="1" applyAlignment="1">
      <alignment horizontal="center"/>
    </xf>
    <xf numFmtId="0" fontId="2" fillId="23" borderId="67" xfId="0" applyFont="1" applyFill="1" applyBorder="1" applyAlignment="1">
      <alignment horizontal="center" vertical="center" wrapText="1"/>
    </xf>
    <xf numFmtId="0" fontId="2" fillId="29" borderId="7" xfId="0" applyFont="1" applyFill="1" applyBorder="1" applyAlignment="1">
      <alignment horizontal="center"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2:AL408">
  <autoFilter ref="A2:AL408" xr:uid="{00000000-0009-0000-0100-000001000000}">
    <filterColumn colId="3">
      <filters>
        <filter val="2013"/>
      </filters>
    </filterColumn>
  </autoFilter>
  <tableColumns count="38">
    <tableColumn id="1" xr3:uid="{00000000-0010-0000-0000-000001000000}" name="Marca temporal"/>
    <tableColumn id="2" xr3:uid="{00000000-0010-0000-0000-000002000000}" name="Documentos que se solicitan"/>
    <tableColumn id="3" xr3:uid="{00000000-0010-0000-0000-000003000000}" name="Motivo de Solicitud"/>
    <tableColumn id="4" xr3:uid="{00000000-0010-0000-0000-000004000000}" name="Año de la escritura"/>
    <tableColumn id="5" xr3:uid="{00000000-0010-0000-0000-000005000000}" name="Fecha y Año"/>
    <tableColumn id="6" xr3:uid="{00000000-0010-0000-0000-000006000000}" name="N° Kardex"/>
    <tableColumn id="7" xr3:uid="{00000000-0010-0000-0000-000007000000}" name="Folio"/>
    <tableColumn id="8" xr3:uid="{00000000-0010-0000-0000-000008000000}" name="N° de Escritura"/>
    <tableColumn id="9" xr3:uid="{00000000-0010-0000-0000-000009000000}" name="N° Minuta"/>
    <tableColumn id="10" xr3:uid="{00000000-0010-0000-0000-00000A000000}" name="¿Incluye minuta?"/>
    <tableColumn id="11" xr3:uid="{00000000-0010-0000-0000-00000B000000}" name="Fecha y Año 2"/>
    <tableColumn id="12" xr3:uid="{00000000-0010-0000-0000-00000C000000}" name="N° Kardex 2"/>
    <tableColumn id="13" xr3:uid="{00000000-0010-0000-0000-00000D000000}" name="Folio 2"/>
    <tableColumn id="14" xr3:uid="{00000000-0010-0000-0000-00000E000000}" name="N° Acta"/>
    <tableColumn id="15" xr3:uid="{00000000-0010-0000-0000-00000F000000}" name="Fecha y año2"/>
    <tableColumn id="16" xr3:uid="{00000000-0010-0000-0000-000010000000}" name="N° Kardex 3"/>
    <tableColumn id="17" xr3:uid="{00000000-0010-0000-0000-000011000000}" name="Folio 3"/>
    <tableColumn id="18" xr3:uid="{00000000-0010-0000-0000-000012000000}" name="N° Escritura"/>
    <tableColumn id="19" xr3:uid="{00000000-0010-0000-0000-000013000000}" name="Solicitud y/o Minuta"/>
    <tableColumn id="20" xr3:uid="{00000000-0010-0000-0000-000014000000}" name="Fecha y Año de la Escritura"/>
    <tableColumn id="21" xr3:uid="{00000000-0010-0000-0000-000015000000}" name="N° de Minuta"/>
    <tableColumn id="22" xr3:uid="{00000000-0010-0000-0000-000016000000}" name="N° de Kardex"/>
    <tableColumn id="23" xr3:uid="{00000000-0010-0000-0000-000017000000}" name="Folio de la Escritura"/>
    <tableColumn id="24" xr3:uid="{00000000-0010-0000-0000-000018000000}" name="Nombre del usuario o solicitante"/>
    <tableColumn id="25" xr3:uid="{00000000-0010-0000-0000-000019000000}" name="¿Quien lo hizo?"/>
    <tableColumn id="26" xr3:uid="{00000000-0010-0000-0000-00001A000000}" name="Duración"/>
    <tableColumn id="27" xr3:uid="{00000000-0010-0000-0000-00001B000000}" name="Numero de Paginas"/>
    <tableColumn id="28" xr3:uid="{00000000-0010-0000-0000-00001C000000}" name="Observaciones "/>
    <tableColumn id="29" xr3:uid="{00000000-0010-0000-0000-00001D000000}" name="Fecha"/>
    <tableColumn id="30" xr3:uid="{00000000-0010-0000-0000-00001E000000}" name="N° de Acta"/>
    <tableColumn id="31" xr3:uid="{00000000-0010-0000-0000-00001F000000}" name="Instrumento"/>
    <tableColumn id="32" xr3:uid="{00000000-0010-0000-0000-000020000000}" name="Folio 4"/>
    <tableColumn id="33" xr3:uid="{00000000-0010-0000-0000-000021000000}" name="Dirección de correo electrónico"/>
    <tableColumn id="34" xr3:uid="{00000000-0010-0000-0000-000022000000}" name="Fecha 2"/>
    <tableColumn id="35" xr3:uid="{00000000-0010-0000-0000-000023000000}" name="Año"/>
    <tableColumn id="36" xr3:uid="{00000000-0010-0000-0000-000024000000}" name="Fecha 3"/>
    <tableColumn id="37" xr3:uid="{00000000-0010-0000-0000-000025000000}" name="Fecha 4"/>
    <tableColumn id="38" xr3:uid="{00000000-0010-0000-0000-000026000000}" name="Fojas de la minuta (Intervalo de páginas en las que se encuentra el documento)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Z101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3" max="3" width="8.7109375" customWidth="1"/>
    <col min="4" max="4" width="11.7109375" customWidth="1"/>
    <col min="5" max="6" width="9.140625" customWidth="1"/>
    <col min="7" max="7" width="8.85546875" customWidth="1"/>
    <col min="8" max="8" width="12.28515625" customWidth="1"/>
    <col min="9" max="9" width="10" customWidth="1"/>
    <col min="10" max="10" width="10.140625" customWidth="1"/>
    <col min="11" max="14" width="11.42578125" customWidth="1"/>
    <col min="15" max="15" width="11.85546875" customWidth="1"/>
    <col min="16" max="16" width="11" customWidth="1"/>
    <col min="17" max="18" width="12.7109375" customWidth="1"/>
    <col min="19" max="19" width="10" customWidth="1"/>
    <col min="20" max="20" width="12" customWidth="1"/>
    <col min="21" max="21" width="9" customWidth="1"/>
    <col min="22" max="22" width="13.42578125" customWidth="1"/>
    <col min="23" max="25" width="10.28515625" customWidth="1"/>
    <col min="26" max="26" width="11.140625" customWidth="1"/>
    <col min="27" max="28" width="10.28515625" customWidth="1"/>
    <col min="29" max="29" width="12.28515625" customWidth="1"/>
    <col min="30" max="32" width="12.7109375" customWidth="1"/>
    <col min="33" max="33" width="13.5703125" customWidth="1"/>
    <col min="34" max="34" width="10.140625" customWidth="1"/>
    <col min="35" max="36" width="13.42578125" customWidth="1"/>
    <col min="37" max="37" width="11.42578125" customWidth="1"/>
    <col min="38" max="38" width="12.28515625" customWidth="1"/>
    <col min="39" max="39" width="9.140625" customWidth="1"/>
    <col min="40" max="40" width="11.7109375" customWidth="1"/>
    <col min="41" max="41" width="9.5703125" customWidth="1"/>
    <col min="42" max="42" width="9.28515625" customWidth="1"/>
    <col min="43" max="43" width="9" customWidth="1"/>
    <col min="44" max="44" width="10.85546875" customWidth="1"/>
    <col min="45" max="45" width="11.140625" customWidth="1"/>
    <col min="46" max="47" width="11.5703125" customWidth="1"/>
    <col min="48" max="50" width="11.7109375" customWidth="1"/>
    <col min="51" max="51" width="14.140625" customWidth="1"/>
    <col min="52" max="52" width="14.28515625" customWidth="1"/>
    <col min="53" max="54" width="13.28515625" customWidth="1"/>
    <col min="55" max="55" width="10.5703125" customWidth="1"/>
    <col min="56" max="56" width="13.5703125" hidden="1" customWidth="1"/>
    <col min="57" max="57" width="8.85546875" hidden="1" customWidth="1"/>
    <col min="58" max="58" width="11.5703125" hidden="1" customWidth="1"/>
    <col min="59" max="60" width="10.140625" hidden="1" customWidth="1"/>
    <col min="61" max="61" width="9.5703125" hidden="1" customWidth="1"/>
    <col min="62" max="62" width="12.85546875" hidden="1" customWidth="1"/>
    <col min="63" max="63" width="12.5703125" hidden="1"/>
    <col min="64" max="64" width="11.140625" hidden="1" customWidth="1"/>
    <col min="65" max="68" width="10.5703125" hidden="1" customWidth="1"/>
    <col min="69" max="69" width="13.140625" hidden="1" customWidth="1"/>
    <col min="70" max="70" width="10.5703125" hidden="1" customWidth="1"/>
    <col min="71" max="72" width="12.5703125" hidden="1"/>
    <col min="73" max="73" width="10.42578125" hidden="1" customWidth="1"/>
    <col min="74" max="74" width="10.5703125" hidden="1" customWidth="1"/>
    <col min="75" max="75" width="8.85546875" hidden="1" customWidth="1"/>
    <col min="76" max="76" width="12.5703125" hidden="1"/>
    <col min="77" max="77" width="9.5703125" hidden="1" customWidth="1"/>
    <col min="78" max="78" width="9.42578125" hidden="1" customWidth="1"/>
    <col min="79" max="79" width="10" hidden="1" customWidth="1"/>
    <col min="80" max="80" width="12" hidden="1" customWidth="1"/>
    <col min="81" max="81" width="11.85546875" hidden="1" customWidth="1"/>
    <col min="82" max="82" width="10.42578125" hidden="1" customWidth="1"/>
    <col min="83" max="86" width="9.7109375" hidden="1" customWidth="1"/>
    <col min="87" max="87" width="12.5703125" hidden="1" customWidth="1"/>
    <col min="88" max="88" width="10.42578125" hidden="1" customWidth="1"/>
    <col min="89" max="89" width="12" hidden="1" customWidth="1"/>
    <col min="90" max="90" width="11.28515625" hidden="1" customWidth="1"/>
    <col min="91" max="91" width="11.5703125" hidden="1" customWidth="1"/>
    <col min="92" max="104" width="11.5703125" customWidth="1"/>
    <col min="105" max="105" width="12.5703125" customWidth="1"/>
    <col min="106" max="107" width="11.5703125" customWidth="1"/>
    <col min="108" max="124" width="11.42578125" customWidth="1"/>
  </cols>
  <sheetData>
    <row r="1" spans="1:130" ht="12.75" x14ac:dyDescent="0.2">
      <c r="A1" s="49"/>
      <c r="B1" s="721" t="s">
        <v>11</v>
      </c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3"/>
      <c r="S1" s="4"/>
      <c r="T1" s="724" t="s">
        <v>7</v>
      </c>
      <c r="U1" s="722"/>
      <c r="V1" s="722"/>
      <c r="W1" s="722"/>
      <c r="X1" s="722"/>
      <c r="Y1" s="722"/>
      <c r="Z1" s="722"/>
      <c r="AA1" s="722"/>
      <c r="AB1" s="722"/>
      <c r="AC1" s="722"/>
      <c r="AD1" s="722"/>
      <c r="AE1" s="722"/>
      <c r="AF1" s="722"/>
      <c r="AG1" s="722"/>
      <c r="AH1" s="722"/>
      <c r="AI1" s="722"/>
      <c r="AJ1" s="722"/>
      <c r="AK1" s="725"/>
      <c r="AL1" s="724" t="s">
        <v>6</v>
      </c>
      <c r="AM1" s="722"/>
      <c r="AN1" s="722"/>
      <c r="AO1" s="722"/>
      <c r="AP1" s="722"/>
      <c r="AQ1" s="722"/>
      <c r="AR1" s="722"/>
      <c r="AS1" s="722"/>
      <c r="AT1" s="722"/>
      <c r="AU1" s="722"/>
      <c r="AV1" s="722"/>
      <c r="AW1" s="722"/>
      <c r="AX1" s="722"/>
      <c r="AY1" s="722"/>
      <c r="AZ1" s="722"/>
      <c r="BA1" s="723"/>
      <c r="BB1" s="5"/>
      <c r="BC1" s="4"/>
      <c r="BD1" s="724" t="s">
        <v>13</v>
      </c>
      <c r="BE1" s="722"/>
      <c r="BF1" s="722"/>
      <c r="BG1" s="722"/>
      <c r="BH1" s="722"/>
      <c r="BI1" s="722"/>
      <c r="BJ1" s="722"/>
      <c r="BK1" s="722"/>
      <c r="BL1" s="722"/>
      <c r="BM1" s="722"/>
      <c r="BN1" s="722"/>
      <c r="BO1" s="722"/>
      <c r="BP1" s="722"/>
      <c r="BQ1" s="722"/>
      <c r="BR1" s="722"/>
      <c r="BS1" s="723"/>
      <c r="BT1" s="5"/>
      <c r="BU1" s="4"/>
      <c r="BV1" s="724" t="s">
        <v>8</v>
      </c>
      <c r="BW1" s="722"/>
      <c r="BX1" s="722"/>
      <c r="BY1" s="722"/>
      <c r="BZ1" s="722"/>
      <c r="CA1" s="722"/>
      <c r="CB1" s="722"/>
      <c r="CC1" s="722"/>
      <c r="CD1" s="722"/>
      <c r="CE1" s="722"/>
      <c r="CF1" s="722"/>
      <c r="CG1" s="722"/>
      <c r="CH1" s="722"/>
      <c r="CI1" s="722"/>
      <c r="CJ1" s="722"/>
      <c r="CK1" s="722"/>
      <c r="CL1" s="722"/>
      <c r="CM1" s="723"/>
      <c r="CN1" s="721" t="s">
        <v>9</v>
      </c>
      <c r="CO1" s="722"/>
      <c r="CP1" s="722"/>
      <c r="CQ1" s="722"/>
      <c r="CR1" s="722"/>
      <c r="CS1" s="722"/>
      <c r="CT1" s="722"/>
      <c r="CU1" s="722"/>
      <c r="CV1" s="722"/>
      <c r="CW1" s="722"/>
      <c r="CX1" s="722"/>
      <c r="CY1" s="722"/>
      <c r="CZ1" s="722"/>
      <c r="DA1" s="722"/>
      <c r="DB1" s="722"/>
      <c r="DC1" s="723"/>
      <c r="DD1" s="726" t="s">
        <v>10</v>
      </c>
      <c r="DE1" s="727"/>
      <c r="DF1" s="727"/>
      <c r="DG1" s="727"/>
      <c r="DH1" s="727"/>
      <c r="DI1" s="727"/>
      <c r="DJ1" s="727"/>
      <c r="DK1" s="727"/>
      <c r="DL1" s="727"/>
      <c r="DM1" s="727"/>
      <c r="DN1" s="727"/>
      <c r="DO1" s="727"/>
      <c r="DP1" s="727"/>
      <c r="DQ1" s="727"/>
      <c r="DR1" s="727"/>
      <c r="DS1" s="727"/>
      <c r="DT1" s="74"/>
      <c r="DU1" s="74"/>
      <c r="DV1" s="6"/>
      <c r="DW1" s="75"/>
      <c r="DX1" s="3"/>
      <c r="DY1" s="3"/>
      <c r="DZ1" s="3"/>
    </row>
    <row r="2" spans="1:130" ht="76.5" x14ac:dyDescent="0.2">
      <c r="A2" s="7" t="s">
        <v>1</v>
      </c>
      <c r="B2" s="8" t="s">
        <v>14</v>
      </c>
      <c r="C2" s="9" t="s">
        <v>15</v>
      </c>
      <c r="D2" s="10" t="s">
        <v>2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1" t="s">
        <v>21</v>
      </c>
      <c r="K2" s="11" t="s">
        <v>22</v>
      </c>
      <c r="L2" s="11" t="s">
        <v>23</v>
      </c>
      <c r="M2" s="11" t="s">
        <v>24</v>
      </c>
      <c r="N2" s="11" t="s">
        <v>25</v>
      </c>
      <c r="O2" s="11" t="s">
        <v>26</v>
      </c>
      <c r="P2" s="11" t="s">
        <v>27</v>
      </c>
      <c r="Q2" s="7" t="s">
        <v>28</v>
      </c>
      <c r="R2" s="11" t="s">
        <v>58</v>
      </c>
      <c r="S2" s="12" t="s">
        <v>29</v>
      </c>
      <c r="T2" s="13" t="s">
        <v>14</v>
      </c>
      <c r="U2" s="10" t="s">
        <v>15</v>
      </c>
      <c r="V2" s="10" t="s">
        <v>2</v>
      </c>
      <c r="W2" s="7" t="s">
        <v>16</v>
      </c>
      <c r="X2" s="7" t="s">
        <v>17</v>
      </c>
      <c r="Y2" s="7" t="s">
        <v>18</v>
      </c>
      <c r="Z2" s="7" t="s">
        <v>19</v>
      </c>
      <c r="AA2" s="7" t="s">
        <v>20</v>
      </c>
      <c r="AB2" s="11" t="s">
        <v>21</v>
      </c>
      <c r="AC2" s="11" t="s">
        <v>22</v>
      </c>
      <c r="AD2" s="11" t="s">
        <v>23</v>
      </c>
      <c r="AE2" s="11" t="s">
        <v>24</v>
      </c>
      <c r="AF2" s="11" t="s">
        <v>25</v>
      </c>
      <c r="AG2" s="11" t="s">
        <v>26</v>
      </c>
      <c r="AH2" s="11" t="s">
        <v>27</v>
      </c>
      <c r="AI2" s="7" t="s">
        <v>28</v>
      </c>
      <c r="AJ2" s="11" t="s">
        <v>58</v>
      </c>
      <c r="AK2" s="12" t="s">
        <v>30</v>
      </c>
      <c r="AL2" s="14" t="s">
        <v>14</v>
      </c>
      <c r="AM2" s="10" t="s">
        <v>15</v>
      </c>
      <c r="AN2" s="10" t="s">
        <v>2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11" t="s">
        <v>21</v>
      </c>
      <c r="AU2" s="11" t="s">
        <v>22</v>
      </c>
      <c r="AV2" s="11" t="s">
        <v>24</v>
      </c>
      <c r="AW2" s="11" t="s">
        <v>23</v>
      </c>
      <c r="AX2" s="11" t="s">
        <v>25</v>
      </c>
      <c r="AY2" s="11" t="s">
        <v>26</v>
      </c>
      <c r="AZ2" s="11" t="s">
        <v>27</v>
      </c>
      <c r="BA2" s="7" t="s">
        <v>28</v>
      </c>
      <c r="BB2" s="11" t="s">
        <v>58</v>
      </c>
      <c r="BC2" s="12" t="s">
        <v>29</v>
      </c>
      <c r="BD2" s="14" t="s">
        <v>14</v>
      </c>
      <c r="BE2" s="10" t="s">
        <v>15</v>
      </c>
      <c r="BF2" s="10" t="s">
        <v>2</v>
      </c>
      <c r="BG2" s="7" t="s">
        <v>16</v>
      </c>
      <c r="BH2" s="7" t="s">
        <v>17</v>
      </c>
      <c r="BI2" s="7" t="s">
        <v>18</v>
      </c>
      <c r="BJ2" s="7" t="s">
        <v>19</v>
      </c>
      <c r="BK2" s="7" t="s">
        <v>20</v>
      </c>
      <c r="BL2" s="11" t="s">
        <v>21</v>
      </c>
      <c r="BM2" s="11" t="s">
        <v>22</v>
      </c>
      <c r="BN2" s="11" t="s">
        <v>23</v>
      </c>
      <c r="BO2" s="11" t="s">
        <v>24</v>
      </c>
      <c r="BP2" s="11" t="s">
        <v>25</v>
      </c>
      <c r="BQ2" s="11" t="s">
        <v>26</v>
      </c>
      <c r="BR2" s="11" t="s">
        <v>27</v>
      </c>
      <c r="BS2" s="7" t="s">
        <v>28</v>
      </c>
      <c r="BT2" s="11" t="s">
        <v>58</v>
      </c>
      <c r="BU2" s="12" t="s">
        <v>29</v>
      </c>
      <c r="BV2" s="14" t="s">
        <v>14</v>
      </c>
      <c r="BW2" s="10" t="s">
        <v>15</v>
      </c>
      <c r="BX2" s="10" t="s">
        <v>2</v>
      </c>
      <c r="BY2" s="7" t="s">
        <v>16</v>
      </c>
      <c r="BZ2" s="7" t="s">
        <v>31</v>
      </c>
      <c r="CA2" s="7" t="s">
        <v>18</v>
      </c>
      <c r="CB2" s="7" t="s">
        <v>19</v>
      </c>
      <c r="CC2" s="7" t="s">
        <v>20</v>
      </c>
      <c r="CD2" s="11" t="s">
        <v>21</v>
      </c>
      <c r="CE2" s="11" t="s">
        <v>22</v>
      </c>
      <c r="CF2" s="11" t="s">
        <v>23</v>
      </c>
      <c r="CG2" s="11" t="s">
        <v>24</v>
      </c>
      <c r="CH2" s="11" t="s">
        <v>25</v>
      </c>
      <c r="CI2" s="11" t="s">
        <v>26</v>
      </c>
      <c r="CJ2" s="11" t="s">
        <v>27</v>
      </c>
      <c r="CK2" s="7" t="s">
        <v>28</v>
      </c>
      <c r="CL2" s="76" t="s">
        <v>58</v>
      </c>
      <c r="CM2" s="12" t="s">
        <v>29</v>
      </c>
      <c r="CN2" s="77" t="s">
        <v>14</v>
      </c>
      <c r="CO2" s="78" t="s">
        <v>41</v>
      </c>
      <c r="CP2" s="79" t="s">
        <v>15</v>
      </c>
      <c r="CQ2" s="79" t="s">
        <v>2</v>
      </c>
      <c r="CR2" s="80" t="s">
        <v>16</v>
      </c>
      <c r="CS2" s="80" t="s">
        <v>31</v>
      </c>
      <c r="CT2" s="80" t="s">
        <v>18</v>
      </c>
      <c r="CU2" s="80" t="s">
        <v>19</v>
      </c>
      <c r="CV2" s="81" t="s">
        <v>20</v>
      </c>
      <c r="CW2" s="78" t="s">
        <v>42</v>
      </c>
      <c r="CX2" s="82" t="s">
        <v>24</v>
      </c>
      <c r="CY2" s="82" t="s">
        <v>25</v>
      </c>
      <c r="CZ2" s="78" t="s">
        <v>26</v>
      </c>
      <c r="DA2" s="82" t="s">
        <v>43</v>
      </c>
      <c r="DB2" s="78" t="s">
        <v>44</v>
      </c>
      <c r="DC2" s="83" t="s">
        <v>29</v>
      </c>
      <c r="DD2" s="84" t="s">
        <v>14</v>
      </c>
      <c r="DE2" s="81" t="s">
        <v>41</v>
      </c>
      <c r="DF2" s="80" t="s">
        <v>15</v>
      </c>
      <c r="DG2" s="80" t="s">
        <v>2</v>
      </c>
      <c r="DH2" s="80" t="s">
        <v>16</v>
      </c>
      <c r="DI2" s="80" t="s">
        <v>31</v>
      </c>
      <c r="DJ2" s="80" t="s">
        <v>18</v>
      </c>
      <c r="DK2" s="80" t="s">
        <v>19</v>
      </c>
      <c r="DL2" s="81" t="s">
        <v>20</v>
      </c>
      <c r="DM2" s="81" t="s">
        <v>42</v>
      </c>
      <c r="DN2" s="80" t="s">
        <v>24</v>
      </c>
      <c r="DO2" s="80" t="s">
        <v>25</v>
      </c>
      <c r="DP2" s="81" t="s">
        <v>26</v>
      </c>
      <c r="DQ2" s="80" t="s">
        <v>43</v>
      </c>
      <c r="DR2" s="81" t="s">
        <v>44</v>
      </c>
      <c r="DS2" s="81" t="s">
        <v>29</v>
      </c>
      <c r="DT2" s="15" t="s">
        <v>14</v>
      </c>
      <c r="DU2" s="16" t="s">
        <v>32</v>
      </c>
      <c r="DV2" s="17" t="s">
        <v>33</v>
      </c>
      <c r="DW2" s="17" t="s">
        <v>34</v>
      </c>
      <c r="DX2" s="18"/>
      <c r="DY2" s="17" t="s">
        <v>35</v>
      </c>
      <c r="DZ2" s="18"/>
    </row>
    <row r="3" spans="1:130" ht="12.75" x14ac:dyDescent="0.2">
      <c r="A3" s="701"/>
      <c r="B3" s="701">
        <v>46048</v>
      </c>
      <c r="C3" s="85">
        <v>125</v>
      </c>
      <c r="D3" s="85">
        <v>814</v>
      </c>
      <c r="E3" s="85">
        <v>4500</v>
      </c>
      <c r="F3" s="85">
        <v>5000</v>
      </c>
      <c r="G3" s="85"/>
      <c r="H3" s="692"/>
      <c r="I3" s="85">
        <f t="shared" ref="I3:I26" si="0">F3-E3-G3</f>
        <v>500</v>
      </c>
      <c r="J3" s="703">
        <f>SUM(I3:I6,H3)</f>
        <v>618</v>
      </c>
      <c r="K3" s="85" t="s">
        <v>51</v>
      </c>
      <c r="L3" s="85" t="s">
        <v>51</v>
      </c>
      <c r="M3" s="692">
        <v>5</v>
      </c>
      <c r="N3" s="692">
        <v>2</v>
      </c>
      <c r="O3" s="699">
        <f>SUM(M3:N6)</f>
        <v>7</v>
      </c>
      <c r="P3" s="692"/>
      <c r="Q3" s="692">
        <f>M3*60</f>
        <v>300</v>
      </c>
      <c r="R3" s="692">
        <f>IF(
   COUNTIF(K3:K6,"SI")&gt;0,
   1.8,
   IF(
      COUNTIF(L3:L6,"SI")&gt;0,
      1.6,
      2
   )
)</f>
        <v>1.8</v>
      </c>
      <c r="S3" s="700">
        <f>IF(Q3=0,0,J3/Q3)</f>
        <v>2.06</v>
      </c>
      <c r="T3" s="701">
        <v>46048</v>
      </c>
      <c r="U3" s="85"/>
      <c r="V3" s="85"/>
      <c r="W3" s="85"/>
      <c r="X3" s="85"/>
      <c r="Y3" s="85"/>
      <c r="Z3" s="692"/>
      <c r="AA3" s="85">
        <f t="shared" ref="AA3:AA26" si="1">X3-W3-Y3</f>
        <v>0</v>
      </c>
      <c r="AB3" s="703">
        <f>SUM(AA3:AA6,Z3)</f>
        <v>0</v>
      </c>
      <c r="AC3" s="85"/>
      <c r="AD3" s="85"/>
      <c r="AE3" s="692"/>
      <c r="AF3" s="692"/>
      <c r="AG3" s="699">
        <f>SUM(AE3:AF6)</f>
        <v>0</v>
      </c>
      <c r="AH3" s="692"/>
      <c r="AI3" s="692">
        <f>AE3*60</f>
        <v>0</v>
      </c>
      <c r="AJ3" s="692">
        <f>IF(
   COUNTIF(AC3:AC6,"SI")&gt;0,
   1.8,
   IF(
      COUNTIF(AD3:AD6,"SI")&gt;0,
      1.6,
      2
   )
)</f>
        <v>2</v>
      </c>
      <c r="AK3" s="700">
        <f>IF(AI3=0,0,AB3/AI3)</f>
        <v>0</v>
      </c>
      <c r="AL3" s="701">
        <v>46048</v>
      </c>
      <c r="AM3" s="85">
        <v>12</v>
      </c>
      <c r="AN3" s="85">
        <v>811</v>
      </c>
      <c r="AO3" s="85">
        <v>3417</v>
      </c>
      <c r="AP3" s="85">
        <v>3500</v>
      </c>
      <c r="AQ3" s="85">
        <v>5</v>
      </c>
      <c r="AR3" s="692"/>
      <c r="AS3" s="85">
        <f t="shared" ref="AS3:AS26" si="2">AP3-AO3-AQ3</f>
        <v>78</v>
      </c>
      <c r="AT3" s="703">
        <f>SUM(AS3:AS4)</f>
        <v>214</v>
      </c>
      <c r="AU3" s="692" t="s">
        <v>51</v>
      </c>
      <c r="AV3" s="692">
        <v>1.5</v>
      </c>
      <c r="AW3" s="86" t="s">
        <v>51</v>
      </c>
      <c r="AX3" s="692">
        <v>6</v>
      </c>
      <c r="AY3" s="699">
        <f>SUM(AV3:AX6)</f>
        <v>8.5</v>
      </c>
      <c r="AZ3" s="692">
        <v>0.1</v>
      </c>
      <c r="BA3" s="692">
        <f>AV3*60</f>
        <v>90</v>
      </c>
      <c r="BB3" s="692">
        <f>IF(
   COUNTIF(AU3:AU6,"SI")&gt;0,
   1.8,
   IF(
      COUNTIF(AV3:AV6,"SI")&gt;0,
      1.6,
      2
   )
)</f>
        <v>1.8</v>
      </c>
      <c r="BC3" s="716">
        <f>IF(BA3=0,0,AT3/BA3)</f>
        <v>2.3777777777777778</v>
      </c>
      <c r="BD3" s="701">
        <v>46048</v>
      </c>
      <c r="BE3" s="85"/>
      <c r="BF3" s="85"/>
      <c r="BG3" s="85"/>
      <c r="BH3" s="85"/>
      <c r="BI3" s="85"/>
      <c r="BJ3" s="692"/>
      <c r="BK3" s="85">
        <f t="shared" ref="BK3:BK26" si="3">BH3-BG3-BI3</f>
        <v>0</v>
      </c>
      <c r="BL3" s="703">
        <f>SUM(BK3:BK6,BJ3)</f>
        <v>0</v>
      </c>
      <c r="BM3" s="85"/>
      <c r="BN3" s="85"/>
      <c r="BO3" s="692"/>
      <c r="BP3" s="692"/>
      <c r="BQ3" s="699">
        <f>SUM(BO3:BP6)</f>
        <v>0</v>
      </c>
      <c r="BR3" s="692"/>
      <c r="BS3" s="692">
        <f>BO3*60</f>
        <v>0</v>
      </c>
      <c r="BT3" s="692">
        <f>IF(
   COUNTIF(BM3:BM6,"SI")&gt;0,
   1.8,
   IF(
      COUNTIF(BN3:BN6,"SI")&gt;0,
      1.6,
      2
   )
)</f>
        <v>2</v>
      </c>
      <c r="BU3" s="716">
        <f>IF(BS3=0,0,BL3/BS3)</f>
        <v>0</v>
      </c>
      <c r="BV3" s="701">
        <v>46048</v>
      </c>
      <c r="BW3" s="85"/>
      <c r="BX3" s="85"/>
      <c r="BY3" s="85"/>
      <c r="BZ3" s="85"/>
      <c r="CA3" s="85"/>
      <c r="CB3" s="692"/>
      <c r="CC3" s="85">
        <f t="shared" ref="CC3:CC26" si="4">BZ3-BY3-CA3</f>
        <v>0</v>
      </c>
      <c r="CD3" s="703">
        <f>SUM(CC3:CC6,CB3)</f>
        <v>0</v>
      </c>
      <c r="CE3" s="85"/>
      <c r="CF3" s="85"/>
      <c r="CG3" s="692"/>
      <c r="CH3" s="692"/>
      <c r="CI3" s="699">
        <f>SUM(CG3:CH6)</f>
        <v>0</v>
      </c>
      <c r="CJ3" s="692"/>
      <c r="CK3" s="692">
        <f>CG3*60</f>
        <v>0</v>
      </c>
      <c r="CL3" s="692">
        <f>IF(
   COUNTIF(CE3:CE6,"SI")&gt;0,
   1.8,
   IF(
      COUNTIF(CF3:CF6,"SI")&gt;0,
      1.6,
      2
   )
)</f>
        <v>2</v>
      </c>
      <c r="CM3" s="716">
        <f>IF(CK3=0,0,CD3/CK3)</f>
        <v>0</v>
      </c>
      <c r="CN3" s="87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9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717">
        <v>46048</v>
      </c>
      <c r="DU3" s="718">
        <f>SUM(J3,AB3,AT3,BL3,CD3)</f>
        <v>832</v>
      </c>
      <c r="DV3" s="718">
        <f>SUM(Q3,AI3,BA3,BS3,CK3)</f>
        <v>390</v>
      </c>
      <c r="DW3" s="719">
        <f>DU3/DV3</f>
        <v>2.1333333333333333</v>
      </c>
      <c r="DX3" s="19"/>
      <c r="DY3" s="697" t="s">
        <v>36</v>
      </c>
      <c r="DZ3" s="720">
        <f>SUM(C27,U27,AM27,BE27,BW27)</f>
        <v>1512</v>
      </c>
    </row>
    <row r="4" spans="1:130" ht="12.75" x14ac:dyDescent="0.2">
      <c r="A4" s="647"/>
      <c r="B4" s="647"/>
      <c r="C4" s="23">
        <v>11</v>
      </c>
      <c r="D4" s="23">
        <v>523</v>
      </c>
      <c r="E4" s="23">
        <v>6184</v>
      </c>
      <c r="F4" s="23">
        <v>6302</v>
      </c>
      <c r="G4" s="23"/>
      <c r="H4" s="634"/>
      <c r="I4" s="23">
        <f t="shared" si="0"/>
        <v>118</v>
      </c>
      <c r="J4" s="634"/>
      <c r="K4" s="23" t="s">
        <v>52</v>
      </c>
      <c r="L4" s="91" t="s">
        <v>52</v>
      </c>
      <c r="M4" s="634"/>
      <c r="N4" s="634"/>
      <c r="O4" s="634"/>
      <c r="P4" s="634"/>
      <c r="Q4" s="634"/>
      <c r="R4" s="634"/>
      <c r="S4" s="659"/>
      <c r="T4" s="647"/>
      <c r="U4" s="23"/>
      <c r="V4" s="23"/>
      <c r="W4" s="23"/>
      <c r="X4" s="23"/>
      <c r="Y4" s="23"/>
      <c r="Z4" s="634"/>
      <c r="AA4" s="23">
        <f t="shared" si="1"/>
        <v>0</v>
      </c>
      <c r="AB4" s="634"/>
      <c r="AC4" s="23"/>
      <c r="AD4" s="91"/>
      <c r="AE4" s="634"/>
      <c r="AF4" s="634"/>
      <c r="AG4" s="634"/>
      <c r="AH4" s="634"/>
      <c r="AI4" s="634"/>
      <c r="AJ4" s="634"/>
      <c r="AK4" s="659"/>
      <c r="AL4" s="647"/>
      <c r="AM4" s="23">
        <v>28</v>
      </c>
      <c r="AN4" s="23">
        <v>813</v>
      </c>
      <c r="AO4" s="23">
        <v>4001</v>
      </c>
      <c r="AP4" s="23">
        <v>4137</v>
      </c>
      <c r="AQ4" s="23"/>
      <c r="AR4" s="634"/>
      <c r="AS4" s="23">
        <f t="shared" si="2"/>
        <v>136</v>
      </c>
      <c r="AT4" s="634"/>
      <c r="AU4" s="635"/>
      <c r="AV4" s="634"/>
      <c r="AW4" s="86" t="s">
        <v>52</v>
      </c>
      <c r="AX4" s="634"/>
      <c r="AY4" s="634"/>
      <c r="AZ4" s="634"/>
      <c r="BA4" s="634"/>
      <c r="BB4" s="634"/>
      <c r="BC4" s="659"/>
      <c r="BD4" s="647"/>
      <c r="BE4" s="23"/>
      <c r="BF4" s="23"/>
      <c r="BG4" s="23"/>
      <c r="BH4" s="23"/>
      <c r="BI4" s="23"/>
      <c r="BJ4" s="634"/>
      <c r="BK4" s="23">
        <f t="shared" si="3"/>
        <v>0</v>
      </c>
      <c r="BL4" s="634"/>
      <c r="BM4" s="23"/>
      <c r="BN4" s="91"/>
      <c r="BO4" s="634"/>
      <c r="BP4" s="634"/>
      <c r="BQ4" s="634"/>
      <c r="BR4" s="634"/>
      <c r="BS4" s="634"/>
      <c r="BT4" s="634"/>
      <c r="BU4" s="659"/>
      <c r="BV4" s="647"/>
      <c r="BW4" s="23"/>
      <c r="BX4" s="23"/>
      <c r="BY4" s="23"/>
      <c r="BZ4" s="23"/>
      <c r="CA4" s="23"/>
      <c r="CB4" s="634"/>
      <c r="CC4" s="23">
        <f t="shared" si="4"/>
        <v>0</v>
      </c>
      <c r="CD4" s="634"/>
      <c r="CE4" s="23"/>
      <c r="CF4" s="91"/>
      <c r="CG4" s="634"/>
      <c r="CH4" s="634"/>
      <c r="CI4" s="634"/>
      <c r="CJ4" s="634"/>
      <c r="CK4" s="634"/>
      <c r="CL4" s="634"/>
      <c r="CM4" s="659"/>
      <c r="CN4" s="92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4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670"/>
      <c r="DU4" s="634"/>
      <c r="DV4" s="634"/>
      <c r="DW4" s="659"/>
      <c r="DX4" s="19"/>
      <c r="DY4" s="634"/>
      <c r="DZ4" s="634"/>
    </row>
    <row r="5" spans="1:130" ht="12.75" x14ac:dyDescent="0.2">
      <c r="A5" s="647"/>
      <c r="B5" s="647"/>
      <c r="C5" s="23"/>
      <c r="D5" s="23"/>
      <c r="E5" s="23"/>
      <c r="F5" s="23"/>
      <c r="G5" s="23"/>
      <c r="H5" s="634"/>
      <c r="I5" s="23">
        <f t="shared" si="0"/>
        <v>0</v>
      </c>
      <c r="J5" s="634"/>
      <c r="K5" s="23"/>
      <c r="L5" s="91"/>
      <c r="M5" s="634"/>
      <c r="N5" s="634"/>
      <c r="O5" s="634"/>
      <c r="P5" s="634"/>
      <c r="Q5" s="634"/>
      <c r="R5" s="634"/>
      <c r="S5" s="659"/>
      <c r="T5" s="647"/>
      <c r="U5" s="23"/>
      <c r="V5" s="23"/>
      <c r="W5" s="23"/>
      <c r="X5" s="23"/>
      <c r="Y5" s="23"/>
      <c r="Z5" s="634"/>
      <c r="AA5" s="23">
        <f t="shared" si="1"/>
        <v>0</v>
      </c>
      <c r="AB5" s="634"/>
      <c r="AC5" s="23"/>
      <c r="AD5" s="91"/>
      <c r="AE5" s="634"/>
      <c r="AF5" s="634"/>
      <c r="AG5" s="634"/>
      <c r="AH5" s="634"/>
      <c r="AI5" s="634"/>
      <c r="AJ5" s="634"/>
      <c r="AK5" s="659"/>
      <c r="AL5" s="647"/>
      <c r="AM5" s="28">
        <v>18</v>
      </c>
      <c r="AN5" s="51">
        <v>524</v>
      </c>
      <c r="AO5" s="51">
        <v>6657</v>
      </c>
      <c r="AP5" s="28">
        <v>6809</v>
      </c>
      <c r="AQ5" s="23"/>
      <c r="AR5" s="634"/>
      <c r="AS5" s="23">
        <f t="shared" si="2"/>
        <v>152</v>
      </c>
      <c r="AT5" s="21">
        <f>AS5</f>
        <v>152</v>
      </c>
      <c r="AU5" s="23" t="s">
        <v>52</v>
      </c>
      <c r="AV5" s="23">
        <v>1</v>
      </c>
      <c r="AW5" s="91"/>
      <c r="AX5" s="634"/>
      <c r="AY5" s="634"/>
      <c r="AZ5" s="634"/>
      <c r="BA5" s="53">
        <f>AV5*60</f>
        <v>60</v>
      </c>
      <c r="BB5" s="634"/>
      <c r="BC5" s="95">
        <f>IF(BA5=0,0,AT5/BA5)</f>
        <v>2.5333333333333332</v>
      </c>
      <c r="BD5" s="647"/>
      <c r="BE5" s="23"/>
      <c r="BF5" s="23"/>
      <c r="BG5" s="23"/>
      <c r="BH5" s="23"/>
      <c r="BI5" s="23"/>
      <c r="BJ5" s="634"/>
      <c r="BK5" s="23">
        <f t="shared" si="3"/>
        <v>0</v>
      </c>
      <c r="BL5" s="634"/>
      <c r="BM5" s="23"/>
      <c r="BN5" s="91"/>
      <c r="BO5" s="634"/>
      <c r="BP5" s="634"/>
      <c r="BQ5" s="634"/>
      <c r="BR5" s="634"/>
      <c r="BS5" s="634"/>
      <c r="BT5" s="634"/>
      <c r="BU5" s="659"/>
      <c r="BV5" s="647"/>
      <c r="BW5" s="23"/>
      <c r="BX5" s="23"/>
      <c r="BY5" s="23"/>
      <c r="BZ5" s="23"/>
      <c r="CA5" s="23"/>
      <c r="CB5" s="634"/>
      <c r="CC5" s="23">
        <f t="shared" si="4"/>
        <v>0</v>
      </c>
      <c r="CD5" s="634"/>
      <c r="CE5" s="23"/>
      <c r="CF5" s="91"/>
      <c r="CG5" s="634"/>
      <c r="CH5" s="634"/>
      <c r="CI5" s="634"/>
      <c r="CJ5" s="634"/>
      <c r="CK5" s="634"/>
      <c r="CL5" s="634"/>
      <c r="CM5" s="659"/>
      <c r="CN5" s="92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4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670"/>
      <c r="DU5" s="634"/>
      <c r="DV5" s="634"/>
      <c r="DW5" s="659"/>
      <c r="DX5" s="19"/>
      <c r="DY5" s="634"/>
      <c r="DZ5" s="634"/>
    </row>
    <row r="6" spans="1:130" ht="12.75" x14ac:dyDescent="0.2">
      <c r="A6" s="648"/>
      <c r="B6" s="648"/>
      <c r="C6" s="23"/>
      <c r="D6" s="23"/>
      <c r="E6" s="23"/>
      <c r="F6" s="23"/>
      <c r="G6" s="23"/>
      <c r="H6" s="635"/>
      <c r="I6" s="23">
        <f t="shared" si="0"/>
        <v>0</v>
      </c>
      <c r="J6" s="635"/>
      <c r="K6" s="23"/>
      <c r="L6" s="91"/>
      <c r="M6" s="635"/>
      <c r="N6" s="635"/>
      <c r="O6" s="635"/>
      <c r="P6" s="635"/>
      <c r="Q6" s="635"/>
      <c r="R6" s="635"/>
      <c r="S6" s="660"/>
      <c r="T6" s="648"/>
      <c r="U6" s="23"/>
      <c r="V6" s="23"/>
      <c r="W6" s="23"/>
      <c r="X6" s="23"/>
      <c r="Y6" s="23"/>
      <c r="Z6" s="635"/>
      <c r="AA6" s="23">
        <f t="shared" si="1"/>
        <v>0</v>
      </c>
      <c r="AB6" s="635"/>
      <c r="AC6" s="23"/>
      <c r="AD6" s="91"/>
      <c r="AE6" s="635"/>
      <c r="AF6" s="635"/>
      <c r="AG6" s="635"/>
      <c r="AH6" s="635"/>
      <c r="AI6" s="635"/>
      <c r="AJ6" s="635"/>
      <c r="AK6" s="660"/>
      <c r="AL6" s="648"/>
      <c r="AM6" s="23"/>
      <c r="AN6" s="23"/>
      <c r="AO6" s="23"/>
      <c r="AP6" s="23"/>
      <c r="AQ6" s="23"/>
      <c r="AR6" s="635"/>
      <c r="AS6" s="23">
        <f t="shared" si="2"/>
        <v>0</v>
      </c>
      <c r="AT6" s="96"/>
      <c r="AU6" s="23"/>
      <c r="AV6" s="91"/>
      <c r="AW6" s="91"/>
      <c r="AX6" s="635"/>
      <c r="AY6" s="635"/>
      <c r="AZ6" s="635"/>
      <c r="BA6" s="91"/>
      <c r="BB6" s="635"/>
      <c r="BC6" s="97"/>
      <c r="BD6" s="648"/>
      <c r="BE6" s="23"/>
      <c r="BF6" s="23"/>
      <c r="BG6" s="23"/>
      <c r="BH6" s="23"/>
      <c r="BI6" s="23"/>
      <c r="BJ6" s="635"/>
      <c r="BK6" s="23">
        <f t="shared" si="3"/>
        <v>0</v>
      </c>
      <c r="BL6" s="635"/>
      <c r="BM6" s="23"/>
      <c r="BN6" s="91"/>
      <c r="BO6" s="635"/>
      <c r="BP6" s="635"/>
      <c r="BQ6" s="635"/>
      <c r="BR6" s="635"/>
      <c r="BS6" s="635"/>
      <c r="BT6" s="635"/>
      <c r="BU6" s="660"/>
      <c r="BV6" s="648"/>
      <c r="BW6" s="23"/>
      <c r="BX6" s="23"/>
      <c r="BY6" s="23"/>
      <c r="BZ6" s="23"/>
      <c r="CA6" s="23"/>
      <c r="CB6" s="635"/>
      <c r="CC6" s="23">
        <f t="shared" si="4"/>
        <v>0</v>
      </c>
      <c r="CD6" s="635"/>
      <c r="CE6" s="23"/>
      <c r="CF6" s="91"/>
      <c r="CG6" s="635"/>
      <c r="CH6" s="635"/>
      <c r="CI6" s="635"/>
      <c r="CJ6" s="635"/>
      <c r="CK6" s="635"/>
      <c r="CL6" s="635"/>
      <c r="CM6" s="660"/>
      <c r="CN6" s="92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4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671"/>
      <c r="DU6" s="635"/>
      <c r="DV6" s="635"/>
      <c r="DW6" s="660"/>
      <c r="DX6" s="19"/>
      <c r="DY6" s="635"/>
      <c r="DZ6" s="635"/>
    </row>
    <row r="7" spans="1:130" ht="18" customHeight="1" x14ac:dyDescent="0.2">
      <c r="A7" s="694"/>
      <c r="B7" s="694">
        <v>46049</v>
      </c>
      <c r="C7" s="53"/>
      <c r="D7" s="53">
        <v>815</v>
      </c>
      <c r="E7" s="53">
        <v>5001</v>
      </c>
      <c r="F7" s="53">
        <v>5316</v>
      </c>
      <c r="G7" s="53"/>
      <c r="H7" s="690"/>
      <c r="I7" s="53">
        <f t="shared" si="0"/>
        <v>315</v>
      </c>
      <c r="J7" s="691">
        <f>SUM(I7:I10,H7)</f>
        <v>315</v>
      </c>
      <c r="K7" s="53" t="s">
        <v>51</v>
      </c>
      <c r="L7" s="53" t="s">
        <v>51</v>
      </c>
      <c r="M7" s="690">
        <v>2.9</v>
      </c>
      <c r="N7" s="690">
        <v>1.1000000000000001</v>
      </c>
      <c r="O7" s="689">
        <f>SUM(M7:N10)</f>
        <v>4</v>
      </c>
      <c r="P7" s="690"/>
      <c r="Q7" s="690">
        <f>M7*60</f>
        <v>174</v>
      </c>
      <c r="R7" s="692">
        <f>IF(
   COUNTIF(K7:K10,"SI")&gt;0,
   1.8,
   IF(
      COUNTIF(L7:L10,"SI")&gt;0,
      1.6,
      2
   )
)</f>
        <v>1.8</v>
      </c>
      <c r="S7" s="700">
        <f>IF(Q7=0,0,J7/Q7)</f>
        <v>1.8103448275862069</v>
      </c>
      <c r="T7" s="694">
        <v>46049</v>
      </c>
      <c r="U7" s="53">
        <v>19</v>
      </c>
      <c r="V7" s="53">
        <v>812</v>
      </c>
      <c r="W7" s="53">
        <v>3569</v>
      </c>
      <c r="X7" s="53">
        <v>3627</v>
      </c>
      <c r="Y7" s="53">
        <v>0</v>
      </c>
      <c r="Z7" s="690">
        <v>0</v>
      </c>
      <c r="AA7" s="53">
        <f t="shared" si="1"/>
        <v>58</v>
      </c>
      <c r="AB7" s="691">
        <f>SUM(AA7:AA10,Z7)</f>
        <v>58</v>
      </c>
      <c r="AC7" s="53" t="s">
        <v>51</v>
      </c>
      <c r="AD7" s="53"/>
      <c r="AE7" s="690">
        <v>0.5</v>
      </c>
      <c r="AF7" s="690">
        <v>8.5</v>
      </c>
      <c r="AG7" s="689">
        <f>SUM(AE7:AF10)</f>
        <v>9</v>
      </c>
      <c r="AH7" s="690">
        <v>0</v>
      </c>
      <c r="AI7" s="690">
        <f>AE7*60</f>
        <v>30</v>
      </c>
      <c r="AJ7" s="692">
        <f>IF(
   COUNTIF(AC7:AC10,"SI")&gt;0,
   1.8,
   IF(
      COUNTIF(AD7:AD10,"SI")&gt;0,
      1.6,
      2
   )
)</f>
        <v>1.8</v>
      </c>
      <c r="AK7" s="693">
        <f>IF(AI7=0,0,AB7/AI7)</f>
        <v>1.9333333333333333</v>
      </c>
      <c r="AL7" s="694">
        <v>46049</v>
      </c>
      <c r="AM7" s="53"/>
      <c r="AN7" s="53"/>
      <c r="AO7" s="53"/>
      <c r="AP7" s="53"/>
      <c r="AQ7" s="53"/>
      <c r="AR7" s="690"/>
      <c r="AS7" s="53">
        <f t="shared" si="2"/>
        <v>0</v>
      </c>
      <c r="AT7" s="98">
        <f>SUM(AS7)</f>
        <v>0</v>
      </c>
      <c r="AU7" s="53"/>
      <c r="AV7" s="53"/>
      <c r="AW7" s="53"/>
      <c r="AX7" s="690"/>
      <c r="AY7" s="689">
        <f>SUM(AV7:AX10)</f>
        <v>0</v>
      </c>
      <c r="AZ7" s="690">
        <v>0.3</v>
      </c>
      <c r="BA7" s="54">
        <f t="shared" ref="BA7:BA8" si="5">AV7*60</f>
        <v>0</v>
      </c>
      <c r="BB7" s="692">
        <f>IF(
   COUNTIF(AU7:AU10,"SI")&gt;0,
   1.8,
   IF(
      COUNTIF(AV7:AV10,"SI")&gt;0,
      1.6,
      2
   )
)</f>
        <v>2</v>
      </c>
      <c r="BC7" s="99">
        <f t="shared" ref="BC7:BC8" si="6">IF(BA7=0,0,AT7/BA7)</f>
        <v>0</v>
      </c>
      <c r="BD7" s="694">
        <v>46049</v>
      </c>
      <c r="BE7" s="53"/>
      <c r="BF7" s="53"/>
      <c r="BG7" s="53"/>
      <c r="BH7" s="53"/>
      <c r="BI7" s="53"/>
      <c r="BJ7" s="690"/>
      <c r="BK7" s="53">
        <f t="shared" si="3"/>
        <v>0</v>
      </c>
      <c r="BL7" s="691">
        <f>SUM(BK7:BK10,BJ7)</f>
        <v>0</v>
      </c>
      <c r="BM7" s="53"/>
      <c r="BN7" s="53"/>
      <c r="BO7" s="690"/>
      <c r="BP7" s="690"/>
      <c r="BQ7" s="689">
        <f>SUM(BO7:BP10)</f>
        <v>0</v>
      </c>
      <c r="BR7" s="690"/>
      <c r="BS7" s="690">
        <f>BO7*60</f>
        <v>0</v>
      </c>
      <c r="BT7" s="692">
        <f>IF(
   COUNTIF(BM7:BM10,"SI")&gt;0,
   1.8,
   IF(
      COUNTIF(BN7:BN10,"SI")&gt;0,
      1.6,
      2
   )
)</f>
        <v>2</v>
      </c>
      <c r="BU7" s="705">
        <f>IF(BS7=0,0,BL7/BS7)</f>
        <v>0</v>
      </c>
      <c r="BV7" s="694">
        <v>46049</v>
      </c>
      <c r="BW7" s="53"/>
      <c r="BX7" s="53"/>
      <c r="BY7" s="53"/>
      <c r="BZ7" s="53"/>
      <c r="CA7" s="53"/>
      <c r="CB7" s="690"/>
      <c r="CC7" s="53">
        <f t="shared" si="4"/>
        <v>0</v>
      </c>
      <c r="CD7" s="691">
        <f>SUM(CC7:CC10,CB7)</f>
        <v>0</v>
      </c>
      <c r="CE7" s="53"/>
      <c r="CF7" s="53"/>
      <c r="CG7" s="690"/>
      <c r="CH7" s="690"/>
      <c r="CI7" s="689">
        <f>SUM(CG7:CH10)</f>
        <v>0</v>
      </c>
      <c r="CJ7" s="690"/>
      <c r="CK7" s="690">
        <f>CG7*60</f>
        <v>0</v>
      </c>
      <c r="CL7" s="692">
        <f>IF(
   COUNTIF(CE7:CE10,"SI")&gt;0,
   1.8,
   IF(
      COUNTIF(CF7:CF10,"SI")&gt;0,
      1.6,
      2
   )
)</f>
        <v>2</v>
      </c>
      <c r="CM7" s="705">
        <f>IF(CK7=0,0,CD7/CK7)</f>
        <v>0</v>
      </c>
      <c r="CN7" s="92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4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706">
        <v>46049</v>
      </c>
      <c r="DU7" s="707">
        <f>SUM(J7,AB7,AT7,BL7,CD7)</f>
        <v>373</v>
      </c>
      <c r="DV7" s="707">
        <f>SUM(Q7,AI7,BA7,BS7,CK7)</f>
        <v>204</v>
      </c>
      <c r="DW7" s="709">
        <f>DU7/DV7</f>
        <v>1.8284313725490196</v>
      </c>
      <c r="DX7" s="19"/>
      <c r="DY7" s="713" t="s">
        <v>37</v>
      </c>
      <c r="DZ7" s="707">
        <f>SUM(DU3:DU26)</f>
        <v>9780</v>
      </c>
    </row>
    <row r="8" spans="1:130" ht="12.75" x14ac:dyDescent="0.2">
      <c r="A8" s="647"/>
      <c r="B8" s="647"/>
      <c r="C8" s="53"/>
      <c r="D8" s="53"/>
      <c r="E8" s="53"/>
      <c r="F8" s="53"/>
      <c r="G8" s="53"/>
      <c r="H8" s="634"/>
      <c r="I8" s="53">
        <f t="shared" si="0"/>
        <v>0</v>
      </c>
      <c r="J8" s="634"/>
      <c r="K8" s="53"/>
      <c r="L8" s="53"/>
      <c r="M8" s="634"/>
      <c r="N8" s="634"/>
      <c r="O8" s="634"/>
      <c r="P8" s="634"/>
      <c r="Q8" s="634"/>
      <c r="R8" s="634"/>
      <c r="S8" s="659"/>
      <c r="T8" s="647"/>
      <c r="U8" s="53"/>
      <c r="V8" s="53"/>
      <c r="W8" s="53"/>
      <c r="X8" s="53"/>
      <c r="Y8" s="53"/>
      <c r="Z8" s="634"/>
      <c r="AA8" s="53">
        <f t="shared" si="1"/>
        <v>0</v>
      </c>
      <c r="AB8" s="634"/>
      <c r="AC8" s="53"/>
      <c r="AD8" s="53"/>
      <c r="AE8" s="634"/>
      <c r="AF8" s="634"/>
      <c r="AG8" s="634"/>
      <c r="AH8" s="634"/>
      <c r="AI8" s="634"/>
      <c r="AJ8" s="634"/>
      <c r="AK8" s="659"/>
      <c r="AL8" s="647"/>
      <c r="AM8" s="53"/>
      <c r="AN8" s="53"/>
      <c r="AO8" s="53"/>
      <c r="AP8" s="53"/>
      <c r="AQ8" s="53"/>
      <c r="AR8" s="634"/>
      <c r="AS8" s="53">
        <f t="shared" si="2"/>
        <v>0</v>
      </c>
      <c r="AT8" s="691">
        <f>SUM(AS8,AS9)</f>
        <v>0</v>
      </c>
      <c r="AU8" s="690"/>
      <c r="AV8" s="690"/>
      <c r="AW8" s="53"/>
      <c r="AX8" s="634"/>
      <c r="AY8" s="634"/>
      <c r="AZ8" s="634"/>
      <c r="BA8" s="690">
        <f t="shared" si="5"/>
        <v>0</v>
      </c>
      <c r="BB8" s="634"/>
      <c r="BC8" s="693">
        <f t="shared" si="6"/>
        <v>0</v>
      </c>
      <c r="BD8" s="647"/>
      <c r="BE8" s="53"/>
      <c r="BF8" s="53"/>
      <c r="BG8" s="53"/>
      <c r="BH8" s="53"/>
      <c r="BI8" s="53"/>
      <c r="BJ8" s="634"/>
      <c r="BK8" s="53">
        <f t="shared" si="3"/>
        <v>0</v>
      </c>
      <c r="BL8" s="634"/>
      <c r="BM8" s="53"/>
      <c r="BN8" s="53"/>
      <c r="BO8" s="634"/>
      <c r="BP8" s="634"/>
      <c r="BQ8" s="634"/>
      <c r="BR8" s="634"/>
      <c r="BS8" s="634"/>
      <c r="BT8" s="634"/>
      <c r="BU8" s="659"/>
      <c r="BV8" s="647"/>
      <c r="BW8" s="53"/>
      <c r="BX8" s="53"/>
      <c r="BY8" s="53"/>
      <c r="BZ8" s="53"/>
      <c r="CA8" s="53"/>
      <c r="CB8" s="634"/>
      <c r="CC8" s="53">
        <f t="shared" si="4"/>
        <v>0</v>
      </c>
      <c r="CD8" s="634"/>
      <c r="CE8" s="53"/>
      <c r="CF8" s="53"/>
      <c r="CG8" s="634"/>
      <c r="CH8" s="634"/>
      <c r="CI8" s="634"/>
      <c r="CJ8" s="634"/>
      <c r="CK8" s="634"/>
      <c r="CL8" s="634"/>
      <c r="CM8" s="659"/>
      <c r="CN8" s="92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4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670"/>
      <c r="DU8" s="634"/>
      <c r="DV8" s="634"/>
      <c r="DW8" s="659"/>
      <c r="DX8" s="19"/>
      <c r="DY8" s="634"/>
      <c r="DZ8" s="634"/>
    </row>
    <row r="9" spans="1:130" ht="12.75" x14ac:dyDescent="0.2">
      <c r="A9" s="647"/>
      <c r="B9" s="647"/>
      <c r="C9" s="53"/>
      <c r="D9" s="53"/>
      <c r="E9" s="53"/>
      <c r="F9" s="53"/>
      <c r="G9" s="53"/>
      <c r="H9" s="634"/>
      <c r="I9" s="53">
        <f t="shared" si="0"/>
        <v>0</v>
      </c>
      <c r="J9" s="634"/>
      <c r="K9" s="53"/>
      <c r="L9" s="53"/>
      <c r="M9" s="634"/>
      <c r="N9" s="634"/>
      <c r="O9" s="634"/>
      <c r="P9" s="634"/>
      <c r="Q9" s="634"/>
      <c r="R9" s="634"/>
      <c r="S9" s="659"/>
      <c r="T9" s="647"/>
      <c r="U9" s="53"/>
      <c r="V9" s="53"/>
      <c r="W9" s="53"/>
      <c r="X9" s="53"/>
      <c r="Y9" s="53"/>
      <c r="Z9" s="634"/>
      <c r="AA9" s="53">
        <f t="shared" si="1"/>
        <v>0</v>
      </c>
      <c r="AB9" s="634"/>
      <c r="AC9" s="53"/>
      <c r="AD9" s="53"/>
      <c r="AE9" s="634"/>
      <c r="AF9" s="634"/>
      <c r="AG9" s="634"/>
      <c r="AH9" s="634"/>
      <c r="AI9" s="634"/>
      <c r="AJ9" s="634"/>
      <c r="AK9" s="659"/>
      <c r="AL9" s="647"/>
      <c r="AM9" s="53"/>
      <c r="AN9" s="53"/>
      <c r="AO9" s="53"/>
      <c r="AP9" s="53"/>
      <c r="AQ9" s="53"/>
      <c r="AR9" s="634"/>
      <c r="AS9" s="53">
        <f t="shared" si="2"/>
        <v>0</v>
      </c>
      <c r="AT9" s="635"/>
      <c r="AU9" s="635"/>
      <c r="AV9" s="635"/>
      <c r="AW9" s="53"/>
      <c r="AX9" s="634"/>
      <c r="AY9" s="634"/>
      <c r="AZ9" s="634"/>
      <c r="BA9" s="635"/>
      <c r="BB9" s="634"/>
      <c r="BC9" s="660"/>
      <c r="BD9" s="647"/>
      <c r="BE9" s="53"/>
      <c r="BF9" s="53"/>
      <c r="BG9" s="53"/>
      <c r="BH9" s="53"/>
      <c r="BI9" s="53"/>
      <c r="BJ9" s="634"/>
      <c r="BK9" s="53">
        <f t="shared" si="3"/>
        <v>0</v>
      </c>
      <c r="BL9" s="634"/>
      <c r="BM9" s="53"/>
      <c r="BN9" s="53"/>
      <c r="BO9" s="634"/>
      <c r="BP9" s="634"/>
      <c r="BQ9" s="634"/>
      <c r="BR9" s="634"/>
      <c r="BS9" s="634"/>
      <c r="BT9" s="634"/>
      <c r="BU9" s="659"/>
      <c r="BV9" s="647"/>
      <c r="BW9" s="53"/>
      <c r="BX9" s="53"/>
      <c r="BY9" s="53"/>
      <c r="BZ9" s="53"/>
      <c r="CA9" s="53"/>
      <c r="CB9" s="634"/>
      <c r="CC9" s="53">
        <f t="shared" si="4"/>
        <v>0</v>
      </c>
      <c r="CD9" s="634"/>
      <c r="CE9" s="53"/>
      <c r="CF9" s="53"/>
      <c r="CG9" s="634"/>
      <c r="CH9" s="634"/>
      <c r="CI9" s="634"/>
      <c r="CJ9" s="634"/>
      <c r="CK9" s="634"/>
      <c r="CL9" s="634"/>
      <c r="CM9" s="659"/>
      <c r="CN9" s="92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4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670"/>
      <c r="DU9" s="634"/>
      <c r="DV9" s="634"/>
      <c r="DW9" s="659"/>
      <c r="DX9" s="19"/>
      <c r="DY9" s="635"/>
      <c r="DZ9" s="635"/>
    </row>
    <row r="10" spans="1:130" ht="12.75" x14ac:dyDescent="0.2">
      <c r="A10" s="648"/>
      <c r="B10" s="648"/>
      <c r="C10" s="53"/>
      <c r="D10" s="53"/>
      <c r="E10" s="53"/>
      <c r="F10" s="53"/>
      <c r="G10" s="53"/>
      <c r="H10" s="635"/>
      <c r="I10" s="53">
        <f t="shared" si="0"/>
        <v>0</v>
      </c>
      <c r="J10" s="635"/>
      <c r="K10" s="53"/>
      <c r="L10" s="53"/>
      <c r="M10" s="635"/>
      <c r="N10" s="635"/>
      <c r="O10" s="635"/>
      <c r="P10" s="635"/>
      <c r="Q10" s="635"/>
      <c r="R10" s="635"/>
      <c r="S10" s="660"/>
      <c r="T10" s="648"/>
      <c r="U10" s="53"/>
      <c r="V10" s="53"/>
      <c r="W10" s="53"/>
      <c r="X10" s="53"/>
      <c r="Y10" s="53"/>
      <c r="Z10" s="635"/>
      <c r="AA10" s="53">
        <f t="shared" si="1"/>
        <v>0</v>
      </c>
      <c r="AB10" s="635"/>
      <c r="AC10" s="53"/>
      <c r="AD10" s="53"/>
      <c r="AE10" s="635"/>
      <c r="AF10" s="635"/>
      <c r="AG10" s="635"/>
      <c r="AH10" s="635"/>
      <c r="AI10" s="635"/>
      <c r="AJ10" s="635"/>
      <c r="AK10" s="660"/>
      <c r="AL10" s="648"/>
      <c r="AM10" s="53"/>
      <c r="AN10" s="53"/>
      <c r="AO10" s="53"/>
      <c r="AP10" s="53"/>
      <c r="AQ10" s="53"/>
      <c r="AR10" s="635"/>
      <c r="AS10" s="53">
        <f t="shared" si="2"/>
        <v>0</v>
      </c>
      <c r="AT10" s="98"/>
      <c r="AU10" s="53"/>
      <c r="AV10" s="56"/>
      <c r="AW10" s="56"/>
      <c r="AX10" s="635"/>
      <c r="AY10" s="635"/>
      <c r="AZ10" s="635"/>
      <c r="BA10" s="56"/>
      <c r="BB10" s="635"/>
      <c r="BC10" s="97"/>
      <c r="BD10" s="648"/>
      <c r="BE10" s="53"/>
      <c r="BF10" s="53"/>
      <c r="BG10" s="53"/>
      <c r="BH10" s="53"/>
      <c r="BI10" s="53"/>
      <c r="BJ10" s="635"/>
      <c r="BK10" s="53">
        <f t="shared" si="3"/>
        <v>0</v>
      </c>
      <c r="BL10" s="635"/>
      <c r="BM10" s="53"/>
      <c r="BN10" s="53"/>
      <c r="BO10" s="635"/>
      <c r="BP10" s="635"/>
      <c r="BQ10" s="635"/>
      <c r="BR10" s="635"/>
      <c r="BS10" s="635"/>
      <c r="BT10" s="635"/>
      <c r="BU10" s="660"/>
      <c r="BV10" s="648"/>
      <c r="BW10" s="53"/>
      <c r="BX10" s="53"/>
      <c r="BY10" s="53"/>
      <c r="BZ10" s="53"/>
      <c r="CA10" s="53"/>
      <c r="CB10" s="635"/>
      <c r="CC10" s="53">
        <f t="shared" si="4"/>
        <v>0</v>
      </c>
      <c r="CD10" s="635"/>
      <c r="CE10" s="53"/>
      <c r="CF10" s="53"/>
      <c r="CG10" s="635"/>
      <c r="CH10" s="635"/>
      <c r="CI10" s="635"/>
      <c r="CJ10" s="635"/>
      <c r="CK10" s="635"/>
      <c r="CL10" s="635"/>
      <c r="CM10" s="660"/>
      <c r="CN10" s="92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4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671"/>
      <c r="DU10" s="635"/>
      <c r="DV10" s="635"/>
      <c r="DW10" s="660"/>
      <c r="DX10" s="19"/>
      <c r="DY10" s="713" t="s">
        <v>38</v>
      </c>
      <c r="DZ10" s="714">
        <f>SUM(DV3:DV26)</f>
        <v>3882</v>
      </c>
    </row>
    <row r="11" spans="1:130" ht="12.75" x14ac:dyDescent="0.2">
      <c r="A11" s="695"/>
      <c r="B11" s="695">
        <v>46050</v>
      </c>
      <c r="C11" s="23"/>
      <c r="D11" s="23"/>
      <c r="E11" s="23"/>
      <c r="F11" s="23"/>
      <c r="G11" s="23"/>
      <c r="H11" s="688"/>
      <c r="I11" s="23">
        <f t="shared" si="0"/>
        <v>0</v>
      </c>
      <c r="J11" s="691">
        <f>SUM(I11:I14,H11)</f>
        <v>0</v>
      </c>
      <c r="K11" s="23"/>
      <c r="L11" s="23"/>
      <c r="M11" s="688"/>
      <c r="N11" s="688">
        <v>2.5</v>
      </c>
      <c r="O11" s="712">
        <f>SUM(M11:N14)</f>
        <v>2.5</v>
      </c>
      <c r="P11" s="688"/>
      <c r="Q11" s="696">
        <f>M11*60</f>
        <v>0</v>
      </c>
      <c r="R11" s="692">
        <f>IF(
   COUNTIF(K11:K14,"SI")&gt;0,
   1.8,
   IF(
      COUNTIF(L11:L14,"SI")&gt;0,
      1.6,
      2
   )
)</f>
        <v>2</v>
      </c>
      <c r="S11" s="693">
        <f>IF(Q11=0,0,J11/Q11)</f>
        <v>0</v>
      </c>
      <c r="T11" s="695">
        <v>46050</v>
      </c>
      <c r="U11" s="23"/>
      <c r="V11" s="23"/>
      <c r="W11" s="23"/>
      <c r="X11" s="23"/>
      <c r="Y11" s="23"/>
      <c r="Z11" s="688"/>
      <c r="AA11" s="23">
        <f t="shared" si="1"/>
        <v>0</v>
      </c>
      <c r="AB11" s="691">
        <f>SUM(AA11:AA14,Z11)</f>
        <v>0</v>
      </c>
      <c r="AC11" s="23"/>
      <c r="AD11" s="23"/>
      <c r="AE11" s="688">
        <v>0</v>
      </c>
      <c r="AF11" s="688">
        <v>7.5</v>
      </c>
      <c r="AG11" s="689">
        <f>SUM(AE11:AF14)</f>
        <v>7.5</v>
      </c>
      <c r="AH11" s="688">
        <v>0</v>
      </c>
      <c r="AI11" s="688">
        <f>AE11*60</f>
        <v>0</v>
      </c>
      <c r="AJ11" s="692">
        <f>IF(
   COUNTIF(AC11:AC14,"SI")&gt;0,
   1.8,
   IF(
      COUNTIF(AD11:AD14,"SI")&gt;0,
      1.6,
      2
   )
)</f>
        <v>2</v>
      </c>
      <c r="AK11" s="693">
        <f>IF(AI11=0,0,AB11/AI11)</f>
        <v>0</v>
      </c>
      <c r="AL11" s="695">
        <v>46050</v>
      </c>
      <c r="AM11" s="23">
        <v>83</v>
      </c>
      <c r="AN11" s="23">
        <v>813</v>
      </c>
      <c r="AO11" s="23">
        <v>4138</v>
      </c>
      <c r="AP11" s="23">
        <v>4500</v>
      </c>
      <c r="AQ11" s="23"/>
      <c r="AR11" s="688"/>
      <c r="AS11" s="23">
        <f t="shared" si="2"/>
        <v>362</v>
      </c>
      <c r="AT11" s="691">
        <f>SUM(AS11:AS14,AR11)</f>
        <v>741</v>
      </c>
      <c r="AU11" s="688" t="s">
        <v>51</v>
      </c>
      <c r="AV11" s="688">
        <v>5.3</v>
      </c>
      <c r="AW11" s="23" t="s">
        <v>51</v>
      </c>
      <c r="AX11" s="688">
        <v>1.7</v>
      </c>
      <c r="AY11" s="689">
        <f>SUM(AV11:AX14)</f>
        <v>7</v>
      </c>
      <c r="AZ11" s="688">
        <v>0.2</v>
      </c>
      <c r="BA11" s="688">
        <f>AV11*60</f>
        <v>318</v>
      </c>
      <c r="BB11" s="692">
        <f>IF(
   COUNTIF(AU11:AU14,"SI")&gt;0,
   1.8,
   IF(
      COUNTIF(AV11:AV14,"SI")&gt;0,
      1.6,
      2
   )
)</f>
        <v>1.8</v>
      </c>
      <c r="BC11" s="705">
        <f>IF(BA11=0,0,AT11/BA11)</f>
        <v>2.3301886792452828</v>
      </c>
      <c r="BD11" s="695">
        <v>46050</v>
      </c>
      <c r="BE11" s="23">
        <v>47</v>
      </c>
      <c r="BF11" s="23">
        <v>521</v>
      </c>
      <c r="BG11" s="23">
        <v>5002</v>
      </c>
      <c r="BH11" s="23">
        <v>5500</v>
      </c>
      <c r="BI11" s="23">
        <v>0</v>
      </c>
      <c r="BJ11" s="688">
        <v>0</v>
      </c>
      <c r="BK11" s="23">
        <f t="shared" si="3"/>
        <v>498</v>
      </c>
      <c r="BL11" s="691">
        <f>SUM(BK11:BK14,BJ11)</f>
        <v>1970</v>
      </c>
      <c r="BM11" s="23" t="s">
        <v>53</v>
      </c>
      <c r="BN11" s="23" t="s">
        <v>53</v>
      </c>
      <c r="BO11" s="688">
        <v>7</v>
      </c>
      <c r="BP11" s="688">
        <v>0.5</v>
      </c>
      <c r="BQ11" s="689">
        <f>SUM(BO11:BP14)</f>
        <v>7.5</v>
      </c>
      <c r="BR11" s="688">
        <v>0</v>
      </c>
      <c r="BS11" s="688">
        <f>BO11*60</f>
        <v>420</v>
      </c>
      <c r="BT11" s="692">
        <f>IF(
   COUNTIF(BM11:BM14,"SI")&gt;0,
   1.8,
   IF(
      COUNTIF(BN11:BN14,"SI")&gt;0,
      1.6,
      2
   )
)</f>
        <v>2</v>
      </c>
      <c r="BU11" s="705">
        <f>IF(BS11=0,0,BL11/BS11)</f>
        <v>4.6904761904761907</v>
      </c>
      <c r="BV11" s="695">
        <v>46050</v>
      </c>
      <c r="BW11" s="23">
        <v>98</v>
      </c>
      <c r="BX11" s="23">
        <v>554</v>
      </c>
      <c r="BY11" s="23">
        <v>21500</v>
      </c>
      <c r="BZ11" s="23">
        <v>22000</v>
      </c>
      <c r="CA11" s="23">
        <v>0</v>
      </c>
      <c r="CB11" s="688">
        <v>0</v>
      </c>
      <c r="CC11" s="23">
        <f t="shared" si="4"/>
        <v>500</v>
      </c>
      <c r="CD11" s="691">
        <f>SUM(CC11:CC14,CB11)</f>
        <v>734</v>
      </c>
      <c r="CE11" s="23" t="s">
        <v>54</v>
      </c>
      <c r="CF11" s="23" t="s">
        <v>54</v>
      </c>
      <c r="CG11" s="688">
        <v>6</v>
      </c>
      <c r="CH11" s="688">
        <v>1.5</v>
      </c>
      <c r="CI11" s="689">
        <f>SUM(CG11:CH14)</f>
        <v>7.5</v>
      </c>
      <c r="CJ11" s="688">
        <v>0</v>
      </c>
      <c r="CK11" s="688">
        <f>CG11*60</f>
        <v>360</v>
      </c>
      <c r="CL11" s="692">
        <f>IF(
   COUNTIF(CE11:CE14,"SI")&gt;0,
   1.8,
   IF(
      COUNTIF(CF11:CF14,"SI")&gt;0,
      1.6,
      2
   )
)</f>
        <v>1.8</v>
      </c>
      <c r="CM11" s="705">
        <f>IF(CK11=0,0,CD11/CK11)</f>
        <v>2.0388888888888888</v>
      </c>
      <c r="CN11" s="92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4"/>
      <c r="DD11" s="90"/>
      <c r="DE11" s="90"/>
      <c r="DF11" s="90"/>
      <c r="DG11" s="90"/>
      <c r="DH11" s="90"/>
      <c r="DI11" s="90"/>
      <c r="DJ11" s="90"/>
      <c r="DK11" s="90"/>
      <c r="DL11" s="90"/>
      <c r="DM11" s="90"/>
      <c r="DN11" s="90"/>
      <c r="DO11" s="90"/>
      <c r="DP11" s="90"/>
      <c r="DQ11" s="90"/>
      <c r="DR11" s="90"/>
      <c r="DS11" s="90"/>
      <c r="DT11" s="715">
        <v>46050</v>
      </c>
      <c r="DU11" s="707">
        <f>SUM(J11,AB11,AT11,BL11,CD11)</f>
        <v>3445</v>
      </c>
      <c r="DV11" s="707">
        <f>SUM(Q11,AI11,BA11,BS11,CK11)</f>
        <v>1098</v>
      </c>
      <c r="DW11" s="709">
        <f>DU11/DV11</f>
        <v>3.1375227686703098</v>
      </c>
      <c r="DX11" s="19"/>
      <c r="DY11" s="635"/>
      <c r="DZ11" s="635"/>
    </row>
    <row r="12" spans="1:130" ht="16.5" customHeight="1" x14ac:dyDescent="0.2">
      <c r="A12" s="647"/>
      <c r="B12" s="647"/>
      <c r="C12" s="23"/>
      <c r="D12" s="23"/>
      <c r="E12" s="23"/>
      <c r="F12" s="23"/>
      <c r="G12" s="23"/>
      <c r="H12" s="634"/>
      <c r="I12" s="23">
        <f t="shared" si="0"/>
        <v>0</v>
      </c>
      <c r="J12" s="634"/>
      <c r="K12" s="23"/>
      <c r="L12" s="23"/>
      <c r="M12" s="634"/>
      <c r="N12" s="634"/>
      <c r="O12" s="634"/>
      <c r="P12" s="634"/>
      <c r="Q12" s="634"/>
      <c r="R12" s="634"/>
      <c r="S12" s="659"/>
      <c r="T12" s="647"/>
      <c r="U12" s="23"/>
      <c r="V12" s="23"/>
      <c r="W12" s="23"/>
      <c r="X12" s="23"/>
      <c r="Y12" s="23"/>
      <c r="Z12" s="634"/>
      <c r="AA12" s="23">
        <f t="shared" si="1"/>
        <v>0</v>
      </c>
      <c r="AB12" s="634"/>
      <c r="AC12" s="23"/>
      <c r="AD12" s="23"/>
      <c r="AE12" s="634"/>
      <c r="AF12" s="634"/>
      <c r="AG12" s="634"/>
      <c r="AH12" s="634"/>
      <c r="AI12" s="634"/>
      <c r="AJ12" s="634"/>
      <c r="AK12" s="659"/>
      <c r="AL12" s="647"/>
      <c r="AM12" s="23">
        <v>97</v>
      </c>
      <c r="AN12" s="23">
        <v>816</v>
      </c>
      <c r="AO12" s="23">
        <v>5501</v>
      </c>
      <c r="AP12" s="23">
        <v>5880</v>
      </c>
      <c r="AQ12" s="23"/>
      <c r="AR12" s="634"/>
      <c r="AS12" s="23">
        <f t="shared" si="2"/>
        <v>379</v>
      </c>
      <c r="AT12" s="634"/>
      <c r="AU12" s="634"/>
      <c r="AV12" s="634"/>
      <c r="AW12" s="23" t="s">
        <v>51</v>
      </c>
      <c r="AX12" s="634"/>
      <c r="AY12" s="634"/>
      <c r="AZ12" s="634"/>
      <c r="BA12" s="634"/>
      <c r="BB12" s="634"/>
      <c r="BC12" s="659"/>
      <c r="BD12" s="647"/>
      <c r="BE12" s="23">
        <v>56</v>
      </c>
      <c r="BF12" s="23">
        <v>520</v>
      </c>
      <c r="BG12" s="23">
        <v>4503</v>
      </c>
      <c r="BH12" s="23">
        <v>4996</v>
      </c>
      <c r="BI12" s="23">
        <v>0</v>
      </c>
      <c r="BJ12" s="634"/>
      <c r="BK12" s="23">
        <f t="shared" si="3"/>
        <v>493</v>
      </c>
      <c r="BL12" s="634"/>
      <c r="BM12" s="23" t="s">
        <v>53</v>
      </c>
      <c r="BN12" s="23" t="s">
        <v>53</v>
      </c>
      <c r="BO12" s="634"/>
      <c r="BP12" s="634"/>
      <c r="BQ12" s="634"/>
      <c r="BR12" s="634"/>
      <c r="BS12" s="634"/>
      <c r="BT12" s="634"/>
      <c r="BU12" s="659"/>
      <c r="BV12" s="647"/>
      <c r="BW12" s="23">
        <v>19</v>
      </c>
      <c r="BX12" s="23">
        <v>517</v>
      </c>
      <c r="BY12" s="23">
        <v>3005</v>
      </c>
      <c r="BZ12" s="23">
        <v>3239</v>
      </c>
      <c r="CA12" s="23">
        <v>0</v>
      </c>
      <c r="CB12" s="634"/>
      <c r="CC12" s="23">
        <f t="shared" si="4"/>
        <v>234</v>
      </c>
      <c r="CD12" s="634"/>
      <c r="CE12" s="23" t="s">
        <v>53</v>
      </c>
      <c r="CF12" s="23" t="s">
        <v>53</v>
      </c>
      <c r="CG12" s="634"/>
      <c r="CH12" s="634"/>
      <c r="CI12" s="634"/>
      <c r="CJ12" s="634"/>
      <c r="CK12" s="634"/>
      <c r="CL12" s="634"/>
      <c r="CM12" s="659"/>
      <c r="CN12" s="92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4"/>
      <c r="DD12" s="90"/>
      <c r="DE12" s="90"/>
      <c r="DF12" s="90"/>
      <c r="DG12" s="90"/>
      <c r="DH12" s="90"/>
      <c r="DI12" s="90"/>
      <c r="DJ12" s="90"/>
      <c r="DK12" s="90"/>
      <c r="DL12" s="90"/>
      <c r="DM12" s="90"/>
      <c r="DN12" s="90"/>
      <c r="DO12" s="90"/>
      <c r="DP12" s="90"/>
      <c r="DQ12" s="90"/>
      <c r="DR12" s="90"/>
      <c r="DS12" s="90"/>
      <c r="DT12" s="670"/>
      <c r="DU12" s="634"/>
      <c r="DV12" s="634"/>
      <c r="DW12" s="659"/>
      <c r="DX12" s="19"/>
      <c r="DY12" s="713" t="s">
        <v>39</v>
      </c>
      <c r="DZ12" s="714">
        <f>DZ10/60</f>
        <v>64.7</v>
      </c>
    </row>
    <row r="13" spans="1:130" ht="12.75" x14ac:dyDescent="0.2">
      <c r="A13" s="647"/>
      <c r="B13" s="647"/>
      <c r="C13" s="23"/>
      <c r="D13" s="23"/>
      <c r="E13" s="23"/>
      <c r="F13" s="23"/>
      <c r="G13" s="23"/>
      <c r="H13" s="634"/>
      <c r="I13" s="23">
        <f t="shared" si="0"/>
        <v>0</v>
      </c>
      <c r="J13" s="634"/>
      <c r="K13" s="23"/>
      <c r="L13" s="23"/>
      <c r="M13" s="634"/>
      <c r="N13" s="634"/>
      <c r="O13" s="634"/>
      <c r="P13" s="634"/>
      <c r="Q13" s="634"/>
      <c r="R13" s="634"/>
      <c r="S13" s="659"/>
      <c r="T13" s="647"/>
      <c r="U13" s="23"/>
      <c r="V13" s="23"/>
      <c r="W13" s="23"/>
      <c r="X13" s="23"/>
      <c r="Y13" s="23"/>
      <c r="Z13" s="634"/>
      <c r="AA13" s="23">
        <f t="shared" si="1"/>
        <v>0</v>
      </c>
      <c r="AB13" s="634"/>
      <c r="AC13" s="23"/>
      <c r="AD13" s="23"/>
      <c r="AE13" s="634"/>
      <c r="AF13" s="634"/>
      <c r="AG13" s="634"/>
      <c r="AH13" s="634"/>
      <c r="AI13" s="634"/>
      <c r="AJ13" s="634"/>
      <c r="AK13" s="659"/>
      <c r="AL13" s="647"/>
      <c r="AM13" s="23"/>
      <c r="AN13" s="23"/>
      <c r="AO13" s="23"/>
      <c r="AP13" s="23"/>
      <c r="AQ13" s="23"/>
      <c r="AR13" s="634"/>
      <c r="AS13" s="23">
        <f t="shared" si="2"/>
        <v>0</v>
      </c>
      <c r="AT13" s="634"/>
      <c r="AU13" s="634"/>
      <c r="AV13" s="634"/>
      <c r="AW13" s="23"/>
      <c r="AX13" s="634"/>
      <c r="AY13" s="634"/>
      <c r="AZ13" s="634"/>
      <c r="BA13" s="634"/>
      <c r="BB13" s="634"/>
      <c r="BC13" s="659"/>
      <c r="BD13" s="647"/>
      <c r="BE13" s="23">
        <v>50</v>
      </c>
      <c r="BF13" s="23">
        <v>519</v>
      </c>
      <c r="BG13" s="23">
        <v>4005</v>
      </c>
      <c r="BH13" s="23">
        <v>4489</v>
      </c>
      <c r="BI13" s="23">
        <v>0</v>
      </c>
      <c r="BJ13" s="634"/>
      <c r="BK13" s="23">
        <f t="shared" si="3"/>
        <v>484</v>
      </c>
      <c r="BL13" s="634"/>
      <c r="BM13" s="23" t="s">
        <v>53</v>
      </c>
      <c r="BN13" s="23" t="s">
        <v>53</v>
      </c>
      <c r="BO13" s="634"/>
      <c r="BP13" s="634"/>
      <c r="BQ13" s="634"/>
      <c r="BR13" s="634"/>
      <c r="BS13" s="634"/>
      <c r="BT13" s="634"/>
      <c r="BU13" s="659"/>
      <c r="BV13" s="647"/>
      <c r="BW13" s="23"/>
      <c r="BX13" s="23"/>
      <c r="BY13" s="23"/>
      <c r="BZ13" s="23"/>
      <c r="CA13" s="23"/>
      <c r="CB13" s="634"/>
      <c r="CC13" s="23">
        <f t="shared" si="4"/>
        <v>0</v>
      </c>
      <c r="CD13" s="634"/>
      <c r="CE13" s="23"/>
      <c r="CF13" s="23"/>
      <c r="CG13" s="634"/>
      <c r="CH13" s="634"/>
      <c r="CI13" s="634"/>
      <c r="CJ13" s="634"/>
      <c r="CK13" s="634"/>
      <c r="CL13" s="634"/>
      <c r="CM13" s="659"/>
      <c r="CN13" s="92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4"/>
      <c r="DD13" s="90"/>
      <c r="DE13" s="90"/>
      <c r="DF13" s="90"/>
      <c r="DG13" s="90"/>
      <c r="DH13" s="90"/>
      <c r="DI13" s="90"/>
      <c r="DJ13" s="90"/>
      <c r="DK13" s="90"/>
      <c r="DL13" s="90"/>
      <c r="DM13" s="90"/>
      <c r="DN13" s="90"/>
      <c r="DO13" s="90"/>
      <c r="DP13" s="90"/>
      <c r="DQ13" s="90"/>
      <c r="DR13" s="90"/>
      <c r="DS13" s="90"/>
      <c r="DT13" s="670"/>
      <c r="DU13" s="634"/>
      <c r="DV13" s="634"/>
      <c r="DW13" s="659"/>
      <c r="DX13" s="19"/>
      <c r="DY13" s="634"/>
      <c r="DZ13" s="634"/>
    </row>
    <row r="14" spans="1:130" ht="12.75" x14ac:dyDescent="0.2">
      <c r="A14" s="648"/>
      <c r="B14" s="648"/>
      <c r="C14" s="23"/>
      <c r="D14" s="23"/>
      <c r="E14" s="23"/>
      <c r="F14" s="23"/>
      <c r="G14" s="23"/>
      <c r="H14" s="635"/>
      <c r="I14" s="23">
        <f t="shared" si="0"/>
        <v>0</v>
      </c>
      <c r="J14" s="635"/>
      <c r="K14" s="23"/>
      <c r="L14" s="23"/>
      <c r="M14" s="635"/>
      <c r="N14" s="635"/>
      <c r="O14" s="635"/>
      <c r="P14" s="635"/>
      <c r="Q14" s="635"/>
      <c r="R14" s="635"/>
      <c r="S14" s="660"/>
      <c r="T14" s="648"/>
      <c r="U14" s="23"/>
      <c r="V14" s="23"/>
      <c r="W14" s="23"/>
      <c r="X14" s="23"/>
      <c r="Y14" s="23"/>
      <c r="Z14" s="635"/>
      <c r="AA14" s="23">
        <f t="shared" si="1"/>
        <v>0</v>
      </c>
      <c r="AB14" s="635"/>
      <c r="AC14" s="23"/>
      <c r="AD14" s="23"/>
      <c r="AE14" s="635"/>
      <c r="AF14" s="635"/>
      <c r="AG14" s="635"/>
      <c r="AH14" s="635"/>
      <c r="AI14" s="635"/>
      <c r="AJ14" s="635"/>
      <c r="AK14" s="660"/>
      <c r="AL14" s="648"/>
      <c r="AM14" s="23"/>
      <c r="AN14" s="23"/>
      <c r="AO14" s="23"/>
      <c r="AP14" s="23"/>
      <c r="AQ14" s="23"/>
      <c r="AR14" s="635"/>
      <c r="AS14" s="23">
        <f t="shared" si="2"/>
        <v>0</v>
      </c>
      <c r="AT14" s="635"/>
      <c r="AU14" s="635"/>
      <c r="AV14" s="635"/>
      <c r="AW14" s="23"/>
      <c r="AX14" s="635"/>
      <c r="AY14" s="635"/>
      <c r="AZ14" s="635"/>
      <c r="BA14" s="635"/>
      <c r="BB14" s="635"/>
      <c r="BC14" s="660"/>
      <c r="BD14" s="648"/>
      <c r="BE14" s="23">
        <v>49</v>
      </c>
      <c r="BF14" s="23">
        <v>518</v>
      </c>
      <c r="BG14" s="23">
        <v>3503</v>
      </c>
      <c r="BH14" s="23">
        <v>3998</v>
      </c>
      <c r="BI14" s="23">
        <v>0</v>
      </c>
      <c r="BJ14" s="635"/>
      <c r="BK14" s="23">
        <f t="shared" si="3"/>
        <v>495</v>
      </c>
      <c r="BL14" s="635"/>
      <c r="BM14" s="23" t="s">
        <v>53</v>
      </c>
      <c r="BN14" s="23" t="s">
        <v>53</v>
      </c>
      <c r="BO14" s="635"/>
      <c r="BP14" s="635"/>
      <c r="BQ14" s="635"/>
      <c r="BR14" s="635"/>
      <c r="BS14" s="635"/>
      <c r="BT14" s="635"/>
      <c r="BU14" s="660"/>
      <c r="BV14" s="648"/>
      <c r="BW14" s="23"/>
      <c r="BX14" s="23"/>
      <c r="BY14" s="23"/>
      <c r="BZ14" s="23"/>
      <c r="CA14" s="23"/>
      <c r="CB14" s="635"/>
      <c r="CC14" s="23">
        <f t="shared" si="4"/>
        <v>0</v>
      </c>
      <c r="CD14" s="635"/>
      <c r="CE14" s="23"/>
      <c r="CF14" s="23"/>
      <c r="CG14" s="635"/>
      <c r="CH14" s="635"/>
      <c r="CI14" s="635"/>
      <c r="CJ14" s="635"/>
      <c r="CK14" s="635"/>
      <c r="CL14" s="635"/>
      <c r="CM14" s="660"/>
      <c r="CN14" s="92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4"/>
      <c r="DD14" s="90"/>
      <c r="DE14" s="90"/>
      <c r="DF14" s="90"/>
      <c r="DG14" s="90"/>
      <c r="DH14" s="90"/>
      <c r="DI14" s="90"/>
      <c r="DJ14" s="90"/>
      <c r="DK14" s="90"/>
      <c r="DL14" s="90"/>
      <c r="DM14" s="90"/>
      <c r="DN14" s="90"/>
      <c r="DO14" s="90"/>
      <c r="DP14" s="90"/>
      <c r="DQ14" s="90"/>
      <c r="DR14" s="90"/>
      <c r="DS14" s="90"/>
      <c r="DT14" s="671"/>
      <c r="DU14" s="635"/>
      <c r="DV14" s="635"/>
      <c r="DW14" s="660"/>
      <c r="DX14" s="19"/>
      <c r="DY14" s="635"/>
      <c r="DZ14" s="635"/>
    </row>
    <row r="15" spans="1:130" ht="12.75" x14ac:dyDescent="0.2">
      <c r="A15" s="694"/>
      <c r="B15" s="694">
        <v>46051</v>
      </c>
      <c r="C15" s="53"/>
      <c r="D15" s="53"/>
      <c r="E15" s="53"/>
      <c r="F15" s="53"/>
      <c r="G15" s="91"/>
      <c r="H15" s="696"/>
      <c r="I15" s="53">
        <f t="shared" si="0"/>
        <v>0</v>
      </c>
      <c r="J15" s="691">
        <f>SUM(I15:I18,H15)</f>
        <v>0</v>
      </c>
      <c r="K15" s="53"/>
      <c r="L15" s="53"/>
      <c r="M15" s="690"/>
      <c r="N15" s="687"/>
      <c r="O15" s="689">
        <f>SUM(M15:N18)</f>
        <v>0</v>
      </c>
      <c r="P15" s="690"/>
      <c r="Q15" s="690">
        <f>M15*60</f>
        <v>0</v>
      </c>
      <c r="R15" s="692">
        <f>IF(
   COUNTIF(K15:K18,"SI")&gt;0,
   1.8,
   IF(
      COUNTIF(L15:L18,"SI")&gt;0,
      1.6,
      2
   )
)</f>
        <v>2</v>
      </c>
      <c r="S15" s="693">
        <f>IF(Q15=0,0,J15/Q15)</f>
        <v>0</v>
      </c>
      <c r="T15" s="694">
        <v>46051</v>
      </c>
      <c r="U15" s="53"/>
      <c r="V15" s="53">
        <v>812</v>
      </c>
      <c r="W15" s="53">
        <v>3627</v>
      </c>
      <c r="X15" s="53">
        <v>4000</v>
      </c>
      <c r="Y15" s="53">
        <v>0</v>
      </c>
      <c r="Z15" s="690">
        <v>8</v>
      </c>
      <c r="AA15" s="53">
        <f t="shared" si="1"/>
        <v>373</v>
      </c>
      <c r="AB15" s="691">
        <f>SUM(AA15:AA18,Z15)</f>
        <v>1007</v>
      </c>
      <c r="AC15" s="53" t="s">
        <v>51</v>
      </c>
      <c r="AD15" s="53" t="s">
        <v>51</v>
      </c>
      <c r="AE15" s="690">
        <v>8</v>
      </c>
      <c r="AF15" s="690">
        <v>0.5</v>
      </c>
      <c r="AG15" s="689">
        <f>SUM(AE15:AF18)</f>
        <v>8.5</v>
      </c>
      <c r="AH15" s="690">
        <v>0</v>
      </c>
      <c r="AI15" s="690">
        <f>AE15*60</f>
        <v>480</v>
      </c>
      <c r="AJ15" s="692">
        <f>IF(
   COUNTIF(AC15:AC18,"SI")&gt;0,
   1.8,
   IF(
      COUNTIF(AD15:AD18,"SI")&gt;0,
      1.6,
      2
   )
)</f>
        <v>1.8</v>
      </c>
      <c r="AK15" s="693">
        <f>IF(AI15=0,0,AB15/AI15)</f>
        <v>2.0979166666666669</v>
      </c>
      <c r="AL15" s="694">
        <v>46051</v>
      </c>
      <c r="AM15" s="53"/>
      <c r="AN15" s="53"/>
      <c r="AO15" s="53"/>
      <c r="AP15" s="53"/>
      <c r="AQ15" s="53"/>
      <c r="AR15" s="690"/>
      <c r="AS15" s="53">
        <f t="shared" si="2"/>
        <v>0</v>
      </c>
      <c r="AT15" s="21">
        <f>AS15</f>
        <v>0</v>
      </c>
      <c r="AU15" s="53"/>
      <c r="AV15" s="53"/>
      <c r="AW15" s="53"/>
      <c r="AX15" s="690"/>
      <c r="AY15" s="689">
        <f>SUM(AV15:AX18)</f>
        <v>0</v>
      </c>
      <c r="AZ15" s="690">
        <v>1.3</v>
      </c>
      <c r="BA15" s="54">
        <f t="shared" ref="BA15:BA16" si="7">AV15*60</f>
        <v>0</v>
      </c>
      <c r="BB15" s="692">
        <f>IF(
   COUNTIF(AU15:AU18,"SI")&gt;0,
   1.8,
   IF(
      COUNTIF(AV15:AV18,"SI")&gt;0,
      1.6,
      2
   )
)</f>
        <v>2</v>
      </c>
      <c r="BC15" s="99">
        <f t="shared" ref="BC15:BC16" si="8">IF(BA15=0,0,AT15/BA15)</f>
        <v>0</v>
      </c>
      <c r="BD15" s="694">
        <v>46051</v>
      </c>
      <c r="BE15" s="53"/>
      <c r="BF15" s="53"/>
      <c r="BG15" s="53"/>
      <c r="BH15" s="53"/>
      <c r="BI15" s="53"/>
      <c r="BJ15" s="690"/>
      <c r="BK15" s="53">
        <f t="shared" si="3"/>
        <v>0</v>
      </c>
      <c r="BL15" s="691">
        <f>SUM(BK15:BK18,BJ15)</f>
        <v>0</v>
      </c>
      <c r="BM15" s="53"/>
      <c r="BN15" s="53"/>
      <c r="BO15" s="690"/>
      <c r="BP15" s="690"/>
      <c r="BQ15" s="689">
        <f>SUM(BO15:BP18)</f>
        <v>0</v>
      </c>
      <c r="BR15" s="690"/>
      <c r="BS15" s="690">
        <f>BO15*60</f>
        <v>0</v>
      </c>
      <c r="BT15" s="692">
        <f>IF(
   COUNTIF(BM15:BM18,"SI")&gt;0,
   1.8,
   IF(
      COUNTIF(BN15:BN18,"SI")&gt;0,
      1.6,
      2
   )
)</f>
        <v>2</v>
      </c>
      <c r="BU15" s="705">
        <f>IF(BS15=0,0,BL15/BS15)</f>
        <v>0</v>
      </c>
      <c r="BV15" s="694">
        <v>46051</v>
      </c>
      <c r="BW15" s="53"/>
      <c r="BX15" s="53"/>
      <c r="BY15" s="53"/>
      <c r="BZ15" s="53"/>
      <c r="CA15" s="53"/>
      <c r="CB15" s="690">
        <v>0</v>
      </c>
      <c r="CC15" s="53">
        <f t="shared" si="4"/>
        <v>0</v>
      </c>
      <c r="CD15" s="691">
        <f>SUM(CC15:CC18,CB15)</f>
        <v>423</v>
      </c>
      <c r="CE15" s="53"/>
      <c r="CF15" s="53"/>
      <c r="CG15" s="690">
        <v>4</v>
      </c>
      <c r="CH15" s="690">
        <v>1</v>
      </c>
      <c r="CI15" s="689">
        <f>SUM(CG15:CH18)</f>
        <v>5</v>
      </c>
      <c r="CJ15" s="690">
        <v>0</v>
      </c>
      <c r="CK15" s="690">
        <f>CG15*60</f>
        <v>240</v>
      </c>
      <c r="CL15" s="692">
        <f>IF(
   COUNTIF(CE15:CE18,"SI")&gt;0,
   1.8,
   IF(
      COUNTIF(CF15:CF18,"SI")&gt;0,
      1.6,
      2
   )
)</f>
        <v>2</v>
      </c>
      <c r="CM15" s="705">
        <f>IF(CK15=0,0,CD15/CK15)</f>
        <v>1.7625</v>
      </c>
      <c r="CN15" s="92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4"/>
      <c r="DD15" s="90"/>
      <c r="DE15" s="90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R15" s="90"/>
      <c r="DS15" s="90"/>
      <c r="DT15" s="706">
        <v>46051</v>
      </c>
      <c r="DU15" s="707">
        <f>SUM(J15,AB15,AT15,BL15,CD15)</f>
        <v>1430</v>
      </c>
      <c r="DV15" s="707">
        <f>SUM(Q15,AI15,BA15,BS15,CK15)</f>
        <v>720</v>
      </c>
      <c r="DW15" s="709">
        <f>DU15/DV15</f>
        <v>1.9861111111111112</v>
      </c>
      <c r="DX15" s="19"/>
      <c r="DY15" s="691" t="s">
        <v>47</v>
      </c>
      <c r="DZ15" s="728">
        <f>IF(DZ10=0,0,DZ7/DZ10)</f>
        <v>2.5193199381761979</v>
      </c>
    </row>
    <row r="16" spans="1:130" ht="12.75" x14ac:dyDescent="0.2">
      <c r="A16" s="647"/>
      <c r="B16" s="647"/>
      <c r="C16" s="53"/>
      <c r="D16" s="53"/>
      <c r="E16" s="53"/>
      <c r="F16" s="53"/>
      <c r="G16" s="53"/>
      <c r="H16" s="634"/>
      <c r="I16" s="53">
        <f t="shared" si="0"/>
        <v>0</v>
      </c>
      <c r="J16" s="634"/>
      <c r="K16" s="53"/>
      <c r="L16" s="53"/>
      <c r="M16" s="634"/>
      <c r="N16" s="634"/>
      <c r="O16" s="634"/>
      <c r="P16" s="634"/>
      <c r="Q16" s="634"/>
      <c r="R16" s="634"/>
      <c r="S16" s="659"/>
      <c r="T16" s="647"/>
      <c r="U16" s="53">
        <v>126</v>
      </c>
      <c r="V16" s="53">
        <v>817</v>
      </c>
      <c r="W16" s="53">
        <v>6001</v>
      </c>
      <c r="X16" s="53">
        <v>6504</v>
      </c>
      <c r="Y16" s="53">
        <v>0</v>
      </c>
      <c r="Z16" s="634"/>
      <c r="AA16" s="53">
        <f t="shared" si="1"/>
        <v>503</v>
      </c>
      <c r="AB16" s="634"/>
      <c r="AC16" s="53" t="s">
        <v>51</v>
      </c>
      <c r="AD16" s="53" t="s">
        <v>51</v>
      </c>
      <c r="AE16" s="634"/>
      <c r="AF16" s="634"/>
      <c r="AG16" s="634"/>
      <c r="AH16" s="634"/>
      <c r="AI16" s="634"/>
      <c r="AJ16" s="634"/>
      <c r="AK16" s="659"/>
      <c r="AL16" s="647"/>
      <c r="AM16" s="53"/>
      <c r="AN16" s="53"/>
      <c r="AO16" s="53"/>
      <c r="AP16" s="53"/>
      <c r="AQ16" s="53"/>
      <c r="AR16" s="634"/>
      <c r="AS16" s="53">
        <f t="shared" si="2"/>
        <v>0</v>
      </c>
      <c r="AT16" s="691">
        <f>SUM(AS16,AS17)</f>
        <v>0</v>
      </c>
      <c r="AU16" s="690"/>
      <c r="AV16" s="690"/>
      <c r="AW16" s="53"/>
      <c r="AX16" s="634"/>
      <c r="AY16" s="634"/>
      <c r="AZ16" s="634"/>
      <c r="BA16" s="690">
        <f t="shared" si="7"/>
        <v>0</v>
      </c>
      <c r="BB16" s="634"/>
      <c r="BC16" s="693">
        <f t="shared" si="8"/>
        <v>0</v>
      </c>
      <c r="BD16" s="647"/>
      <c r="BE16" s="53"/>
      <c r="BF16" s="53"/>
      <c r="BG16" s="53"/>
      <c r="BH16" s="53"/>
      <c r="BI16" s="53"/>
      <c r="BJ16" s="634"/>
      <c r="BK16" s="53">
        <f t="shared" si="3"/>
        <v>0</v>
      </c>
      <c r="BL16" s="634"/>
      <c r="BM16" s="53"/>
      <c r="BN16" s="53"/>
      <c r="BO16" s="634"/>
      <c r="BP16" s="634"/>
      <c r="BQ16" s="634"/>
      <c r="BR16" s="634"/>
      <c r="BS16" s="634"/>
      <c r="BT16" s="634"/>
      <c r="BU16" s="659"/>
      <c r="BV16" s="647"/>
      <c r="BW16" s="53">
        <v>22</v>
      </c>
      <c r="BX16" s="53">
        <v>516</v>
      </c>
      <c r="BY16" s="53">
        <v>2518</v>
      </c>
      <c r="BZ16" s="53">
        <v>2699</v>
      </c>
      <c r="CA16" s="53">
        <v>0</v>
      </c>
      <c r="CB16" s="634"/>
      <c r="CC16" s="53">
        <f t="shared" si="4"/>
        <v>181</v>
      </c>
      <c r="CD16" s="634"/>
      <c r="CE16" s="53" t="s">
        <v>53</v>
      </c>
      <c r="CF16" s="53" t="s">
        <v>53</v>
      </c>
      <c r="CG16" s="634"/>
      <c r="CH16" s="634"/>
      <c r="CI16" s="634"/>
      <c r="CJ16" s="634"/>
      <c r="CK16" s="634"/>
      <c r="CL16" s="634"/>
      <c r="CM16" s="659"/>
      <c r="CN16" s="92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4"/>
      <c r="DD16" s="90"/>
      <c r="DE16" s="90"/>
      <c r="DF16" s="90"/>
      <c r="DG16" s="90"/>
      <c r="DH16" s="90"/>
      <c r="DI16" s="90"/>
      <c r="DJ16" s="90"/>
      <c r="DK16" s="90"/>
      <c r="DL16" s="90"/>
      <c r="DM16" s="90"/>
      <c r="DN16" s="90"/>
      <c r="DO16" s="90"/>
      <c r="DP16" s="90"/>
      <c r="DQ16" s="90"/>
      <c r="DR16" s="90"/>
      <c r="DS16" s="90"/>
      <c r="DT16" s="670"/>
      <c r="DU16" s="634"/>
      <c r="DV16" s="634"/>
      <c r="DW16" s="659"/>
      <c r="DX16" s="19"/>
      <c r="DY16" s="634"/>
      <c r="DZ16" s="634"/>
    </row>
    <row r="17" spans="1:130" ht="12.75" x14ac:dyDescent="0.2">
      <c r="A17" s="647"/>
      <c r="B17" s="647"/>
      <c r="C17" s="53"/>
      <c r="D17" s="53"/>
      <c r="E17" s="53"/>
      <c r="F17" s="53"/>
      <c r="G17" s="53"/>
      <c r="H17" s="634"/>
      <c r="I17" s="53">
        <f t="shared" si="0"/>
        <v>0</v>
      </c>
      <c r="J17" s="634"/>
      <c r="K17" s="53"/>
      <c r="L17" s="53"/>
      <c r="M17" s="634"/>
      <c r="N17" s="634"/>
      <c r="O17" s="634"/>
      <c r="P17" s="634"/>
      <c r="Q17" s="634"/>
      <c r="R17" s="634"/>
      <c r="S17" s="659"/>
      <c r="T17" s="647"/>
      <c r="U17" s="53"/>
      <c r="V17" s="53">
        <v>818</v>
      </c>
      <c r="W17" s="53">
        <v>6505</v>
      </c>
      <c r="X17" s="53">
        <v>6628</v>
      </c>
      <c r="Y17" s="53">
        <v>0</v>
      </c>
      <c r="Z17" s="634"/>
      <c r="AA17" s="53">
        <f t="shared" si="1"/>
        <v>123</v>
      </c>
      <c r="AB17" s="634"/>
      <c r="AC17" s="53" t="s">
        <v>51</v>
      </c>
      <c r="AD17" s="53" t="s">
        <v>51</v>
      </c>
      <c r="AE17" s="634"/>
      <c r="AF17" s="634"/>
      <c r="AG17" s="634"/>
      <c r="AH17" s="634"/>
      <c r="AI17" s="634"/>
      <c r="AJ17" s="634"/>
      <c r="AK17" s="659"/>
      <c r="AL17" s="647"/>
      <c r="AM17" s="53"/>
      <c r="AN17" s="53"/>
      <c r="AO17" s="53"/>
      <c r="AP17" s="53"/>
      <c r="AQ17" s="53"/>
      <c r="AR17" s="634"/>
      <c r="AS17" s="53">
        <f t="shared" si="2"/>
        <v>0</v>
      </c>
      <c r="AT17" s="635"/>
      <c r="AU17" s="635"/>
      <c r="AV17" s="635"/>
      <c r="AW17" s="53"/>
      <c r="AX17" s="634"/>
      <c r="AY17" s="634"/>
      <c r="AZ17" s="634"/>
      <c r="BA17" s="635"/>
      <c r="BB17" s="634"/>
      <c r="BC17" s="660"/>
      <c r="BD17" s="647"/>
      <c r="BE17" s="53"/>
      <c r="BF17" s="53"/>
      <c r="BG17" s="53"/>
      <c r="BH17" s="53"/>
      <c r="BI17" s="53"/>
      <c r="BJ17" s="634"/>
      <c r="BK17" s="53">
        <f t="shared" si="3"/>
        <v>0</v>
      </c>
      <c r="BL17" s="634"/>
      <c r="BM17" s="53"/>
      <c r="BN17" s="53"/>
      <c r="BO17" s="634"/>
      <c r="BP17" s="634"/>
      <c r="BQ17" s="634"/>
      <c r="BR17" s="634"/>
      <c r="BS17" s="634"/>
      <c r="BT17" s="634"/>
      <c r="BU17" s="659"/>
      <c r="BV17" s="647"/>
      <c r="BW17" s="53">
        <v>30</v>
      </c>
      <c r="BX17" s="53">
        <v>517</v>
      </c>
      <c r="BY17" s="53">
        <v>3258</v>
      </c>
      <c r="BZ17" s="53">
        <v>3500</v>
      </c>
      <c r="CA17" s="53">
        <v>0</v>
      </c>
      <c r="CB17" s="634"/>
      <c r="CC17" s="53">
        <f t="shared" si="4"/>
        <v>242</v>
      </c>
      <c r="CD17" s="634"/>
      <c r="CE17" s="53" t="s">
        <v>53</v>
      </c>
      <c r="CF17" s="53" t="s">
        <v>53</v>
      </c>
      <c r="CG17" s="634"/>
      <c r="CH17" s="634"/>
      <c r="CI17" s="634"/>
      <c r="CJ17" s="634"/>
      <c r="CK17" s="634"/>
      <c r="CL17" s="634"/>
      <c r="CM17" s="659"/>
      <c r="CN17" s="92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4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670"/>
      <c r="DU17" s="634"/>
      <c r="DV17" s="634"/>
      <c r="DW17" s="659"/>
      <c r="DX17" s="19"/>
      <c r="DY17" s="635"/>
      <c r="DZ17" s="635"/>
    </row>
    <row r="18" spans="1:130" ht="12.75" x14ac:dyDescent="0.2">
      <c r="A18" s="648"/>
      <c r="B18" s="648"/>
      <c r="C18" s="53"/>
      <c r="D18" s="53"/>
      <c r="E18" s="53"/>
      <c r="F18" s="53"/>
      <c r="G18" s="53"/>
      <c r="H18" s="635"/>
      <c r="I18" s="53">
        <f t="shared" si="0"/>
        <v>0</v>
      </c>
      <c r="J18" s="635"/>
      <c r="K18" s="53"/>
      <c r="L18" s="53"/>
      <c r="M18" s="635"/>
      <c r="N18" s="635"/>
      <c r="O18" s="635"/>
      <c r="P18" s="635"/>
      <c r="Q18" s="635"/>
      <c r="R18" s="635"/>
      <c r="S18" s="660"/>
      <c r="T18" s="648"/>
      <c r="U18" s="53"/>
      <c r="V18" s="53"/>
      <c r="W18" s="53"/>
      <c r="X18" s="53"/>
      <c r="Y18" s="53"/>
      <c r="Z18" s="635"/>
      <c r="AA18" s="53">
        <f t="shared" si="1"/>
        <v>0</v>
      </c>
      <c r="AB18" s="635"/>
      <c r="AC18" s="53"/>
      <c r="AD18" s="53"/>
      <c r="AE18" s="635"/>
      <c r="AF18" s="635"/>
      <c r="AG18" s="635"/>
      <c r="AH18" s="635"/>
      <c r="AI18" s="635"/>
      <c r="AJ18" s="635"/>
      <c r="AK18" s="660"/>
      <c r="AL18" s="648"/>
      <c r="AM18" s="53"/>
      <c r="AN18" s="53"/>
      <c r="AO18" s="53"/>
      <c r="AP18" s="53"/>
      <c r="AQ18" s="53"/>
      <c r="AR18" s="635"/>
      <c r="AS18" s="53">
        <f t="shared" si="2"/>
        <v>0</v>
      </c>
      <c r="AT18" s="96"/>
      <c r="AU18" s="53"/>
      <c r="AV18" s="56"/>
      <c r="AW18" s="56"/>
      <c r="AX18" s="635"/>
      <c r="AY18" s="635"/>
      <c r="AZ18" s="635"/>
      <c r="BA18" s="56"/>
      <c r="BB18" s="635"/>
      <c r="BC18" s="97"/>
      <c r="BD18" s="648"/>
      <c r="BE18" s="53"/>
      <c r="BF18" s="53"/>
      <c r="BG18" s="53"/>
      <c r="BH18" s="53"/>
      <c r="BI18" s="53"/>
      <c r="BJ18" s="635"/>
      <c r="BK18" s="53">
        <f t="shared" si="3"/>
        <v>0</v>
      </c>
      <c r="BL18" s="635"/>
      <c r="BM18" s="53"/>
      <c r="BN18" s="53"/>
      <c r="BO18" s="635"/>
      <c r="BP18" s="635"/>
      <c r="BQ18" s="635"/>
      <c r="BR18" s="635"/>
      <c r="BS18" s="635"/>
      <c r="BT18" s="635"/>
      <c r="BU18" s="660"/>
      <c r="BV18" s="648"/>
      <c r="BW18" s="53"/>
      <c r="BX18" s="53"/>
      <c r="BY18" s="53"/>
      <c r="BZ18" s="53"/>
      <c r="CA18" s="53"/>
      <c r="CB18" s="635"/>
      <c r="CC18" s="53">
        <f t="shared" si="4"/>
        <v>0</v>
      </c>
      <c r="CD18" s="635"/>
      <c r="CE18" s="53"/>
      <c r="CF18" s="53"/>
      <c r="CG18" s="635"/>
      <c r="CH18" s="635"/>
      <c r="CI18" s="635"/>
      <c r="CJ18" s="635"/>
      <c r="CK18" s="635"/>
      <c r="CL18" s="635"/>
      <c r="CM18" s="660"/>
      <c r="CN18" s="92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4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  <c r="DT18" s="671"/>
      <c r="DU18" s="635"/>
      <c r="DV18" s="635"/>
      <c r="DW18" s="660"/>
      <c r="DX18" s="19"/>
      <c r="DY18" s="19"/>
      <c r="DZ18" s="19"/>
    </row>
    <row r="19" spans="1:130" ht="12.75" x14ac:dyDescent="0.2">
      <c r="A19" s="695"/>
      <c r="B19" s="695">
        <v>46052</v>
      </c>
      <c r="C19" s="23"/>
      <c r="D19" s="23"/>
      <c r="E19" s="23"/>
      <c r="F19" s="23"/>
      <c r="G19" s="23"/>
      <c r="H19" s="688"/>
      <c r="I19" s="23">
        <f t="shared" si="0"/>
        <v>0</v>
      </c>
      <c r="J19" s="691">
        <f>SUM(I19:I22,H19)</f>
        <v>0</v>
      </c>
      <c r="K19" s="23"/>
      <c r="L19" s="23"/>
      <c r="M19" s="690"/>
      <c r="N19" s="690"/>
      <c r="O19" s="689">
        <f>SUM(M19:N22)</f>
        <v>0</v>
      </c>
      <c r="P19" s="688"/>
      <c r="Q19" s="688">
        <f>M11*60</f>
        <v>0</v>
      </c>
      <c r="R19" s="692">
        <f>IF(
   COUNTIF(K19:K22,"SI")&gt;0,
   1.8,
   IF(
      COUNTIF(L19:L22,"SI")&gt;0,
      1.6,
      2
   )
)</f>
        <v>2</v>
      </c>
      <c r="S19" s="693">
        <f>IF(Q19=0,0,J19/Q19)</f>
        <v>0</v>
      </c>
      <c r="T19" s="695">
        <v>46052</v>
      </c>
      <c r="U19" s="23"/>
      <c r="V19" s="23"/>
      <c r="W19" s="23"/>
      <c r="X19" s="23"/>
      <c r="Y19" s="23"/>
      <c r="Z19" s="688"/>
      <c r="AA19" s="23">
        <f t="shared" si="1"/>
        <v>0</v>
      </c>
      <c r="AB19" s="691">
        <f>SUM(AA19:AA22,Z19)</f>
        <v>0</v>
      </c>
      <c r="AC19" s="23"/>
      <c r="AD19" s="23"/>
      <c r="AE19" s="688"/>
      <c r="AF19" s="688"/>
      <c r="AG19" s="689">
        <f>SUM(AE19:AF22)</f>
        <v>0</v>
      </c>
      <c r="AH19" s="688"/>
      <c r="AI19" s="688">
        <f>AE19*60</f>
        <v>0</v>
      </c>
      <c r="AJ19" s="692">
        <f>IF(
   COUNTIF(AC19:AC22,"SI")&gt;0,
   1.8,
   IF(
      COUNTIF(AD19:AD22,"SI")&gt;0,
      1.6,
      2
   )
)</f>
        <v>2</v>
      </c>
      <c r="AK19" s="693">
        <f>IF(AI19=0,0,AB19/AI19)</f>
        <v>0</v>
      </c>
      <c r="AL19" s="695">
        <v>46052</v>
      </c>
      <c r="AM19" s="23">
        <v>31</v>
      </c>
      <c r="AN19" s="23">
        <v>816</v>
      </c>
      <c r="AO19" s="23">
        <v>5881</v>
      </c>
      <c r="AP19" s="49">
        <v>6000</v>
      </c>
      <c r="AQ19" s="23"/>
      <c r="AR19" s="688"/>
      <c r="AS19" s="53">
        <f t="shared" si="2"/>
        <v>119</v>
      </c>
      <c r="AT19" s="691">
        <f>SUM(AS19:AS22,AR19)</f>
        <v>1360</v>
      </c>
      <c r="AU19" s="23" t="s">
        <v>51</v>
      </c>
      <c r="AV19" s="688">
        <v>8.5</v>
      </c>
      <c r="AW19" s="23" t="s">
        <v>51</v>
      </c>
      <c r="AX19" s="688"/>
      <c r="AY19" s="689">
        <f>SUM(AV19:AX22)</f>
        <v>8.5</v>
      </c>
      <c r="AZ19" s="688">
        <v>0.1</v>
      </c>
      <c r="BA19" s="688">
        <f>AV19*60</f>
        <v>510</v>
      </c>
      <c r="BB19" s="692">
        <f>IF(
   COUNTIF(AU19:AU22,"SI")&gt;0,
   1.8,
   IF(
      COUNTIF(AV19:AV22,"SI")&gt;0,
      1.6,
      2
   )
)</f>
        <v>1.8</v>
      </c>
      <c r="BC19" s="705">
        <f>IF(BA19=0,0,AT19/BA19)</f>
        <v>2.6666666666666665</v>
      </c>
      <c r="BD19" s="695">
        <v>46052</v>
      </c>
      <c r="BE19" s="23">
        <v>51</v>
      </c>
      <c r="BF19" s="23">
        <v>515</v>
      </c>
      <c r="BG19" s="23">
        <v>2002</v>
      </c>
      <c r="BH19" s="23">
        <v>2498</v>
      </c>
      <c r="BI19" s="23">
        <v>0</v>
      </c>
      <c r="BJ19" s="688">
        <v>0</v>
      </c>
      <c r="BK19" s="23">
        <f t="shared" si="3"/>
        <v>496</v>
      </c>
      <c r="BL19" s="691">
        <f>SUM(BK19:BK22,BJ19)</f>
        <v>1463</v>
      </c>
      <c r="BM19" s="23" t="s">
        <v>53</v>
      </c>
      <c r="BN19" s="23" t="s">
        <v>53</v>
      </c>
      <c r="BO19" s="688">
        <v>7</v>
      </c>
      <c r="BP19" s="688">
        <v>0</v>
      </c>
      <c r="BQ19" s="689">
        <f>SUM(BO19:BP22)</f>
        <v>7</v>
      </c>
      <c r="BR19" s="688"/>
      <c r="BS19" s="688">
        <f>BO19*60</f>
        <v>420</v>
      </c>
      <c r="BT19" s="692">
        <f>IF(
   COUNTIF(BM19:BM22,"SI")&gt;0,
   1.8,
   IF(
      COUNTIF(BN19:BN22,"SI")&gt;0,
      1.6,
      2
   )
)</f>
        <v>2</v>
      </c>
      <c r="BU19" s="705">
        <f>IF(BS19=0,0,BL19/BS19)</f>
        <v>3.4833333333333334</v>
      </c>
      <c r="BV19" s="695">
        <v>46052</v>
      </c>
      <c r="BW19" s="23">
        <v>28</v>
      </c>
      <c r="BX19" s="23">
        <v>516</v>
      </c>
      <c r="BY19" s="23">
        <v>2708</v>
      </c>
      <c r="BZ19" s="23">
        <v>3000</v>
      </c>
      <c r="CA19" s="23">
        <v>0</v>
      </c>
      <c r="CB19" s="688">
        <v>1</v>
      </c>
      <c r="CC19" s="23">
        <f t="shared" si="4"/>
        <v>292</v>
      </c>
      <c r="CD19" s="691">
        <f>SUM(CC19:CC22,CB19)</f>
        <v>386</v>
      </c>
      <c r="CE19" s="23"/>
      <c r="CF19" s="23"/>
      <c r="CG19" s="688">
        <v>6</v>
      </c>
      <c r="CH19" s="688">
        <v>0</v>
      </c>
      <c r="CI19" s="689">
        <f>SUM(CG19:CH22)</f>
        <v>6</v>
      </c>
      <c r="CJ19" s="688"/>
      <c r="CK19" s="688">
        <f>CG19*60</f>
        <v>360</v>
      </c>
      <c r="CL19" s="692">
        <f>IF(
   COUNTIF(CE19:CE22,"SI")&gt;0,
   1.8,
   IF(
      COUNTIF(CF19:CF22,"SI")&gt;0,
      1.6,
      2
   )
)</f>
        <v>2</v>
      </c>
      <c r="CM19" s="705">
        <f>IF(CK19=0,0,CD19/CK19)</f>
        <v>1.0722222222222222</v>
      </c>
      <c r="CN19" s="92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4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715">
        <v>46052</v>
      </c>
      <c r="DU19" s="707">
        <f>SUM(J19,AB19,AT19,BL19,CD19)</f>
        <v>3209</v>
      </c>
      <c r="DV19" s="707">
        <f>SUM(Q19,AI19,BA19,BS19,CK19)</f>
        <v>1290</v>
      </c>
      <c r="DW19" s="709">
        <f>DU19/DV19</f>
        <v>2.4875968992248061</v>
      </c>
      <c r="DX19" s="19"/>
      <c r="DY19" s="19"/>
      <c r="DZ19" s="19"/>
    </row>
    <row r="20" spans="1:130" ht="12.75" x14ac:dyDescent="0.2">
      <c r="A20" s="647"/>
      <c r="B20" s="647"/>
      <c r="C20" s="23"/>
      <c r="D20" s="23"/>
      <c r="E20" s="23"/>
      <c r="F20" s="23"/>
      <c r="G20" s="23"/>
      <c r="H20" s="634"/>
      <c r="I20" s="23">
        <f t="shared" si="0"/>
        <v>0</v>
      </c>
      <c r="J20" s="634"/>
      <c r="K20" s="23"/>
      <c r="L20" s="23"/>
      <c r="M20" s="634"/>
      <c r="N20" s="634"/>
      <c r="O20" s="634"/>
      <c r="P20" s="634"/>
      <c r="Q20" s="634"/>
      <c r="R20" s="634"/>
      <c r="S20" s="659"/>
      <c r="T20" s="647"/>
      <c r="U20" s="23"/>
      <c r="V20" s="23"/>
      <c r="W20" s="23"/>
      <c r="X20" s="23"/>
      <c r="Y20" s="23"/>
      <c r="Z20" s="634"/>
      <c r="AA20" s="23">
        <f t="shared" si="1"/>
        <v>0</v>
      </c>
      <c r="AB20" s="634"/>
      <c r="AC20" s="23"/>
      <c r="AD20" s="23"/>
      <c r="AE20" s="634"/>
      <c r="AF20" s="634"/>
      <c r="AG20" s="634"/>
      <c r="AH20" s="634"/>
      <c r="AI20" s="634"/>
      <c r="AJ20" s="634"/>
      <c r="AK20" s="659"/>
      <c r="AL20" s="647"/>
      <c r="AM20" s="23">
        <v>120</v>
      </c>
      <c r="AN20" s="23">
        <v>820</v>
      </c>
      <c r="AO20" s="23">
        <v>7507</v>
      </c>
      <c r="AP20" s="23">
        <v>8001</v>
      </c>
      <c r="AQ20" s="23"/>
      <c r="AR20" s="634"/>
      <c r="AS20" s="23">
        <f t="shared" si="2"/>
        <v>494</v>
      </c>
      <c r="AT20" s="634"/>
      <c r="AU20" s="23" t="s">
        <v>51</v>
      </c>
      <c r="AV20" s="634"/>
      <c r="AW20" s="23" t="s">
        <v>51</v>
      </c>
      <c r="AX20" s="634"/>
      <c r="AY20" s="634"/>
      <c r="AZ20" s="634"/>
      <c r="BA20" s="634"/>
      <c r="BB20" s="634"/>
      <c r="BC20" s="659"/>
      <c r="BD20" s="647"/>
      <c r="BE20" s="23">
        <v>54</v>
      </c>
      <c r="BF20" s="23">
        <v>514</v>
      </c>
      <c r="BG20" s="23">
        <v>1517</v>
      </c>
      <c r="BH20" s="23">
        <v>1986</v>
      </c>
      <c r="BI20" s="23">
        <v>0</v>
      </c>
      <c r="BJ20" s="634"/>
      <c r="BK20" s="23">
        <f t="shared" si="3"/>
        <v>469</v>
      </c>
      <c r="BL20" s="634"/>
      <c r="BM20" s="23" t="s">
        <v>53</v>
      </c>
      <c r="BN20" s="23" t="s">
        <v>53</v>
      </c>
      <c r="BO20" s="634"/>
      <c r="BP20" s="634"/>
      <c r="BQ20" s="634"/>
      <c r="BR20" s="634"/>
      <c r="BS20" s="634"/>
      <c r="BT20" s="634"/>
      <c r="BU20" s="659"/>
      <c r="BV20" s="647"/>
      <c r="BW20" s="23">
        <v>14</v>
      </c>
      <c r="BX20" s="23">
        <v>512</v>
      </c>
      <c r="BY20" s="23">
        <v>502</v>
      </c>
      <c r="BZ20" s="23">
        <v>595</v>
      </c>
      <c r="CA20" s="23">
        <v>0</v>
      </c>
      <c r="CB20" s="634"/>
      <c r="CC20" s="23">
        <f t="shared" si="4"/>
        <v>93</v>
      </c>
      <c r="CD20" s="634"/>
      <c r="CE20" s="23"/>
      <c r="CF20" s="23"/>
      <c r="CG20" s="634"/>
      <c r="CH20" s="634"/>
      <c r="CI20" s="634"/>
      <c r="CJ20" s="634"/>
      <c r="CK20" s="634"/>
      <c r="CL20" s="634"/>
      <c r="CM20" s="659"/>
      <c r="CN20" s="92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4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670"/>
      <c r="DU20" s="634"/>
      <c r="DV20" s="634"/>
      <c r="DW20" s="659"/>
      <c r="DX20" s="19"/>
      <c r="DY20" s="19"/>
      <c r="DZ20" s="19"/>
    </row>
    <row r="21" spans="1:130" ht="12.75" x14ac:dyDescent="0.2">
      <c r="A21" s="647"/>
      <c r="B21" s="647"/>
      <c r="C21" s="23"/>
      <c r="D21" s="23"/>
      <c r="E21" s="23"/>
      <c r="F21" s="23"/>
      <c r="G21" s="23"/>
      <c r="H21" s="634"/>
      <c r="I21" s="23">
        <f t="shared" si="0"/>
        <v>0</v>
      </c>
      <c r="J21" s="634"/>
      <c r="K21" s="23"/>
      <c r="L21" s="23"/>
      <c r="M21" s="634"/>
      <c r="N21" s="634"/>
      <c r="O21" s="634"/>
      <c r="P21" s="634"/>
      <c r="Q21" s="634"/>
      <c r="R21" s="634"/>
      <c r="S21" s="659"/>
      <c r="T21" s="647"/>
      <c r="U21" s="23"/>
      <c r="V21" s="23"/>
      <c r="W21" s="23"/>
      <c r="X21" s="23"/>
      <c r="Y21" s="23"/>
      <c r="Z21" s="634"/>
      <c r="AA21" s="23">
        <f t="shared" si="1"/>
        <v>0</v>
      </c>
      <c r="AB21" s="634"/>
      <c r="AC21" s="23"/>
      <c r="AD21" s="23"/>
      <c r="AE21" s="634"/>
      <c r="AF21" s="634"/>
      <c r="AG21" s="634"/>
      <c r="AH21" s="634"/>
      <c r="AI21" s="634"/>
      <c r="AJ21" s="634"/>
      <c r="AK21" s="659"/>
      <c r="AL21" s="647"/>
      <c r="AM21" s="23">
        <v>127</v>
      </c>
      <c r="AN21" s="23">
        <v>819</v>
      </c>
      <c r="AO21" s="23">
        <v>7001</v>
      </c>
      <c r="AP21" s="23">
        <v>7506</v>
      </c>
      <c r="AQ21" s="23">
        <v>5</v>
      </c>
      <c r="AR21" s="634"/>
      <c r="AS21" s="23">
        <f t="shared" si="2"/>
        <v>500</v>
      </c>
      <c r="AT21" s="634"/>
      <c r="AU21" s="23" t="s">
        <v>51</v>
      </c>
      <c r="AV21" s="634"/>
      <c r="AW21" s="23" t="s">
        <v>51</v>
      </c>
      <c r="AX21" s="634"/>
      <c r="AY21" s="634"/>
      <c r="AZ21" s="634"/>
      <c r="BA21" s="634"/>
      <c r="BB21" s="634"/>
      <c r="BC21" s="659"/>
      <c r="BD21" s="647"/>
      <c r="BE21" s="23">
        <v>47</v>
      </c>
      <c r="BF21" s="23">
        <v>513</v>
      </c>
      <c r="BG21" s="23">
        <v>1002</v>
      </c>
      <c r="BH21" s="23">
        <v>1500</v>
      </c>
      <c r="BI21" s="23">
        <v>0</v>
      </c>
      <c r="BJ21" s="634"/>
      <c r="BK21" s="23">
        <f t="shared" si="3"/>
        <v>498</v>
      </c>
      <c r="BL21" s="634"/>
      <c r="BM21" s="23" t="s">
        <v>53</v>
      </c>
      <c r="BN21" s="23" t="s">
        <v>53</v>
      </c>
      <c r="BO21" s="634"/>
      <c r="BP21" s="634"/>
      <c r="BQ21" s="634"/>
      <c r="BR21" s="634"/>
      <c r="BS21" s="634"/>
      <c r="BT21" s="634"/>
      <c r="BU21" s="659"/>
      <c r="BV21" s="647"/>
      <c r="BW21" s="23"/>
      <c r="BX21" s="23"/>
      <c r="BY21" s="23"/>
      <c r="BZ21" s="23"/>
      <c r="CA21" s="23"/>
      <c r="CB21" s="634"/>
      <c r="CC21" s="23">
        <f t="shared" si="4"/>
        <v>0</v>
      </c>
      <c r="CD21" s="634"/>
      <c r="CE21" s="23"/>
      <c r="CF21" s="23"/>
      <c r="CG21" s="634"/>
      <c r="CH21" s="634"/>
      <c r="CI21" s="634"/>
      <c r="CJ21" s="634"/>
      <c r="CK21" s="634"/>
      <c r="CL21" s="634"/>
      <c r="CM21" s="659"/>
      <c r="CN21" s="92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4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670"/>
      <c r="DU21" s="634"/>
      <c r="DV21" s="634"/>
      <c r="DW21" s="659"/>
      <c r="DX21" s="19"/>
      <c r="DY21" s="19"/>
      <c r="DZ21" s="19"/>
    </row>
    <row r="22" spans="1:130" ht="12.75" x14ac:dyDescent="0.2">
      <c r="A22" s="648"/>
      <c r="B22" s="648"/>
      <c r="C22" s="102"/>
      <c r="D22" s="102"/>
      <c r="E22" s="102"/>
      <c r="F22" s="102"/>
      <c r="G22" s="102"/>
      <c r="H22" s="635"/>
      <c r="I22" s="23">
        <f t="shared" si="0"/>
        <v>0</v>
      </c>
      <c r="J22" s="635"/>
      <c r="K22" s="102"/>
      <c r="L22" s="102"/>
      <c r="M22" s="635"/>
      <c r="N22" s="635"/>
      <c r="O22" s="635"/>
      <c r="P22" s="635"/>
      <c r="Q22" s="635"/>
      <c r="R22" s="635"/>
      <c r="S22" s="660"/>
      <c r="T22" s="648"/>
      <c r="U22" s="102"/>
      <c r="V22" s="102"/>
      <c r="W22" s="102"/>
      <c r="X22" s="102"/>
      <c r="Y22" s="102"/>
      <c r="Z22" s="635"/>
      <c r="AA22" s="23">
        <f t="shared" si="1"/>
        <v>0</v>
      </c>
      <c r="AB22" s="635"/>
      <c r="AC22" s="102"/>
      <c r="AD22" s="102"/>
      <c r="AE22" s="635"/>
      <c r="AF22" s="635"/>
      <c r="AG22" s="635"/>
      <c r="AH22" s="635"/>
      <c r="AI22" s="635"/>
      <c r="AJ22" s="635"/>
      <c r="AK22" s="660"/>
      <c r="AL22" s="648"/>
      <c r="AM22" s="103">
        <v>60</v>
      </c>
      <c r="AN22" s="103">
        <v>821</v>
      </c>
      <c r="AO22" s="103">
        <v>8002</v>
      </c>
      <c r="AP22" s="103">
        <v>8253</v>
      </c>
      <c r="AQ22" s="103">
        <v>4</v>
      </c>
      <c r="AR22" s="635"/>
      <c r="AS22" s="23">
        <f t="shared" si="2"/>
        <v>247</v>
      </c>
      <c r="AT22" s="635"/>
      <c r="AU22" s="103" t="s">
        <v>51</v>
      </c>
      <c r="AV22" s="635"/>
      <c r="AW22" s="23" t="s">
        <v>51</v>
      </c>
      <c r="AX22" s="635"/>
      <c r="AY22" s="635"/>
      <c r="AZ22" s="635"/>
      <c r="BA22" s="635"/>
      <c r="BB22" s="635"/>
      <c r="BC22" s="660"/>
      <c r="BD22" s="648"/>
      <c r="BE22" s="102"/>
      <c r="BF22" s="102"/>
      <c r="BG22" s="102"/>
      <c r="BH22" s="102"/>
      <c r="BI22" s="102"/>
      <c r="BJ22" s="635"/>
      <c r="BK22" s="23">
        <f t="shared" si="3"/>
        <v>0</v>
      </c>
      <c r="BL22" s="635"/>
      <c r="BM22" s="102"/>
      <c r="BN22" s="102"/>
      <c r="BO22" s="635"/>
      <c r="BP22" s="635"/>
      <c r="BQ22" s="635"/>
      <c r="BR22" s="635"/>
      <c r="BS22" s="635"/>
      <c r="BT22" s="635"/>
      <c r="BU22" s="660"/>
      <c r="BV22" s="648"/>
      <c r="BW22" s="102"/>
      <c r="BX22" s="102"/>
      <c r="BY22" s="102"/>
      <c r="BZ22" s="102"/>
      <c r="CA22" s="102"/>
      <c r="CB22" s="635"/>
      <c r="CC22" s="23">
        <f t="shared" si="4"/>
        <v>0</v>
      </c>
      <c r="CD22" s="635"/>
      <c r="CE22" s="102"/>
      <c r="CF22" s="102"/>
      <c r="CG22" s="635"/>
      <c r="CH22" s="635"/>
      <c r="CI22" s="635"/>
      <c r="CJ22" s="635"/>
      <c r="CK22" s="635"/>
      <c r="CL22" s="635"/>
      <c r="CM22" s="660"/>
      <c r="CN22" s="92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4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671"/>
      <c r="DU22" s="635"/>
      <c r="DV22" s="635"/>
      <c r="DW22" s="660"/>
      <c r="DX22" s="19"/>
      <c r="DY22" s="19"/>
      <c r="DZ22" s="19"/>
    </row>
    <row r="23" spans="1:130" ht="12.75" x14ac:dyDescent="0.2">
      <c r="A23" s="694"/>
      <c r="B23" s="694">
        <v>46053</v>
      </c>
      <c r="C23" s="55"/>
      <c r="D23" s="55"/>
      <c r="E23" s="55"/>
      <c r="F23" s="55"/>
      <c r="G23" s="55"/>
      <c r="H23" s="687"/>
      <c r="I23" s="53">
        <f t="shared" si="0"/>
        <v>0</v>
      </c>
      <c r="J23" s="691">
        <f>SUM(I23:I26,H23)</f>
        <v>0</v>
      </c>
      <c r="K23" s="55"/>
      <c r="L23" s="55"/>
      <c r="M23" s="687"/>
      <c r="N23" s="690"/>
      <c r="O23" s="689">
        <f>SUM(M23:N26)</f>
        <v>0</v>
      </c>
      <c r="P23" s="687"/>
      <c r="Q23" s="690">
        <f>M23*60</f>
        <v>0</v>
      </c>
      <c r="R23" s="692">
        <f>IF(
   COUNTIF(K23:K26,"SI")&gt;0,
   1.8,
   IF(
      COUNTIF(L23:L26,"SI")&gt;0,
      1.6,
      2
   )
)</f>
        <v>2</v>
      </c>
      <c r="S23" s="693">
        <f>IF(Q23=0,0,J23/Q23)</f>
        <v>0</v>
      </c>
      <c r="T23" s="694">
        <v>46053</v>
      </c>
      <c r="U23" s="55"/>
      <c r="V23" s="55"/>
      <c r="W23" s="55"/>
      <c r="X23" s="55"/>
      <c r="Y23" s="55"/>
      <c r="Z23" s="687"/>
      <c r="AA23" s="53">
        <f t="shared" si="1"/>
        <v>0</v>
      </c>
      <c r="AB23" s="691">
        <f>SUM(AA23:AA26,Z23)</f>
        <v>0</v>
      </c>
      <c r="AC23" s="55"/>
      <c r="AD23" s="55"/>
      <c r="AE23" s="687"/>
      <c r="AF23" s="687"/>
      <c r="AG23" s="689">
        <f>SUM(AE23:AF26)</f>
        <v>0</v>
      </c>
      <c r="AH23" s="687"/>
      <c r="AI23" s="690">
        <f>AE23*60</f>
        <v>0</v>
      </c>
      <c r="AJ23" s="692">
        <f>IF(
   COUNTIF(AC23:AC26,"SI")&gt;0,
   1.8,
   IF(
      COUNTIF(AD23:AD26,"SI")&gt;0,
      1.6,
      2
   )
)</f>
        <v>2</v>
      </c>
      <c r="AK23" s="693">
        <f>IF(AI23=0,0,AB23/AI23)</f>
        <v>0</v>
      </c>
      <c r="AL23" s="694">
        <v>46053</v>
      </c>
      <c r="AM23" s="52">
        <v>33</v>
      </c>
      <c r="AN23" s="52">
        <v>821</v>
      </c>
      <c r="AO23" s="52">
        <v>8254</v>
      </c>
      <c r="AP23" s="52">
        <v>8412</v>
      </c>
      <c r="AQ23" s="55"/>
      <c r="AR23" s="687"/>
      <c r="AS23" s="53">
        <f t="shared" si="2"/>
        <v>158</v>
      </c>
      <c r="AT23" s="691">
        <f>SUM(AS23:AS26,AR23)</f>
        <v>158</v>
      </c>
      <c r="AU23" s="55"/>
      <c r="AV23" s="687">
        <v>1</v>
      </c>
      <c r="AW23" s="55"/>
      <c r="AX23" s="687"/>
      <c r="AY23" s="689">
        <f>SUM(AV23:AX26)</f>
        <v>1</v>
      </c>
      <c r="AZ23" s="687"/>
      <c r="BA23" s="690">
        <f>AV23*60</f>
        <v>60</v>
      </c>
      <c r="BB23" s="692">
        <f>IF(
   COUNTIF(AU23:AU26,"SI")&gt;0,
   1.8,
   IF(
      COUNTIF(AV23:AV26,"SI")&gt;0,
      1.6,
      2
   )
)</f>
        <v>2</v>
      </c>
      <c r="BC23" s="705">
        <f>IF(BA23=0,0,AT23/BA23)</f>
        <v>2.6333333333333333</v>
      </c>
      <c r="BD23" s="694">
        <v>46053</v>
      </c>
      <c r="BE23" s="52">
        <v>30</v>
      </c>
      <c r="BF23" s="52">
        <v>512</v>
      </c>
      <c r="BG23" s="52">
        <v>502</v>
      </c>
      <c r="BH23" s="52">
        <v>733</v>
      </c>
      <c r="BI23" s="52">
        <v>0</v>
      </c>
      <c r="BJ23" s="687">
        <v>0</v>
      </c>
      <c r="BK23" s="53">
        <f t="shared" si="3"/>
        <v>231</v>
      </c>
      <c r="BL23" s="691">
        <f>SUM(BK23:BK26,BJ23)</f>
        <v>231</v>
      </c>
      <c r="BM23" s="52" t="s">
        <v>53</v>
      </c>
      <c r="BN23" s="52" t="s">
        <v>53</v>
      </c>
      <c r="BO23" s="687">
        <v>1</v>
      </c>
      <c r="BP23" s="687">
        <v>4.5</v>
      </c>
      <c r="BQ23" s="689">
        <f>SUM(BO23:BP26)</f>
        <v>5.5</v>
      </c>
      <c r="BR23" s="687">
        <v>0</v>
      </c>
      <c r="BS23" s="690">
        <f>BO23*60</f>
        <v>60</v>
      </c>
      <c r="BT23" s="692">
        <f>IF(
   COUNTIF(BM23:BM26,"SI")&gt;0,
   1.8,
   IF(
      COUNTIF(BN23:BN26,"SI")&gt;0,
      1.6,
      2
   )
)</f>
        <v>2</v>
      </c>
      <c r="BU23" s="705">
        <f>IF(BS23=0,0,BL23/BS23)</f>
        <v>3.85</v>
      </c>
      <c r="BV23" s="694">
        <v>46053</v>
      </c>
      <c r="BW23" s="52">
        <v>27</v>
      </c>
      <c r="BX23" s="52">
        <v>822</v>
      </c>
      <c r="BY23" s="52">
        <v>8505</v>
      </c>
      <c r="BZ23" s="52">
        <v>8606</v>
      </c>
      <c r="CA23" s="52">
        <v>0</v>
      </c>
      <c r="CB23" s="687">
        <v>1</v>
      </c>
      <c r="CC23" s="53">
        <f t="shared" si="4"/>
        <v>101</v>
      </c>
      <c r="CD23" s="691">
        <f>SUM(CC23:CC26,CB23)</f>
        <v>102</v>
      </c>
      <c r="CE23" s="52" t="s">
        <v>54</v>
      </c>
      <c r="CF23" s="52" t="s">
        <v>54</v>
      </c>
      <c r="CG23" s="687">
        <v>1</v>
      </c>
      <c r="CH23" s="687">
        <v>4.5</v>
      </c>
      <c r="CI23" s="689">
        <f>SUM(CG23:CH26)</f>
        <v>5.5</v>
      </c>
      <c r="CJ23" s="687">
        <v>0</v>
      </c>
      <c r="CK23" s="690">
        <f>CG23*60</f>
        <v>60</v>
      </c>
      <c r="CL23" s="692">
        <f>IF(
   COUNTIF(CE23:CE26,"SI")&gt;0,
   1.8,
   IF(
      COUNTIF(CF23:CF26,"SI")&gt;0,
      1.6,
      2
   )
)</f>
        <v>1.8</v>
      </c>
      <c r="CM23" s="705">
        <f>IF(CK23=0,0,CD23/CK23)</f>
        <v>1.7</v>
      </c>
      <c r="CN23" s="92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4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706">
        <v>46053</v>
      </c>
      <c r="DU23" s="707">
        <f>SUM(J23,AB23,AT23,BL23,CD23)</f>
        <v>491</v>
      </c>
      <c r="DV23" s="707">
        <f>SUM(Q23,AI23,BA23,BS23,CK23)</f>
        <v>180</v>
      </c>
      <c r="DW23" s="709">
        <f>DU23/DV23</f>
        <v>2.7277777777777779</v>
      </c>
      <c r="DX23" s="19"/>
      <c r="DY23" s="19"/>
      <c r="DZ23" s="19"/>
    </row>
    <row r="24" spans="1:130" ht="12.75" x14ac:dyDescent="0.2">
      <c r="A24" s="647"/>
      <c r="B24" s="647"/>
      <c r="C24" s="55"/>
      <c r="D24" s="55"/>
      <c r="E24" s="55"/>
      <c r="F24" s="55"/>
      <c r="G24" s="55"/>
      <c r="H24" s="634"/>
      <c r="I24" s="53">
        <f t="shared" si="0"/>
        <v>0</v>
      </c>
      <c r="J24" s="634"/>
      <c r="K24" s="55"/>
      <c r="L24" s="55"/>
      <c r="M24" s="634"/>
      <c r="N24" s="634"/>
      <c r="O24" s="634"/>
      <c r="P24" s="634"/>
      <c r="Q24" s="634"/>
      <c r="R24" s="634"/>
      <c r="S24" s="659"/>
      <c r="T24" s="647"/>
      <c r="U24" s="55"/>
      <c r="V24" s="55"/>
      <c r="W24" s="55"/>
      <c r="X24" s="55"/>
      <c r="Y24" s="55"/>
      <c r="Z24" s="634"/>
      <c r="AA24" s="53">
        <f t="shared" si="1"/>
        <v>0</v>
      </c>
      <c r="AB24" s="634"/>
      <c r="AC24" s="55"/>
      <c r="AD24" s="55"/>
      <c r="AE24" s="634"/>
      <c r="AF24" s="634"/>
      <c r="AG24" s="634"/>
      <c r="AH24" s="634"/>
      <c r="AI24" s="634"/>
      <c r="AJ24" s="634"/>
      <c r="AK24" s="659"/>
      <c r="AL24" s="647"/>
      <c r="AM24" s="55"/>
      <c r="AN24" s="55"/>
      <c r="AO24" s="55"/>
      <c r="AP24" s="55"/>
      <c r="AQ24" s="55"/>
      <c r="AR24" s="634"/>
      <c r="AS24" s="53">
        <f t="shared" si="2"/>
        <v>0</v>
      </c>
      <c r="AT24" s="634"/>
      <c r="AU24" s="55"/>
      <c r="AV24" s="634"/>
      <c r="AW24" s="55"/>
      <c r="AX24" s="634"/>
      <c r="AY24" s="634"/>
      <c r="AZ24" s="634"/>
      <c r="BA24" s="634"/>
      <c r="BB24" s="634"/>
      <c r="BC24" s="659"/>
      <c r="BD24" s="647"/>
      <c r="BE24" s="55"/>
      <c r="BF24" s="55"/>
      <c r="BG24" s="55"/>
      <c r="BH24" s="55"/>
      <c r="BI24" s="55"/>
      <c r="BJ24" s="634"/>
      <c r="BK24" s="53">
        <f t="shared" si="3"/>
        <v>0</v>
      </c>
      <c r="BL24" s="634"/>
      <c r="BM24" s="55"/>
      <c r="BN24" s="55"/>
      <c r="BO24" s="634"/>
      <c r="BP24" s="634"/>
      <c r="BQ24" s="634"/>
      <c r="BR24" s="634"/>
      <c r="BS24" s="634"/>
      <c r="BT24" s="634"/>
      <c r="BU24" s="659"/>
      <c r="BV24" s="647"/>
      <c r="BW24" s="55"/>
      <c r="BX24" s="55"/>
      <c r="BY24" s="55"/>
      <c r="BZ24" s="55"/>
      <c r="CA24" s="55"/>
      <c r="CB24" s="634"/>
      <c r="CC24" s="53">
        <f t="shared" si="4"/>
        <v>0</v>
      </c>
      <c r="CD24" s="634"/>
      <c r="CE24" s="55"/>
      <c r="CF24" s="55"/>
      <c r="CG24" s="634"/>
      <c r="CH24" s="634"/>
      <c r="CI24" s="634"/>
      <c r="CJ24" s="634"/>
      <c r="CK24" s="634"/>
      <c r="CL24" s="634"/>
      <c r="CM24" s="659"/>
      <c r="CN24" s="92"/>
      <c r="CO24" s="93"/>
      <c r="CP24" s="93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93"/>
      <c r="DC24" s="94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670"/>
      <c r="DU24" s="634"/>
      <c r="DV24" s="634"/>
      <c r="DW24" s="659"/>
      <c r="DX24" s="19"/>
      <c r="DY24" s="19"/>
      <c r="DZ24" s="19"/>
    </row>
    <row r="25" spans="1:130" ht="12.75" x14ac:dyDescent="0.2">
      <c r="A25" s="647"/>
      <c r="B25" s="647"/>
      <c r="C25" s="55"/>
      <c r="D25" s="55"/>
      <c r="E25" s="55"/>
      <c r="F25" s="55"/>
      <c r="G25" s="55"/>
      <c r="H25" s="634"/>
      <c r="I25" s="53">
        <f t="shared" si="0"/>
        <v>0</v>
      </c>
      <c r="J25" s="634"/>
      <c r="K25" s="55"/>
      <c r="L25" s="55"/>
      <c r="M25" s="634"/>
      <c r="N25" s="634"/>
      <c r="O25" s="634"/>
      <c r="P25" s="634"/>
      <c r="Q25" s="634"/>
      <c r="R25" s="634"/>
      <c r="S25" s="659"/>
      <c r="T25" s="647"/>
      <c r="U25" s="55"/>
      <c r="V25" s="55"/>
      <c r="W25" s="55"/>
      <c r="X25" s="55"/>
      <c r="Y25" s="55"/>
      <c r="Z25" s="634"/>
      <c r="AA25" s="53">
        <f t="shared" si="1"/>
        <v>0</v>
      </c>
      <c r="AB25" s="634"/>
      <c r="AC25" s="55"/>
      <c r="AD25" s="55"/>
      <c r="AE25" s="634"/>
      <c r="AF25" s="634"/>
      <c r="AG25" s="634"/>
      <c r="AH25" s="634"/>
      <c r="AI25" s="634"/>
      <c r="AJ25" s="634"/>
      <c r="AK25" s="659"/>
      <c r="AL25" s="647"/>
      <c r="AM25" s="55"/>
      <c r="AN25" s="55"/>
      <c r="AO25" s="55"/>
      <c r="AP25" s="55"/>
      <c r="AQ25" s="55"/>
      <c r="AR25" s="634"/>
      <c r="AS25" s="53">
        <f t="shared" si="2"/>
        <v>0</v>
      </c>
      <c r="AT25" s="634"/>
      <c r="AU25" s="55"/>
      <c r="AV25" s="634"/>
      <c r="AW25" s="55"/>
      <c r="AX25" s="634"/>
      <c r="AY25" s="634"/>
      <c r="AZ25" s="634"/>
      <c r="BA25" s="634"/>
      <c r="BB25" s="634"/>
      <c r="BC25" s="659"/>
      <c r="BD25" s="647"/>
      <c r="BE25" s="55"/>
      <c r="BF25" s="55"/>
      <c r="BG25" s="55"/>
      <c r="BH25" s="55"/>
      <c r="BI25" s="55"/>
      <c r="BJ25" s="634"/>
      <c r="BK25" s="53">
        <f t="shared" si="3"/>
        <v>0</v>
      </c>
      <c r="BL25" s="634"/>
      <c r="BM25" s="55"/>
      <c r="BN25" s="55"/>
      <c r="BO25" s="634"/>
      <c r="BP25" s="634"/>
      <c r="BQ25" s="634"/>
      <c r="BR25" s="634"/>
      <c r="BS25" s="634"/>
      <c r="BT25" s="634"/>
      <c r="BU25" s="659"/>
      <c r="BV25" s="647"/>
      <c r="BW25" s="55"/>
      <c r="BX25" s="55"/>
      <c r="BY25" s="55"/>
      <c r="BZ25" s="55"/>
      <c r="CA25" s="55"/>
      <c r="CB25" s="634"/>
      <c r="CC25" s="53">
        <f t="shared" si="4"/>
        <v>0</v>
      </c>
      <c r="CD25" s="634"/>
      <c r="CE25" s="55"/>
      <c r="CF25" s="55"/>
      <c r="CG25" s="634"/>
      <c r="CH25" s="634"/>
      <c r="CI25" s="634"/>
      <c r="CJ25" s="634"/>
      <c r="CK25" s="634"/>
      <c r="CL25" s="634"/>
      <c r="CM25" s="659"/>
      <c r="CN25" s="92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3"/>
      <c r="DC25" s="94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670"/>
      <c r="DU25" s="634"/>
      <c r="DV25" s="634"/>
      <c r="DW25" s="659"/>
      <c r="DX25" s="19"/>
      <c r="DY25" s="19"/>
      <c r="DZ25" s="19"/>
    </row>
    <row r="26" spans="1:130" ht="12.75" x14ac:dyDescent="0.2">
      <c r="A26" s="648"/>
      <c r="B26" s="648"/>
      <c r="C26" s="55"/>
      <c r="D26" s="55"/>
      <c r="E26" s="55"/>
      <c r="F26" s="55"/>
      <c r="G26" s="55"/>
      <c r="H26" s="635"/>
      <c r="I26" s="53">
        <f t="shared" si="0"/>
        <v>0</v>
      </c>
      <c r="J26" s="635"/>
      <c r="K26" s="55"/>
      <c r="L26" s="55"/>
      <c r="M26" s="635"/>
      <c r="N26" s="635"/>
      <c r="O26" s="635"/>
      <c r="P26" s="635"/>
      <c r="Q26" s="635"/>
      <c r="R26" s="635"/>
      <c r="S26" s="660"/>
      <c r="T26" s="648"/>
      <c r="U26" s="55"/>
      <c r="V26" s="55"/>
      <c r="W26" s="55"/>
      <c r="X26" s="55"/>
      <c r="Y26" s="55"/>
      <c r="Z26" s="635"/>
      <c r="AA26" s="53">
        <f t="shared" si="1"/>
        <v>0</v>
      </c>
      <c r="AB26" s="635"/>
      <c r="AC26" s="55"/>
      <c r="AD26" s="55"/>
      <c r="AE26" s="635"/>
      <c r="AF26" s="635"/>
      <c r="AG26" s="635"/>
      <c r="AH26" s="635"/>
      <c r="AI26" s="635"/>
      <c r="AJ26" s="635"/>
      <c r="AK26" s="660"/>
      <c r="AL26" s="648"/>
      <c r="AM26" s="55"/>
      <c r="AN26" s="55"/>
      <c r="AO26" s="55"/>
      <c r="AP26" s="55"/>
      <c r="AQ26" s="55"/>
      <c r="AR26" s="635"/>
      <c r="AS26" s="53">
        <f t="shared" si="2"/>
        <v>0</v>
      </c>
      <c r="AT26" s="635"/>
      <c r="AU26" s="55"/>
      <c r="AV26" s="635"/>
      <c r="AW26" s="55"/>
      <c r="AX26" s="635"/>
      <c r="AY26" s="635"/>
      <c r="AZ26" s="635"/>
      <c r="BA26" s="635"/>
      <c r="BB26" s="635"/>
      <c r="BC26" s="660"/>
      <c r="BD26" s="648"/>
      <c r="BE26" s="55"/>
      <c r="BF26" s="55"/>
      <c r="BG26" s="55"/>
      <c r="BH26" s="55"/>
      <c r="BI26" s="55"/>
      <c r="BJ26" s="635"/>
      <c r="BK26" s="53">
        <f t="shared" si="3"/>
        <v>0</v>
      </c>
      <c r="BL26" s="635"/>
      <c r="BM26" s="55"/>
      <c r="BN26" s="55"/>
      <c r="BO26" s="635"/>
      <c r="BP26" s="635"/>
      <c r="BQ26" s="635"/>
      <c r="BR26" s="635"/>
      <c r="BS26" s="635"/>
      <c r="BT26" s="635"/>
      <c r="BU26" s="660"/>
      <c r="BV26" s="648"/>
      <c r="BW26" s="55"/>
      <c r="BX26" s="55"/>
      <c r="BY26" s="55"/>
      <c r="BZ26" s="55"/>
      <c r="CA26" s="55"/>
      <c r="CB26" s="635"/>
      <c r="CC26" s="53">
        <f t="shared" si="4"/>
        <v>0</v>
      </c>
      <c r="CD26" s="635"/>
      <c r="CE26" s="55"/>
      <c r="CF26" s="55"/>
      <c r="CG26" s="635"/>
      <c r="CH26" s="635"/>
      <c r="CI26" s="635"/>
      <c r="CJ26" s="635"/>
      <c r="CK26" s="635"/>
      <c r="CL26" s="635"/>
      <c r="CM26" s="660"/>
      <c r="CN26" s="92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4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671"/>
      <c r="DU26" s="708"/>
      <c r="DV26" s="708"/>
      <c r="DW26" s="710"/>
      <c r="DX26" s="19"/>
      <c r="DY26" s="19"/>
      <c r="DZ26" s="19"/>
    </row>
    <row r="27" spans="1:130" ht="12.75" x14ac:dyDescent="0.2">
      <c r="A27" s="104"/>
      <c r="B27" s="105" t="s">
        <v>40</v>
      </c>
      <c r="C27" s="58">
        <f>SUM(C3:C26)</f>
        <v>136</v>
      </c>
      <c r="D27" s="57" t="s">
        <v>49</v>
      </c>
      <c r="E27" s="57" t="s">
        <v>49</v>
      </c>
      <c r="F27" s="57" t="s">
        <v>49</v>
      </c>
      <c r="G27" s="58">
        <f t="shared" ref="G27:J27" si="9">SUM(G3:G26)</f>
        <v>0</v>
      </c>
      <c r="H27" s="58">
        <f t="shared" si="9"/>
        <v>0</v>
      </c>
      <c r="I27" s="58">
        <f t="shared" si="9"/>
        <v>933</v>
      </c>
      <c r="J27" s="58">
        <f t="shared" si="9"/>
        <v>933</v>
      </c>
      <c r="K27" s="57" t="s">
        <v>49</v>
      </c>
      <c r="L27" s="57"/>
      <c r="M27" s="58">
        <f>SUM(M3:M26)</f>
        <v>7.9</v>
      </c>
      <c r="N27" s="58">
        <f>SUM(N3:N22)</f>
        <v>5.6</v>
      </c>
      <c r="O27" s="73">
        <f t="shared" ref="O27:Q27" si="10">SUM(O3:O26)</f>
        <v>13.5</v>
      </c>
      <c r="P27" s="58">
        <f t="shared" si="10"/>
        <v>0</v>
      </c>
      <c r="Q27" s="58">
        <f t="shared" si="10"/>
        <v>474</v>
      </c>
      <c r="R27" s="107"/>
      <c r="S27" s="60">
        <f t="shared" ref="S27:S28" si="11">IF(Q27=0,0,J27/Q27)</f>
        <v>1.9683544303797469</v>
      </c>
      <c r="T27" s="105" t="s">
        <v>40</v>
      </c>
      <c r="U27" s="58">
        <f>SUM(U3:U26)</f>
        <v>145</v>
      </c>
      <c r="V27" s="57" t="s">
        <v>49</v>
      </c>
      <c r="W27" s="57" t="s">
        <v>49</v>
      </c>
      <c r="X27" s="57" t="s">
        <v>49</v>
      </c>
      <c r="Y27" s="58">
        <f t="shared" ref="Y27:AB27" si="12">SUM(Y3:Y26)</f>
        <v>0</v>
      </c>
      <c r="Z27" s="58">
        <f t="shared" si="12"/>
        <v>8</v>
      </c>
      <c r="AA27" s="58">
        <f t="shared" si="12"/>
        <v>1057</v>
      </c>
      <c r="AB27" s="58">
        <f t="shared" si="12"/>
        <v>1065</v>
      </c>
      <c r="AC27" s="57" t="s">
        <v>49</v>
      </c>
      <c r="AD27" s="57"/>
      <c r="AE27" s="58">
        <f t="shared" ref="AE27:AI27" si="13">SUM(AE3:AE26)</f>
        <v>8.5</v>
      </c>
      <c r="AF27" s="58">
        <f t="shared" si="13"/>
        <v>16.5</v>
      </c>
      <c r="AG27" s="73">
        <f t="shared" si="13"/>
        <v>25</v>
      </c>
      <c r="AH27" s="58">
        <f t="shared" si="13"/>
        <v>0</v>
      </c>
      <c r="AI27" s="58">
        <f t="shared" si="13"/>
        <v>510</v>
      </c>
      <c r="AJ27" s="107"/>
      <c r="AK27" s="108">
        <f t="shared" ref="AK27:AK28" si="14">IF(AI27=0,0,AB27/AI27)</f>
        <v>2.0882352941176472</v>
      </c>
      <c r="AL27" s="105" t="s">
        <v>40</v>
      </c>
      <c r="AM27" s="58">
        <f>SUM(AM3:AM26)</f>
        <v>609</v>
      </c>
      <c r="AN27" s="57" t="s">
        <v>49</v>
      </c>
      <c r="AO27" s="57" t="s">
        <v>49</v>
      </c>
      <c r="AP27" s="57" t="s">
        <v>49</v>
      </c>
      <c r="AQ27" s="58">
        <f t="shared" ref="AQ27:AT27" si="15">SUM(AQ3:AQ26)</f>
        <v>14</v>
      </c>
      <c r="AR27" s="58">
        <f t="shared" si="15"/>
        <v>0</v>
      </c>
      <c r="AS27" s="58">
        <f t="shared" si="15"/>
        <v>2625</v>
      </c>
      <c r="AT27" s="58">
        <f t="shared" si="15"/>
        <v>2625</v>
      </c>
      <c r="AU27" s="109" t="s">
        <v>49</v>
      </c>
      <c r="AV27" s="58">
        <f>SUM(AV3:AV26)</f>
        <v>17.3</v>
      </c>
      <c r="AW27" s="101"/>
      <c r="AX27" s="110">
        <f t="shared" ref="AX27:BA27" si="16">SUM(AX3:AX26)</f>
        <v>7.7</v>
      </c>
      <c r="AY27" s="59">
        <f t="shared" si="16"/>
        <v>25</v>
      </c>
      <c r="AZ27" s="110">
        <f t="shared" si="16"/>
        <v>2</v>
      </c>
      <c r="BA27" s="58">
        <f t="shared" si="16"/>
        <v>1038</v>
      </c>
      <c r="BB27" s="107"/>
      <c r="BC27" s="108">
        <f t="shared" ref="BC27:BC28" si="17">IF(BA27=0,0,AT27/BA27)</f>
        <v>2.5289017341040463</v>
      </c>
      <c r="BD27" s="105" t="s">
        <v>40</v>
      </c>
      <c r="BE27" s="58">
        <f>SUM(BE3:BE26)</f>
        <v>384</v>
      </c>
      <c r="BF27" s="57" t="s">
        <v>49</v>
      </c>
      <c r="BG27" s="57" t="s">
        <v>49</v>
      </c>
      <c r="BH27" s="57" t="s">
        <v>49</v>
      </c>
      <c r="BI27" s="58">
        <f t="shared" ref="BI27:BL27" si="18">SUM(BI3:BI26)</f>
        <v>0</v>
      </c>
      <c r="BJ27" s="58">
        <f t="shared" si="18"/>
        <v>0</v>
      </c>
      <c r="BK27" s="58">
        <f t="shared" si="18"/>
        <v>3664</v>
      </c>
      <c r="BL27" s="58">
        <f t="shared" si="18"/>
        <v>3664</v>
      </c>
      <c r="BM27" s="57" t="s">
        <v>49</v>
      </c>
      <c r="BN27" s="57"/>
      <c r="BO27" s="58">
        <f t="shared" ref="BO27:BS27" si="19">SUM(BO3:BO26)</f>
        <v>15</v>
      </c>
      <c r="BP27" s="58">
        <f t="shared" si="19"/>
        <v>5</v>
      </c>
      <c r="BQ27" s="73">
        <f t="shared" si="19"/>
        <v>20</v>
      </c>
      <c r="BR27" s="58">
        <f t="shared" si="19"/>
        <v>0</v>
      </c>
      <c r="BS27" s="58">
        <f t="shared" si="19"/>
        <v>900</v>
      </c>
      <c r="BT27" s="107"/>
      <c r="BU27" s="108">
        <f t="shared" ref="BU27:BU28" si="20">IF(BS27=0,0,BL27/BS27)</f>
        <v>4.0711111111111107</v>
      </c>
      <c r="BV27" s="105" t="s">
        <v>40</v>
      </c>
      <c r="BW27" s="58">
        <f>SUM(BW3:BW26)</f>
        <v>238</v>
      </c>
      <c r="BX27" s="57" t="s">
        <v>49</v>
      </c>
      <c r="BY27" s="57" t="s">
        <v>49</v>
      </c>
      <c r="BZ27" s="57" t="s">
        <v>49</v>
      </c>
      <c r="CA27" s="58">
        <f t="shared" ref="CA27:CD27" si="21">SUM(CA3:CA26)</f>
        <v>0</v>
      </c>
      <c r="CB27" s="58">
        <f t="shared" si="21"/>
        <v>2</v>
      </c>
      <c r="CC27" s="58">
        <f t="shared" si="21"/>
        <v>1643</v>
      </c>
      <c r="CD27" s="58">
        <f t="shared" si="21"/>
        <v>1645</v>
      </c>
      <c r="CE27" s="57" t="s">
        <v>49</v>
      </c>
      <c r="CF27" s="57"/>
      <c r="CG27" s="58">
        <f t="shared" ref="CG27:CK27" si="22">SUM(CG3:CG26)</f>
        <v>17</v>
      </c>
      <c r="CH27" s="58">
        <f t="shared" si="22"/>
        <v>7</v>
      </c>
      <c r="CI27" s="73">
        <f t="shared" si="22"/>
        <v>24</v>
      </c>
      <c r="CJ27" s="58">
        <f t="shared" si="22"/>
        <v>0</v>
      </c>
      <c r="CK27" s="58">
        <f t="shared" si="22"/>
        <v>1020</v>
      </c>
      <c r="CL27" s="107"/>
      <c r="CM27" s="108">
        <f t="shared" ref="CM27:CM28" si="23">IF(CK27=0,0,CD27/CK27)</f>
        <v>1.6127450980392157</v>
      </c>
      <c r="CN27" s="92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3"/>
      <c r="DC27" s="94"/>
      <c r="DD27" s="111"/>
      <c r="DE27" s="111"/>
      <c r="DF27" s="111"/>
      <c r="DG27" s="111"/>
      <c r="DH27" s="111"/>
      <c r="DI27" s="111"/>
      <c r="DJ27" s="111"/>
      <c r="DK27" s="111"/>
      <c r="DL27" s="111"/>
      <c r="DM27" s="111"/>
      <c r="DN27" s="111"/>
      <c r="DO27" s="111"/>
      <c r="DP27" s="111"/>
      <c r="DQ27" s="111"/>
      <c r="DR27" s="111"/>
      <c r="DS27" s="111"/>
      <c r="DT27" s="112" t="s">
        <v>40</v>
      </c>
      <c r="DU27" s="19"/>
      <c r="DV27" s="19"/>
      <c r="DW27" s="19"/>
      <c r="DX27" s="19"/>
      <c r="DY27" s="19"/>
      <c r="DZ27" s="19"/>
    </row>
    <row r="28" spans="1:130" ht="12.75" x14ac:dyDescent="0.2">
      <c r="A28" s="701"/>
      <c r="B28" s="701">
        <v>46055</v>
      </c>
      <c r="C28" s="85"/>
      <c r="D28" s="85"/>
      <c r="E28" s="85"/>
      <c r="F28" s="85"/>
      <c r="G28" s="85"/>
      <c r="H28" s="692"/>
      <c r="I28" s="85">
        <f t="shared" ref="I28:I51" si="24">F28-E28-G28</f>
        <v>0</v>
      </c>
      <c r="J28" s="703">
        <f>SUM(I28:I31,H28)</f>
        <v>0</v>
      </c>
      <c r="K28" s="85"/>
      <c r="L28" s="85"/>
      <c r="M28" s="692"/>
      <c r="N28" s="692"/>
      <c r="O28" s="699">
        <f>SUM(M28:N31)</f>
        <v>0</v>
      </c>
      <c r="P28" s="692"/>
      <c r="Q28" s="692">
        <f>M28*60</f>
        <v>0</v>
      </c>
      <c r="R28" s="692">
        <f>IF(
   COUNTIF(K28:K31,"SI")&gt;0,
   1.8,
   IF(
      COUNTIF(L28:L31,"SI")&gt;0,
      1.6,
      2
   )
)</f>
        <v>2</v>
      </c>
      <c r="S28" s="700">
        <f t="shared" si="11"/>
        <v>0</v>
      </c>
      <c r="T28" s="701">
        <v>46055</v>
      </c>
      <c r="U28" s="85"/>
      <c r="V28" s="85"/>
      <c r="W28" s="85"/>
      <c r="X28" s="85"/>
      <c r="Y28" s="85"/>
      <c r="Z28" s="692"/>
      <c r="AA28" s="85">
        <f t="shared" ref="AA28:AA51" si="25">X28-W28-Y28</f>
        <v>0</v>
      </c>
      <c r="AB28" s="703">
        <f>SUM(AA28:AA31,Z28)</f>
        <v>0</v>
      </c>
      <c r="AC28" s="85"/>
      <c r="AD28" s="85"/>
      <c r="AE28" s="692"/>
      <c r="AF28" s="692"/>
      <c r="AG28" s="699">
        <f>SUM(AE28:AF31)</f>
        <v>0</v>
      </c>
      <c r="AH28" s="692"/>
      <c r="AI28" s="692">
        <f>AE28*60</f>
        <v>0</v>
      </c>
      <c r="AJ28" s="692">
        <f>IF(
   COUNTIF(AC28:AC31,"SI")&gt;0,
   1.8,
   IF(
      COUNTIF(AD28:AD31,"SI")&gt;0,
      1.6,
      2
   )
)</f>
        <v>2</v>
      </c>
      <c r="AK28" s="700">
        <f t="shared" si="14"/>
        <v>0</v>
      </c>
      <c r="AL28" s="701">
        <v>46055</v>
      </c>
      <c r="AM28" s="85">
        <v>22</v>
      </c>
      <c r="AN28" s="85">
        <v>821</v>
      </c>
      <c r="AO28" s="85">
        <v>8413</v>
      </c>
      <c r="AP28" s="85">
        <v>8500</v>
      </c>
      <c r="AQ28" s="85"/>
      <c r="AR28" s="692"/>
      <c r="AS28" s="85">
        <f t="shared" ref="AS28:AS51" si="26">AP28-AO28-AQ28</f>
        <v>87</v>
      </c>
      <c r="AT28" s="703">
        <f>SUM(AS28:AS31)</f>
        <v>1178</v>
      </c>
      <c r="AU28" s="23" t="s">
        <v>51</v>
      </c>
      <c r="AV28" s="692">
        <v>8</v>
      </c>
      <c r="AW28" s="23" t="s">
        <v>51</v>
      </c>
      <c r="AX28" s="692">
        <v>0.5</v>
      </c>
      <c r="AY28" s="699">
        <f>SUM(AV28:AX31)</f>
        <v>8.5</v>
      </c>
      <c r="AZ28" s="692">
        <v>0.1</v>
      </c>
      <c r="BA28" s="692">
        <f>AV28*60</f>
        <v>480</v>
      </c>
      <c r="BB28" s="692">
        <f>IF(
   COUNTIF(AU28:AU31,"SI")&gt;0,
   1.8,
   IF(
      COUNTIF(AV28:AV31,"SI")&gt;0,
      1.6,
      2
   )
)</f>
        <v>1.8</v>
      </c>
      <c r="BC28" s="716">
        <f t="shared" si="17"/>
        <v>2.4541666666666666</v>
      </c>
      <c r="BD28" s="701">
        <v>46055</v>
      </c>
      <c r="BE28" s="85">
        <v>59</v>
      </c>
      <c r="BF28" s="85">
        <v>512</v>
      </c>
      <c r="BG28" s="85">
        <v>502</v>
      </c>
      <c r="BH28" s="85">
        <v>1000</v>
      </c>
      <c r="BI28" s="85">
        <v>0</v>
      </c>
      <c r="BJ28" s="692">
        <v>0</v>
      </c>
      <c r="BK28" s="85">
        <f t="shared" ref="BK28:BK51" si="27">BH28-BG28-BI28</f>
        <v>498</v>
      </c>
      <c r="BL28" s="703">
        <f>SUM(BK28:BK31,BJ28)</f>
        <v>498</v>
      </c>
      <c r="BM28" s="85" t="s">
        <v>53</v>
      </c>
      <c r="BN28" s="85" t="s">
        <v>53</v>
      </c>
      <c r="BO28" s="692">
        <v>5</v>
      </c>
      <c r="BP28" s="692">
        <v>2</v>
      </c>
      <c r="BQ28" s="699">
        <f>SUM(BO28:BP31)</f>
        <v>7</v>
      </c>
      <c r="BR28" s="692">
        <v>0</v>
      </c>
      <c r="BS28" s="692">
        <f>BO28*60</f>
        <v>300</v>
      </c>
      <c r="BT28" s="692">
        <f>IF(
   COUNTIF(BM28:BM31,"SI")&gt;0,
   1.8,
   IF(
      COUNTIF(BN28:BN31,"SI")&gt;0,
      1.6,
      2
   )
)</f>
        <v>2</v>
      </c>
      <c r="BU28" s="716">
        <f t="shared" si="20"/>
        <v>1.66</v>
      </c>
      <c r="BV28" s="701">
        <v>46055</v>
      </c>
      <c r="BW28" s="85"/>
      <c r="BX28" s="85"/>
      <c r="BY28" s="85"/>
      <c r="BZ28" s="85"/>
      <c r="CA28" s="85"/>
      <c r="CB28" s="692">
        <v>0</v>
      </c>
      <c r="CC28" s="85">
        <f t="shared" ref="CC28:CC51" si="28">BZ28-BY28-CA28</f>
        <v>0</v>
      </c>
      <c r="CD28" s="703">
        <f>SUM(CC28:CC31,CB28)</f>
        <v>0</v>
      </c>
      <c r="CE28" s="85"/>
      <c r="CF28" s="85"/>
      <c r="CG28" s="692">
        <v>6</v>
      </c>
      <c r="CH28" s="692">
        <v>1</v>
      </c>
      <c r="CI28" s="699">
        <f>SUM(CG28:CH31)</f>
        <v>7</v>
      </c>
      <c r="CJ28" s="692">
        <v>0</v>
      </c>
      <c r="CK28" s="692">
        <f>CG28*60</f>
        <v>360</v>
      </c>
      <c r="CL28" s="692">
        <f>IF(
   COUNTIF(CE28:CE31,"SI")&gt;0,
   1.8,
   IF(
      COUNTIF(CF28:CF31,"SI")&gt;0,
      1.6,
      2
   )
)</f>
        <v>2</v>
      </c>
      <c r="CM28" s="716">
        <f t="shared" si="23"/>
        <v>0</v>
      </c>
      <c r="CN28" s="92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4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/>
      <c r="DQ28" s="90"/>
      <c r="DR28" s="90"/>
      <c r="DS28" s="90"/>
      <c r="DT28" s="717">
        <v>46055</v>
      </c>
      <c r="DU28" s="718">
        <f>SUM(J28,AB28,AT28,BL28,CD28)</f>
        <v>1676</v>
      </c>
      <c r="DV28" s="718">
        <f>SUM(Q28,AI28,BA28,BS28,CK28)</f>
        <v>1140</v>
      </c>
      <c r="DW28" s="719">
        <f>DU28/DV28</f>
        <v>1.4701754385964911</v>
      </c>
      <c r="DX28" s="19"/>
      <c r="DY28" s="697" t="s">
        <v>36</v>
      </c>
      <c r="DZ28" s="720">
        <f>SUM(C52,U52,AM52,BE52,BW52)</f>
        <v>1518</v>
      </c>
    </row>
    <row r="29" spans="1:130" ht="12.75" x14ac:dyDescent="0.2">
      <c r="A29" s="647"/>
      <c r="B29" s="647"/>
      <c r="C29" s="23"/>
      <c r="D29" s="23"/>
      <c r="E29" s="23"/>
      <c r="F29" s="23"/>
      <c r="G29" s="23"/>
      <c r="H29" s="634"/>
      <c r="I29" s="23">
        <f t="shared" si="24"/>
        <v>0</v>
      </c>
      <c r="J29" s="634"/>
      <c r="K29" s="23"/>
      <c r="L29" s="91"/>
      <c r="M29" s="634"/>
      <c r="N29" s="634"/>
      <c r="O29" s="634"/>
      <c r="P29" s="634"/>
      <c r="Q29" s="634"/>
      <c r="R29" s="634"/>
      <c r="S29" s="659"/>
      <c r="T29" s="647"/>
      <c r="U29" s="23"/>
      <c r="V29" s="23"/>
      <c r="W29" s="23"/>
      <c r="X29" s="23"/>
      <c r="Y29" s="23"/>
      <c r="Z29" s="634"/>
      <c r="AA29" s="23">
        <f t="shared" si="25"/>
        <v>0</v>
      </c>
      <c r="AB29" s="634"/>
      <c r="AC29" s="23"/>
      <c r="AD29" s="91"/>
      <c r="AE29" s="634"/>
      <c r="AF29" s="634"/>
      <c r="AG29" s="634"/>
      <c r="AH29" s="634"/>
      <c r="AI29" s="634"/>
      <c r="AJ29" s="634"/>
      <c r="AK29" s="659"/>
      <c r="AL29" s="647"/>
      <c r="AM29" s="23">
        <v>117</v>
      </c>
      <c r="AN29" s="23">
        <v>823</v>
      </c>
      <c r="AO29" s="23">
        <v>9002</v>
      </c>
      <c r="AP29" s="23">
        <v>9502</v>
      </c>
      <c r="AQ29" s="23">
        <v>6</v>
      </c>
      <c r="AR29" s="634"/>
      <c r="AS29" s="23">
        <f t="shared" si="26"/>
        <v>494</v>
      </c>
      <c r="AT29" s="634"/>
      <c r="AU29" s="23" t="s">
        <v>51</v>
      </c>
      <c r="AV29" s="634"/>
      <c r="AW29" s="23" t="s">
        <v>51</v>
      </c>
      <c r="AX29" s="634"/>
      <c r="AY29" s="634"/>
      <c r="AZ29" s="634"/>
      <c r="BA29" s="634"/>
      <c r="BB29" s="634"/>
      <c r="BC29" s="659"/>
      <c r="BD29" s="647"/>
      <c r="BE29" s="23"/>
      <c r="BF29" s="23"/>
      <c r="BG29" s="23"/>
      <c r="BH29" s="23"/>
      <c r="BI29" s="23"/>
      <c r="BJ29" s="634"/>
      <c r="BK29" s="23">
        <f t="shared" si="27"/>
        <v>0</v>
      </c>
      <c r="BL29" s="634"/>
      <c r="BM29" s="23"/>
      <c r="BN29" s="91"/>
      <c r="BO29" s="634"/>
      <c r="BP29" s="634"/>
      <c r="BQ29" s="634"/>
      <c r="BR29" s="634"/>
      <c r="BS29" s="634"/>
      <c r="BT29" s="634"/>
      <c r="BU29" s="659"/>
      <c r="BV29" s="647"/>
      <c r="BW29" s="23"/>
      <c r="BX29" s="23"/>
      <c r="BY29" s="23"/>
      <c r="BZ29" s="23"/>
      <c r="CA29" s="23"/>
      <c r="CB29" s="634"/>
      <c r="CC29" s="23">
        <f t="shared" si="28"/>
        <v>0</v>
      </c>
      <c r="CD29" s="634"/>
      <c r="CE29" s="23" t="s">
        <v>53</v>
      </c>
      <c r="CF29" s="91" t="s">
        <v>53</v>
      </c>
      <c r="CG29" s="634"/>
      <c r="CH29" s="634"/>
      <c r="CI29" s="634"/>
      <c r="CJ29" s="634"/>
      <c r="CK29" s="634"/>
      <c r="CL29" s="634"/>
      <c r="CM29" s="659"/>
      <c r="CN29" s="92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3"/>
      <c r="DB29" s="93"/>
      <c r="DC29" s="94"/>
      <c r="DD29" s="90"/>
      <c r="DE29" s="90"/>
      <c r="DF29" s="90"/>
      <c r="DG29" s="90"/>
      <c r="DH29" s="90"/>
      <c r="DI29" s="90"/>
      <c r="DJ29" s="90"/>
      <c r="DK29" s="90"/>
      <c r="DL29" s="90"/>
      <c r="DM29" s="90"/>
      <c r="DN29" s="90"/>
      <c r="DO29" s="90"/>
      <c r="DP29" s="90"/>
      <c r="DQ29" s="90"/>
      <c r="DR29" s="90"/>
      <c r="DS29" s="90"/>
      <c r="DT29" s="670"/>
      <c r="DU29" s="634"/>
      <c r="DV29" s="634"/>
      <c r="DW29" s="659"/>
      <c r="DX29" s="19"/>
      <c r="DY29" s="634"/>
      <c r="DZ29" s="634"/>
    </row>
    <row r="30" spans="1:130" ht="12.75" x14ac:dyDescent="0.2">
      <c r="A30" s="647"/>
      <c r="B30" s="647"/>
      <c r="C30" s="23"/>
      <c r="D30" s="23"/>
      <c r="E30" s="23"/>
      <c r="F30" s="23"/>
      <c r="G30" s="23"/>
      <c r="H30" s="634"/>
      <c r="I30" s="23">
        <f t="shared" si="24"/>
        <v>0</v>
      </c>
      <c r="J30" s="634"/>
      <c r="K30" s="23"/>
      <c r="L30" s="91"/>
      <c r="M30" s="634"/>
      <c r="N30" s="634"/>
      <c r="O30" s="634"/>
      <c r="P30" s="634"/>
      <c r="Q30" s="634"/>
      <c r="R30" s="634"/>
      <c r="S30" s="659"/>
      <c r="T30" s="647"/>
      <c r="U30" s="23"/>
      <c r="V30" s="23"/>
      <c r="W30" s="23"/>
      <c r="X30" s="23"/>
      <c r="Y30" s="23"/>
      <c r="Z30" s="634"/>
      <c r="AA30" s="23">
        <f t="shared" si="25"/>
        <v>0</v>
      </c>
      <c r="AB30" s="634"/>
      <c r="AC30" s="23"/>
      <c r="AD30" s="91"/>
      <c r="AE30" s="634"/>
      <c r="AF30" s="634"/>
      <c r="AG30" s="634"/>
      <c r="AH30" s="634"/>
      <c r="AI30" s="634"/>
      <c r="AJ30" s="634"/>
      <c r="AK30" s="659"/>
      <c r="AL30" s="647"/>
      <c r="AM30" s="28">
        <v>121</v>
      </c>
      <c r="AN30" s="28">
        <v>824</v>
      </c>
      <c r="AO30" s="28">
        <v>9503</v>
      </c>
      <c r="AP30" s="28">
        <v>10002</v>
      </c>
      <c r="AQ30" s="23"/>
      <c r="AR30" s="634"/>
      <c r="AS30" s="23">
        <f t="shared" si="26"/>
        <v>499</v>
      </c>
      <c r="AT30" s="634"/>
      <c r="AU30" s="23" t="s">
        <v>51</v>
      </c>
      <c r="AV30" s="634"/>
      <c r="AW30" s="91" t="s">
        <v>51</v>
      </c>
      <c r="AX30" s="634"/>
      <c r="AY30" s="634"/>
      <c r="AZ30" s="634"/>
      <c r="BA30" s="634"/>
      <c r="BB30" s="634"/>
      <c r="BC30" s="659"/>
      <c r="BD30" s="647"/>
      <c r="BE30" s="23"/>
      <c r="BF30" s="23"/>
      <c r="BG30" s="23"/>
      <c r="BH30" s="23"/>
      <c r="BI30" s="23"/>
      <c r="BJ30" s="634"/>
      <c r="BK30" s="23">
        <f t="shared" si="27"/>
        <v>0</v>
      </c>
      <c r="BL30" s="634"/>
      <c r="BM30" s="23"/>
      <c r="BN30" s="91"/>
      <c r="BO30" s="634"/>
      <c r="BP30" s="634"/>
      <c r="BQ30" s="634"/>
      <c r="BR30" s="634"/>
      <c r="BS30" s="634"/>
      <c r="BT30" s="634"/>
      <c r="BU30" s="659"/>
      <c r="BV30" s="647"/>
      <c r="BW30" s="23"/>
      <c r="BX30" s="23"/>
      <c r="BY30" s="23"/>
      <c r="BZ30" s="23"/>
      <c r="CA30" s="23"/>
      <c r="CB30" s="634"/>
      <c r="CC30" s="23">
        <f t="shared" si="28"/>
        <v>0</v>
      </c>
      <c r="CD30" s="634"/>
      <c r="CE30" s="23"/>
      <c r="CF30" s="91"/>
      <c r="CG30" s="634"/>
      <c r="CH30" s="634"/>
      <c r="CI30" s="634"/>
      <c r="CJ30" s="634"/>
      <c r="CK30" s="634"/>
      <c r="CL30" s="634"/>
      <c r="CM30" s="659"/>
      <c r="CN30" s="92"/>
      <c r="CO30" s="93"/>
      <c r="CP30" s="93"/>
      <c r="CQ30" s="93"/>
      <c r="CR30" s="93"/>
      <c r="CS30" s="93"/>
      <c r="CT30" s="93"/>
      <c r="CU30" s="93"/>
      <c r="CV30" s="93"/>
      <c r="CW30" s="93"/>
      <c r="CX30" s="93"/>
      <c r="CY30" s="93"/>
      <c r="CZ30" s="93"/>
      <c r="DA30" s="93"/>
      <c r="DB30" s="93"/>
      <c r="DC30" s="94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0"/>
      <c r="DQ30" s="90"/>
      <c r="DR30" s="90"/>
      <c r="DS30" s="90"/>
      <c r="DT30" s="670"/>
      <c r="DU30" s="634"/>
      <c r="DV30" s="634"/>
      <c r="DW30" s="659"/>
      <c r="DX30" s="19"/>
      <c r="DY30" s="634"/>
      <c r="DZ30" s="634"/>
    </row>
    <row r="31" spans="1:130" ht="12.75" x14ac:dyDescent="0.2">
      <c r="A31" s="648"/>
      <c r="B31" s="648"/>
      <c r="C31" s="23"/>
      <c r="D31" s="23"/>
      <c r="E31" s="23"/>
      <c r="F31" s="23"/>
      <c r="G31" s="23"/>
      <c r="H31" s="635"/>
      <c r="I31" s="23">
        <f t="shared" si="24"/>
        <v>0</v>
      </c>
      <c r="J31" s="635"/>
      <c r="K31" s="23"/>
      <c r="L31" s="91"/>
      <c r="M31" s="635"/>
      <c r="N31" s="635"/>
      <c r="O31" s="635"/>
      <c r="P31" s="635"/>
      <c r="Q31" s="635"/>
      <c r="R31" s="635"/>
      <c r="S31" s="660"/>
      <c r="T31" s="648"/>
      <c r="U31" s="23"/>
      <c r="V31" s="23"/>
      <c r="W31" s="23"/>
      <c r="X31" s="23"/>
      <c r="Y31" s="23"/>
      <c r="Z31" s="635"/>
      <c r="AA31" s="23">
        <f t="shared" si="25"/>
        <v>0</v>
      </c>
      <c r="AB31" s="635"/>
      <c r="AC31" s="23"/>
      <c r="AD31" s="91"/>
      <c r="AE31" s="635"/>
      <c r="AF31" s="635"/>
      <c r="AG31" s="635"/>
      <c r="AH31" s="635"/>
      <c r="AI31" s="635"/>
      <c r="AJ31" s="635"/>
      <c r="AK31" s="660"/>
      <c r="AL31" s="648"/>
      <c r="AM31" s="23">
        <v>20</v>
      </c>
      <c r="AN31" s="23">
        <v>825</v>
      </c>
      <c r="AO31" s="23">
        <v>10003</v>
      </c>
      <c r="AP31" s="23">
        <v>10101</v>
      </c>
      <c r="AQ31" s="23"/>
      <c r="AR31" s="635"/>
      <c r="AS31" s="23">
        <f t="shared" si="26"/>
        <v>98</v>
      </c>
      <c r="AT31" s="635"/>
      <c r="AU31" s="23" t="s">
        <v>51</v>
      </c>
      <c r="AV31" s="635"/>
      <c r="AW31" s="91" t="s">
        <v>51</v>
      </c>
      <c r="AX31" s="635"/>
      <c r="AY31" s="635"/>
      <c r="AZ31" s="635"/>
      <c r="BA31" s="635"/>
      <c r="BB31" s="635"/>
      <c r="BC31" s="660"/>
      <c r="BD31" s="648"/>
      <c r="BE31" s="23"/>
      <c r="BF31" s="23"/>
      <c r="BG31" s="23"/>
      <c r="BH31" s="23"/>
      <c r="BI31" s="23"/>
      <c r="BJ31" s="635"/>
      <c r="BK31" s="23">
        <f t="shared" si="27"/>
        <v>0</v>
      </c>
      <c r="BL31" s="635"/>
      <c r="BM31" s="23"/>
      <c r="BN31" s="91"/>
      <c r="BO31" s="635"/>
      <c r="BP31" s="635"/>
      <c r="BQ31" s="635"/>
      <c r="BR31" s="635"/>
      <c r="BS31" s="635"/>
      <c r="BT31" s="635"/>
      <c r="BU31" s="660"/>
      <c r="BV31" s="648"/>
      <c r="BW31" s="23"/>
      <c r="BX31" s="23"/>
      <c r="BY31" s="23"/>
      <c r="BZ31" s="23"/>
      <c r="CA31" s="23"/>
      <c r="CB31" s="635"/>
      <c r="CC31" s="23">
        <f t="shared" si="28"/>
        <v>0</v>
      </c>
      <c r="CD31" s="635"/>
      <c r="CE31" s="23"/>
      <c r="CF31" s="91"/>
      <c r="CG31" s="635"/>
      <c r="CH31" s="635"/>
      <c r="CI31" s="635"/>
      <c r="CJ31" s="635"/>
      <c r="CK31" s="635"/>
      <c r="CL31" s="635"/>
      <c r="CM31" s="660"/>
      <c r="CN31" s="92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  <c r="DB31" s="93"/>
      <c r="DC31" s="94"/>
      <c r="DD31" s="90"/>
      <c r="DE31" s="90"/>
      <c r="DF31" s="90"/>
      <c r="DG31" s="90"/>
      <c r="DH31" s="90"/>
      <c r="DI31" s="90"/>
      <c r="DJ31" s="90"/>
      <c r="DK31" s="90"/>
      <c r="DL31" s="90"/>
      <c r="DM31" s="90"/>
      <c r="DN31" s="90"/>
      <c r="DO31" s="90"/>
      <c r="DP31" s="90"/>
      <c r="DQ31" s="90"/>
      <c r="DR31" s="90"/>
      <c r="DS31" s="90"/>
      <c r="DT31" s="671"/>
      <c r="DU31" s="635"/>
      <c r="DV31" s="635"/>
      <c r="DW31" s="660"/>
      <c r="DX31" s="19"/>
      <c r="DY31" s="635"/>
      <c r="DZ31" s="635"/>
    </row>
    <row r="32" spans="1:130" ht="18" customHeight="1" x14ac:dyDescent="0.2">
      <c r="A32" s="694"/>
      <c r="B32" s="694">
        <v>46056</v>
      </c>
      <c r="C32" s="53"/>
      <c r="D32" s="53"/>
      <c r="E32" s="53"/>
      <c r="F32" s="53"/>
      <c r="G32" s="53"/>
      <c r="H32" s="690"/>
      <c r="I32" s="53">
        <f t="shared" si="24"/>
        <v>0</v>
      </c>
      <c r="J32" s="691">
        <f>SUM(I32:I35,H32)</f>
        <v>0</v>
      </c>
      <c r="K32" s="53"/>
      <c r="L32" s="53"/>
      <c r="M32" s="690"/>
      <c r="N32" s="690">
        <v>1.6</v>
      </c>
      <c r="O32" s="689">
        <f>SUM(M32:N35)</f>
        <v>1.6</v>
      </c>
      <c r="P32" s="690"/>
      <c r="Q32" s="690">
        <f>M32*60</f>
        <v>0</v>
      </c>
      <c r="R32" s="692">
        <f>IF(
   COUNTIF(K32:K35,"SI")&gt;0,
   1.8,
   IF(
      COUNTIF(L32:L35,"SI")&gt;0,
      1.6,
      2
   )
)</f>
        <v>2</v>
      </c>
      <c r="S32" s="700">
        <f>IF(Q32=0,0,J32/Q32)</f>
        <v>0</v>
      </c>
      <c r="T32" s="694">
        <v>46056</v>
      </c>
      <c r="U32" s="53">
        <v>61</v>
      </c>
      <c r="V32" s="53">
        <v>818</v>
      </c>
      <c r="W32" s="53">
        <v>6629</v>
      </c>
      <c r="X32" s="53">
        <v>6889</v>
      </c>
      <c r="Y32" s="53">
        <v>0</v>
      </c>
      <c r="Z32" s="690">
        <v>0</v>
      </c>
      <c r="AA32" s="53">
        <f t="shared" si="25"/>
        <v>260</v>
      </c>
      <c r="AB32" s="691">
        <f>SUM(AA32:AA35,Z32)</f>
        <v>260</v>
      </c>
      <c r="AC32" s="53" t="s">
        <v>51</v>
      </c>
      <c r="AD32" s="53" t="s">
        <v>51</v>
      </c>
      <c r="AE32" s="690">
        <v>2.2999999999999998</v>
      </c>
      <c r="AF32" s="690">
        <v>3.2</v>
      </c>
      <c r="AG32" s="689">
        <f>SUM(AE32:AF35)</f>
        <v>5.5</v>
      </c>
      <c r="AH32" s="690">
        <v>0</v>
      </c>
      <c r="AI32" s="690">
        <f>AE32*60</f>
        <v>138</v>
      </c>
      <c r="AJ32" s="692">
        <f>IF(
   COUNTIF(AC32:AC35,"SI")&gt;0,
   1.8,
   IF(
      COUNTIF(AD32:AD35,"SI")&gt;0,
      1.6,
      2
   )
)</f>
        <v>1.8</v>
      </c>
      <c r="AK32" s="693">
        <f>IF(AI32=0,0,AB32/AI32)</f>
        <v>1.8840579710144927</v>
      </c>
      <c r="AL32" s="694">
        <v>46056</v>
      </c>
      <c r="AM32" s="53"/>
      <c r="AN32" s="53"/>
      <c r="AO32" s="53"/>
      <c r="AP32" s="53"/>
      <c r="AQ32" s="53"/>
      <c r="AR32" s="690"/>
      <c r="AS32" s="53">
        <f t="shared" si="26"/>
        <v>0</v>
      </c>
      <c r="AT32" s="98">
        <f>SUM(AS32)</f>
        <v>0</v>
      </c>
      <c r="AU32" s="53"/>
      <c r="AV32" s="53"/>
      <c r="AW32" s="53"/>
      <c r="AX32" s="690"/>
      <c r="AY32" s="689">
        <f>SUM(AV32:AX35)</f>
        <v>0</v>
      </c>
      <c r="AZ32" s="690">
        <v>0.25</v>
      </c>
      <c r="BA32" s="54">
        <f t="shared" ref="BA32:BA33" si="29">AV32*60</f>
        <v>0</v>
      </c>
      <c r="BB32" s="692">
        <f>IF(
   COUNTIF(AU32:AU35,"SI")&gt;0,
   1.8,
   IF(
      COUNTIF(AV32:AV35,"SI")&gt;0,
      1.6,
      2
   )
)</f>
        <v>2</v>
      </c>
      <c r="BC32" s="99">
        <f t="shared" ref="BC32:BC33" si="30">IF(BA32=0,0,AT32/BA32)</f>
        <v>0</v>
      </c>
      <c r="BD32" s="694">
        <v>46056</v>
      </c>
      <c r="BE32" s="53">
        <v>30</v>
      </c>
      <c r="BF32" s="53">
        <v>510</v>
      </c>
      <c r="BG32" s="53">
        <v>31008</v>
      </c>
      <c r="BH32" s="53">
        <v>31324</v>
      </c>
      <c r="BI32" s="53">
        <v>0</v>
      </c>
      <c r="BJ32" s="690">
        <v>0</v>
      </c>
      <c r="BK32" s="53">
        <f t="shared" si="27"/>
        <v>316</v>
      </c>
      <c r="BL32" s="691">
        <f>SUM(BK32:BK35,BJ32)</f>
        <v>1314</v>
      </c>
      <c r="BM32" s="53" t="s">
        <v>53</v>
      </c>
      <c r="BN32" s="53" t="s">
        <v>53</v>
      </c>
      <c r="BO32" s="690">
        <v>5</v>
      </c>
      <c r="BP32" s="690">
        <v>1</v>
      </c>
      <c r="BQ32" s="689">
        <f>SUM(BO32:BP35)</f>
        <v>6</v>
      </c>
      <c r="BR32" s="690">
        <v>0</v>
      </c>
      <c r="BS32" s="690">
        <f>BO32*60</f>
        <v>300</v>
      </c>
      <c r="BT32" s="692">
        <f>IF(
   COUNTIF(BM32:BM35,"SI")&gt;0,
   1.8,
   IF(
      COUNTIF(BN32:BN35,"SI")&gt;0,
      1.6,
      2
   )
)</f>
        <v>2</v>
      </c>
      <c r="BU32" s="705">
        <f>IF(BS32=0,0,BL32/BS32)</f>
        <v>4.38</v>
      </c>
      <c r="BV32" s="694">
        <v>46056</v>
      </c>
      <c r="BW32" s="53">
        <v>24</v>
      </c>
      <c r="BX32" s="53">
        <v>511</v>
      </c>
      <c r="BY32" s="53">
        <v>2</v>
      </c>
      <c r="BZ32" s="53">
        <v>204</v>
      </c>
      <c r="CA32" s="53">
        <v>0</v>
      </c>
      <c r="CB32" s="690">
        <v>0</v>
      </c>
      <c r="CC32" s="53">
        <f t="shared" si="28"/>
        <v>202</v>
      </c>
      <c r="CD32" s="691">
        <f>SUM(CC32:CC35,CB32)</f>
        <v>202</v>
      </c>
      <c r="CE32" s="53" t="s">
        <v>53</v>
      </c>
      <c r="CF32" s="53" t="s">
        <v>53</v>
      </c>
      <c r="CG32" s="690">
        <v>4</v>
      </c>
      <c r="CH32" s="690">
        <v>2</v>
      </c>
      <c r="CI32" s="689">
        <f>SUM(CG32:CH35)</f>
        <v>6</v>
      </c>
      <c r="CJ32" s="690">
        <v>0</v>
      </c>
      <c r="CK32" s="690">
        <f>CG32*60</f>
        <v>240</v>
      </c>
      <c r="CL32" s="692">
        <f>IF(
   COUNTIF(CE32:CE35,"SI")&gt;0,
   1.8,
   IF(
      COUNTIF(CF32:CF35,"SI")&gt;0,
      1.6,
      2
   )
)</f>
        <v>2</v>
      </c>
      <c r="CM32" s="705">
        <f>IF(CK32=0,0,CD32/CK32)</f>
        <v>0.84166666666666667</v>
      </c>
      <c r="CN32" s="92"/>
      <c r="CO32" s="93"/>
      <c r="CP32" s="93"/>
      <c r="CQ32" s="93"/>
      <c r="CR32" s="93"/>
      <c r="CS32" s="93"/>
      <c r="CT32" s="93"/>
      <c r="CU32" s="93"/>
      <c r="CV32" s="93"/>
      <c r="CW32" s="93"/>
      <c r="CX32" s="93"/>
      <c r="CY32" s="93"/>
      <c r="CZ32" s="93"/>
      <c r="DA32" s="93"/>
      <c r="DB32" s="93"/>
      <c r="DC32" s="94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706">
        <v>46056</v>
      </c>
      <c r="DU32" s="707">
        <f>SUM(J32,AB32,AT32,BL32,CD32)</f>
        <v>1776</v>
      </c>
      <c r="DV32" s="707">
        <f>SUM(Q32,AI32,BA32,BS32,CK32)</f>
        <v>678</v>
      </c>
      <c r="DW32" s="709">
        <f>DU32/DV32</f>
        <v>2.6194690265486726</v>
      </c>
      <c r="DX32" s="19"/>
      <c r="DY32" s="713" t="s">
        <v>37</v>
      </c>
      <c r="DZ32" s="707">
        <f>SUM(DU28:DU51)</f>
        <v>11160</v>
      </c>
    </row>
    <row r="33" spans="1:130" ht="12.75" x14ac:dyDescent="0.2">
      <c r="A33" s="647"/>
      <c r="B33" s="647"/>
      <c r="C33" s="53"/>
      <c r="D33" s="53"/>
      <c r="E33" s="53"/>
      <c r="F33" s="53"/>
      <c r="G33" s="53"/>
      <c r="H33" s="634"/>
      <c r="I33" s="53">
        <f t="shared" si="24"/>
        <v>0</v>
      </c>
      <c r="J33" s="634"/>
      <c r="K33" s="53"/>
      <c r="L33" s="53"/>
      <c r="M33" s="634"/>
      <c r="N33" s="634"/>
      <c r="O33" s="634"/>
      <c r="P33" s="634"/>
      <c r="Q33" s="634"/>
      <c r="R33" s="634"/>
      <c r="S33" s="659"/>
      <c r="T33" s="647"/>
      <c r="U33" s="53"/>
      <c r="V33" s="53"/>
      <c r="W33" s="53"/>
      <c r="X33" s="53"/>
      <c r="Y33" s="53"/>
      <c r="Z33" s="634"/>
      <c r="AA33" s="53">
        <f t="shared" si="25"/>
        <v>0</v>
      </c>
      <c r="AB33" s="634"/>
      <c r="AC33" s="19"/>
      <c r="AD33" s="53"/>
      <c r="AE33" s="634"/>
      <c r="AF33" s="634"/>
      <c r="AG33" s="634"/>
      <c r="AH33" s="634"/>
      <c r="AI33" s="634"/>
      <c r="AJ33" s="634"/>
      <c r="AK33" s="659"/>
      <c r="AL33" s="647"/>
      <c r="AM33" s="53"/>
      <c r="AN33" s="53"/>
      <c r="AO33" s="53"/>
      <c r="AP33" s="53"/>
      <c r="AQ33" s="53"/>
      <c r="AR33" s="634"/>
      <c r="AS33" s="53">
        <f t="shared" si="26"/>
        <v>0</v>
      </c>
      <c r="AT33" s="691">
        <f>SUM(AS33,AS34)</f>
        <v>0</v>
      </c>
      <c r="AU33" s="690"/>
      <c r="AV33" s="690"/>
      <c r="AW33" s="53"/>
      <c r="AX33" s="634"/>
      <c r="AY33" s="634"/>
      <c r="AZ33" s="634"/>
      <c r="BA33" s="690">
        <f t="shared" si="29"/>
        <v>0</v>
      </c>
      <c r="BB33" s="634"/>
      <c r="BC33" s="693">
        <f t="shared" si="30"/>
        <v>0</v>
      </c>
      <c r="BD33" s="647"/>
      <c r="BE33" s="53">
        <v>53</v>
      </c>
      <c r="BF33" s="53">
        <v>509</v>
      </c>
      <c r="BG33" s="53">
        <v>30501</v>
      </c>
      <c r="BH33" s="53">
        <v>31000</v>
      </c>
      <c r="BI33" s="53">
        <v>0</v>
      </c>
      <c r="BJ33" s="634"/>
      <c r="BK33" s="53">
        <f t="shared" si="27"/>
        <v>499</v>
      </c>
      <c r="BL33" s="634"/>
      <c r="BM33" s="53" t="s">
        <v>53</v>
      </c>
      <c r="BN33" s="53" t="s">
        <v>53</v>
      </c>
      <c r="BO33" s="634"/>
      <c r="BP33" s="634"/>
      <c r="BQ33" s="634"/>
      <c r="BR33" s="634"/>
      <c r="BS33" s="634"/>
      <c r="BT33" s="634"/>
      <c r="BU33" s="659"/>
      <c r="BV33" s="647"/>
      <c r="BW33" s="53"/>
      <c r="BX33" s="53"/>
      <c r="BY33" s="53"/>
      <c r="BZ33" s="53"/>
      <c r="CA33" s="53"/>
      <c r="CB33" s="634"/>
      <c r="CC33" s="53">
        <f t="shared" si="28"/>
        <v>0</v>
      </c>
      <c r="CD33" s="634"/>
      <c r="CE33" s="53"/>
      <c r="CF33" s="53"/>
      <c r="CG33" s="634"/>
      <c r="CH33" s="634"/>
      <c r="CI33" s="634"/>
      <c r="CJ33" s="634"/>
      <c r="CK33" s="634"/>
      <c r="CL33" s="634"/>
      <c r="CM33" s="659"/>
      <c r="CN33" s="92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/>
      <c r="DC33" s="94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0"/>
      <c r="DQ33" s="90"/>
      <c r="DR33" s="90"/>
      <c r="DS33" s="90"/>
      <c r="DT33" s="670"/>
      <c r="DU33" s="634"/>
      <c r="DV33" s="634"/>
      <c r="DW33" s="659"/>
      <c r="DX33" s="19"/>
      <c r="DY33" s="634"/>
      <c r="DZ33" s="634"/>
    </row>
    <row r="34" spans="1:130" ht="12.75" x14ac:dyDescent="0.2">
      <c r="A34" s="647"/>
      <c r="B34" s="647"/>
      <c r="C34" s="53"/>
      <c r="D34" s="53"/>
      <c r="E34" s="53"/>
      <c r="F34" s="53"/>
      <c r="G34" s="53"/>
      <c r="H34" s="634"/>
      <c r="I34" s="53">
        <f t="shared" si="24"/>
        <v>0</v>
      </c>
      <c r="J34" s="634"/>
      <c r="K34" s="53"/>
      <c r="L34" s="53"/>
      <c r="M34" s="634"/>
      <c r="N34" s="634"/>
      <c r="O34" s="634"/>
      <c r="P34" s="634"/>
      <c r="Q34" s="634"/>
      <c r="R34" s="634"/>
      <c r="S34" s="659"/>
      <c r="T34" s="647"/>
      <c r="U34" s="53"/>
      <c r="V34" s="53"/>
      <c r="W34" s="53"/>
      <c r="X34" s="53"/>
      <c r="Y34" s="53"/>
      <c r="Z34" s="634"/>
      <c r="AA34" s="53">
        <f t="shared" si="25"/>
        <v>0</v>
      </c>
      <c r="AB34" s="634"/>
      <c r="AC34" s="53"/>
      <c r="AD34" s="53"/>
      <c r="AE34" s="634"/>
      <c r="AF34" s="634"/>
      <c r="AG34" s="634"/>
      <c r="AH34" s="634"/>
      <c r="AI34" s="634"/>
      <c r="AJ34" s="634"/>
      <c r="AK34" s="659"/>
      <c r="AL34" s="647"/>
      <c r="AM34" s="53"/>
      <c r="AN34" s="53"/>
      <c r="AO34" s="53"/>
      <c r="AP34" s="53"/>
      <c r="AQ34" s="53"/>
      <c r="AR34" s="634"/>
      <c r="AS34" s="53">
        <f t="shared" si="26"/>
        <v>0</v>
      </c>
      <c r="AT34" s="635"/>
      <c r="AU34" s="635"/>
      <c r="AV34" s="635"/>
      <c r="AW34" s="53"/>
      <c r="AX34" s="634"/>
      <c r="AY34" s="634"/>
      <c r="AZ34" s="634"/>
      <c r="BA34" s="635"/>
      <c r="BB34" s="634"/>
      <c r="BC34" s="660"/>
      <c r="BD34" s="647"/>
      <c r="BE34" s="53">
        <v>53</v>
      </c>
      <c r="BF34" s="53">
        <v>508</v>
      </c>
      <c r="BG34" s="53">
        <v>30001</v>
      </c>
      <c r="BH34" s="53">
        <v>30500</v>
      </c>
      <c r="BI34" s="53">
        <v>0</v>
      </c>
      <c r="BJ34" s="634"/>
      <c r="BK34" s="53">
        <f t="shared" si="27"/>
        <v>499</v>
      </c>
      <c r="BL34" s="634"/>
      <c r="BM34" s="53" t="s">
        <v>53</v>
      </c>
      <c r="BN34" s="53" t="s">
        <v>53</v>
      </c>
      <c r="BO34" s="634"/>
      <c r="BP34" s="634"/>
      <c r="BQ34" s="634"/>
      <c r="BR34" s="634"/>
      <c r="BS34" s="634"/>
      <c r="BT34" s="634"/>
      <c r="BU34" s="659"/>
      <c r="BV34" s="647"/>
      <c r="BW34" s="53"/>
      <c r="BX34" s="53"/>
      <c r="BY34" s="53"/>
      <c r="BZ34" s="53"/>
      <c r="CA34" s="53"/>
      <c r="CB34" s="634"/>
      <c r="CC34" s="53">
        <f t="shared" si="28"/>
        <v>0</v>
      </c>
      <c r="CD34" s="634"/>
      <c r="CE34" s="53"/>
      <c r="CF34" s="53"/>
      <c r="CG34" s="634"/>
      <c r="CH34" s="634"/>
      <c r="CI34" s="634"/>
      <c r="CJ34" s="634"/>
      <c r="CK34" s="634"/>
      <c r="CL34" s="634"/>
      <c r="CM34" s="659"/>
      <c r="CN34" s="92"/>
      <c r="CO34" s="93"/>
      <c r="CP34" s="93"/>
      <c r="CQ34" s="93"/>
      <c r="CR34" s="93"/>
      <c r="CS34" s="93"/>
      <c r="CT34" s="93"/>
      <c r="CU34" s="93"/>
      <c r="CV34" s="93"/>
      <c r="CW34" s="93"/>
      <c r="CX34" s="93"/>
      <c r="CY34" s="93"/>
      <c r="CZ34" s="93"/>
      <c r="DA34" s="93"/>
      <c r="DB34" s="93"/>
      <c r="DC34" s="94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670"/>
      <c r="DU34" s="634"/>
      <c r="DV34" s="634"/>
      <c r="DW34" s="659"/>
      <c r="DX34" s="19"/>
      <c r="DY34" s="635"/>
      <c r="DZ34" s="635"/>
    </row>
    <row r="35" spans="1:130" ht="12.75" x14ac:dyDescent="0.2">
      <c r="A35" s="648"/>
      <c r="B35" s="648"/>
      <c r="C35" s="53"/>
      <c r="D35" s="53"/>
      <c r="E35" s="53"/>
      <c r="F35" s="53"/>
      <c r="G35" s="53"/>
      <c r="H35" s="635"/>
      <c r="I35" s="53">
        <f t="shared" si="24"/>
        <v>0</v>
      </c>
      <c r="J35" s="635"/>
      <c r="K35" s="53"/>
      <c r="L35" s="53"/>
      <c r="M35" s="635"/>
      <c r="N35" s="635"/>
      <c r="O35" s="635"/>
      <c r="P35" s="635"/>
      <c r="Q35" s="635"/>
      <c r="R35" s="635"/>
      <c r="S35" s="660"/>
      <c r="T35" s="648"/>
      <c r="U35" s="53"/>
      <c r="V35" s="53"/>
      <c r="W35" s="53"/>
      <c r="X35" s="53"/>
      <c r="Y35" s="53"/>
      <c r="Z35" s="635"/>
      <c r="AA35" s="53">
        <f t="shared" si="25"/>
        <v>0</v>
      </c>
      <c r="AB35" s="635"/>
      <c r="AC35" s="53"/>
      <c r="AD35" s="53"/>
      <c r="AE35" s="635"/>
      <c r="AF35" s="635"/>
      <c r="AG35" s="635"/>
      <c r="AH35" s="635"/>
      <c r="AI35" s="635"/>
      <c r="AJ35" s="635"/>
      <c r="AK35" s="660"/>
      <c r="AL35" s="648"/>
      <c r="AM35" s="53"/>
      <c r="AN35" s="53"/>
      <c r="AO35" s="53"/>
      <c r="AP35" s="53"/>
      <c r="AQ35" s="53"/>
      <c r="AR35" s="635"/>
      <c r="AS35" s="53">
        <f t="shared" si="26"/>
        <v>0</v>
      </c>
      <c r="AT35" s="98"/>
      <c r="AU35" s="53"/>
      <c r="AV35" s="56"/>
      <c r="AW35" s="56"/>
      <c r="AX35" s="635"/>
      <c r="AY35" s="635"/>
      <c r="AZ35" s="635"/>
      <c r="BA35" s="56"/>
      <c r="BB35" s="635"/>
      <c r="BC35" s="97"/>
      <c r="BD35" s="648"/>
      <c r="BE35" s="53"/>
      <c r="BF35" s="53"/>
      <c r="BG35" s="53"/>
      <c r="BH35" s="53"/>
      <c r="BI35" s="53"/>
      <c r="BJ35" s="635"/>
      <c r="BK35" s="53">
        <f t="shared" si="27"/>
        <v>0</v>
      </c>
      <c r="BL35" s="635"/>
      <c r="BM35" s="53"/>
      <c r="BN35" s="53"/>
      <c r="BO35" s="635"/>
      <c r="BP35" s="635"/>
      <c r="BQ35" s="635"/>
      <c r="BR35" s="635"/>
      <c r="BS35" s="635"/>
      <c r="BT35" s="635"/>
      <c r="BU35" s="660"/>
      <c r="BV35" s="648"/>
      <c r="BW35" s="53"/>
      <c r="BX35" s="53"/>
      <c r="BY35" s="53"/>
      <c r="BZ35" s="53"/>
      <c r="CA35" s="53"/>
      <c r="CB35" s="635"/>
      <c r="CC35" s="53">
        <f t="shared" si="28"/>
        <v>0</v>
      </c>
      <c r="CD35" s="635"/>
      <c r="CE35" s="53"/>
      <c r="CF35" s="53"/>
      <c r="CG35" s="635"/>
      <c r="CH35" s="635"/>
      <c r="CI35" s="635"/>
      <c r="CJ35" s="635"/>
      <c r="CK35" s="635"/>
      <c r="CL35" s="635"/>
      <c r="CM35" s="660"/>
      <c r="CN35" s="92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/>
      <c r="DC35" s="94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671"/>
      <c r="DU35" s="635"/>
      <c r="DV35" s="635"/>
      <c r="DW35" s="660"/>
      <c r="DX35" s="19"/>
      <c r="DY35" s="713" t="s">
        <v>38</v>
      </c>
      <c r="DZ35" s="714">
        <f>SUM(DV28:DV51)</f>
        <v>4905</v>
      </c>
    </row>
    <row r="36" spans="1:130" ht="12.75" x14ac:dyDescent="0.2">
      <c r="A36" s="695"/>
      <c r="B36" s="695">
        <v>46057</v>
      </c>
      <c r="C36" s="23">
        <v>16</v>
      </c>
      <c r="D36" s="23">
        <v>523</v>
      </c>
      <c r="E36" s="23">
        <v>6303</v>
      </c>
      <c r="F36" s="23">
        <v>6500</v>
      </c>
      <c r="G36" s="23"/>
      <c r="H36" s="688"/>
      <c r="I36" s="23">
        <f t="shared" si="24"/>
        <v>197</v>
      </c>
      <c r="J36" s="691">
        <f>SUM(I36:I39,H36)</f>
        <v>197</v>
      </c>
      <c r="K36" s="23" t="s">
        <v>52</v>
      </c>
      <c r="L36" s="23" t="s">
        <v>52</v>
      </c>
      <c r="M36" s="688">
        <v>1.5</v>
      </c>
      <c r="N36" s="688">
        <v>4.5</v>
      </c>
      <c r="O36" s="712">
        <f>SUM(M36:N39)</f>
        <v>6</v>
      </c>
      <c r="P36" s="688"/>
      <c r="Q36" s="696">
        <f>M36*60</f>
        <v>90</v>
      </c>
      <c r="R36" s="692">
        <f>IF(
   COUNTIF(K36:K39,"SI")&gt;0,
   1.8,
   IF(
      COUNTIF(L36:L39,"SI")&gt;0,
      1.6,
      2
   )
)</f>
        <v>2</v>
      </c>
      <c r="S36" s="693">
        <f>IF(Q36=0,0,J36/Q36)</f>
        <v>2.1888888888888891</v>
      </c>
      <c r="T36" s="695">
        <v>46057</v>
      </c>
      <c r="U36" s="23">
        <v>26</v>
      </c>
      <c r="V36" s="23">
        <v>818</v>
      </c>
      <c r="W36" s="23">
        <v>6890</v>
      </c>
      <c r="X36" s="23">
        <v>7000</v>
      </c>
      <c r="Y36" s="23">
        <v>3</v>
      </c>
      <c r="Z36" s="688">
        <v>12</v>
      </c>
      <c r="AA36" s="23">
        <f t="shared" si="25"/>
        <v>107</v>
      </c>
      <c r="AB36" s="691">
        <f>SUM(AA36:AA39,Z36)</f>
        <v>568</v>
      </c>
      <c r="AC36" s="23" t="s">
        <v>51</v>
      </c>
      <c r="AD36" s="23" t="s">
        <v>51</v>
      </c>
      <c r="AE36" s="688">
        <v>3</v>
      </c>
      <c r="AF36" s="688">
        <v>2.5</v>
      </c>
      <c r="AG36" s="689">
        <f>SUM(AE36:AF39)</f>
        <v>7</v>
      </c>
      <c r="AH36" s="688">
        <v>0</v>
      </c>
      <c r="AI36" s="688">
        <f>AE36*60</f>
        <v>180</v>
      </c>
      <c r="AJ36" s="692">
        <f>IF(
   COUNTIF(AC36:AC39,"SI")&gt;0,
   1.8,
   IF(
      COUNTIF(AD36:AD39,"SI")&gt;0,
      1.6,
      2
   )
)</f>
        <v>1.8</v>
      </c>
      <c r="AK36" s="693">
        <f>IF(AI36=0,0,(AA36+AA37)/AI36)</f>
        <v>1.9944444444444445</v>
      </c>
      <c r="AL36" s="695">
        <v>46057</v>
      </c>
      <c r="AM36" s="23"/>
      <c r="AN36" s="23"/>
      <c r="AO36" s="23"/>
      <c r="AP36" s="23"/>
      <c r="AQ36" s="23"/>
      <c r="AR36" s="688"/>
      <c r="AS36" s="23">
        <f t="shared" si="26"/>
        <v>0</v>
      </c>
      <c r="AT36" s="691">
        <f>SUM(AS36:AS39,AR36)</f>
        <v>0</v>
      </c>
      <c r="AU36" s="688"/>
      <c r="AV36" s="688"/>
      <c r="AW36" s="23" t="s">
        <v>51</v>
      </c>
      <c r="AX36" s="688"/>
      <c r="AY36" s="689">
        <f>SUM(AV36:AX39)</f>
        <v>0</v>
      </c>
      <c r="AZ36" s="688">
        <v>0.2</v>
      </c>
      <c r="BA36" s="688">
        <f>AV36*60</f>
        <v>0</v>
      </c>
      <c r="BB36" s="692">
        <f>IF(
   COUNTIF(AU36:AU39,"SI")&gt;0,
   1.8,
   IF(
      COUNTIF(AV36:AV39,"SI")&gt;0,
      1.6,
      2
   )
)</f>
        <v>2</v>
      </c>
      <c r="BC36" s="705">
        <f>IF(BA36=0,0,AT36/BA36)</f>
        <v>0</v>
      </c>
      <c r="BD36" s="695">
        <v>46057</v>
      </c>
      <c r="BE36" s="23"/>
      <c r="BF36" s="23"/>
      <c r="BG36" s="23"/>
      <c r="BH36" s="23"/>
      <c r="BI36" s="23">
        <v>0</v>
      </c>
      <c r="BJ36" s="688">
        <v>0</v>
      </c>
      <c r="BK36" s="23">
        <f t="shared" si="27"/>
        <v>0</v>
      </c>
      <c r="BL36" s="691">
        <f>SUM(BK36:BK39,BJ36)</f>
        <v>0</v>
      </c>
      <c r="BM36" s="23"/>
      <c r="BN36" s="23"/>
      <c r="BO36" s="688"/>
      <c r="BP36" s="688"/>
      <c r="BQ36" s="689">
        <f>SUM(BO36:BP39)</f>
        <v>0</v>
      </c>
      <c r="BR36" s="688">
        <v>0</v>
      </c>
      <c r="BS36" s="688">
        <f>BO36*60</f>
        <v>0</v>
      </c>
      <c r="BT36" s="692">
        <f>IF(
   COUNTIF(BM36:BM39,"SI")&gt;0,
   1.8,
   IF(
      COUNTIF(BN36:BN39,"SI")&gt;0,
      1.6,
      2
   )
)</f>
        <v>2</v>
      </c>
      <c r="BU36" s="705">
        <f>IF(BS36=0,0,BL36/BS36)</f>
        <v>0</v>
      </c>
      <c r="BV36" s="695">
        <v>46057</v>
      </c>
      <c r="BW36" s="23"/>
      <c r="BX36" s="23"/>
      <c r="BY36" s="23"/>
      <c r="BZ36" s="23"/>
      <c r="CA36" s="23">
        <v>0</v>
      </c>
      <c r="CB36" s="688">
        <v>0</v>
      </c>
      <c r="CC36" s="23">
        <f t="shared" si="28"/>
        <v>0</v>
      </c>
      <c r="CD36" s="691">
        <f>SUM(CC36:CC39,CB36)</f>
        <v>0</v>
      </c>
      <c r="CE36" s="23"/>
      <c r="CF36" s="23"/>
      <c r="CG36" s="688"/>
      <c r="CH36" s="688"/>
      <c r="CI36" s="689">
        <f>SUM(CG36:CH39)</f>
        <v>0</v>
      </c>
      <c r="CJ36" s="688">
        <v>0</v>
      </c>
      <c r="CK36" s="688">
        <f>CG36*60</f>
        <v>0</v>
      </c>
      <c r="CL36" s="692">
        <f>IF(
   COUNTIF(CE36:CE39,"SI")&gt;0,
   1.8,
   IF(
      COUNTIF(CF36:CF39,"SI")&gt;0,
      1.6,
      2
   )
)</f>
        <v>2</v>
      </c>
      <c r="CM36" s="705">
        <f>IF(CK36=0,0,CD36/CK36)</f>
        <v>0</v>
      </c>
      <c r="CN36" s="92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4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715">
        <v>46057</v>
      </c>
      <c r="DU36" s="707">
        <f>SUM(J36,AB36,AT36,BL36,CD36)</f>
        <v>765</v>
      </c>
      <c r="DV36" s="707">
        <f>SUM(Q36,AI36,BA36,BS36,CK36)</f>
        <v>270</v>
      </c>
      <c r="DW36" s="709">
        <f>DU36/DV36</f>
        <v>2.8333333333333335</v>
      </c>
      <c r="DX36" s="19"/>
      <c r="DY36" s="635"/>
      <c r="DZ36" s="635"/>
    </row>
    <row r="37" spans="1:130" ht="16.5" customHeight="1" x14ac:dyDescent="0.2">
      <c r="A37" s="647"/>
      <c r="B37" s="647"/>
      <c r="C37" s="23"/>
      <c r="D37" s="23"/>
      <c r="E37" s="23"/>
      <c r="F37" s="23"/>
      <c r="G37" s="23"/>
      <c r="H37" s="634"/>
      <c r="I37" s="23">
        <f t="shared" si="24"/>
        <v>0</v>
      </c>
      <c r="J37" s="634"/>
      <c r="K37" s="23"/>
      <c r="L37" s="23"/>
      <c r="M37" s="634"/>
      <c r="N37" s="634"/>
      <c r="O37" s="634"/>
      <c r="P37" s="634"/>
      <c r="Q37" s="634"/>
      <c r="R37" s="634"/>
      <c r="S37" s="659"/>
      <c r="T37" s="647"/>
      <c r="U37" s="23">
        <v>66</v>
      </c>
      <c r="V37" s="23">
        <v>826</v>
      </c>
      <c r="W37" s="23">
        <v>10501</v>
      </c>
      <c r="X37" s="23">
        <v>10753</v>
      </c>
      <c r="Y37" s="23">
        <v>0</v>
      </c>
      <c r="Z37" s="634"/>
      <c r="AA37" s="23">
        <f t="shared" si="25"/>
        <v>252</v>
      </c>
      <c r="AB37" s="634"/>
      <c r="AC37" s="23" t="s">
        <v>51</v>
      </c>
      <c r="AD37" s="23" t="s">
        <v>51</v>
      </c>
      <c r="AE37" s="634"/>
      <c r="AF37" s="634"/>
      <c r="AG37" s="634"/>
      <c r="AH37" s="634"/>
      <c r="AI37" s="634"/>
      <c r="AJ37" s="634"/>
      <c r="AK37" s="659"/>
      <c r="AL37" s="647"/>
      <c r="AM37" s="23"/>
      <c r="AN37" s="23"/>
      <c r="AO37" s="23"/>
      <c r="AP37" s="23"/>
      <c r="AQ37" s="23"/>
      <c r="AR37" s="634"/>
      <c r="AS37" s="23">
        <f t="shared" si="26"/>
        <v>0</v>
      </c>
      <c r="AT37" s="634"/>
      <c r="AU37" s="634"/>
      <c r="AV37" s="634"/>
      <c r="AW37" s="23"/>
      <c r="AX37" s="634"/>
      <c r="AY37" s="634"/>
      <c r="AZ37" s="634"/>
      <c r="BA37" s="634"/>
      <c r="BB37" s="634"/>
      <c r="BC37" s="659"/>
      <c r="BD37" s="647"/>
      <c r="BE37" s="23"/>
      <c r="BF37" s="23"/>
      <c r="BG37" s="23"/>
      <c r="BH37" s="23"/>
      <c r="BI37" s="23">
        <v>0</v>
      </c>
      <c r="BJ37" s="634"/>
      <c r="BK37" s="23">
        <f t="shared" si="27"/>
        <v>0</v>
      </c>
      <c r="BL37" s="634"/>
      <c r="BM37" s="23"/>
      <c r="BN37" s="23"/>
      <c r="BO37" s="634"/>
      <c r="BP37" s="634"/>
      <c r="BQ37" s="634"/>
      <c r="BR37" s="634"/>
      <c r="BS37" s="634"/>
      <c r="BT37" s="634"/>
      <c r="BU37" s="659"/>
      <c r="BV37" s="647"/>
      <c r="BW37" s="23"/>
      <c r="BX37" s="23"/>
      <c r="BY37" s="23"/>
      <c r="BZ37" s="23"/>
      <c r="CA37" s="23">
        <v>0</v>
      </c>
      <c r="CB37" s="634"/>
      <c r="CC37" s="23">
        <f t="shared" si="28"/>
        <v>0</v>
      </c>
      <c r="CD37" s="634"/>
      <c r="CE37" s="23"/>
      <c r="CF37" s="23"/>
      <c r="CG37" s="634"/>
      <c r="CH37" s="634"/>
      <c r="CI37" s="634"/>
      <c r="CJ37" s="634"/>
      <c r="CK37" s="634"/>
      <c r="CL37" s="634"/>
      <c r="CM37" s="659"/>
      <c r="CN37" s="92"/>
      <c r="CO37" s="93"/>
      <c r="CP37" s="93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/>
      <c r="DC37" s="94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670"/>
      <c r="DU37" s="634"/>
      <c r="DV37" s="634"/>
      <c r="DW37" s="659"/>
      <c r="DX37" s="19"/>
      <c r="DY37" s="713" t="s">
        <v>39</v>
      </c>
      <c r="DZ37" s="714">
        <f>DZ35/60</f>
        <v>81.75</v>
      </c>
    </row>
    <row r="38" spans="1:130" ht="12.75" x14ac:dyDescent="0.2">
      <c r="A38" s="647"/>
      <c r="B38" s="647"/>
      <c r="C38" s="23"/>
      <c r="D38" s="23"/>
      <c r="E38" s="23"/>
      <c r="F38" s="23"/>
      <c r="G38" s="23"/>
      <c r="H38" s="634"/>
      <c r="I38" s="23">
        <f t="shared" si="24"/>
        <v>0</v>
      </c>
      <c r="J38" s="634"/>
      <c r="K38" s="23"/>
      <c r="L38" s="23"/>
      <c r="M38" s="634"/>
      <c r="N38" s="634"/>
      <c r="O38" s="634"/>
      <c r="P38" s="634"/>
      <c r="Q38" s="634"/>
      <c r="R38" s="634"/>
      <c r="S38" s="659"/>
      <c r="T38" s="647"/>
      <c r="U38" s="23"/>
      <c r="V38" s="23">
        <v>534</v>
      </c>
      <c r="W38" s="23">
        <v>11765</v>
      </c>
      <c r="X38" s="23">
        <v>11962</v>
      </c>
      <c r="Y38" s="23">
        <v>0</v>
      </c>
      <c r="Z38" s="634"/>
      <c r="AA38" s="23">
        <f t="shared" si="25"/>
        <v>197</v>
      </c>
      <c r="AB38" s="634"/>
      <c r="AC38" s="23" t="s">
        <v>52</v>
      </c>
      <c r="AD38" s="23" t="s">
        <v>52</v>
      </c>
      <c r="AE38" s="100">
        <v>1.5</v>
      </c>
      <c r="AF38" s="634"/>
      <c r="AG38" s="634"/>
      <c r="AH38" s="634"/>
      <c r="AI38" s="100">
        <f>AE38*60</f>
        <v>90</v>
      </c>
      <c r="AJ38" s="634"/>
      <c r="AK38" s="113">
        <f>AA38/AI38</f>
        <v>2.1888888888888891</v>
      </c>
      <c r="AL38" s="647"/>
      <c r="AM38" s="23"/>
      <c r="AN38" s="23"/>
      <c r="AO38" s="23"/>
      <c r="AP38" s="23"/>
      <c r="AQ38" s="23"/>
      <c r="AR38" s="634"/>
      <c r="AS38" s="23">
        <f t="shared" si="26"/>
        <v>0</v>
      </c>
      <c r="AT38" s="634"/>
      <c r="AU38" s="634"/>
      <c r="AV38" s="634"/>
      <c r="AW38" s="23"/>
      <c r="AX38" s="634"/>
      <c r="AY38" s="634"/>
      <c r="AZ38" s="634"/>
      <c r="BA38" s="634"/>
      <c r="BB38" s="634"/>
      <c r="BC38" s="659"/>
      <c r="BD38" s="647"/>
      <c r="BE38" s="23"/>
      <c r="BF38" s="23"/>
      <c r="BG38" s="23"/>
      <c r="BH38" s="23"/>
      <c r="BI38" s="23">
        <v>0</v>
      </c>
      <c r="BJ38" s="634"/>
      <c r="BK38" s="23">
        <f t="shared" si="27"/>
        <v>0</v>
      </c>
      <c r="BL38" s="634"/>
      <c r="BM38" s="23"/>
      <c r="BN38" s="23"/>
      <c r="BO38" s="634"/>
      <c r="BP38" s="634"/>
      <c r="BQ38" s="634"/>
      <c r="BR38" s="634"/>
      <c r="BS38" s="634"/>
      <c r="BT38" s="634"/>
      <c r="BU38" s="659"/>
      <c r="BV38" s="647"/>
      <c r="BW38" s="23"/>
      <c r="BX38" s="23"/>
      <c r="BY38" s="23"/>
      <c r="BZ38" s="23"/>
      <c r="CA38" s="23"/>
      <c r="CB38" s="634"/>
      <c r="CC38" s="23">
        <f t="shared" si="28"/>
        <v>0</v>
      </c>
      <c r="CD38" s="634"/>
      <c r="CE38" s="23"/>
      <c r="CF38" s="23"/>
      <c r="CG38" s="634"/>
      <c r="CH38" s="634"/>
      <c r="CI38" s="634"/>
      <c r="CJ38" s="634"/>
      <c r="CK38" s="634"/>
      <c r="CL38" s="634"/>
      <c r="CM38" s="659"/>
      <c r="CN38" s="92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4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670"/>
      <c r="DU38" s="634"/>
      <c r="DV38" s="634"/>
      <c r="DW38" s="659"/>
      <c r="DX38" s="19"/>
      <c r="DY38" s="634"/>
      <c r="DZ38" s="634"/>
    </row>
    <row r="39" spans="1:130" ht="12.75" x14ac:dyDescent="0.2">
      <c r="A39" s="648"/>
      <c r="B39" s="648"/>
      <c r="C39" s="23"/>
      <c r="D39" s="23"/>
      <c r="E39" s="23"/>
      <c r="F39" s="23"/>
      <c r="G39" s="23"/>
      <c r="H39" s="635"/>
      <c r="I39" s="23">
        <f t="shared" si="24"/>
        <v>0</v>
      </c>
      <c r="J39" s="635"/>
      <c r="K39" s="23"/>
      <c r="L39" s="23"/>
      <c r="M39" s="635"/>
      <c r="N39" s="635"/>
      <c r="O39" s="635"/>
      <c r="P39" s="635"/>
      <c r="Q39" s="635"/>
      <c r="R39" s="635"/>
      <c r="S39" s="660"/>
      <c r="T39" s="648"/>
      <c r="U39" s="23"/>
      <c r="V39" s="23"/>
      <c r="W39" s="23"/>
      <c r="X39" s="23"/>
      <c r="Y39" s="23"/>
      <c r="Z39" s="635"/>
      <c r="AA39" s="23">
        <f t="shared" si="25"/>
        <v>0</v>
      </c>
      <c r="AB39" s="635"/>
      <c r="AC39" s="23"/>
      <c r="AD39" s="23"/>
      <c r="AE39" s="91"/>
      <c r="AF39" s="635"/>
      <c r="AG39" s="635"/>
      <c r="AH39" s="635"/>
      <c r="AI39" s="91"/>
      <c r="AJ39" s="635"/>
      <c r="AK39" s="114"/>
      <c r="AL39" s="648"/>
      <c r="AM39" s="23"/>
      <c r="AN39" s="23"/>
      <c r="AO39" s="23"/>
      <c r="AP39" s="23"/>
      <c r="AQ39" s="23"/>
      <c r="AR39" s="635"/>
      <c r="AS39" s="23">
        <f t="shared" si="26"/>
        <v>0</v>
      </c>
      <c r="AT39" s="635"/>
      <c r="AU39" s="635"/>
      <c r="AV39" s="635"/>
      <c r="AW39" s="23"/>
      <c r="AX39" s="635"/>
      <c r="AY39" s="635"/>
      <c r="AZ39" s="635"/>
      <c r="BA39" s="635"/>
      <c r="BB39" s="635"/>
      <c r="BC39" s="660"/>
      <c r="BD39" s="648"/>
      <c r="BE39" s="23"/>
      <c r="BF39" s="23"/>
      <c r="BG39" s="23"/>
      <c r="BH39" s="23"/>
      <c r="BI39" s="23">
        <v>0</v>
      </c>
      <c r="BJ39" s="635"/>
      <c r="BK39" s="23">
        <f t="shared" si="27"/>
        <v>0</v>
      </c>
      <c r="BL39" s="635"/>
      <c r="BM39" s="23"/>
      <c r="BN39" s="23"/>
      <c r="BO39" s="635"/>
      <c r="BP39" s="635"/>
      <c r="BQ39" s="635"/>
      <c r="BR39" s="635"/>
      <c r="BS39" s="635"/>
      <c r="BT39" s="635"/>
      <c r="BU39" s="660"/>
      <c r="BV39" s="648"/>
      <c r="BW39" s="23"/>
      <c r="BX39" s="23"/>
      <c r="BY39" s="23"/>
      <c r="BZ39" s="23"/>
      <c r="CA39" s="23"/>
      <c r="CB39" s="635"/>
      <c r="CC39" s="23">
        <f t="shared" si="28"/>
        <v>0</v>
      </c>
      <c r="CD39" s="635"/>
      <c r="CE39" s="23"/>
      <c r="CF39" s="23"/>
      <c r="CG39" s="635"/>
      <c r="CH39" s="635"/>
      <c r="CI39" s="635"/>
      <c r="CJ39" s="635"/>
      <c r="CK39" s="635"/>
      <c r="CL39" s="635"/>
      <c r="CM39" s="660"/>
      <c r="CN39" s="92"/>
      <c r="CO39" s="93"/>
      <c r="CP39" s="93"/>
      <c r="CQ39" s="93"/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93"/>
      <c r="DC39" s="94"/>
      <c r="DD39" s="90"/>
      <c r="DE39" s="90"/>
      <c r="DF39" s="90"/>
      <c r="DG39" s="90"/>
      <c r="DH39" s="90"/>
      <c r="DI39" s="90"/>
      <c r="DJ39" s="90"/>
      <c r="DK39" s="90"/>
      <c r="DL39" s="90"/>
      <c r="DM39" s="90"/>
      <c r="DN39" s="90"/>
      <c r="DO39" s="90"/>
      <c r="DP39" s="90"/>
      <c r="DQ39" s="90"/>
      <c r="DR39" s="90"/>
      <c r="DS39" s="90"/>
      <c r="DT39" s="671"/>
      <c r="DU39" s="635"/>
      <c r="DV39" s="635"/>
      <c r="DW39" s="660"/>
      <c r="DX39" s="19"/>
      <c r="DY39" s="635"/>
      <c r="DZ39" s="635"/>
    </row>
    <row r="40" spans="1:130" ht="12.75" x14ac:dyDescent="0.2">
      <c r="A40" s="694"/>
      <c r="B40" s="694">
        <v>46058</v>
      </c>
      <c r="C40" s="53">
        <v>17</v>
      </c>
      <c r="D40" s="53">
        <v>827</v>
      </c>
      <c r="E40" s="53">
        <v>11001</v>
      </c>
      <c r="F40" s="53">
        <v>11123</v>
      </c>
      <c r="G40" s="91"/>
      <c r="H40" s="696"/>
      <c r="I40" s="53">
        <f t="shared" si="24"/>
        <v>122</v>
      </c>
      <c r="J40" s="691">
        <f>SUM(I40:I43,H40)</f>
        <v>122</v>
      </c>
      <c r="K40" s="53"/>
      <c r="L40" s="53"/>
      <c r="M40" s="690">
        <v>1</v>
      </c>
      <c r="N40" s="687">
        <v>1.5</v>
      </c>
      <c r="O40" s="689">
        <f>SUM(M40:N43)</f>
        <v>2.5</v>
      </c>
      <c r="P40" s="690"/>
      <c r="Q40" s="690">
        <f>M40*60</f>
        <v>60</v>
      </c>
      <c r="R40" s="692">
        <f>IF(
   COUNTIF(K40:K43,"SI")&gt;0,
   1.8,
   IF(
      COUNTIF(L40:L43,"SI")&gt;0,
      1.6,
      2
   )
)</f>
        <v>2</v>
      </c>
      <c r="S40" s="693">
        <f>IF(Q40=0,0,J40/Q40)</f>
        <v>2.0333333333333332</v>
      </c>
      <c r="T40" s="694">
        <v>46058</v>
      </c>
      <c r="U40" s="53"/>
      <c r="V40" s="53"/>
      <c r="W40" s="53"/>
      <c r="X40" s="53"/>
      <c r="Y40" s="53"/>
      <c r="Z40" s="690"/>
      <c r="AA40" s="53">
        <f t="shared" si="25"/>
        <v>0</v>
      </c>
      <c r="AB40" s="691">
        <f>SUM(AA40:AA43,Z40)</f>
        <v>0</v>
      </c>
      <c r="AC40" s="53"/>
      <c r="AD40" s="53"/>
      <c r="AE40" s="690"/>
      <c r="AF40" s="690"/>
      <c r="AG40" s="689">
        <f>SUM(AE40:AF43)</f>
        <v>0</v>
      </c>
      <c r="AH40" s="690">
        <v>0</v>
      </c>
      <c r="AI40" s="690">
        <f>AE40*60</f>
        <v>0</v>
      </c>
      <c r="AJ40" s="692">
        <f>IF(
   COUNTIF(AC40:AC43,"SI")&gt;0,
   1.8,
   IF(
      COUNTIF(AD40:AD43,"SI")&gt;0,
      1.6,
      2
   )
)</f>
        <v>2</v>
      </c>
      <c r="AK40" s="693">
        <f>IF(AI40=0,0,AB40/AI40)</f>
        <v>0</v>
      </c>
      <c r="AL40" s="694">
        <v>46058</v>
      </c>
      <c r="AM40" s="23">
        <v>91</v>
      </c>
      <c r="AN40" s="23">
        <v>825</v>
      </c>
      <c r="AO40" s="23">
        <v>10102</v>
      </c>
      <c r="AP40" s="23">
        <v>10500</v>
      </c>
      <c r="AQ40" s="53"/>
      <c r="AR40" s="690"/>
      <c r="AS40" s="53">
        <f t="shared" si="26"/>
        <v>398</v>
      </c>
      <c r="AT40" s="691">
        <f>SUM(AS40:AS41)</f>
        <v>600</v>
      </c>
      <c r="AU40" s="690" t="s">
        <v>51</v>
      </c>
      <c r="AV40" s="690">
        <v>4.5</v>
      </c>
      <c r="AW40" s="53" t="s">
        <v>51</v>
      </c>
      <c r="AX40" s="690">
        <v>3</v>
      </c>
      <c r="AY40" s="689">
        <f>SUM(AV40:AX43)</f>
        <v>8.8000000000000007</v>
      </c>
      <c r="AZ40" s="690">
        <v>0.2</v>
      </c>
      <c r="BA40" s="690">
        <f>AV40*60</f>
        <v>270</v>
      </c>
      <c r="BB40" s="692">
        <f>IF(
   COUNTIF(AU40:AU43,"SI")&gt;0,
   1.8,
   IF(
      COUNTIF(AV40:AV43,"SI")&gt;0,
      1.6,
      2
   )
)</f>
        <v>1.8</v>
      </c>
      <c r="BC40" s="729">
        <f>IF(BA40=0,0,AT40/BA40)</f>
        <v>2.2222222222222223</v>
      </c>
      <c r="BD40" s="694">
        <v>46058</v>
      </c>
      <c r="BE40" s="53"/>
      <c r="BF40" s="53"/>
      <c r="BG40" s="53"/>
      <c r="BH40" s="53"/>
      <c r="BI40" s="53"/>
      <c r="BJ40" s="690">
        <v>0</v>
      </c>
      <c r="BK40" s="53">
        <f t="shared" si="27"/>
        <v>0</v>
      </c>
      <c r="BL40" s="691">
        <f>SUM(BK40:BK43,BJ40)</f>
        <v>0</v>
      </c>
      <c r="BM40" s="53" t="s">
        <v>53</v>
      </c>
      <c r="BN40" s="53" t="s">
        <v>53</v>
      </c>
      <c r="BO40" s="690">
        <v>2</v>
      </c>
      <c r="BP40" s="690">
        <v>3</v>
      </c>
      <c r="BQ40" s="689">
        <f>SUM(BO40:BP43)</f>
        <v>5</v>
      </c>
      <c r="BR40" s="690">
        <v>0</v>
      </c>
      <c r="BS40" s="690">
        <f>BO40*60</f>
        <v>120</v>
      </c>
      <c r="BT40" s="692">
        <f>IF(
   COUNTIF(BM40:BM43,"SI")&gt;0,
   1.8,
   IF(
      COUNTIF(BN40:BN43,"SI")&gt;0,
      1.6,
      2
   )
)</f>
        <v>2</v>
      </c>
      <c r="BU40" s="705">
        <f>IF(BS40=0,0,BL40/BS40)</f>
        <v>0</v>
      </c>
      <c r="BV40" s="694">
        <v>46058</v>
      </c>
      <c r="BW40" s="53">
        <v>11</v>
      </c>
      <c r="BX40" s="53">
        <v>511</v>
      </c>
      <c r="BY40" s="53">
        <v>212</v>
      </c>
      <c r="BZ40" s="53">
        <v>285</v>
      </c>
      <c r="CA40" s="53">
        <v>0</v>
      </c>
      <c r="CB40" s="690">
        <v>0</v>
      </c>
      <c r="CC40" s="53">
        <f t="shared" si="28"/>
        <v>73</v>
      </c>
      <c r="CD40" s="691">
        <f>SUM(CC40:CC43,CB40)</f>
        <v>73</v>
      </c>
      <c r="CE40" s="53" t="s">
        <v>53</v>
      </c>
      <c r="CF40" s="53" t="s">
        <v>53</v>
      </c>
      <c r="CG40" s="690">
        <v>4</v>
      </c>
      <c r="CH40" s="690">
        <v>2</v>
      </c>
      <c r="CI40" s="689">
        <f>SUM(CG40:CH43)</f>
        <v>6</v>
      </c>
      <c r="CJ40" s="690">
        <v>0</v>
      </c>
      <c r="CK40" s="690">
        <f>CG40*60</f>
        <v>240</v>
      </c>
      <c r="CL40" s="692">
        <f>IF(
   COUNTIF(CE40:CE43,"SI")&gt;0,
   1.8,
   IF(
      COUNTIF(CF40:CF43,"SI")&gt;0,
      1.6,
      2
   )
)</f>
        <v>2</v>
      </c>
      <c r="CM40" s="705">
        <f>IF(CK40=0,0,CD40/CK40)</f>
        <v>0.30416666666666664</v>
      </c>
      <c r="CN40" s="92"/>
      <c r="CO40" s="9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93"/>
      <c r="DC40" s="94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706">
        <v>46058</v>
      </c>
      <c r="DU40" s="707">
        <f>SUM(J40,AB40,AT40,BL40,CD40)</f>
        <v>795</v>
      </c>
      <c r="DV40" s="707">
        <f>SUM(Q40,AI40,BA40,BS40,CK40)</f>
        <v>690</v>
      </c>
      <c r="DW40" s="709">
        <f>DU40/DV40</f>
        <v>1.1521739130434783</v>
      </c>
      <c r="DX40" s="19"/>
      <c r="DY40" s="691" t="s">
        <v>47</v>
      </c>
      <c r="DZ40" s="728">
        <f>IF(DZ35=0,0,DZ32/DZ35)</f>
        <v>2.2752293577981653</v>
      </c>
    </row>
    <row r="41" spans="1:130" ht="12.75" x14ac:dyDescent="0.2">
      <c r="A41" s="647"/>
      <c r="B41" s="647"/>
      <c r="C41" s="53"/>
      <c r="D41" s="53"/>
      <c r="E41" s="53"/>
      <c r="F41" s="53"/>
      <c r="G41" s="53"/>
      <c r="H41" s="634"/>
      <c r="I41" s="53">
        <f t="shared" si="24"/>
        <v>0</v>
      </c>
      <c r="J41" s="634"/>
      <c r="K41" s="53"/>
      <c r="L41" s="53"/>
      <c r="M41" s="634"/>
      <c r="N41" s="634"/>
      <c r="O41" s="634"/>
      <c r="P41" s="634"/>
      <c r="Q41" s="634"/>
      <c r="R41" s="634"/>
      <c r="S41" s="659"/>
      <c r="T41" s="647"/>
      <c r="U41" s="53"/>
      <c r="V41" s="53"/>
      <c r="W41" s="53"/>
      <c r="X41" s="53"/>
      <c r="Y41" s="53"/>
      <c r="Z41" s="634"/>
      <c r="AA41" s="53">
        <f t="shared" si="25"/>
        <v>0</v>
      </c>
      <c r="AB41" s="634"/>
      <c r="AC41" s="53"/>
      <c r="AD41" s="53"/>
      <c r="AE41" s="634"/>
      <c r="AF41" s="634"/>
      <c r="AG41" s="634"/>
      <c r="AH41" s="634"/>
      <c r="AI41" s="634"/>
      <c r="AJ41" s="634"/>
      <c r="AK41" s="659"/>
      <c r="AL41" s="647"/>
      <c r="AM41" s="23"/>
      <c r="AN41" s="23">
        <v>828</v>
      </c>
      <c r="AO41" s="23">
        <v>11502</v>
      </c>
      <c r="AP41" s="23">
        <v>11704</v>
      </c>
      <c r="AQ41" s="53"/>
      <c r="AR41" s="634"/>
      <c r="AS41" s="53">
        <f t="shared" si="26"/>
        <v>202</v>
      </c>
      <c r="AT41" s="634"/>
      <c r="AU41" s="634"/>
      <c r="AV41" s="634"/>
      <c r="AW41" s="53" t="s">
        <v>51</v>
      </c>
      <c r="AX41" s="634"/>
      <c r="AY41" s="634"/>
      <c r="AZ41" s="634"/>
      <c r="BA41" s="634"/>
      <c r="BB41" s="634"/>
      <c r="BC41" s="638"/>
      <c r="BD41" s="647"/>
      <c r="BE41" s="53"/>
      <c r="BF41" s="53"/>
      <c r="BG41" s="53"/>
      <c r="BH41" s="53"/>
      <c r="BI41" s="53"/>
      <c r="BJ41" s="634"/>
      <c r="BK41" s="53">
        <f t="shared" si="27"/>
        <v>0</v>
      </c>
      <c r="BL41" s="634"/>
      <c r="BM41" s="53"/>
      <c r="BN41" s="53"/>
      <c r="BO41" s="634"/>
      <c r="BP41" s="634"/>
      <c r="BQ41" s="634"/>
      <c r="BR41" s="634"/>
      <c r="BS41" s="634"/>
      <c r="BT41" s="634"/>
      <c r="BU41" s="659"/>
      <c r="BV41" s="647"/>
      <c r="BW41" s="53"/>
      <c r="BX41" s="53"/>
      <c r="BY41" s="53"/>
      <c r="BZ41" s="53"/>
      <c r="CA41" s="53">
        <v>0</v>
      </c>
      <c r="CB41" s="634"/>
      <c r="CC41" s="53">
        <f t="shared" si="28"/>
        <v>0</v>
      </c>
      <c r="CD41" s="634"/>
      <c r="CE41" s="53"/>
      <c r="CF41" s="53"/>
      <c r="CG41" s="634"/>
      <c r="CH41" s="634"/>
      <c r="CI41" s="634"/>
      <c r="CJ41" s="634"/>
      <c r="CK41" s="634"/>
      <c r="CL41" s="634"/>
      <c r="CM41" s="659"/>
      <c r="CN41" s="92"/>
      <c r="CO41" s="93"/>
      <c r="CP41" s="93"/>
      <c r="CQ41" s="93"/>
      <c r="CR41" s="93"/>
      <c r="CS41" s="93"/>
      <c r="CT41" s="93"/>
      <c r="CU41" s="93"/>
      <c r="CV41" s="93"/>
      <c r="CW41" s="93"/>
      <c r="CX41" s="93"/>
      <c r="CY41" s="93"/>
      <c r="CZ41" s="93"/>
      <c r="DA41" s="93"/>
      <c r="DB41" s="93"/>
      <c r="DC41" s="94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0"/>
      <c r="DQ41" s="90"/>
      <c r="DR41" s="90"/>
      <c r="DS41" s="90"/>
      <c r="DT41" s="670"/>
      <c r="DU41" s="634"/>
      <c r="DV41" s="634"/>
      <c r="DW41" s="659"/>
      <c r="DX41" s="19"/>
      <c r="DY41" s="634"/>
      <c r="DZ41" s="634"/>
    </row>
    <row r="42" spans="1:130" ht="12.75" x14ac:dyDescent="0.2">
      <c r="A42" s="647"/>
      <c r="B42" s="647"/>
      <c r="C42" s="53"/>
      <c r="D42" s="53"/>
      <c r="E42" s="53"/>
      <c r="F42" s="53"/>
      <c r="G42" s="53"/>
      <c r="H42" s="634"/>
      <c r="I42" s="53">
        <f t="shared" si="24"/>
        <v>0</v>
      </c>
      <c r="J42" s="634"/>
      <c r="K42" s="53"/>
      <c r="L42" s="53"/>
      <c r="M42" s="634"/>
      <c r="N42" s="634"/>
      <c r="O42" s="634"/>
      <c r="P42" s="634"/>
      <c r="Q42" s="634"/>
      <c r="R42" s="634"/>
      <c r="S42" s="659"/>
      <c r="T42" s="647"/>
      <c r="U42" s="53"/>
      <c r="V42" s="53"/>
      <c r="W42" s="53"/>
      <c r="X42" s="53"/>
      <c r="Y42" s="53"/>
      <c r="Z42" s="634"/>
      <c r="AA42" s="53">
        <f t="shared" si="25"/>
        <v>0</v>
      </c>
      <c r="AB42" s="634"/>
      <c r="AC42" s="53"/>
      <c r="AD42" s="53"/>
      <c r="AE42" s="634"/>
      <c r="AF42" s="634"/>
      <c r="AG42" s="634"/>
      <c r="AH42" s="634"/>
      <c r="AI42" s="634"/>
      <c r="AJ42" s="634"/>
      <c r="AK42" s="659"/>
      <c r="AL42" s="647"/>
      <c r="AM42" s="53"/>
      <c r="AN42" s="53"/>
      <c r="AO42" s="53"/>
      <c r="AP42" s="53"/>
      <c r="AQ42" s="53"/>
      <c r="AR42" s="634"/>
      <c r="AS42" s="53">
        <f t="shared" si="26"/>
        <v>0</v>
      </c>
      <c r="AT42" s="634"/>
      <c r="AU42" s="635"/>
      <c r="AV42" s="635"/>
      <c r="AW42" s="53" t="s">
        <v>51</v>
      </c>
      <c r="AX42" s="634"/>
      <c r="AY42" s="634"/>
      <c r="AZ42" s="634"/>
      <c r="BA42" s="634"/>
      <c r="BB42" s="634"/>
      <c r="BC42" s="639"/>
      <c r="BD42" s="647"/>
      <c r="BE42" s="53"/>
      <c r="BF42" s="53"/>
      <c r="BG42" s="53"/>
      <c r="BH42" s="53"/>
      <c r="BI42" s="53"/>
      <c r="BJ42" s="634"/>
      <c r="BK42" s="53">
        <f t="shared" si="27"/>
        <v>0</v>
      </c>
      <c r="BL42" s="634"/>
      <c r="BM42" s="53"/>
      <c r="BN42" s="53"/>
      <c r="BO42" s="634"/>
      <c r="BP42" s="634"/>
      <c r="BQ42" s="634"/>
      <c r="BR42" s="634"/>
      <c r="BS42" s="634"/>
      <c r="BT42" s="634"/>
      <c r="BU42" s="659"/>
      <c r="BV42" s="647"/>
      <c r="BW42" s="53"/>
      <c r="BX42" s="53"/>
      <c r="BY42" s="53"/>
      <c r="BZ42" s="53"/>
      <c r="CA42" s="53">
        <v>0</v>
      </c>
      <c r="CB42" s="634"/>
      <c r="CC42" s="53">
        <f t="shared" si="28"/>
        <v>0</v>
      </c>
      <c r="CD42" s="634"/>
      <c r="CE42" s="53"/>
      <c r="CF42" s="53"/>
      <c r="CG42" s="634"/>
      <c r="CH42" s="634"/>
      <c r="CI42" s="634"/>
      <c r="CJ42" s="634"/>
      <c r="CK42" s="634"/>
      <c r="CL42" s="634"/>
      <c r="CM42" s="659"/>
      <c r="CN42" s="92"/>
      <c r="CO42" s="93"/>
      <c r="CP42" s="93"/>
      <c r="CQ42" s="93"/>
      <c r="CR42" s="93"/>
      <c r="CS42" s="93"/>
      <c r="CT42" s="93"/>
      <c r="CU42" s="93"/>
      <c r="CV42" s="93"/>
      <c r="CW42" s="93"/>
      <c r="CX42" s="93"/>
      <c r="CY42" s="93"/>
      <c r="CZ42" s="93"/>
      <c r="DA42" s="93"/>
      <c r="DB42" s="93"/>
      <c r="DC42" s="94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670"/>
      <c r="DU42" s="634"/>
      <c r="DV42" s="634"/>
      <c r="DW42" s="659"/>
      <c r="DX42" s="19"/>
      <c r="DY42" s="635"/>
      <c r="DZ42" s="635"/>
    </row>
    <row r="43" spans="1:130" ht="12.75" x14ac:dyDescent="0.2">
      <c r="A43" s="648"/>
      <c r="B43" s="648"/>
      <c r="C43" s="53"/>
      <c r="D43" s="53"/>
      <c r="E43" s="53"/>
      <c r="F43" s="53"/>
      <c r="G43" s="53"/>
      <c r="H43" s="635"/>
      <c r="I43" s="53">
        <f t="shared" si="24"/>
        <v>0</v>
      </c>
      <c r="J43" s="635"/>
      <c r="K43" s="53"/>
      <c r="L43" s="53"/>
      <c r="M43" s="635"/>
      <c r="N43" s="635"/>
      <c r="O43" s="635"/>
      <c r="P43" s="635"/>
      <c r="Q43" s="635"/>
      <c r="R43" s="635"/>
      <c r="S43" s="660"/>
      <c r="T43" s="648"/>
      <c r="U43" s="53"/>
      <c r="V43" s="53"/>
      <c r="W43" s="53"/>
      <c r="X43" s="53"/>
      <c r="Y43" s="53"/>
      <c r="Z43" s="635"/>
      <c r="AA43" s="53">
        <f t="shared" si="25"/>
        <v>0</v>
      </c>
      <c r="AB43" s="635"/>
      <c r="AC43" s="53"/>
      <c r="AD43" s="53"/>
      <c r="AE43" s="635"/>
      <c r="AF43" s="635"/>
      <c r="AG43" s="635"/>
      <c r="AH43" s="635"/>
      <c r="AI43" s="635"/>
      <c r="AJ43" s="635"/>
      <c r="AK43" s="660"/>
      <c r="AL43" s="648"/>
      <c r="AM43" s="53">
        <v>16</v>
      </c>
      <c r="AN43" s="53">
        <v>524</v>
      </c>
      <c r="AO43" s="53">
        <v>6809</v>
      </c>
      <c r="AP43" s="53">
        <v>7001</v>
      </c>
      <c r="AQ43" s="53"/>
      <c r="AR43" s="635"/>
      <c r="AS43" s="53">
        <f t="shared" si="26"/>
        <v>192</v>
      </c>
      <c r="AT43" s="96">
        <f>AS43</f>
        <v>192</v>
      </c>
      <c r="AU43" s="53" t="s">
        <v>52</v>
      </c>
      <c r="AV43" s="56">
        <v>1.3</v>
      </c>
      <c r="AW43" s="56" t="s">
        <v>52</v>
      </c>
      <c r="AX43" s="635"/>
      <c r="AY43" s="635"/>
      <c r="AZ43" s="635"/>
      <c r="BA43" s="54">
        <f t="shared" ref="BA43:BA44" si="31">AV43*60</f>
        <v>78</v>
      </c>
      <c r="BB43" s="635"/>
      <c r="BC43" s="99">
        <f t="shared" ref="BC43:BC44" si="32">IF(BA43=0,0,AT43/BA43)</f>
        <v>2.4615384615384617</v>
      </c>
      <c r="BD43" s="648"/>
      <c r="BE43" s="53"/>
      <c r="BF43" s="53"/>
      <c r="BG43" s="53"/>
      <c r="BH43" s="53"/>
      <c r="BI43" s="53"/>
      <c r="BJ43" s="635"/>
      <c r="BK43" s="53">
        <f t="shared" si="27"/>
        <v>0</v>
      </c>
      <c r="BL43" s="635"/>
      <c r="BM43" s="53"/>
      <c r="BN43" s="53"/>
      <c r="BO43" s="635"/>
      <c r="BP43" s="635"/>
      <c r="BQ43" s="635"/>
      <c r="BR43" s="635"/>
      <c r="BS43" s="635"/>
      <c r="BT43" s="635"/>
      <c r="BU43" s="660"/>
      <c r="BV43" s="648"/>
      <c r="BW43" s="53"/>
      <c r="BX43" s="53"/>
      <c r="BY43" s="53"/>
      <c r="BZ43" s="53"/>
      <c r="CA43" s="53"/>
      <c r="CB43" s="635"/>
      <c r="CC43" s="53">
        <f t="shared" si="28"/>
        <v>0</v>
      </c>
      <c r="CD43" s="635"/>
      <c r="CE43" s="53"/>
      <c r="CF43" s="53"/>
      <c r="CG43" s="635"/>
      <c r="CH43" s="635"/>
      <c r="CI43" s="635"/>
      <c r="CJ43" s="635"/>
      <c r="CK43" s="635"/>
      <c r="CL43" s="635"/>
      <c r="CM43" s="660"/>
      <c r="CN43" s="92"/>
      <c r="CO43" s="93"/>
      <c r="CP43" s="93"/>
      <c r="CQ43" s="93"/>
      <c r="CR43" s="93"/>
      <c r="CS43" s="93"/>
      <c r="CT43" s="93"/>
      <c r="CU43" s="93"/>
      <c r="CV43" s="93"/>
      <c r="CW43" s="93"/>
      <c r="CX43" s="93"/>
      <c r="CY43" s="93"/>
      <c r="CZ43" s="93"/>
      <c r="DA43" s="93"/>
      <c r="DB43" s="93"/>
      <c r="DC43" s="94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671"/>
      <c r="DU43" s="635"/>
      <c r="DV43" s="635"/>
      <c r="DW43" s="660"/>
      <c r="DX43" s="19"/>
      <c r="DY43" s="19"/>
      <c r="DZ43" s="19"/>
    </row>
    <row r="44" spans="1:130" ht="12.75" x14ac:dyDescent="0.2">
      <c r="A44" s="695"/>
      <c r="B44" s="695">
        <v>46059</v>
      </c>
      <c r="C44" s="23"/>
      <c r="D44" s="23"/>
      <c r="E44" s="23"/>
      <c r="F44" s="23"/>
      <c r="G44" s="23"/>
      <c r="H44" s="688"/>
      <c r="I44" s="23">
        <f t="shared" si="24"/>
        <v>0</v>
      </c>
      <c r="J44" s="691">
        <f>SUM(I44:I47,H44)</f>
        <v>0</v>
      </c>
      <c r="K44" s="23"/>
      <c r="L44" s="23"/>
      <c r="M44" s="690"/>
      <c r="N44" s="690"/>
      <c r="O44" s="689">
        <f>SUM(M44:N47)</f>
        <v>0</v>
      </c>
      <c r="P44" s="688"/>
      <c r="Q44" s="688">
        <f>M36*60</f>
        <v>90</v>
      </c>
      <c r="R44" s="692">
        <f>IF(
   COUNTIF(K44:K47,"SI")&gt;0,
   1.8,
   IF(
      COUNTIF(L44:L47,"SI")&gt;0,
      1.6,
      2
   )
)</f>
        <v>2</v>
      </c>
      <c r="S44" s="693">
        <f>IF(Q44=0,0,J44/Q44)</f>
        <v>0</v>
      </c>
      <c r="T44" s="695">
        <v>46059</v>
      </c>
      <c r="U44" s="23">
        <v>64</v>
      </c>
      <c r="V44" s="23">
        <v>826</v>
      </c>
      <c r="W44" s="23">
        <v>10753</v>
      </c>
      <c r="X44" s="23">
        <v>11000</v>
      </c>
      <c r="Y44" s="23">
        <v>0</v>
      </c>
      <c r="Z44" s="688">
        <v>0</v>
      </c>
      <c r="AA44" s="23">
        <f t="shared" si="25"/>
        <v>247</v>
      </c>
      <c r="AB44" s="691">
        <f>SUM(AA44:AA47,Z44)</f>
        <v>749</v>
      </c>
      <c r="AC44" s="23" t="s">
        <v>51</v>
      </c>
      <c r="AD44" s="23" t="s">
        <v>51</v>
      </c>
      <c r="AE44" s="688">
        <v>6</v>
      </c>
      <c r="AF44" s="688">
        <v>3</v>
      </c>
      <c r="AG44" s="689">
        <f>SUM(AE44:AF47)</f>
        <v>9</v>
      </c>
      <c r="AH44" s="688">
        <v>0</v>
      </c>
      <c r="AI44" s="688">
        <f>AE44*60</f>
        <v>360</v>
      </c>
      <c r="AJ44" s="692">
        <f>IF(
   COUNTIF(AC44:AC47,"SI")&gt;0,
   1.8,
   IF(
      COUNTIF(AD44:AD47,"SI")&gt;0,
      1.6,
      2
   )
)</f>
        <v>1.8</v>
      </c>
      <c r="AK44" s="693">
        <f>IF(AI44=0,0,AB44/AI44)</f>
        <v>2.0805555555555557</v>
      </c>
      <c r="AL44" s="695">
        <v>46059</v>
      </c>
      <c r="AM44" s="23"/>
      <c r="AN44" s="23">
        <v>507</v>
      </c>
      <c r="AO44" s="23">
        <v>29511</v>
      </c>
      <c r="AP44" s="49">
        <v>29988</v>
      </c>
      <c r="AQ44" s="23">
        <v>6</v>
      </c>
      <c r="AR44" s="688"/>
      <c r="AS44" s="53">
        <f t="shared" si="26"/>
        <v>471</v>
      </c>
      <c r="AT44" s="691">
        <f>SUM(AS44:AS46)</f>
        <v>1208</v>
      </c>
      <c r="AU44" s="53" t="s">
        <v>52</v>
      </c>
      <c r="AV44" s="688">
        <v>5.7</v>
      </c>
      <c r="AW44" s="23" t="s">
        <v>52</v>
      </c>
      <c r="AX44" s="688"/>
      <c r="AY44" s="689">
        <f>SUM(AV44:AV47)</f>
        <v>7.7</v>
      </c>
      <c r="AZ44" s="688">
        <v>0.25</v>
      </c>
      <c r="BA44" s="688">
        <f t="shared" si="31"/>
        <v>342</v>
      </c>
      <c r="BB44" s="696">
        <f>IF(
   COUNTIF(AU44:AU47,"SI")&gt;0,
   1.8,
   IF(
      COUNTIF(AV44:AV47,"SI")&gt;0,
      1.6,
      2
   )
)</f>
        <v>1.8</v>
      </c>
      <c r="BC44" s="705">
        <f t="shared" si="32"/>
        <v>3.5321637426900585</v>
      </c>
      <c r="BD44" s="695">
        <v>46059</v>
      </c>
      <c r="BE44" s="23">
        <v>58</v>
      </c>
      <c r="BF44" s="23">
        <v>536</v>
      </c>
      <c r="BG44" s="23">
        <v>12501</v>
      </c>
      <c r="BH44" s="23">
        <v>13000</v>
      </c>
      <c r="BI44" s="23">
        <v>0</v>
      </c>
      <c r="BJ44" s="688">
        <v>0</v>
      </c>
      <c r="BK44" s="23">
        <f t="shared" si="27"/>
        <v>499</v>
      </c>
      <c r="BL44" s="691">
        <f>SUM(BK44:BK47,BJ44)</f>
        <v>1497</v>
      </c>
      <c r="BM44" s="23" t="s">
        <v>53</v>
      </c>
      <c r="BN44" s="23" t="s">
        <v>53</v>
      </c>
      <c r="BO44" s="688">
        <v>5</v>
      </c>
      <c r="BP44" s="688">
        <v>1</v>
      </c>
      <c r="BQ44" s="689">
        <f>SUM(BO44:BP47)</f>
        <v>6</v>
      </c>
      <c r="BR44" s="688">
        <v>0</v>
      </c>
      <c r="BS44" s="688">
        <f>BO44*60</f>
        <v>300</v>
      </c>
      <c r="BT44" s="692">
        <f>IF(
   COUNTIF(BM44:BM47,"SI")&gt;0,
   1.8,
   IF(
      COUNTIF(BN44:BN47,"SI")&gt;0,
      1.6,
      2
   )
)</f>
        <v>2</v>
      </c>
      <c r="BU44" s="705">
        <f>IF(BS44=0,0,BL44/BS44)</f>
        <v>4.99</v>
      </c>
      <c r="BV44" s="695">
        <v>46059</v>
      </c>
      <c r="BW44" s="23">
        <v>24</v>
      </c>
      <c r="BX44" s="23">
        <v>511</v>
      </c>
      <c r="BY44" s="23">
        <v>297</v>
      </c>
      <c r="BZ44" s="23">
        <v>500</v>
      </c>
      <c r="CA44" s="23">
        <v>0</v>
      </c>
      <c r="CB44" s="688">
        <v>0</v>
      </c>
      <c r="CC44" s="23">
        <f t="shared" si="28"/>
        <v>203</v>
      </c>
      <c r="CD44" s="691">
        <f>SUM(CC44:CC47,CB44)</f>
        <v>701</v>
      </c>
      <c r="CE44" s="23" t="s">
        <v>53</v>
      </c>
      <c r="CF44" s="23" t="s">
        <v>53</v>
      </c>
      <c r="CG44" s="688">
        <v>5</v>
      </c>
      <c r="CH44" s="688">
        <v>1</v>
      </c>
      <c r="CI44" s="689">
        <f>SUM(CG44:CH47)</f>
        <v>6</v>
      </c>
      <c r="CJ44" s="688">
        <v>0</v>
      </c>
      <c r="CK44" s="688">
        <f>CG44*60</f>
        <v>300</v>
      </c>
      <c r="CL44" s="692">
        <f>IF(
   COUNTIF(CE44:CE47,"SI")&gt;0,
   1.8,
   IF(
      COUNTIF(CF44:CF47,"SI")&gt;0,
      1.6,
      2
   )
)</f>
        <v>2</v>
      </c>
      <c r="CM44" s="705">
        <f>IF(CK44=0,0,CD44/CK44)</f>
        <v>2.3366666666666664</v>
      </c>
      <c r="CN44" s="92"/>
      <c r="CO44" s="93"/>
      <c r="CP44" s="93"/>
      <c r="CQ44" s="93"/>
      <c r="CR44" s="93"/>
      <c r="CS44" s="93"/>
      <c r="CT44" s="93"/>
      <c r="CU44" s="93"/>
      <c r="CV44" s="93"/>
      <c r="CW44" s="93"/>
      <c r="CX44" s="93"/>
      <c r="CY44" s="93"/>
      <c r="CZ44" s="93"/>
      <c r="DA44" s="93"/>
      <c r="DB44" s="93"/>
      <c r="DC44" s="94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715">
        <v>46059</v>
      </c>
      <c r="DU44" s="707">
        <f>SUM(J44,AB44,AT44,BL44,CD44)</f>
        <v>4155</v>
      </c>
      <c r="DV44" s="707">
        <f>SUM(Q44,AI44,BA44,BS44,CK44)</f>
        <v>1392</v>
      </c>
      <c r="DW44" s="709">
        <f>DU44/DV44</f>
        <v>2.9849137931034484</v>
      </c>
      <c r="DX44" s="19"/>
      <c r="DY44" s="19"/>
      <c r="DZ44" s="19"/>
    </row>
    <row r="45" spans="1:130" ht="12.75" x14ac:dyDescent="0.2">
      <c r="A45" s="647"/>
      <c r="B45" s="647"/>
      <c r="C45" s="23"/>
      <c r="D45" s="23"/>
      <c r="E45" s="23"/>
      <c r="F45" s="23"/>
      <c r="G45" s="23"/>
      <c r="H45" s="634"/>
      <c r="I45" s="23">
        <f t="shared" si="24"/>
        <v>0</v>
      </c>
      <c r="J45" s="634"/>
      <c r="K45" s="23"/>
      <c r="L45" s="23"/>
      <c r="M45" s="634"/>
      <c r="N45" s="634"/>
      <c r="O45" s="634"/>
      <c r="P45" s="634"/>
      <c r="Q45" s="634"/>
      <c r="R45" s="634"/>
      <c r="S45" s="659"/>
      <c r="T45" s="647"/>
      <c r="U45" s="23">
        <v>110</v>
      </c>
      <c r="V45" s="23">
        <v>829</v>
      </c>
      <c r="W45" s="23">
        <v>12000</v>
      </c>
      <c r="X45" s="23">
        <v>12502</v>
      </c>
      <c r="Y45" s="23">
        <v>0</v>
      </c>
      <c r="Z45" s="634"/>
      <c r="AA45" s="23">
        <f t="shared" si="25"/>
        <v>502</v>
      </c>
      <c r="AB45" s="634"/>
      <c r="AC45" s="23" t="s">
        <v>51</v>
      </c>
      <c r="AD45" s="23" t="s">
        <v>51</v>
      </c>
      <c r="AE45" s="634"/>
      <c r="AF45" s="634"/>
      <c r="AG45" s="634"/>
      <c r="AH45" s="634"/>
      <c r="AI45" s="634"/>
      <c r="AJ45" s="634"/>
      <c r="AK45" s="659"/>
      <c r="AL45" s="647"/>
      <c r="AM45" s="23"/>
      <c r="AN45" s="23">
        <v>506</v>
      </c>
      <c r="AO45" s="23">
        <v>29010</v>
      </c>
      <c r="AP45" s="23">
        <v>29510</v>
      </c>
      <c r="AQ45" s="23">
        <v>8</v>
      </c>
      <c r="AR45" s="634"/>
      <c r="AS45" s="23">
        <f t="shared" si="26"/>
        <v>492</v>
      </c>
      <c r="AT45" s="634"/>
      <c r="AU45" s="53" t="s">
        <v>52</v>
      </c>
      <c r="AV45" s="634"/>
      <c r="AW45" s="23" t="s">
        <v>52</v>
      </c>
      <c r="AX45" s="634"/>
      <c r="AY45" s="634"/>
      <c r="AZ45" s="634"/>
      <c r="BA45" s="634"/>
      <c r="BB45" s="634"/>
      <c r="BC45" s="659"/>
      <c r="BD45" s="647"/>
      <c r="BE45" s="23">
        <v>54</v>
      </c>
      <c r="BF45" s="23">
        <v>504</v>
      </c>
      <c r="BG45" s="23">
        <v>27001</v>
      </c>
      <c r="BH45" s="23">
        <v>27500</v>
      </c>
      <c r="BI45" s="23">
        <v>0</v>
      </c>
      <c r="BJ45" s="634"/>
      <c r="BK45" s="23">
        <f t="shared" si="27"/>
        <v>499</v>
      </c>
      <c r="BL45" s="634"/>
      <c r="BM45" s="23" t="s">
        <v>53</v>
      </c>
      <c r="BN45" s="23" t="s">
        <v>53</v>
      </c>
      <c r="BO45" s="634"/>
      <c r="BP45" s="634"/>
      <c r="BQ45" s="634"/>
      <c r="BR45" s="634"/>
      <c r="BS45" s="634"/>
      <c r="BT45" s="634"/>
      <c r="BU45" s="659"/>
      <c r="BV45" s="647"/>
      <c r="BW45" s="23">
        <v>49</v>
      </c>
      <c r="BX45" s="23">
        <v>505</v>
      </c>
      <c r="BY45" s="23">
        <v>28502</v>
      </c>
      <c r="BZ45" s="23">
        <v>29000</v>
      </c>
      <c r="CA45" s="23">
        <v>0</v>
      </c>
      <c r="CB45" s="634"/>
      <c r="CC45" s="23">
        <f t="shared" si="28"/>
        <v>498</v>
      </c>
      <c r="CD45" s="634"/>
      <c r="CE45" s="23" t="s">
        <v>53</v>
      </c>
      <c r="CF45" s="23" t="s">
        <v>53</v>
      </c>
      <c r="CG45" s="634"/>
      <c r="CH45" s="634"/>
      <c r="CI45" s="634"/>
      <c r="CJ45" s="634"/>
      <c r="CK45" s="634"/>
      <c r="CL45" s="634"/>
      <c r="CM45" s="659"/>
      <c r="CN45" s="92"/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3"/>
      <c r="DB45" s="93"/>
      <c r="DC45" s="94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670"/>
      <c r="DU45" s="634"/>
      <c r="DV45" s="634"/>
      <c r="DW45" s="659"/>
      <c r="DX45" s="19"/>
      <c r="DY45" s="19"/>
      <c r="DZ45" s="19"/>
    </row>
    <row r="46" spans="1:130" ht="12.75" x14ac:dyDescent="0.2">
      <c r="A46" s="647"/>
      <c r="B46" s="647"/>
      <c r="C46" s="23"/>
      <c r="D46" s="23"/>
      <c r="E46" s="23"/>
      <c r="F46" s="23"/>
      <c r="G46" s="23"/>
      <c r="H46" s="634"/>
      <c r="I46" s="23">
        <f t="shared" si="24"/>
        <v>0</v>
      </c>
      <c r="J46" s="634"/>
      <c r="K46" s="23"/>
      <c r="L46" s="23"/>
      <c r="M46" s="634"/>
      <c r="N46" s="634"/>
      <c r="O46" s="634"/>
      <c r="P46" s="634"/>
      <c r="Q46" s="634"/>
      <c r="R46" s="634"/>
      <c r="S46" s="659"/>
      <c r="T46" s="647"/>
      <c r="U46" s="23"/>
      <c r="V46" s="23"/>
      <c r="W46" s="23"/>
      <c r="X46" s="23"/>
      <c r="Y46" s="23"/>
      <c r="Z46" s="634"/>
      <c r="AA46" s="23">
        <f t="shared" si="25"/>
        <v>0</v>
      </c>
      <c r="AB46" s="634"/>
      <c r="AC46" s="23"/>
      <c r="AD46" s="23"/>
      <c r="AE46" s="634"/>
      <c r="AF46" s="634"/>
      <c r="AG46" s="634"/>
      <c r="AH46" s="634"/>
      <c r="AI46" s="634"/>
      <c r="AJ46" s="634"/>
      <c r="AK46" s="659"/>
      <c r="AL46" s="647"/>
      <c r="AM46" s="23"/>
      <c r="AN46" s="23">
        <v>503</v>
      </c>
      <c r="AO46" s="23">
        <v>27509</v>
      </c>
      <c r="AP46" s="23">
        <v>27760</v>
      </c>
      <c r="AQ46" s="23">
        <v>6</v>
      </c>
      <c r="AR46" s="634"/>
      <c r="AS46" s="23">
        <f t="shared" si="26"/>
        <v>245</v>
      </c>
      <c r="AT46" s="635"/>
      <c r="AU46" s="53" t="s">
        <v>52</v>
      </c>
      <c r="AV46" s="635"/>
      <c r="AW46" s="23" t="s">
        <v>52</v>
      </c>
      <c r="AX46" s="634"/>
      <c r="AY46" s="634"/>
      <c r="AZ46" s="634"/>
      <c r="BA46" s="634"/>
      <c r="BB46" s="634"/>
      <c r="BC46" s="659"/>
      <c r="BD46" s="647"/>
      <c r="BE46" s="23">
        <v>63</v>
      </c>
      <c r="BF46" s="23">
        <v>502</v>
      </c>
      <c r="BG46" s="23">
        <v>28001</v>
      </c>
      <c r="BH46" s="23">
        <v>28500</v>
      </c>
      <c r="BI46" s="23">
        <v>0</v>
      </c>
      <c r="BJ46" s="634"/>
      <c r="BK46" s="23">
        <f t="shared" si="27"/>
        <v>499</v>
      </c>
      <c r="BL46" s="634"/>
      <c r="BM46" s="23" t="s">
        <v>53</v>
      </c>
      <c r="BN46" s="23" t="s">
        <v>53</v>
      </c>
      <c r="BO46" s="634"/>
      <c r="BP46" s="634"/>
      <c r="BQ46" s="634"/>
      <c r="BR46" s="634"/>
      <c r="BS46" s="634"/>
      <c r="BT46" s="634"/>
      <c r="BU46" s="659"/>
      <c r="BV46" s="647"/>
      <c r="BW46" s="23"/>
      <c r="BX46" s="23"/>
      <c r="BY46" s="23"/>
      <c r="BZ46" s="23"/>
      <c r="CA46" s="23"/>
      <c r="CB46" s="634"/>
      <c r="CC46" s="23">
        <f t="shared" si="28"/>
        <v>0</v>
      </c>
      <c r="CD46" s="634"/>
      <c r="CE46" s="23"/>
      <c r="CF46" s="23"/>
      <c r="CG46" s="634"/>
      <c r="CH46" s="634"/>
      <c r="CI46" s="634"/>
      <c r="CJ46" s="634"/>
      <c r="CK46" s="634"/>
      <c r="CL46" s="634"/>
      <c r="CM46" s="659"/>
      <c r="CN46" s="92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4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670"/>
      <c r="DU46" s="634"/>
      <c r="DV46" s="634"/>
      <c r="DW46" s="659"/>
      <c r="DX46" s="19"/>
      <c r="DY46" s="19"/>
      <c r="DZ46" s="19"/>
    </row>
    <row r="47" spans="1:130" ht="12.75" x14ac:dyDescent="0.2">
      <c r="A47" s="648"/>
      <c r="B47" s="648"/>
      <c r="C47" s="102"/>
      <c r="D47" s="102"/>
      <c r="E47" s="102"/>
      <c r="F47" s="102"/>
      <c r="G47" s="102"/>
      <c r="H47" s="635"/>
      <c r="I47" s="23">
        <f t="shared" si="24"/>
        <v>0</v>
      </c>
      <c r="J47" s="635"/>
      <c r="K47" s="102"/>
      <c r="L47" s="102"/>
      <c r="M47" s="635"/>
      <c r="N47" s="635"/>
      <c r="O47" s="635"/>
      <c r="P47" s="635"/>
      <c r="Q47" s="635"/>
      <c r="R47" s="635"/>
      <c r="S47" s="660"/>
      <c r="T47" s="648"/>
      <c r="U47" s="102"/>
      <c r="V47" s="102"/>
      <c r="W47" s="102"/>
      <c r="X47" s="102"/>
      <c r="Y47" s="102"/>
      <c r="Z47" s="635"/>
      <c r="AA47" s="23">
        <f t="shared" si="25"/>
        <v>0</v>
      </c>
      <c r="AB47" s="635"/>
      <c r="AC47" s="102"/>
      <c r="AD47" s="102"/>
      <c r="AE47" s="635"/>
      <c r="AF47" s="635"/>
      <c r="AG47" s="635"/>
      <c r="AH47" s="635"/>
      <c r="AI47" s="635"/>
      <c r="AJ47" s="635"/>
      <c r="AK47" s="660"/>
      <c r="AL47" s="648"/>
      <c r="AM47" s="103"/>
      <c r="AN47" s="103">
        <v>828</v>
      </c>
      <c r="AO47" s="103">
        <v>11705</v>
      </c>
      <c r="AP47" s="103">
        <v>12001</v>
      </c>
      <c r="AQ47" s="103"/>
      <c r="AR47" s="635"/>
      <c r="AS47" s="23">
        <f t="shared" si="26"/>
        <v>296</v>
      </c>
      <c r="AT47" s="96">
        <f>AS47</f>
        <v>296</v>
      </c>
      <c r="AU47" s="103" t="s">
        <v>51</v>
      </c>
      <c r="AV47" s="91">
        <v>2</v>
      </c>
      <c r="AW47" s="23" t="s">
        <v>51</v>
      </c>
      <c r="AX47" s="635"/>
      <c r="AY47" s="635"/>
      <c r="AZ47" s="635"/>
      <c r="BA47" s="54">
        <f t="shared" ref="BA47:BA48" si="33">AV47*60</f>
        <v>120</v>
      </c>
      <c r="BB47" s="635"/>
      <c r="BC47" s="99">
        <f t="shared" ref="BC47:BC48" si="34">IF(BA47=0,0,AT47/BA47)</f>
        <v>2.4666666666666668</v>
      </c>
      <c r="BD47" s="648"/>
      <c r="BE47" s="102"/>
      <c r="BF47" s="102"/>
      <c r="BG47" s="102"/>
      <c r="BH47" s="102"/>
      <c r="BI47" s="102"/>
      <c r="BJ47" s="635"/>
      <c r="BK47" s="23">
        <f t="shared" si="27"/>
        <v>0</v>
      </c>
      <c r="BL47" s="635"/>
      <c r="BM47" s="102"/>
      <c r="BN47" s="102"/>
      <c r="BO47" s="635"/>
      <c r="BP47" s="635"/>
      <c r="BQ47" s="635"/>
      <c r="BR47" s="635"/>
      <c r="BS47" s="635"/>
      <c r="BT47" s="635"/>
      <c r="BU47" s="660"/>
      <c r="BV47" s="648"/>
      <c r="BW47" s="102"/>
      <c r="BX47" s="102"/>
      <c r="BY47" s="102"/>
      <c r="BZ47" s="102"/>
      <c r="CA47" s="102"/>
      <c r="CB47" s="635"/>
      <c r="CC47" s="23">
        <f t="shared" si="28"/>
        <v>0</v>
      </c>
      <c r="CD47" s="635"/>
      <c r="CE47" s="102"/>
      <c r="CF47" s="102"/>
      <c r="CG47" s="635"/>
      <c r="CH47" s="635"/>
      <c r="CI47" s="635"/>
      <c r="CJ47" s="635"/>
      <c r="CK47" s="635"/>
      <c r="CL47" s="635"/>
      <c r="CM47" s="660"/>
      <c r="CN47" s="92"/>
      <c r="CO47" s="93"/>
      <c r="CP47" s="93"/>
      <c r="CQ47" s="93"/>
      <c r="CR47" s="93"/>
      <c r="CS47" s="93"/>
      <c r="CT47" s="93"/>
      <c r="CU47" s="93"/>
      <c r="CV47" s="93"/>
      <c r="CW47" s="93"/>
      <c r="CX47" s="93"/>
      <c r="CY47" s="93"/>
      <c r="CZ47" s="93"/>
      <c r="DA47" s="93"/>
      <c r="DB47" s="93"/>
      <c r="DC47" s="94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671"/>
      <c r="DU47" s="635"/>
      <c r="DV47" s="635"/>
      <c r="DW47" s="660"/>
      <c r="DX47" s="19"/>
      <c r="DY47" s="19"/>
      <c r="DZ47" s="19"/>
    </row>
    <row r="48" spans="1:130" ht="12.75" x14ac:dyDescent="0.2">
      <c r="A48" s="694"/>
      <c r="B48" s="694">
        <v>46060</v>
      </c>
      <c r="C48" s="55"/>
      <c r="D48" s="55"/>
      <c r="E48" s="55"/>
      <c r="F48" s="55"/>
      <c r="G48" s="55"/>
      <c r="H48" s="687"/>
      <c r="I48" s="53">
        <f t="shared" si="24"/>
        <v>0</v>
      </c>
      <c r="J48" s="691">
        <f>SUM(I48:I51,H48)</f>
        <v>0</v>
      </c>
      <c r="K48" s="55"/>
      <c r="L48" s="55"/>
      <c r="M48" s="687"/>
      <c r="N48" s="690"/>
      <c r="O48" s="689">
        <f>SUM(M48:N51)</f>
        <v>0</v>
      </c>
      <c r="P48" s="687"/>
      <c r="Q48" s="690">
        <f>M48*60</f>
        <v>0</v>
      </c>
      <c r="R48" s="692">
        <f>IF(
   COUNTIF(K48:K51,"SI")&gt;0,
   1.8,
   IF(
      COUNTIF(L48:L51,"SI")&gt;0,
      1.6,
      2
   )
)</f>
        <v>2</v>
      </c>
      <c r="S48" s="693">
        <f>IF(Q48=0,0,J48/Q48)</f>
        <v>0</v>
      </c>
      <c r="T48" s="694">
        <v>46060</v>
      </c>
      <c r="U48" s="52">
        <v>123</v>
      </c>
      <c r="V48" s="52">
        <v>830</v>
      </c>
      <c r="W48" s="52">
        <v>12502</v>
      </c>
      <c r="X48" s="52">
        <v>13001</v>
      </c>
      <c r="Y48" s="52">
        <v>4</v>
      </c>
      <c r="Z48" s="687">
        <v>0</v>
      </c>
      <c r="AA48" s="115">
        <f t="shared" si="25"/>
        <v>495</v>
      </c>
      <c r="AB48" s="691">
        <f>SUM(AA48:AA51,Z48)</f>
        <v>495</v>
      </c>
      <c r="AC48" s="52" t="s">
        <v>51</v>
      </c>
      <c r="AD48" s="52" t="s">
        <v>51</v>
      </c>
      <c r="AE48" s="687">
        <v>3.25</v>
      </c>
      <c r="AF48" s="687">
        <v>0.25</v>
      </c>
      <c r="AG48" s="689">
        <f>SUM(AE48:AF51)</f>
        <v>3.5</v>
      </c>
      <c r="AH48" s="687">
        <v>0</v>
      </c>
      <c r="AI48" s="690">
        <f>AE48*60</f>
        <v>195</v>
      </c>
      <c r="AJ48" s="692">
        <f>IF(
   COUNTIF(AC48:AC51,"SI")&gt;0,
   1.8,
   IF(
      COUNTIF(AD48:AD51,"SI")&gt;0,
      1.6,
      2
   )
)</f>
        <v>1.8</v>
      </c>
      <c r="AK48" s="693">
        <f>IF(AI48=0,0,AB48/AI48)</f>
        <v>2.5384615384615383</v>
      </c>
      <c r="AL48" s="694">
        <v>46060</v>
      </c>
      <c r="AM48" s="52"/>
      <c r="AN48" s="52"/>
      <c r="AO48" s="52"/>
      <c r="AP48" s="52"/>
      <c r="AQ48" s="55"/>
      <c r="AR48" s="687"/>
      <c r="AS48" s="53">
        <f t="shared" si="26"/>
        <v>0</v>
      </c>
      <c r="AT48" s="691">
        <f>SUM(AS48:AS51,AR48)</f>
        <v>0</v>
      </c>
      <c r="AU48" s="55"/>
      <c r="AV48" s="687"/>
      <c r="AW48" s="55"/>
      <c r="AX48" s="687"/>
      <c r="AY48" s="689">
        <f>SUM(AV48:AX51)</f>
        <v>0</v>
      </c>
      <c r="AZ48" s="687"/>
      <c r="BA48" s="690">
        <f t="shared" si="33"/>
        <v>0</v>
      </c>
      <c r="BB48" s="692">
        <f>IF(
   COUNTIF(AU48:AU51,"SI")&gt;0,
   1.8,
   IF(
      COUNTIF(AV48:AV51,"SI")&gt;0,
      1.6,
      2
   )
)</f>
        <v>2</v>
      </c>
      <c r="BC48" s="705">
        <f t="shared" si="34"/>
        <v>0</v>
      </c>
      <c r="BD48" s="694">
        <v>46060</v>
      </c>
      <c r="BE48" s="52">
        <v>51</v>
      </c>
      <c r="BF48" s="52">
        <v>501</v>
      </c>
      <c r="BG48" s="52">
        <v>26501</v>
      </c>
      <c r="BH48" s="52">
        <v>27000</v>
      </c>
      <c r="BI48" s="52">
        <v>0</v>
      </c>
      <c r="BJ48" s="687">
        <v>0</v>
      </c>
      <c r="BK48" s="53">
        <f t="shared" si="27"/>
        <v>499</v>
      </c>
      <c r="BL48" s="691">
        <f>SUM(BK48:BK51,BJ48)</f>
        <v>998</v>
      </c>
      <c r="BM48" s="52" t="s">
        <v>53</v>
      </c>
      <c r="BN48" s="52" t="s">
        <v>53</v>
      </c>
      <c r="BO48" s="687">
        <v>5</v>
      </c>
      <c r="BP48" s="687">
        <v>1</v>
      </c>
      <c r="BQ48" s="689">
        <f>SUM(BO48:BP51)</f>
        <v>6</v>
      </c>
      <c r="BR48" s="687">
        <v>0</v>
      </c>
      <c r="BS48" s="690">
        <f>BO48*60</f>
        <v>300</v>
      </c>
      <c r="BT48" s="692">
        <f>IF(
   COUNTIF(BM48:BM51,"SI")&gt;0,
   1.8,
   IF(
      COUNTIF(BN48:BN51,"SI")&gt;0,
      1.6,
      2
   )
)</f>
        <v>2</v>
      </c>
      <c r="BU48" s="705">
        <f>IF(BS48=0,0,BL48/BS48)</f>
        <v>3.3266666666666667</v>
      </c>
      <c r="BV48" s="694">
        <v>46060</v>
      </c>
      <c r="BW48" s="52">
        <v>63</v>
      </c>
      <c r="BX48" s="52">
        <v>502</v>
      </c>
      <c r="BY48" s="52">
        <v>27000</v>
      </c>
      <c r="BZ48" s="52">
        <v>27500</v>
      </c>
      <c r="CA48" s="52">
        <v>0</v>
      </c>
      <c r="CB48" s="687">
        <v>0</v>
      </c>
      <c r="CC48" s="53">
        <f t="shared" si="28"/>
        <v>500</v>
      </c>
      <c r="CD48" s="691">
        <f>SUM(CC48:CC51,CB48)</f>
        <v>500</v>
      </c>
      <c r="CE48" s="52" t="s">
        <v>53</v>
      </c>
      <c r="CF48" s="52" t="s">
        <v>53</v>
      </c>
      <c r="CG48" s="687">
        <v>4</v>
      </c>
      <c r="CH48" s="687">
        <v>2</v>
      </c>
      <c r="CI48" s="689">
        <f>SUM(CG48:CH51)</f>
        <v>6</v>
      </c>
      <c r="CJ48" s="687">
        <v>0</v>
      </c>
      <c r="CK48" s="690">
        <f>CG48*60</f>
        <v>240</v>
      </c>
      <c r="CL48" s="692">
        <f>IF(
   COUNTIF(CE48:CE51,"SI")&gt;0,
   1.8,
   IF(
      COUNTIF(CF48:CF51,"SI")&gt;0,
      1.6,
      2
   )
)</f>
        <v>2</v>
      </c>
      <c r="CM48" s="705">
        <f>IF(CK48=0,0,CD48/CK48)</f>
        <v>2.0833333333333335</v>
      </c>
      <c r="CN48" s="92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3"/>
      <c r="DB48" s="93"/>
      <c r="DC48" s="94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706">
        <v>46060</v>
      </c>
      <c r="DU48" s="707">
        <f>SUM(J48,AB48,AT48,BL48,CD48)</f>
        <v>1993</v>
      </c>
      <c r="DV48" s="707">
        <f>SUM(Q48,AI48,BA48,BS48,CK48)</f>
        <v>735</v>
      </c>
      <c r="DW48" s="709">
        <f>DU48/DV48</f>
        <v>2.7115646258503401</v>
      </c>
      <c r="DX48" s="19"/>
      <c r="DY48" s="19"/>
      <c r="DZ48" s="19"/>
    </row>
    <row r="49" spans="1:130" ht="12.75" x14ac:dyDescent="0.2">
      <c r="A49" s="647"/>
      <c r="B49" s="647"/>
      <c r="C49" s="55"/>
      <c r="D49" s="55"/>
      <c r="E49" s="55"/>
      <c r="F49" s="55"/>
      <c r="G49" s="55"/>
      <c r="H49" s="634"/>
      <c r="I49" s="53">
        <f t="shared" si="24"/>
        <v>0</v>
      </c>
      <c r="J49" s="634"/>
      <c r="K49" s="55"/>
      <c r="L49" s="55"/>
      <c r="M49" s="634"/>
      <c r="N49" s="634"/>
      <c r="O49" s="634"/>
      <c r="P49" s="634"/>
      <c r="Q49" s="634"/>
      <c r="R49" s="634"/>
      <c r="S49" s="659"/>
      <c r="T49" s="647"/>
      <c r="U49" s="55"/>
      <c r="V49" s="55"/>
      <c r="W49" s="55"/>
      <c r="X49" s="55"/>
      <c r="Y49" s="55"/>
      <c r="Z49" s="634"/>
      <c r="AA49" s="53">
        <f t="shared" si="25"/>
        <v>0</v>
      </c>
      <c r="AB49" s="634"/>
      <c r="AC49" s="55"/>
      <c r="AD49" s="55"/>
      <c r="AE49" s="634"/>
      <c r="AF49" s="634"/>
      <c r="AG49" s="634"/>
      <c r="AH49" s="634"/>
      <c r="AI49" s="634"/>
      <c r="AJ49" s="634"/>
      <c r="AK49" s="659"/>
      <c r="AL49" s="647"/>
      <c r="AM49" s="55"/>
      <c r="AN49" s="55"/>
      <c r="AO49" s="55"/>
      <c r="AP49" s="55"/>
      <c r="AQ49" s="55"/>
      <c r="AR49" s="634"/>
      <c r="AS49" s="53">
        <f t="shared" si="26"/>
        <v>0</v>
      </c>
      <c r="AT49" s="634"/>
      <c r="AU49" s="55"/>
      <c r="AV49" s="634"/>
      <c r="AW49" s="55"/>
      <c r="AX49" s="634"/>
      <c r="AY49" s="634"/>
      <c r="AZ49" s="634"/>
      <c r="BA49" s="634"/>
      <c r="BB49" s="634"/>
      <c r="BC49" s="659"/>
      <c r="BD49" s="647"/>
      <c r="BE49" s="52">
        <v>56</v>
      </c>
      <c r="BF49" s="52">
        <v>500</v>
      </c>
      <c r="BG49" s="52">
        <v>26001</v>
      </c>
      <c r="BH49" s="52">
        <v>26500</v>
      </c>
      <c r="BI49" s="52">
        <v>0</v>
      </c>
      <c r="BJ49" s="634"/>
      <c r="BK49" s="53">
        <f t="shared" si="27"/>
        <v>499</v>
      </c>
      <c r="BL49" s="634"/>
      <c r="BM49" s="52" t="s">
        <v>53</v>
      </c>
      <c r="BN49" s="52" t="s">
        <v>53</v>
      </c>
      <c r="BO49" s="634"/>
      <c r="BP49" s="634"/>
      <c r="BQ49" s="634"/>
      <c r="BR49" s="634"/>
      <c r="BS49" s="634"/>
      <c r="BT49" s="634"/>
      <c r="BU49" s="659"/>
      <c r="BV49" s="647"/>
      <c r="BW49" s="55"/>
      <c r="BX49" s="55"/>
      <c r="BY49" s="55"/>
      <c r="BZ49" s="55"/>
      <c r="CA49" s="55"/>
      <c r="CB49" s="634"/>
      <c r="CC49" s="53">
        <f t="shared" si="28"/>
        <v>0</v>
      </c>
      <c r="CD49" s="634"/>
      <c r="CE49" s="55"/>
      <c r="CF49" s="55"/>
      <c r="CG49" s="634"/>
      <c r="CH49" s="634"/>
      <c r="CI49" s="634"/>
      <c r="CJ49" s="634"/>
      <c r="CK49" s="634"/>
      <c r="CL49" s="634"/>
      <c r="CM49" s="659"/>
      <c r="CN49" s="92"/>
      <c r="CO49" s="93"/>
      <c r="CP49" s="93"/>
      <c r="CQ49" s="93"/>
      <c r="CR49" s="93"/>
      <c r="CS49" s="93"/>
      <c r="CT49" s="93"/>
      <c r="CU49" s="93"/>
      <c r="CV49" s="93"/>
      <c r="CW49" s="93"/>
      <c r="CX49" s="93"/>
      <c r="CY49" s="93"/>
      <c r="CZ49" s="93"/>
      <c r="DA49" s="93"/>
      <c r="DB49" s="93"/>
      <c r="DC49" s="94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0"/>
      <c r="DQ49" s="90"/>
      <c r="DR49" s="90"/>
      <c r="DS49" s="90"/>
      <c r="DT49" s="670"/>
      <c r="DU49" s="634"/>
      <c r="DV49" s="634"/>
      <c r="DW49" s="659"/>
      <c r="DX49" s="19"/>
      <c r="DY49" s="19"/>
      <c r="DZ49" s="19"/>
    </row>
    <row r="50" spans="1:130" ht="12.75" x14ac:dyDescent="0.2">
      <c r="A50" s="647"/>
      <c r="B50" s="647"/>
      <c r="C50" s="55"/>
      <c r="D50" s="55"/>
      <c r="E50" s="55"/>
      <c r="F50" s="55"/>
      <c r="G50" s="55"/>
      <c r="H50" s="634"/>
      <c r="I50" s="53">
        <f t="shared" si="24"/>
        <v>0</v>
      </c>
      <c r="J50" s="634"/>
      <c r="K50" s="55"/>
      <c r="L50" s="55"/>
      <c r="M50" s="634"/>
      <c r="N50" s="634"/>
      <c r="O50" s="634"/>
      <c r="P50" s="634"/>
      <c r="Q50" s="634"/>
      <c r="R50" s="634"/>
      <c r="S50" s="659"/>
      <c r="T50" s="647"/>
      <c r="U50" s="55"/>
      <c r="V50" s="55"/>
      <c r="W50" s="55"/>
      <c r="X50" s="55"/>
      <c r="Y50" s="55"/>
      <c r="Z50" s="634"/>
      <c r="AA50" s="53">
        <f t="shared" si="25"/>
        <v>0</v>
      </c>
      <c r="AB50" s="634"/>
      <c r="AC50" s="55"/>
      <c r="AD50" s="55"/>
      <c r="AE50" s="634"/>
      <c r="AF50" s="634"/>
      <c r="AG50" s="634"/>
      <c r="AH50" s="634"/>
      <c r="AI50" s="634"/>
      <c r="AJ50" s="634"/>
      <c r="AK50" s="659"/>
      <c r="AL50" s="647"/>
      <c r="AM50" s="55"/>
      <c r="AN50" s="55"/>
      <c r="AO50" s="55"/>
      <c r="AP50" s="55"/>
      <c r="AQ50" s="55"/>
      <c r="AR50" s="634"/>
      <c r="AS50" s="53">
        <f t="shared" si="26"/>
        <v>0</v>
      </c>
      <c r="AT50" s="634"/>
      <c r="AU50" s="55"/>
      <c r="AV50" s="634"/>
      <c r="AW50" s="55"/>
      <c r="AX50" s="634"/>
      <c r="AY50" s="634"/>
      <c r="AZ50" s="634"/>
      <c r="BA50" s="634"/>
      <c r="BB50" s="634"/>
      <c r="BC50" s="659"/>
      <c r="BD50" s="647"/>
      <c r="BE50" s="55"/>
      <c r="BF50" s="55"/>
      <c r="BG50" s="55"/>
      <c r="BH50" s="55"/>
      <c r="BI50" s="55"/>
      <c r="BJ50" s="634"/>
      <c r="BK50" s="53">
        <f t="shared" si="27"/>
        <v>0</v>
      </c>
      <c r="BL50" s="634"/>
      <c r="BM50" s="55"/>
      <c r="BN50" s="55"/>
      <c r="BO50" s="634"/>
      <c r="BP50" s="634"/>
      <c r="BQ50" s="634"/>
      <c r="BR50" s="634"/>
      <c r="BS50" s="634"/>
      <c r="BT50" s="634"/>
      <c r="BU50" s="659"/>
      <c r="BV50" s="647"/>
      <c r="BW50" s="55"/>
      <c r="BX50" s="55"/>
      <c r="BY50" s="55"/>
      <c r="BZ50" s="55"/>
      <c r="CA50" s="55"/>
      <c r="CB50" s="634"/>
      <c r="CC50" s="53">
        <f t="shared" si="28"/>
        <v>0</v>
      </c>
      <c r="CD50" s="634"/>
      <c r="CE50" s="55"/>
      <c r="CF50" s="55"/>
      <c r="CG50" s="634"/>
      <c r="CH50" s="634"/>
      <c r="CI50" s="634"/>
      <c r="CJ50" s="634"/>
      <c r="CK50" s="634"/>
      <c r="CL50" s="634"/>
      <c r="CM50" s="659"/>
      <c r="CN50" s="92"/>
      <c r="CO50" s="93"/>
      <c r="CP50" s="93"/>
      <c r="CQ50" s="93"/>
      <c r="CR50" s="93"/>
      <c r="CS50" s="93"/>
      <c r="CT50" s="93"/>
      <c r="CU50" s="93"/>
      <c r="CV50" s="93"/>
      <c r="CW50" s="93"/>
      <c r="CX50" s="93"/>
      <c r="CY50" s="93"/>
      <c r="CZ50" s="93"/>
      <c r="DA50" s="93"/>
      <c r="DB50" s="93"/>
      <c r="DC50" s="94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670"/>
      <c r="DU50" s="634"/>
      <c r="DV50" s="634"/>
      <c r="DW50" s="659"/>
      <c r="DX50" s="19"/>
      <c r="DY50" s="19"/>
      <c r="DZ50" s="19"/>
    </row>
    <row r="51" spans="1:130" ht="12.75" x14ac:dyDescent="0.2">
      <c r="A51" s="648"/>
      <c r="B51" s="648"/>
      <c r="C51" s="55"/>
      <c r="D51" s="55"/>
      <c r="E51" s="55"/>
      <c r="F51" s="55"/>
      <c r="G51" s="55"/>
      <c r="H51" s="635"/>
      <c r="I51" s="53">
        <f t="shared" si="24"/>
        <v>0</v>
      </c>
      <c r="J51" s="635"/>
      <c r="K51" s="55"/>
      <c r="L51" s="55"/>
      <c r="M51" s="635"/>
      <c r="N51" s="635"/>
      <c r="O51" s="635"/>
      <c r="P51" s="635"/>
      <c r="Q51" s="635"/>
      <c r="R51" s="635"/>
      <c r="S51" s="660"/>
      <c r="T51" s="648"/>
      <c r="U51" s="55"/>
      <c r="V51" s="55"/>
      <c r="W51" s="55"/>
      <c r="X51" s="55"/>
      <c r="Y51" s="55"/>
      <c r="Z51" s="635"/>
      <c r="AA51" s="53">
        <f t="shared" si="25"/>
        <v>0</v>
      </c>
      <c r="AB51" s="635"/>
      <c r="AC51" s="55"/>
      <c r="AD51" s="55"/>
      <c r="AE51" s="635"/>
      <c r="AF51" s="635"/>
      <c r="AG51" s="635"/>
      <c r="AH51" s="635"/>
      <c r="AI51" s="635"/>
      <c r="AJ51" s="635"/>
      <c r="AK51" s="660"/>
      <c r="AL51" s="648"/>
      <c r="AM51" s="55"/>
      <c r="AN51" s="55"/>
      <c r="AO51" s="55"/>
      <c r="AP51" s="55"/>
      <c r="AQ51" s="55"/>
      <c r="AR51" s="635"/>
      <c r="AS51" s="53">
        <f t="shared" si="26"/>
        <v>0</v>
      </c>
      <c r="AT51" s="635"/>
      <c r="AU51" s="55"/>
      <c r="AV51" s="635"/>
      <c r="AW51" s="55"/>
      <c r="AX51" s="635"/>
      <c r="AY51" s="635"/>
      <c r="AZ51" s="635"/>
      <c r="BA51" s="635"/>
      <c r="BB51" s="635"/>
      <c r="BC51" s="660"/>
      <c r="BD51" s="648"/>
      <c r="BE51" s="55"/>
      <c r="BF51" s="55"/>
      <c r="BG51" s="55"/>
      <c r="BH51" s="55"/>
      <c r="BI51" s="55"/>
      <c r="BJ51" s="635"/>
      <c r="BK51" s="53">
        <f t="shared" si="27"/>
        <v>0</v>
      </c>
      <c r="BL51" s="635"/>
      <c r="BM51" s="55"/>
      <c r="BN51" s="55"/>
      <c r="BO51" s="635"/>
      <c r="BP51" s="635"/>
      <c r="BQ51" s="635"/>
      <c r="BR51" s="635"/>
      <c r="BS51" s="635"/>
      <c r="BT51" s="635"/>
      <c r="BU51" s="660"/>
      <c r="BV51" s="648"/>
      <c r="BW51" s="55"/>
      <c r="BX51" s="55"/>
      <c r="BY51" s="55"/>
      <c r="BZ51" s="55"/>
      <c r="CA51" s="55"/>
      <c r="CB51" s="635"/>
      <c r="CC51" s="53">
        <f t="shared" si="28"/>
        <v>0</v>
      </c>
      <c r="CD51" s="635"/>
      <c r="CE51" s="55"/>
      <c r="CF51" s="55"/>
      <c r="CG51" s="635"/>
      <c r="CH51" s="635"/>
      <c r="CI51" s="635"/>
      <c r="CJ51" s="635"/>
      <c r="CK51" s="635"/>
      <c r="CL51" s="635"/>
      <c r="CM51" s="660"/>
      <c r="CN51" s="92"/>
      <c r="CO51" s="93"/>
      <c r="CP51" s="93"/>
      <c r="CQ51" s="93"/>
      <c r="CR51" s="93"/>
      <c r="CS51" s="93"/>
      <c r="CT51" s="93"/>
      <c r="CU51" s="93"/>
      <c r="CV51" s="93"/>
      <c r="CW51" s="93"/>
      <c r="CX51" s="93"/>
      <c r="CY51" s="93"/>
      <c r="CZ51" s="93"/>
      <c r="DA51" s="93"/>
      <c r="DB51" s="93"/>
      <c r="DC51" s="94"/>
      <c r="DD51" s="90"/>
      <c r="DE51" s="90"/>
      <c r="DF51" s="90"/>
      <c r="DG51" s="90"/>
      <c r="DH51" s="90"/>
      <c r="DI51" s="90"/>
      <c r="DJ51" s="90"/>
      <c r="DK51" s="90"/>
      <c r="DL51" s="90"/>
      <c r="DM51" s="90"/>
      <c r="DN51" s="90"/>
      <c r="DO51" s="90"/>
      <c r="DP51" s="90"/>
      <c r="DQ51" s="90"/>
      <c r="DR51" s="90"/>
      <c r="DS51" s="90"/>
      <c r="DT51" s="671"/>
      <c r="DU51" s="708"/>
      <c r="DV51" s="708"/>
      <c r="DW51" s="710"/>
      <c r="DX51" s="19"/>
      <c r="DY51" s="19"/>
      <c r="DZ51" s="19"/>
    </row>
    <row r="52" spans="1:130" ht="12.75" x14ac:dyDescent="0.2">
      <c r="A52" s="104"/>
      <c r="B52" s="105" t="s">
        <v>40</v>
      </c>
      <c r="C52" s="58">
        <f>SUM(C28:C51)</f>
        <v>33</v>
      </c>
      <c r="D52" s="57" t="s">
        <v>49</v>
      </c>
      <c r="E52" s="57" t="s">
        <v>49</v>
      </c>
      <c r="F52" s="57" t="s">
        <v>49</v>
      </c>
      <c r="G52" s="58">
        <f t="shared" ref="G52:J52" si="35">SUM(G28:G51)</f>
        <v>0</v>
      </c>
      <c r="H52" s="58">
        <f t="shared" si="35"/>
        <v>0</v>
      </c>
      <c r="I52" s="58">
        <f t="shared" si="35"/>
        <v>319</v>
      </c>
      <c r="J52" s="58">
        <f t="shared" si="35"/>
        <v>319</v>
      </c>
      <c r="K52" s="57" t="s">
        <v>49</v>
      </c>
      <c r="L52" s="57"/>
      <c r="M52" s="58">
        <f>SUM(M28:M51)</f>
        <v>2.5</v>
      </c>
      <c r="N52" s="58">
        <f>SUM(N28:N47)</f>
        <v>7.6</v>
      </c>
      <c r="O52" s="73">
        <f t="shared" ref="O52:Q52" si="36">SUM(O28:O51)</f>
        <v>10.1</v>
      </c>
      <c r="P52" s="58">
        <f t="shared" si="36"/>
        <v>0</v>
      </c>
      <c r="Q52" s="58">
        <f t="shared" si="36"/>
        <v>240</v>
      </c>
      <c r="R52" s="107"/>
      <c r="S52" s="60">
        <f>AVERAGE(S36:S43)</f>
        <v>2.1111111111111112</v>
      </c>
      <c r="T52" s="105" t="s">
        <v>40</v>
      </c>
      <c r="U52" s="58">
        <f>SUM(U28:U51)</f>
        <v>450</v>
      </c>
      <c r="V52" s="57" t="s">
        <v>49</v>
      </c>
      <c r="W52" s="57" t="s">
        <v>49</v>
      </c>
      <c r="X52" s="57" t="s">
        <v>49</v>
      </c>
      <c r="Y52" s="58">
        <f t="shared" ref="Y52:AB52" si="37">SUM(Y28:Y51)</f>
        <v>7</v>
      </c>
      <c r="Z52" s="58">
        <f t="shared" si="37"/>
        <v>12</v>
      </c>
      <c r="AA52" s="58">
        <f t="shared" si="37"/>
        <v>2060</v>
      </c>
      <c r="AB52" s="58">
        <f t="shared" si="37"/>
        <v>2072</v>
      </c>
      <c r="AC52" s="57" t="s">
        <v>49</v>
      </c>
      <c r="AD52" s="57"/>
      <c r="AE52" s="58">
        <f t="shared" ref="AE52:AI52" si="38">SUM(AE28:AE51)</f>
        <v>16.05</v>
      </c>
      <c r="AF52" s="58">
        <f t="shared" si="38"/>
        <v>8.9499999999999993</v>
      </c>
      <c r="AG52" s="73">
        <f t="shared" si="38"/>
        <v>25</v>
      </c>
      <c r="AH52" s="58">
        <f t="shared" si="38"/>
        <v>0</v>
      </c>
      <c r="AI52" s="58">
        <f t="shared" si="38"/>
        <v>963</v>
      </c>
      <c r="AJ52" s="107"/>
      <c r="AK52" s="108">
        <f t="shared" ref="AK52:AK53" si="39">IF(AI52=0,0,AB52/AI52)</f>
        <v>2.1516095534787123</v>
      </c>
      <c r="AL52" s="105" t="s">
        <v>40</v>
      </c>
      <c r="AM52" s="58">
        <f>SUM(AM28:AM51)</f>
        <v>387</v>
      </c>
      <c r="AN52" s="57" t="s">
        <v>49</v>
      </c>
      <c r="AO52" s="57" t="s">
        <v>49</v>
      </c>
      <c r="AP52" s="57" t="s">
        <v>49</v>
      </c>
      <c r="AQ52" s="58">
        <f t="shared" ref="AQ52:AT52" si="40">SUM(AQ28:AQ51)</f>
        <v>26</v>
      </c>
      <c r="AR52" s="58">
        <f t="shared" si="40"/>
        <v>0</v>
      </c>
      <c r="AS52" s="58">
        <f t="shared" si="40"/>
        <v>3474</v>
      </c>
      <c r="AT52" s="101">
        <f t="shared" si="40"/>
        <v>3474</v>
      </c>
      <c r="AU52" s="57" t="s">
        <v>49</v>
      </c>
      <c r="AV52" s="101">
        <f>SUM(AV28:AV51)</f>
        <v>21.5</v>
      </c>
      <c r="AW52" s="58"/>
      <c r="AX52" s="110">
        <f t="shared" ref="AX52:BA52" si="41">SUM(AX28:AX51)</f>
        <v>3.5</v>
      </c>
      <c r="AY52" s="59">
        <f t="shared" si="41"/>
        <v>25</v>
      </c>
      <c r="AZ52" s="110">
        <f t="shared" si="41"/>
        <v>1</v>
      </c>
      <c r="BA52" s="58">
        <f t="shared" si="41"/>
        <v>1290</v>
      </c>
      <c r="BB52" s="107"/>
      <c r="BC52" s="108">
        <f t="shared" ref="BC52:BC53" si="42">IF(BA52=0,0,AT52/BA52)</f>
        <v>2.6930232558139533</v>
      </c>
      <c r="BD52" s="105" t="s">
        <v>40</v>
      </c>
      <c r="BE52" s="58">
        <f>SUM(BE28:BE51)</f>
        <v>477</v>
      </c>
      <c r="BF52" s="57" t="s">
        <v>49</v>
      </c>
      <c r="BG52" s="57" t="s">
        <v>49</v>
      </c>
      <c r="BH52" s="57" t="s">
        <v>49</v>
      </c>
      <c r="BI52" s="58">
        <f t="shared" ref="BI52:BL52" si="43">SUM(BI28:BI51)</f>
        <v>0</v>
      </c>
      <c r="BJ52" s="58">
        <f t="shared" si="43"/>
        <v>0</v>
      </c>
      <c r="BK52" s="58">
        <f t="shared" si="43"/>
        <v>4307</v>
      </c>
      <c r="BL52" s="58">
        <f t="shared" si="43"/>
        <v>4307</v>
      </c>
      <c r="BM52" s="57" t="s">
        <v>49</v>
      </c>
      <c r="BN52" s="57"/>
      <c r="BO52" s="58">
        <f t="shared" ref="BO52:BS52" si="44">SUM(BO28:BO51)</f>
        <v>22</v>
      </c>
      <c r="BP52" s="58">
        <f t="shared" si="44"/>
        <v>8</v>
      </c>
      <c r="BQ52" s="73">
        <f t="shared" si="44"/>
        <v>30</v>
      </c>
      <c r="BR52" s="58">
        <f t="shared" si="44"/>
        <v>0</v>
      </c>
      <c r="BS52" s="58">
        <f t="shared" si="44"/>
        <v>1320</v>
      </c>
      <c r="BT52" s="107"/>
      <c r="BU52" s="108">
        <f>IF(BS52=0,0,BL52/BS52)</f>
        <v>3.2628787878787877</v>
      </c>
      <c r="BV52" s="105" t="s">
        <v>40</v>
      </c>
      <c r="BW52" s="58">
        <f>SUM(BW28:BW51)</f>
        <v>171</v>
      </c>
      <c r="BX52" s="57" t="s">
        <v>49</v>
      </c>
      <c r="BY52" s="57" t="s">
        <v>49</v>
      </c>
      <c r="BZ52" s="57" t="s">
        <v>49</v>
      </c>
      <c r="CA52" s="58">
        <f t="shared" ref="CA52:CD52" si="45">SUM(CA28:CA51)</f>
        <v>0</v>
      </c>
      <c r="CB52" s="58">
        <f t="shared" si="45"/>
        <v>0</v>
      </c>
      <c r="CC52" s="58">
        <f t="shared" si="45"/>
        <v>1476</v>
      </c>
      <c r="CD52" s="58">
        <f t="shared" si="45"/>
        <v>1476</v>
      </c>
      <c r="CE52" s="57" t="s">
        <v>49</v>
      </c>
      <c r="CF52" s="57"/>
      <c r="CG52" s="58">
        <f t="shared" ref="CG52:CK52" si="46">SUM(CG28:CG51)</f>
        <v>23</v>
      </c>
      <c r="CH52" s="58">
        <f t="shared" si="46"/>
        <v>8</v>
      </c>
      <c r="CI52" s="73">
        <f t="shared" si="46"/>
        <v>31</v>
      </c>
      <c r="CJ52" s="58">
        <f t="shared" si="46"/>
        <v>0</v>
      </c>
      <c r="CK52" s="58">
        <f t="shared" si="46"/>
        <v>1380</v>
      </c>
      <c r="CL52" s="107"/>
      <c r="CM52" s="108">
        <f t="shared" ref="CM52:CM53" si="47">IF(CK52=0,0,CD52/CK52)</f>
        <v>1.0695652173913044</v>
      </c>
      <c r="CN52" s="92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3"/>
      <c r="CZ52" s="93"/>
      <c r="DA52" s="93"/>
      <c r="DB52" s="93"/>
      <c r="DC52" s="94"/>
      <c r="DD52" s="111"/>
      <c r="DE52" s="111"/>
      <c r="DF52" s="111"/>
      <c r="DG52" s="111"/>
      <c r="DH52" s="111"/>
      <c r="DI52" s="111"/>
      <c r="DJ52" s="111"/>
      <c r="DK52" s="111"/>
      <c r="DL52" s="111"/>
      <c r="DM52" s="111"/>
      <c r="DN52" s="111"/>
      <c r="DO52" s="111"/>
      <c r="DP52" s="111"/>
      <c r="DQ52" s="111"/>
      <c r="DR52" s="111"/>
      <c r="DS52" s="111"/>
      <c r="DT52" s="112" t="s">
        <v>40</v>
      </c>
      <c r="DU52" s="19"/>
      <c r="DV52" s="19"/>
      <c r="DW52" s="19"/>
      <c r="DX52" s="19"/>
      <c r="DY52" s="19"/>
      <c r="DZ52" s="19"/>
    </row>
    <row r="53" spans="1:130" ht="12.75" x14ac:dyDescent="0.2">
      <c r="A53" s="799" t="s">
        <v>59</v>
      </c>
      <c r="B53" s="701">
        <v>46062</v>
      </c>
      <c r="C53" s="85">
        <v>97</v>
      </c>
      <c r="D53" s="85">
        <v>827</v>
      </c>
      <c r="E53" s="85">
        <v>11123</v>
      </c>
      <c r="F53" s="85">
        <v>11500</v>
      </c>
      <c r="G53" s="85"/>
      <c r="H53" s="692"/>
      <c r="I53" s="85">
        <f t="shared" ref="I53:I55" si="48">F53-E53-G53</f>
        <v>377</v>
      </c>
      <c r="J53" s="703">
        <f>SUM(I53:I57,H53)</f>
        <v>876</v>
      </c>
      <c r="K53" s="85" t="s">
        <v>51</v>
      </c>
      <c r="L53" s="85" t="s">
        <v>51</v>
      </c>
      <c r="M53" s="692">
        <v>6.5</v>
      </c>
      <c r="N53" s="692">
        <v>0.5</v>
      </c>
      <c r="O53" s="699">
        <f>SUM(M53:N57)</f>
        <v>7</v>
      </c>
      <c r="P53" s="692"/>
      <c r="Q53" s="692">
        <f>M53*60</f>
        <v>390</v>
      </c>
      <c r="R53" s="692">
        <f>IF(
   COUNTIF(K53:K57,"SI")&gt;0,
   1.8,
   IF(
      COUNTIF(L53:L57,"SI")&gt;0,
      1.6,
      2
   )
)</f>
        <v>1.8</v>
      </c>
      <c r="S53" s="700">
        <f>IF(Q53=0,0,J53/Q53)</f>
        <v>2.2461538461538462</v>
      </c>
      <c r="T53" s="701">
        <v>46062</v>
      </c>
      <c r="U53" s="85"/>
      <c r="V53" s="85"/>
      <c r="W53" s="85"/>
      <c r="X53" s="85"/>
      <c r="Y53" s="85"/>
      <c r="Z53" s="692"/>
      <c r="AA53" s="85">
        <f t="shared" ref="AA53:AA55" si="49">X53-W53-Y53</f>
        <v>0</v>
      </c>
      <c r="AB53" s="703">
        <f>SUM(AA53:AA57,Z53)</f>
        <v>0</v>
      </c>
      <c r="AC53" s="85"/>
      <c r="AD53" s="85"/>
      <c r="AE53" s="692"/>
      <c r="AF53" s="692"/>
      <c r="AG53" s="699">
        <f>SUM(AE53:AF57)</f>
        <v>0</v>
      </c>
      <c r="AH53" s="692"/>
      <c r="AI53" s="692">
        <f>AE53*60</f>
        <v>0</v>
      </c>
      <c r="AJ53" s="692">
        <f>IF(
   COUNTIF(AC53:AC57,"SI")&gt;0,
   1.8,
   IF(
      COUNTIF(AD53:AD57,"SI")&gt;0,
      1.6,
      2
   )
)</f>
        <v>2</v>
      </c>
      <c r="AK53" s="700">
        <f t="shared" si="39"/>
        <v>0</v>
      </c>
      <c r="AL53" s="701">
        <v>46062</v>
      </c>
      <c r="AM53" s="85">
        <v>31</v>
      </c>
      <c r="AN53" s="85">
        <v>503</v>
      </c>
      <c r="AO53" s="85">
        <v>27761</v>
      </c>
      <c r="AP53" s="85">
        <v>28000</v>
      </c>
      <c r="AQ53" s="85">
        <v>10</v>
      </c>
      <c r="AR53" s="692"/>
      <c r="AS53" s="85">
        <f t="shared" ref="AS53:AS57" si="50">AP53-AO53-AQ53</f>
        <v>229</v>
      </c>
      <c r="AT53" s="691">
        <f>SUM(AS53:AS57)</f>
        <v>1822</v>
      </c>
      <c r="AU53" s="23" t="s">
        <v>52</v>
      </c>
      <c r="AV53" s="688">
        <v>7</v>
      </c>
      <c r="AW53" s="23" t="s">
        <v>52</v>
      </c>
      <c r="AX53" s="692">
        <v>0.5</v>
      </c>
      <c r="AY53" s="699">
        <f>SUM(AV53:AX57)</f>
        <v>8.5</v>
      </c>
      <c r="AZ53" s="692">
        <v>0.15</v>
      </c>
      <c r="BA53" s="692">
        <f>AV53*60</f>
        <v>420</v>
      </c>
      <c r="BB53" s="692">
        <f>IF(
   COUNTIF(AU53:AU57,"SI")&gt;0,
   1.8,
   IF(
      COUNTIF(AV53:AV57,"SI")&gt;0,
      1.6,
      2
   )
)</f>
        <v>1.8</v>
      </c>
      <c r="BC53" s="702">
        <f t="shared" si="42"/>
        <v>4.3380952380952378</v>
      </c>
      <c r="BD53" s="668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661"/>
      <c r="BP53" s="661"/>
      <c r="BQ53" s="661"/>
      <c r="BR53" s="661"/>
      <c r="BS53" s="663"/>
      <c r="BT53" s="118"/>
      <c r="BU53" s="119"/>
      <c r="BV53" s="701">
        <v>46062</v>
      </c>
      <c r="BW53" s="85">
        <v>34</v>
      </c>
      <c r="BX53" s="85">
        <v>499</v>
      </c>
      <c r="BY53" s="85">
        <v>25531</v>
      </c>
      <c r="BZ53" s="85">
        <v>25850</v>
      </c>
      <c r="CA53" s="85">
        <v>0</v>
      </c>
      <c r="CB53" s="692">
        <v>0</v>
      </c>
      <c r="CC53" s="85">
        <f>BZ53-BY53-CA53</f>
        <v>319</v>
      </c>
      <c r="CD53" s="703">
        <f>SUM(CC53:CC57,CB53)</f>
        <v>319</v>
      </c>
      <c r="CE53" s="85" t="s">
        <v>53</v>
      </c>
      <c r="CF53" s="85" t="s">
        <v>53</v>
      </c>
      <c r="CG53" s="692">
        <v>4</v>
      </c>
      <c r="CH53" s="692">
        <v>0</v>
      </c>
      <c r="CI53" s="699">
        <f>SUM(CG53:CH57)</f>
        <v>4</v>
      </c>
      <c r="CJ53" s="692">
        <v>0</v>
      </c>
      <c r="CK53" s="692">
        <f>CG53*60</f>
        <v>240</v>
      </c>
      <c r="CL53" s="692">
        <f>IF(
   COUNTIF(CE53:CE57,"SI")&gt;0,
   1.8,
   IF(
      COUNTIF(CF53:CF57,"SI")&gt;0,
      1.6,
      2
   )
)</f>
        <v>2</v>
      </c>
      <c r="CM53" s="716">
        <f t="shared" si="47"/>
        <v>1.3291666666666666</v>
      </c>
      <c r="CN53" s="92"/>
      <c r="CO53" s="93"/>
      <c r="CP53" s="93"/>
      <c r="CQ53" s="93"/>
      <c r="CR53" s="93"/>
      <c r="CS53" s="93"/>
      <c r="CT53" s="93"/>
      <c r="CU53" s="93"/>
      <c r="CV53" s="93"/>
      <c r="CW53" s="93"/>
      <c r="CX53" s="93"/>
      <c r="CY53" s="93"/>
      <c r="CZ53" s="93"/>
      <c r="DA53" s="93"/>
      <c r="DB53" s="93"/>
      <c r="DC53" s="94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0"/>
      <c r="DQ53" s="90"/>
      <c r="DR53" s="90"/>
      <c r="DS53" s="90"/>
      <c r="DT53" s="717">
        <v>46062</v>
      </c>
      <c r="DU53" s="718">
        <f>SUM(J53,AB53,AT53,BL53,CD53)</f>
        <v>3017</v>
      </c>
      <c r="DV53" s="718">
        <f>SUM(Q53,AI53,BA53,BS53,CK53)</f>
        <v>1050</v>
      </c>
      <c r="DW53" s="719">
        <f>DU53/DV53</f>
        <v>2.8733333333333335</v>
      </c>
      <c r="DX53" s="19"/>
      <c r="DY53" s="697" t="s">
        <v>36</v>
      </c>
      <c r="DZ53" s="720">
        <f>SUM(C78,U78,AM78,BE78,BW78)</f>
        <v>1084</v>
      </c>
    </row>
    <row r="54" spans="1:130" ht="12.75" x14ac:dyDescent="0.2">
      <c r="A54" s="647"/>
      <c r="B54" s="647"/>
      <c r="C54" s="23"/>
      <c r="D54" s="23">
        <v>831</v>
      </c>
      <c r="E54" s="23">
        <v>13001</v>
      </c>
      <c r="F54" s="23">
        <v>13500</v>
      </c>
      <c r="G54" s="23"/>
      <c r="H54" s="634"/>
      <c r="I54" s="23">
        <f t="shared" si="48"/>
        <v>499</v>
      </c>
      <c r="J54" s="634"/>
      <c r="K54" s="23" t="s">
        <v>51</v>
      </c>
      <c r="L54" s="91" t="s">
        <v>51</v>
      </c>
      <c r="M54" s="634"/>
      <c r="N54" s="634"/>
      <c r="O54" s="634"/>
      <c r="P54" s="634"/>
      <c r="Q54" s="634"/>
      <c r="R54" s="634"/>
      <c r="S54" s="659"/>
      <c r="T54" s="647"/>
      <c r="U54" s="23"/>
      <c r="V54" s="23"/>
      <c r="W54" s="23"/>
      <c r="X54" s="23"/>
      <c r="Y54" s="23"/>
      <c r="Z54" s="634"/>
      <c r="AA54" s="23">
        <f t="shared" si="49"/>
        <v>0</v>
      </c>
      <c r="AB54" s="634"/>
      <c r="AC54" s="23"/>
      <c r="AD54" s="91"/>
      <c r="AE54" s="634"/>
      <c r="AF54" s="634"/>
      <c r="AG54" s="634"/>
      <c r="AH54" s="634"/>
      <c r="AI54" s="634"/>
      <c r="AJ54" s="634"/>
      <c r="AK54" s="659"/>
      <c r="AL54" s="647"/>
      <c r="AM54" s="23"/>
      <c r="AN54" s="23">
        <v>498</v>
      </c>
      <c r="AO54" s="23">
        <v>25006</v>
      </c>
      <c r="AP54" s="23">
        <v>25500</v>
      </c>
      <c r="AQ54" s="23">
        <v>18</v>
      </c>
      <c r="AR54" s="634"/>
      <c r="AS54" s="23">
        <f t="shared" si="50"/>
        <v>476</v>
      </c>
      <c r="AT54" s="634"/>
      <c r="AU54" s="23" t="s">
        <v>52</v>
      </c>
      <c r="AV54" s="634"/>
      <c r="AW54" s="23" t="s">
        <v>52</v>
      </c>
      <c r="AX54" s="634"/>
      <c r="AY54" s="634"/>
      <c r="AZ54" s="634"/>
      <c r="BA54" s="634"/>
      <c r="BB54" s="634"/>
      <c r="BC54" s="634"/>
      <c r="BD54" s="662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662"/>
      <c r="BP54" s="662"/>
      <c r="BQ54" s="662"/>
      <c r="BR54" s="662"/>
      <c r="BS54" s="662"/>
      <c r="BT54" s="118"/>
      <c r="BU54" s="116"/>
      <c r="BV54" s="647"/>
      <c r="BW54" s="23"/>
      <c r="BX54" s="23"/>
      <c r="BY54" s="23"/>
      <c r="BZ54" s="23"/>
      <c r="CA54" s="23"/>
      <c r="CB54" s="634"/>
      <c r="CC54" s="23"/>
      <c r="CD54" s="634"/>
      <c r="CE54" s="23"/>
      <c r="CF54" s="91"/>
      <c r="CG54" s="634"/>
      <c r="CH54" s="634"/>
      <c r="CI54" s="634"/>
      <c r="CJ54" s="634"/>
      <c r="CK54" s="634"/>
      <c r="CL54" s="634"/>
      <c r="CM54" s="659"/>
      <c r="CN54" s="92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4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670"/>
      <c r="DU54" s="634"/>
      <c r="DV54" s="634"/>
      <c r="DW54" s="659"/>
      <c r="DX54" s="19"/>
      <c r="DY54" s="634"/>
      <c r="DZ54" s="634"/>
    </row>
    <row r="55" spans="1:130" ht="12.75" x14ac:dyDescent="0.2">
      <c r="A55" s="647"/>
      <c r="B55" s="647"/>
      <c r="C55" s="23"/>
      <c r="D55" s="23"/>
      <c r="E55" s="23"/>
      <c r="F55" s="23"/>
      <c r="G55" s="23"/>
      <c r="H55" s="634"/>
      <c r="I55" s="23">
        <f t="shared" si="48"/>
        <v>0</v>
      </c>
      <c r="J55" s="634"/>
      <c r="K55" s="23"/>
      <c r="L55" s="91"/>
      <c r="M55" s="634"/>
      <c r="N55" s="634"/>
      <c r="O55" s="634"/>
      <c r="P55" s="634"/>
      <c r="Q55" s="634"/>
      <c r="R55" s="634"/>
      <c r="S55" s="659"/>
      <c r="T55" s="647"/>
      <c r="U55" s="23"/>
      <c r="V55" s="23"/>
      <c r="W55" s="23"/>
      <c r="X55" s="23"/>
      <c r="Y55" s="23"/>
      <c r="Z55" s="634"/>
      <c r="AA55" s="23">
        <f t="shared" si="49"/>
        <v>0</v>
      </c>
      <c r="AB55" s="634"/>
      <c r="AC55" s="23"/>
      <c r="AD55" s="91"/>
      <c r="AE55" s="634"/>
      <c r="AF55" s="634"/>
      <c r="AG55" s="634"/>
      <c r="AH55" s="634"/>
      <c r="AI55" s="634"/>
      <c r="AJ55" s="634"/>
      <c r="AK55" s="659"/>
      <c r="AL55" s="647"/>
      <c r="AM55" s="28"/>
      <c r="AN55" s="28">
        <v>497</v>
      </c>
      <c r="AO55" s="28">
        <v>24504</v>
      </c>
      <c r="AP55" s="28">
        <v>25005</v>
      </c>
      <c r="AQ55" s="23">
        <v>3</v>
      </c>
      <c r="AR55" s="634"/>
      <c r="AS55" s="23">
        <f t="shared" si="50"/>
        <v>498</v>
      </c>
      <c r="AT55" s="634"/>
      <c r="AU55" s="23" t="s">
        <v>52</v>
      </c>
      <c r="AV55" s="634"/>
      <c r="AW55" s="91" t="s">
        <v>52</v>
      </c>
      <c r="AX55" s="634"/>
      <c r="AY55" s="634"/>
      <c r="AZ55" s="634"/>
      <c r="BA55" s="634"/>
      <c r="BB55" s="634"/>
      <c r="BC55" s="634"/>
      <c r="BD55" s="668"/>
      <c r="BE55" s="117"/>
      <c r="BF55" s="117"/>
      <c r="BG55" s="117"/>
      <c r="BH55" s="117"/>
      <c r="BI55" s="117"/>
      <c r="BJ55" s="117"/>
      <c r="BK55" s="118"/>
      <c r="BL55" s="118"/>
      <c r="BM55" s="118"/>
      <c r="BN55" s="118"/>
      <c r="BO55" s="118"/>
      <c r="BP55" s="118"/>
      <c r="BQ55" s="118"/>
      <c r="BR55" s="118"/>
      <c r="BS55" s="663"/>
      <c r="BT55" s="118"/>
      <c r="BU55" s="668"/>
      <c r="BV55" s="647"/>
      <c r="BW55" s="23"/>
      <c r="BX55" s="23"/>
      <c r="BY55" s="23"/>
      <c r="BZ55" s="23"/>
      <c r="CA55" s="23"/>
      <c r="CB55" s="634"/>
      <c r="CC55" s="23"/>
      <c r="CD55" s="634"/>
      <c r="CE55" s="23"/>
      <c r="CF55" s="91"/>
      <c r="CG55" s="634"/>
      <c r="CH55" s="634"/>
      <c r="CI55" s="634"/>
      <c r="CJ55" s="634"/>
      <c r="CK55" s="634"/>
      <c r="CL55" s="634"/>
      <c r="CM55" s="659"/>
      <c r="CN55" s="92"/>
      <c r="CO55" s="93"/>
      <c r="CP55" s="93"/>
      <c r="CQ55" s="93"/>
      <c r="CR55" s="93"/>
      <c r="CS55" s="93"/>
      <c r="CT55" s="93"/>
      <c r="CU55" s="93"/>
      <c r="CV55" s="93"/>
      <c r="CW55" s="93"/>
      <c r="CX55" s="93"/>
      <c r="CY55" s="93"/>
      <c r="CZ55" s="93"/>
      <c r="DA55" s="93"/>
      <c r="DB55" s="93"/>
      <c r="DC55" s="94"/>
      <c r="DD55" s="90"/>
      <c r="DE55" s="90"/>
      <c r="DF55" s="90"/>
      <c r="DG55" s="90"/>
      <c r="DH55" s="90"/>
      <c r="DI55" s="90"/>
      <c r="DJ55" s="90"/>
      <c r="DK55" s="90"/>
      <c r="DL55" s="90"/>
      <c r="DM55" s="90"/>
      <c r="DN55" s="90"/>
      <c r="DO55" s="90"/>
      <c r="DP55" s="90"/>
      <c r="DQ55" s="90"/>
      <c r="DR55" s="90"/>
      <c r="DS55" s="90"/>
      <c r="DT55" s="670"/>
      <c r="DU55" s="634"/>
      <c r="DV55" s="634"/>
      <c r="DW55" s="659"/>
      <c r="DX55" s="19"/>
      <c r="DY55" s="634"/>
      <c r="DZ55" s="634"/>
    </row>
    <row r="56" spans="1:130" ht="12.75" x14ac:dyDescent="0.2">
      <c r="A56" s="647"/>
      <c r="B56" s="647"/>
      <c r="C56" s="23"/>
      <c r="D56" s="23"/>
      <c r="E56" s="23"/>
      <c r="F56" s="23"/>
      <c r="G56" s="23"/>
      <c r="H56" s="634"/>
      <c r="I56" s="23"/>
      <c r="J56" s="634"/>
      <c r="K56" s="23"/>
      <c r="L56" s="91"/>
      <c r="M56" s="634"/>
      <c r="N56" s="634"/>
      <c r="O56" s="634"/>
      <c r="P56" s="634"/>
      <c r="Q56" s="634"/>
      <c r="R56" s="634"/>
      <c r="S56" s="659"/>
      <c r="T56" s="647"/>
      <c r="U56" s="23"/>
      <c r="V56" s="23"/>
      <c r="W56" s="23"/>
      <c r="X56" s="23"/>
      <c r="Y56" s="23"/>
      <c r="Z56" s="634"/>
      <c r="AA56" s="23"/>
      <c r="AB56" s="634"/>
      <c r="AC56" s="23"/>
      <c r="AD56" s="91"/>
      <c r="AE56" s="634"/>
      <c r="AF56" s="634"/>
      <c r="AG56" s="634"/>
      <c r="AH56" s="634"/>
      <c r="AI56" s="634"/>
      <c r="AJ56" s="634"/>
      <c r="AK56" s="659"/>
      <c r="AL56" s="647"/>
      <c r="AM56" s="23"/>
      <c r="AN56" s="23">
        <v>496</v>
      </c>
      <c r="AO56" s="23">
        <v>24009</v>
      </c>
      <c r="AP56" s="23">
        <v>24503</v>
      </c>
      <c r="AQ56" s="23">
        <v>6</v>
      </c>
      <c r="AR56" s="634"/>
      <c r="AS56" s="23">
        <f t="shared" si="50"/>
        <v>488</v>
      </c>
      <c r="AT56" s="635"/>
      <c r="AU56" s="23" t="s">
        <v>52</v>
      </c>
      <c r="AV56" s="635"/>
      <c r="AW56" s="91" t="s">
        <v>52</v>
      </c>
      <c r="AX56" s="634"/>
      <c r="AY56" s="634"/>
      <c r="AZ56" s="634"/>
      <c r="BA56" s="634"/>
      <c r="BB56" s="634"/>
      <c r="BC56" s="634"/>
      <c r="BD56" s="662"/>
      <c r="BE56" s="120"/>
      <c r="BF56" s="120"/>
      <c r="BG56" s="120"/>
      <c r="BH56" s="120"/>
      <c r="BI56" s="120"/>
      <c r="BJ56" s="120"/>
      <c r="BK56" s="118"/>
      <c r="BL56" s="118"/>
      <c r="BM56" s="118"/>
      <c r="BN56" s="118"/>
      <c r="BO56" s="118"/>
      <c r="BP56" s="118"/>
      <c r="BQ56" s="118"/>
      <c r="BR56" s="118"/>
      <c r="BS56" s="662"/>
      <c r="BT56" s="118"/>
      <c r="BU56" s="662"/>
      <c r="BV56" s="647"/>
      <c r="BW56" s="23"/>
      <c r="BX56" s="23"/>
      <c r="BY56" s="23"/>
      <c r="BZ56" s="23"/>
      <c r="CA56" s="23"/>
      <c r="CB56" s="634"/>
      <c r="CC56" s="23"/>
      <c r="CD56" s="634"/>
      <c r="CE56" s="23"/>
      <c r="CF56" s="91"/>
      <c r="CG56" s="634"/>
      <c r="CH56" s="634"/>
      <c r="CI56" s="634"/>
      <c r="CJ56" s="634"/>
      <c r="CK56" s="634"/>
      <c r="CL56" s="634"/>
      <c r="CM56" s="659"/>
      <c r="CN56" s="92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  <c r="DA56" s="93"/>
      <c r="DB56" s="93"/>
      <c r="DC56" s="94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670"/>
      <c r="DU56" s="634"/>
      <c r="DV56" s="634"/>
      <c r="DW56" s="659"/>
      <c r="DX56" s="19"/>
      <c r="DY56" s="634"/>
      <c r="DZ56" s="634"/>
    </row>
    <row r="57" spans="1:130" ht="12.75" x14ac:dyDescent="0.2">
      <c r="A57" s="647"/>
      <c r="B57" s="648"/>
      <c r="C57" s="23"/>
      <c r="D57" s="23"/>
      <c r="E57" s="23"/>
      <c r="F57" s="23"/>
      <c r="G57" s="23"/>
      <c r="H57" s="635"/>
      <c r="I57" s="23">
        <f t="shared" ref="I57:I77" si="51">F57-E57-G57</f>
        <v>0</v>
      </c>
      <c r="J57" s="635"/>
      <c r="K57" s="23"/>
      <c r="L57" s="91"/>
      <c r="M57" s="635"/>
      <c r="N57" s="635"/>
      <c r="O57" s="635"/>
      <c r="P57" s="635"/>
      <c r="Q57" s="635"/>
      <c r="R57" s="635"/>
      <c r="S57" s="660"/>
      <c r="T57" s="648"/>
      <c r="U57" s="23"/>
      <c r="V57" s="23"/>
      <c r="W57" s="23"/>
      <c r="X57" s="23"/>
      <c r="Y57" s="23"/>
      <c r="Z57" s="635"/>
      <c r="AA57" s="23">
        <f t="shared" ref="AA57:AA70" si="52">X57-W57-Y57</f>
        <v>0</v>
      </c>
      <c r="AB57" s="635"/>
      <c r="AC57" s="23"/>
      <c r="AD57" s="91"/>
      <c r="AE57" s="635"/>
      <c r="AF57" s="635"/>
      <c r="AG57" s="635"/>
      <c r="AH57" s="635"/>
      <c r="AI57" s="635"/>
      <c r="AJ57" s="635"/>
      <c r="AK57" s="660"/>
      <c r="AL57" s="648"/>
      <c r="AM57" s="23"/>
      <c r="AN57" s="23">
        <v>832</v>
      </c>
      <c r="AO57" s="23">
        <v>13502</v>
      </c>
      <c r="AP57" s="23">
        <v>13635</v>
      </c>
      <c r="AQ57" s="23">
        <v>2</v>
      </c>
      <c r="AR57" s="635"/>
      <c r="AS57" s="23">
        <f t="shared" si="50"/>
        <v>131</v>
      </c>
      <c r="AT57" s="96">
        <f>AS57</f>
        <v>131</v>
      </c>
      <c r="AU57" s="23" t="s">
        <v>51</v>
      </c>
      <c r="AV57" s="91">
        <v>1</v>
      </c>
      <c r="AW57" s="91" t="s">
        <v>51</v>
      </c>
      <c r="AX57" s="635"/>
      <c r="AY57" s="635"/>
      <c r="AZ57" s="635"/>
      <c r="BA57" s="54">
        <f t="shared" ref="BA57:BA58" si="53">AV57*60</f>
        <v>60</v>
      </c>
      <c r="BB57" s="635"/>
      <c r="BC57" s="95">
        <f t="shared" ref="BC57:BC58" si="54">IF(BA57=0,0,AT57/BA57)</f>
        <v>2.1833333333333331</v>
      </c>
      <c r="BD57" s="662"/>
      <c r="BE57" s="120"/>
      <c r="BF57" s="120"/>
      <c r="BG57" s="120"/>
      <c r="BH57" s="120"/>
      <c r="BI57" s="120"/>
      <c r="BJ57" s="120"/>
      <c r="BK57" s="118"/>
      <c r="BL57" s="118"/>
      <c r="BM57" s="118"/>
      <c r="BN57" s="118"/>
      <c r="BO57" s="118"/>
      <c r="BP57" s="118"/>
      <c r="BQ57" s="118"/>
      <c r="BR57" s="118"/>
      <c r="BS57" s="662"/>
      <c r="BT57" s="118"/>
      <c r="BU57" s="662"/>
      <c r="BV57" s="648"/>
      <c r="BW57" s="23"/>
      <c r="BX57" s="23"/>
      <c r="BY57" s="23"/>
      <c r="BZ57" s="23"/>
      <c r="CA57" s="23"/>
      <c r="CB57" s="635"/>
      <c r="CC57" s="23"/>
      <c r="CD57" s="635"/>
      <c r="CE57" s="23"/>
      <c r="CF57" s="91"/>
      <c r="CG57" s="635"/>
      <c r="CH57" s="635"/>
      <c r="CI57" s="635"/>
      <c r="CJ57" s="635"/>
      <c r="CK57" s="635"/>
      <c r="CL57" s="635"/>
      <c r="CM57" s="660"/>
      <c r="CN57" s="92"/>
      <c r="CO57" s="93"/>
      <c r="CP57" s="93"/>
      <c r="CQ57" s="93"/>
      <c r="CR57" s="93"/>
      <c r="CS57" s="93"/>
      <c r="CT57" s="93"/>
      <c r="CU57" s="93"/>
      <c r="CV57" s="93"/>
      <c r="CW57" s="93"/>
      <c r="CX57" s="93"/>
      <c r="CY57" s="93"/>
      <c r="CZ57" s="93"/>
      <c r="DA57" s="93"/>
      <c r="DB57" s="93"/>
      <c r="DC57" s="94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671"/>
      <c r="DU57" s="635"/>
      <c r="DV57" s="635"/>
      <c r="DW57" s="660"/>
      <c r="DX57" s="19"/>
      <c r="DY57" s="635"/>
      <c r="DZ57" s="635"/>
    </row>
    <row r="58" spans="1:130" ht="12.75" x14ac:dyDescent="0.2">
      <c r="A58" s="647"/>
      <c r="B58" s="694">
        <v>46063</v>
      </c>
      <c r="C58" s="53">
        <v>57</v>
      </c>
      <c r="D58" s="53">
        <v>494</v>
      </c>
      <c r="E58" s="53">
        <v>23001</v>
      </c>
      <c r="F58" s="53">
        <v>23500</v>
      </c>
      <c r="G58" s="53"/>
      <c r="H58" s="690"/>
      <c r="I58" s="53">
        <f t="shared" si="51"/>
        <v>499</v>
      </c>
      <c r="J58" s="691">
        <f>SUM(I58:I61,H58)</f>
        <v>998</v>
      </c>
      <c r="K58" s="53" t="s">
        <v>52</v>
      </c>
      <c r="L58" s="53" t="s">
        <v>52</v>
      </c>
      <c r="M58" s="690">
        <v>6.5</v>
      </c>
      <c r="N58" s="690"/>
      <c r="O58" s="689">
        <f>SUM(M58:N61)</f>
        <v>6.5</v>
      </c>
      <c r="P58" s="690"/>
      <c r="Q58" s="690">
        <f>M58*60</f>
        <v>390</v>
      </c>
      <c r="R58" s="692">
        <f>IF(
   COUNTIF(K58:K61,"SI")&gt;0,
   1.8,
   IF(
      COUNTIF(L58:L61,"SI")&gt;0,
      1.6,
      2
   )
)</f>
        <v>2</v>
      </c>
      <c r="S58" s="700">
        <f>IF(Q58=0,0,J58/Q58)</f>
        <v>2.5589743589743588</v>
      </c>
      <c r="T58" s="694">
        <v>46063</v>
      </c>
      <c r="U58" s="53">
        <v>5</v>
      </c>
      <c r="V58" s="53">
        <v>534</v>
      </c>
      <c r="W58" s="53">
        <v>11962</v>
      </c>
      <c r="X58" s="53">
        <v>12001</v>
      </c>
      <c r="Y58" s="53">
        <v>0</v>
      </c>
      <c r="Z58" s="690">
        <v>0</v>
      </c>
      <c r="AA58" s="53">
        <f t="shared" si="52"/>
        <v>39</v>
      </c>
      <c r="AB58" s="691">
        <f>SUM(AA58:AA59)</f>
        <v>368</v>
      </c>
      <c r="AC58" s="53" t="s">
        <v>52</v>
      </c>
      <c r="AD58" s="53" t="s">
        <v>52</v>
      </c>
      <c r="AE58" s="690">
        <v>3</v>
      </c>
      <c r="AF58" s="690">
        <v>0.5</v>
      </c>
      <c r="AG58" s="689">
        <f>SUM(AE58:AF61)</f>
        <v>7.5</v>
      </c>
      <c r="AH58" s="690">
        <v>0</v>
      </c>
      <c r="AI58" s="690">
        <f>AE58*60</f>
        <v>180</v>
      </c>
      <c r="AJ58" s="692">
        <f>IF(
   COUNTIF(AC58:AC61,"SI")&gt;0,
   1.8,
   IF(
      COUNTIF(AD58:AD61,"SI")&gt;0,
      1.6,
      2
   )
)</f>
        <v>1.8</v>
      </c>
      <c r="AK58" s="693">
        <f>SUM(AA58:AA59)/AI58</f>
        <v>2.0444444444444443</v>
      </c>
      <c r="AL58" s="694">
        <v>46063</v>
      </c>
      <c r="AM58" s="53"/>
      <c r="AN58" s="53"/>
      <c r="AO58" s="53"/>
      <c r="AP58" s="53"/>
      <c r="AQ58" s="53"/>
      <c r="AR58" s="690"/>
      <c r="AS58" s="53"/>
      <c r="AT58" s="691"/>
      <c r="AU58" s="690"/>
      <c r="AV58" s="690"/>
      <c r="AW58" s="53"/>
      <c r="AX58" s="690">
        <v>0.5</v>
      </c>
      <c r="AY58" s="689">
        <f>SUM(AV58:AX61)</f>
        <v>0.5</v>
      </c>
      <c r="AZ58" s="690">
        <v>0.25</v>
      </c>
      <c r="BA58" s="690">
        <f t="shared" si="53"/>
        <v>0</v>
      </c>
      <c r="BB58" s="692">
        <f>IF(
   COUNTIF(AU58:AU61,"SI")&gt;0,
   1.8,
   IF(
      COUNTIF(AV58:AV61,"SI")&gt;0,
      1.6,
      2
   )
)</f>
        <v>2</v>
      </c>
      <c r="BC58" s="698">
        <f t="shared" si="54"/>
        <v>0</v>
      </c>
      <c r="BD58" s="119"/>
      <c r="BE58" s="121"/>
      <c r="BF58" s="122"/>
      <c r="BG58" s="122"/>
      <c r="BH58" s="122"/>
      <c r="BI58" s="121"/>
      <c r="BJ58" s="121"/>
      <c r="BK58" s="121"/>
      <c r="BL58" s="121"/>
      <c r="BM58" s="121"/>
      <c r="BN58" s="121"/>
      <c r="BO58" s="121"/>
      <c r="BP58" s="121"/>
      <c r="BQ58" s="123"/>
      <c r="BR58" s="123"/>
      <c r="BS58" s="663"/>
      <c r="BT58" s="118"/>
      <c r="BU58" s="116"/>
      <c r="BV58" s="694">
        <v>46063</v>
      </c>
      <c r="BW58" s="53">
        <v>116</v>
      </c>
      <c r="BX58" s="53">
        <v>807</v>
      </c>
      <c r="BY58" s="53">
        <v>1021</v>
      </c>
      <c r="BZ58" s="53">
        <v>1489</v>
      </c>
      <c r="CA58" s="53">
        <v>0</v>
      </c>
      <c r="CB58" s="690">
        <v>0</v>
      </c>
      <c r="CC58" s="53">
        <f t="shared" ref="CC58:CC59" si="55">BZ58-BY58-CA58</f>
        <v>468</v>
      </c>
      <c r="CD58" s="691">
        <f>SUM(CC58:CC61,CB58)</f>
        <v>506</v>
      </c>
      <c r="CE58" s="53" t="s">
        <v>54</v>
      </c>
      <c r="CF58" s="53" t="s">
        <v>54</v>
      </c>
      <c r="CG58" s="690">
        <v>4</v>
      </c>
      <c r="CH58" s="690">
        <v>0</v>
      </c>
      <c r="CI58" s="689">
        <f>SUM(CG58:CH61)</f>
        <v>4</v>
      </c>
      <c r="CJ58" s="690">
        <v>0</v>
      </c>
      <c r="CK58" s="690">
        <f>CG58*60</f>
        <v>240</v>
      </c>
      <c r="CL58" s="692">
        <f>IF(
   COUNTIF(CE58:CE61,"SI")&gt;0,
   1.8,
   IF(
      COUNTIF(CF58:CF61,"SI")&gt;0,
      1.6,
      2
   )
)</f>
        <v>1.8</v>
      </c>
      <c r="CM58" s="705">
        <f>IF(CK58=0,0,CD58/CK58)</f>
        <v>2.1083333333333334</v>
      </c>
      <c r="CN58" s="92"/>
      <c r="CO58" s="93"/>
      <c r="CP58" s="93"/>
      <c r="CQ58" s="93"/>
      <c r="CR58" s="93"/>
      <c r="CS58" s="93"/>
      <c r="CT58" s="93"/>
      <c r="CU58" s="93"/>
      <c r="CV58" s="93"/>
      <c r="CW58" s="93"/>
      <c r="CX58" s="93"/>
      <c r="CY58" s="93"/>
      <c r="CZ58" s="93"/>
      <c r="DA58" s="93"/>
      <c r="DB58" s="93"/>
      <c r="DC58" s="94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706">
        <v>46063</v>
      </c>
      <c r="DU58" s="707">
        <f>SUM(J58,AB58,AT58,BL58,CD58)</f>
        <v>1872</v>
      </c>
      <c r="DV58" s="707">
        <f>SUM(Q58,AI58,BA58,BS58,CK58)</f>
        <v>810</v>
      </c>
      <c r="DW58" s="709">
        <f>DU58/DV58</f>
        <v>2.3111111111111109</v>
      </c>
      <c r="DX58" s="19"/>
      <c r="DY58" s="713" t="s">
        <v>37</v>
      </c>
      <c r="DZ58" s="707">
        <f>SUM(DU53:DU77)</f>
        <v>10465</v>
      </c>
    </row>
    <row r="59" spans="1:130" ht="12.75" x14ac:dyDescent="0.2">
      <c r="A59" s="647"/>
      <c r="B59" s="647"/>
      <c r="C59" s="53">
        <v>49</v>
      </c>
      <c r="D59" s="53">
        <v>493</v>
      </c>
      <c r="E59" s="53">
        <v>22501</v>
      </c>
      <c r="F59" s="53">
        <v>23000</v>
      </c>
      <c r="G59" s="53"/>
      <c r="H59" s="634"/>
      <c r="I59" s="53">
        <f t="shared" si="51"/>
        <v>499</v>
      </c>
      <c r="J59" s="634"/>
      <c r="K59" s="53" t="s">
        <v>52</v>
      </c>
      <c r="L59" s="53" t="s">
        <v>52</v>
      </c>
      <c r="M59" s="634"/>
      <c r="N59" s="634"/>
      <c r="O59" s="634"/>
      <c r="P59" s="634"/>
      <c r="Q59" s="634"/>
      <c r="R59" s="634"/>
      <c r="S59" s="659"/>
      <c r="T59" s="647"/>
      <c r="U59" s="53">
        <v>45</v>
      </c>
      <c r="V59" s="53">
        <v>495</v>
      </c>
      <c r="W59" s="53">
        <v>23512</v>
      </c>
      <c r="X59" s="53">
        <v>23842</v>
      </c>
      <c r="Y59" s="53">
        <v>1</v>
      </c>
      <c r="Z59" s="634"/>
      <c r="AA59" s="53">
        <f t="shared" si="52"/>
        <v>329</v>
      </c>
      <c r="AB59" s="634"/>
      <c r="AC59" s="49" t="s">
        <v>52</v>
      </c>
      <c r="AD59" s="53" t="s">
        <v>52</v>
      </c>
      <c r="AE59" s="634"/>
      <c r="AF59" s="634"/>
      <c r="AG59" s="634"/>
      <c r="AH59" s="634"/>
      <c r="AI59" s="634"/>
      <c r="AJ59" s="634"/>
      <c r="AK59" s="659"/>
      <c r="AL59" s="647"/>
      <c r="AM59" s="53"/>
      <c r="AN59" s="53"/>
      <c r="AO59" s="53"/>
      <c r="AP59" s="53"/>
      <c r="AQ59" s="53"/>
      <c r="AR59" s="634"/>
      <c r="AS59" s="53"/>
      <c r="AT59" s="634"/>
      <c r="AU59" s="634"/>
      <c r="AV59" s="634"/>
      <c r="AW59" s="53"/>
      <c r="AX59" s="634"/>
      <c r="AY59" s="634"/>
      <c r="AZ59" s="634"/>
      <c r="BA59" s="634"/>
      <c r="BB59" s="634"/>
      <c r="BC59" s="634"/>
      <c r="BD59" s="668"/>
      <c r="BE59" s="118"/>
      <c r="BF59" s="118"/>
      <c r="BG59" s="118"/>
      <c r="BH59" s="118"/>
      <c r="BI59" s="118"/>
      <c r="BJ59" s="118"/>
      <c r="BK59" s="118"/>
      <c r="BL59" s="663"/>
      <c r="BM59" s="118"/>
      <c r="BN59" s="118"/>
      <c r="BO59" s="663"/>
      <c r="BP59" s="663"/>
      <c r="BQ59" s="663"/>
      <c r="BR59" s="663"/>
      <c r="BS59" s="662"/>
      <c r="BT59" s="118"/>
      <c r="BU59" s="118"/>
      <c r="BV59" s="647"/>
      <c r="BW59" s="53">
        <v>10</v>
      </c>
      <c r="BX59" s="53">
        <v>834</v>
      </c>
      <c r="BY59" s="53">
        <v>14503</v>
      </c>
      <c r="BZ59" s="53">
        <v>14541</v>
      </c>
      <c r="CA59" s="53">
        <v>0</v>
      </c>
      <c r="CB59" s="634"/>
      <c r="CC59" s="53">
        <f t="shared" si="55"/>
        <v>38</v>
      </c>
      <c r="CD59" s="634"/>
      <c r="CE59" s="53" t="s">
        <v>54</v>
      </c>
      <c r="CF59" s="53" t="s">
        <v>54</v>
      </c>
      <c r="CG59" s="634"/>
      <c r="CH59" s="634"/>
      <c r="CI59" s="634"/>
      <c r="CJ59" s="634"/>
      <c r="CK59" s="634"/>
      <c r="CL59" s="634"/>
      <c r="CM59" s="659"/>
      <c r="CN59" s="92"/>
      <c r="CO59" s="93"/>
      <c r="CP59" s="93"/>
      <c r="CQ59" s="93"/>
      <c r="CR59" s="93"/>
      <c r="CS59" s="93"/>
      <c r="CT59" s="93"/>
      <c r="CU59" s="93"/>
      <c r="CV59" s="93"/>
      <c r="CW59" s="93"/>
      <c r="CX59" s="93"/>
      <c r="CY59" s="93"/>
      <c r="CZ59" s="93"/>
      <c r="DA59" s="93"/>
      <c r="DB59" s="93"/>
      <c r="DC59" s="94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670"/>
      <c r="DU59" s="634"/>
      <c r="DV59" s="634"/>
      <c r="DW59" s="659"/>
      <c r="DX59" s="19"/>
      <c r="DY59" s="634"/>
      <c r="DZ59" s="634"/>
    </row>
    <row r="60" spans="1:130" ht="12.75" x14ac:dyDescent="0.2">
      <c r="A60" s="647"/>
      <c r="B60" s="647"/>
      <c r="C60" s="53"/>
      <c r="D60" s="53"/>
      <c r="E60" s="53"/>
      <c r="F60" s="53"/>
      <c r="G60" s="53"/>
      <c r="H60" s="634"/>
      <c r="I60" s="53">
        <f t="shared" si="51"/>
        <v>0</v>
      </c>
      <c r="J60" s="634"/>
      <c r="K60" s="53"/>
      <c r="L60" s="53"/>
      <c r="M60" s="634"/>
      <c r="N60" s="634"/>
      <c r="O60" s="634"/>
      <c r="P60" s="634"/>
      <c r="Q60" s="634"/>
      <c r="R60" s="634"/>
      <c r="S60" s="659"/>
      <c r="T60" s="647"/>
      <c r="U60" s="53">
        <v>116</v>
      </c>
      <c r="V60" s="53">
        <v>833</v>
      </c>
      <c r="W60" s="53">
        <v>14007</v>
      </c>
      <c r="X60" s="53">
        <v>14502</v>
      </c>
      <c r="Y60" s="53">
        <v>6</v>
      </c>
      <c r="Z60" s="634"/>
      <c r="AA60" s="53">
        <f t="shared" si="52"/>
        <v>489</v>
      </c>
      <c r="AB60" s="691">
        <f>SUM(AA60:AA61)</f>
        <v>534</v>
      </c>
      <c r="AC60" s="53" t="s">
        <v>51</v>
      </c>
      <c r="AD60" s="53" t="s">
        <v>51</v>
      </c>
      <c r="AE60" s="690">
        <v>4</v>
      </c>
      <c r="AF60" s="634"/>
      <c r="AG60" s="634"/>
      <c r="AH60" s="634"/>
      <c r="AI60" s="690">
        <f>AE60*60</f>
        <v>240</v>
      </c>
      <c r="AJ60" s="634"/>
      <c r="AK60" s="693">
        <f>SUM(AA60:AA61)/AI60</f>
        <v>2.2250000000000001</v>
      </c>
      <c r="AL60" s="647"/>
      <c r="AM60" s="53"/>
      <c r="AN60" s="53"/>
      <c r="AO60" s="53"/>
      <c r="AP60" s="53"/>
      <c r="AQ60" s="53"/>
      <c r="AR60" s="634"/>
      <c r="AS60" s="53"/>
      <c r="AT60" s="635"/>
      <c r="AU60" s="635"/>
      <c r="AV60" s="635"/>
      <c r="AW60" s="53"/>
      <c r="AX60" s="634"/>
      <c r="AY60" s="634"/>
      <c r="AZ60" s="634"/>
      <c r="BA60" s="634"/>
      <c r="BB60" s="634"/>
      <c r="BC60" s="635"/>
      <c r="BD60" s="662"/>
      <c r="BE60" s="118"/>
      <c r="BF60" s="118"/>
      <c r="BG60" s="118"/>
      <c r="BH60" s="118"/>
      <c r="BI60" s="118"/>
      <c r="BJ60" s="118"/>
      <c r="BK60" s="118"/>
      <c r="BL60" s="662"/>
      <c r="BM60" s="118"/>
      <c r="BN60" s="118"/>
      <c r="BO60" s="662"/>
      <c r="BP60" s="662"/>
      <c r="BQ60" s="662"/>
      <c r="BR60" s="662"/>
      <c r="BS60" s="663"/>
      <c r="BT60" s="118"/>
      <c r="BU60" s="116"/>
      <c r="BV60" s="647"/>
      <c r="BW60" s="53"/>
      <c r="BX60" s="53"/>
      <c r="BY60" s="53"/>
      <c r="BZ60" s="53"/>
      <c r="CA60" s="53"/>
      <c r="CB60" s="634"/>
      <c r="CC60" s="53"/>
      <c r="CD60" s="634"/>
      <c r="CE60" s="53"/>
      <c r="CF60" s="53"/>
      <c r="CG60" s="634"/>
      <c r="CH60" s="634"/>
      <c r="CI60" s="634"/>
      <c r="CJ60" s="634"/>
      <c r="CK60" s="634"/>
      <c r="CL60" s="634"/>
      <c r="CM60" s="659"/>
      <c r="CN60" s="92"/>
      <c r="CO60" s="93"/>
      <c r="CP60" s="93"/>
      <c r="CQ60" s="93"/>
      <c r="CR60" s="93"/>
      <c r="CS60" s="93"/>
      <c r="CT60" s="93"/>
      <c r="CU60" s="93"/>
      <c r="CV60" s="93"/>
      <c r="CW60" s="93"/>
      <c r="CX60" s="93"/>
      <c r="CY60" s="93"/>
      <c r="CZ60" s="93"/>
      <c r="DA60" s="93"/>
      <c r="DB60" s="93"/>
      <c r="DC60" s="94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670"/>
      <c r="DU60" s="634"/>
      <c r="DV60" s="634"/>
      <c r="DW60" s="659"/>
      <c r="DX60" s="19"/>
      <c r="DY60" s="635"/>
      <c r="DZ60" s="635"/>
    </row>
    <row r="61" spans="1:130" ht="12.75" x14ac:dyDescent="0.2">
      <c r="A61" s="647"/>
      <c r="B61" s="648"/>
      <c r="C61" s="53"/>
      <c r="D61" s="53"/>
      <c r="E61" s="53"/>
      <c r="F61" s="53"/>
      <c r="G61" s="53"/>
      <c r="H61" s="635"/>
      <c r="I61" s="53">
        <f t="shared" si="51"/>
        <v>0</v>
      </c>
      <c r="J61" s="635"/>
      <c r="K61" s="53"/>
      <c r="L61" s="53"/>
      <c r="M61" s="635"/>
      <c r="N61" s="635"/>
      <c r="O61" s="635"/>
      <c r="P61" s="635"/>
      <c r="Q61" s="635"/>
      <c r="R61" s="635"/>
      <c r="S61" s="660"/>
      <c r="T61" s="648"/>
      <c r="U61" s="53">
        <v>10</v>
      </c>
      <c r="V61" s="53">
        <v>835</v>
      </c>
      <c r="W61" s="53">
        <v>15011</v>
      </c>
      <c r="X61" s="53">
        <v>15056</v>
      </c>
      <c r="Y61" s="53">
        <v>0</v>
      </c>
      <c r="Z61" s="635"/>
      <c r="AA61" s="53">
        <f t="shared" si="52"/>
        <v>45</v>
      </c>
      <c r="AB61" s="634"/>
      <c r="AC61" s="53" t="s">
        <v>51</v>
      </c>
      <c r="AD61" s="53" t="s">
        <v>51</v>
      </c>
      <c r="AE61" s="634"/>
      <c r="AF61" s="635"/>
      <c r="AG61" s="635"/>
      <c r="AH61" s="635"/>
      <c r="AI61" s="634"/>
      <c r="AJ61" s="635"/>
      <c r="AK61" s="659"/>
      <c r="AL61" s="648"/>
      <c r="AM61" s="53"/>
      <c r="AN61" s="53"/>
      <c r="AO61" s="53"/>
      <c r="AP61" s="53"/>
      <c r="AQ61" s="53"/>
      <c r="AR61" s="635"/>
      <c r="AS61" s="53"/>
      <c r="AT61" s="98"/>
      <c r="AU61" s="53"/>
      <c r="AV61" s="56"/>
      <c r="AW61" s="56"/>
      <c r="AX61" s="635"/>
      <c r="AY61" s="635"/>
      <c r="AZ61" s="635"/>
      <c r="BA61" s="56"/>
      <c r="BB61" s="635"/>
      <c r="BC61" s="124"/>
      <c r="BD61" s="711"/>
      <c r="BE61" s="118"/>
      <c r="BF61" s="118"/>
      <c r="BG61" s="118"/>
      <c r="BH61" s="118"/>
      <c r="BI61" s="118"/>
      <c r="BJ61" s="118"/>
      <c r="BK61" s="118"/>
      <c r="BL61" s="711"/>
      <c r="BM61" s="118"/>
      <c r="BN61" s="118"/>
      <c r="BO61" s="663"/>
      <c r="BP61" s="663"/>
      <c r="BQ61" s="711"/>
      <c r="BR61" s="711"/>
      <c r="BS61" s="662"/>
      <c r="BT61" s="118"/>
      <c r="BU61" s="711"/>
      <c r="BV61" s="648"/>
      <c r="BW61" s="53"/>
      <c r="BX61" s="53"/>
      <c r="BY61" s="53"/>
      <c r="BZ61" s="53"/>
      <c r="CA61" s="53"/>
      <c r="CB61" s="635"/>
      <c r="CC61" s="53"/>
      <c r="CD61" s="635"/>
      <c r="CE61" s="53"/>
      <c r="CF61" s="53"/>
      <c r="CG61" s="635"/>
      <c r="CH61" s="635"/>
      <c r="CI61" s="635"/>
      <c r="CJ61" s="635"/>
      <c r="CK61" s="635"/>
      <c r="CL61" s="635"/>
      <c r="CM61" s="660"/>
      <c r="CN61" s="92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4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671"/>
      <c r="DU61" s="635"/>
      <c r="DV61" s="635"/>
      <c r="DW61" s="660"/>
      <c r="DX61" s="19"/>
      <c r="DY61" s="713" t="s">
        <v>38</v>
      </c>
      <c r="DZ61" s="714">
        <f>SUM(DV53:DV77)</f>
        <v>4488</v>
      </c>
    </row>
    <row r="62" spans="1:130" ht="12.75" x14ac:dyDescent="0.2">
      <c r="A62" s="647"/>
      <c r="B62" s="695">
        <v>46064</v>
      </c>
      <c r="C62" s="23">
        <v>49</v>
      </c>
      <c r="D62" s="23">
        <v>492</v>
      </c>
      <c r="E62" s="23">
        <v>22001</v>
      </c>
      <c r="F62" s="23">
        <v>22500</v>
      </c>
      <c r="G62" s="23"/>
      <c r="H62" s="688"/>
      <c r="I62" s="23">
        <f t="shared" si="51"/>
        <v>499</v>
      </c>
      <c r="J62" s="691">
        <f>SUM(I62:I65,H62)</f>
        <v>998</v>
      </c>
      <c r="K62" s="23" t="s">
        <v>52</v>
      </c>
      <c r="L62" s="23" t="s">
        <v>52</v>
      </c>
      <c r="M62" s="688">
        <v>7</v>
      </c>
      <c r="N62" s="688">
        <v>0.5</v>
      </c>
      <c r="O62" s="712">
        <f>SUM(M62:N65)</f>
        <v>7.5</v>
      </c>
      <c r="P62" s="688"/>
      <c r="Q62" s="696">
        <f>M62*60</f>
        <v>420</v>
      </c>
      <c r="R62" s="692">
        <f>IF(
   COUNTIF(K62:K65,"SI")&gt;0,
   1.8,
   IF(
      COUNTIF(L62:L65,"SI")&gt;0,
      1.6,
      2
   )
)</f>
        <v>2</v>
      </c>
      <c r="S62" s="693">
        <f>IF(Q62=0,0,J62/Q62)</f>
        <v>2.3761904761904762</v>
      </c>
      <c r="T62" s="695">
        <v>46064</v>
      </c>
      <c r="U62" s="23"/>
      <c r="V62" s="23">
        <v>495</v>
      </c>
      <c r="W62" s="23">
        <v>23842</v>
      </c>
      <c r="X62" s="23">
        <v>24008</v>
      </c>
      <c r="Y62" s="23">
        <v>0</v>
      </c>
      <c r="Z62" s="688">
        <v>0</v>
      </c>
      <c r="AA62" s="23">
        <f t="shared" si="52"/>
        <v>166</v>
      </c>
      <c r="AB62" s="691">
        <f>SUM(AA62:AA65,Z62)</f>
        <v>1074</v>
      </c>
      <c r="AC62" s="23" t="s">
        <v>52</v>
      </c>
      <c r="AD62" s="23" t="s">
        <v>52</v>
      </c>
      <c r="AE62" s="688">
        <v>5</v>
      </c>
      <c r="AF62" s="688">
        <v>0.25</v>
      </c>
      <c r="AG62" s="689">
        <f>SUM(AE62:AF65)</f>
        <v>8.5</v>
      </c>
      <c r="AH62" s="688">
        <v>0</v>
      </c>
      <c r="AI62" s="688">
        <f>AE62*60</f>
        <v>300</v>
      </c>
      <c r="AJ62" s="692">
        <f>IF(
   COUNTIF(AC62:AC65,"SI")&gt;0,
   1.8,
   IF(
      COUNTIF(AD62:AD65,"SI")&gt;0,
      1.6,
      2
   )
)</f>
        <v>1.8</v>
      </c>
      <c r="AK62" s="693">
        <f>SUM(AA62:AA63)/AI62</f>
        <v>2.2266666666666666</v>
      </c>
      <c r="AL62" s="695">
        <v>46064</v>
      </c>
      <c r="AM62" s="23"/>
      <c r="AN62" s="53">
        <v>491</v>
      </c>
      <c r="AO62" s="53">
        <v>21505</v>
      </c>
      <c r="AP62" s="53">
        <v>22004</v>
      </c>
      <c r="AQ62" s="53">
        <v>28</v>
      </c>
      <c r="AR62" s="690">
        <v>176</v>
      </c>
      <c r="AS62" s="53">
        <f t="shared" ref="AS62:AS65" si="56">AP62-AO62-AQ62</f>
        <v>471</v>
      </c>
      <c r="AT62" s="691">
        <f>SUM(AS62:AS64,AR62)</f>
        <v>1630</v>
      </c>
      <c r="AU62" s="690" t="s">
        <v>52</v>
      </c>
      <c r="AV62" s="690">
        <v>8.3000000000000007</v>
      </c>
      <c r="AW62" s="53" t="s">
        <v>52</v>
      </c>
      <c r="AX62" s="690">
        <v>0.2</v>
      </c>
      <c r="AY62" s="689">
        <f>SUM(AV62:AX65)</f>
        <v>8.5</v>
      </c>
      <c r="AZ62" s="688">
        <v>0.15</v>
      </c>
      <c r="BA62" s="688">
        <f>AV62*60</f>
        <v>498.00000000000006</v>
      </c>
      <c r="BB62" s="692">
        <f>IF(
   COUNTIF(AU62:AU65,"SI")&gt;0,
   1.8,
   IF(
      COUNTIF(AV62:AV65,"SI")&gt;0,
      1.6,
      2
   )
)</f>
        <v>2</v>
      </c>
      <c r="BC62" s="697">
        <f>IF(BA62=0,0,AT62/BA62)</f>
        <v>3.2730923694779115</v>
      </c>
      <c r="BD62" s="662"/>
      <c r="BE62" s="118"/>
      <c r="BF62" s="118"/>
      <c r="BG62" s="118"/>
      <c r="BH62" s="118"/>
      <c r="BI62" s="118"/>
      <c r="BJ62" s="118"/>
      <c r="BK62" s="118"/>
      <c r="BL62" s="662"/>
      <c r="BM62" s="118"/>
      <c r="BN62" s="118"/>
      <c r="BO62" s="662"/>
      <c r="BP62" s="662"/>
      <c r="BQ62" s="662"/>
      <c r="BR62" s="662"/>
      <c r="BS62" s="663"/>
      <c r="BT62" s="118"/>
      <c r="BU62" s="662"/>
      <c r="BV62" s="695">
        <v>46064</v>
      </c>
      <c r="BW62" s="23">
        <v>102</v>
      </c>
      <c r="BX62" s="23">
        <v>834</v>
      </c>
      <c r="BY62" s="23">
        <v>14547</v>
      </c>
      <c r="BZ62" s="23">
        <v>15000</v>
      </c>
      <c r="CA62" s="23">
        <v>0</v>
      </c>
      <c r="CB62" s="688">
        <v>0</v>
      </c>
      <c r="CC62" s="23">
        <f>BZ62-BY62-CA62</f>
        <v>453</v>
      </c>
      <c r="CD62" s="691">
        <f>SUM(CC62:CC65,CB62)</f>
        <v>453</v>
      </c>
      <c r="CE62" s="23" t="s">
        <v>54</v>
      </c>
      <c r="CF62" s="23" t="s">
        <v>54</v>
      </c>
      <c r="CG62" s="688">
        <v>4</v>
      </c>
      <c r="CH62" s="688">
        <v>0</v>
      </c>
      <c r="CI62" s="689">
        <f>SUM(CG62:CH65)</f>
        <v>4</v>
      </c>
      <c r="CJ62" s="688">
        <v>0</v>
      </c>
      <c r="CK62" s="688">
        <f>CG62*60</f>
        <v>240</v>
      </c>
      <c r="CL62" s="692">
        <f>IF(
   COUNTIF(CE62:CE65,"SI")&gt;0,
   1.8,
   IF(
      COUNTIF(CF62:CF65,"SI")&gt;0,
      1.6,
      2
   )
)</f>
        <v>1.8</v>
      </c>
      <c r="CM62" s="705">
        <f>IF(CK62=0,0,CD62/CK62)</f>
        <v>1.8875</v>
      </c>
      <c r="CN62" s="92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4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715">
        <v>46064</v>
      </c>
      <c r="DU62" s="707">
        <f>SUM(J62,AB62,AT62,BL62,CD62)</f>
        <v>4155</v>
      </c>
      <c r="DV62" s="707">
        <f>SUM(Q62,AI62,BA62,BS62,CK62)</f>
        <v>1458</v>
      </c>
      <c r="DW62" s="709">
        <f>DU62/DV62</f>
        <v>2.8497942386831276</v>
      </c>
      <c r="DX62" s="19"/>
      <c r="DY62" s="635"/>
      <c r="DZ62" s="635"/>
    </row>
    <row r="63" spans="1:130" ht="12.75" x14ac:dyDescent="0.2">
      <c r="A63" s="647"/>
      <c r="B63" s="647"/>
      <c r="C63" s="23">
        <v>55</v>
      </c>
      <c r="D63" s="23">
        <v>489</v>
      </c>
      <c r="E63" s="23">
        <v>20501</v>
      </c>
      <c r="F63" s="23">
        <v>21000</v>
      </c>
      <c r="G63" s="23"/>
      <c r="H63" s="634"/>
      <c r="I63" s="23">
        <f t="shared" si="51"/>
        <v>499</v>
      </c>
      <c r="J63" s="634"/>
      <c r="K63" s="23" t="s">
        <v>52</v>
      </c>
      <c r="L63" s="23" t="s">
        <v>52</v>
      </c>
      <c r="M63" s="634"/>
      <c r="N63" s="634"/>
      <c r="O63" s="634"/>
      <c r="P63" s="634"/>
      <c r="Q63" s="634"/>
      <c r="R63" s="634"/>
      <c r="S63" s="659"/>
      <c r="T63" s="647"/>
      <c r="U63" s="23"/>
      <c r="V63" s="23">
        <v>488</v>
      </c>
      <c r="W63" s="23">
        <v>20002</v>
      </c>
      <c r="X63" s="23">
        <v>20508</v>
      </c>
      <c r="Y63" s="23">
        <v>4</v>
      </c>
      <c r="Z63" s="634"/>
      <c r="AA63" s="23">
        <f t="shared" si="52"/>
        <v>502</v>
      </c>
      <c r="AB63" s="634"/>
      <c r="AC63" s="23" t="s">
        <v>52</v>
      </c>
      <c r="AD63" s="23" t="s">
        <v>52</v>
      </c>
      <c r="AE63" s="634"/>
      <c r="AF63" s="634"/>
      <c r="AG63" s="634"/>
      <c r="AH63" s="634"/>
      <c r="AI63" s="634"/>
      <c r="AJ63" s="634"/>
      <c r="AK63" s="659"/>
      <c r="AL63" s="647"/>
      <c r="AM63" s="23"/>
      <c r="AN63" s="53">
        <v>490</v>
      </c>
      <c r="AO63" s="53">
        <v>21002</v>
      </c>
      <c r="AP63" s="53">
        <v>21505</v>
      </c>
      <c r="AQ63" s="53">
        <v>10</v>
      </c>
      <c r="AR63" s="634"/>
      <c r="AS63" s="53">
        <f t="shared" si="56"/>
        <v>493</v>
      </c>
      <c r="AT63" s="634"/>
      <c r="AU63" s="634"/>
      <c r="AV63" s="634"/>
      <c r="AW63" s="53" t="s">
        <v>52</v>
      </c>
      <c r="AX63" s="634"/>
      <c r="AY63" s="634"/>
      <c r="AZ63" s="634"/>
      <c r="BA63" s="634"/>
      <c r="BB63" s="634"/>
      <c r="BC63" s="634"/>
      <c r="BD63" s="668"/>
      <c r="BE63" s="118"/>
      <c r="BF63" s="118"/>
      <c r="BG63" s="118"/>
      <c r="BH63" s="118"/>
      <c r="BI63" s="118"/>
      <c r="BJ63" s="118"/>
      <c r="BK63" s="118"/>
      <c r="BL63" s="663"/>
      <c r="BM63" s="118"/>
      <c r="BN63" s="118"/>
      <c r="BO63" s="663"/>
      <c r="BP63" s="663"/>
      <c r="BQ63" s="663"/>
      <c r="BR63" s="663"/>
      <c r="BS63" s="662"/>
      <c r="BT63" s="118"/>
      <c r="BU63" s="668"/>
      <c r="BV63" s="647"/>
      <c r="BW63" s="23"/>
      <c r="BX63" s="23"/>
      <c r="BY63" s="23"/>
      <c r="BZ63" s="23"/>
      <c r="CA63" s="23"/>
      <c r="CB63" s="634"/>
      <c r="CC63" s="23"/>
      <c r="CD63" s="634"/>
      <c r="CE63" s="23"/>
      <c r="CF63" s="23"/>
      <c r="CG63" s="634"/>
      <c r="CH63" s="634"/>
      <c r="CI63" s="634"/>
      <c r="CJ63" s="634"/>
      <c r="CK63" s="634"/>
      <c r="CL63" s="634"/>
      <c r="CM63" s="659"/>
      <c r="CN63" s="92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4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0"/>
      <c r="DQ63" s="90"/>
      <c r="DR63" s="90"/>
      <c r="DS63" s="90"/>
      <c r="DT63" s="670"/>
      <c r="DU63" s="634"/>
      <c r="DV63" s="634"/>
      <c r="DW63" s="659"/>
      <c r="DX63" s="19"/>
      <c r="DY63" s="713" t="s">
        <v>39</v>
      </c>
      <c r="DZ63" s="714">
        <f>DZ61/60</f>
        <v>74.8</v>
      </c>
    </row>
    <row r="64" spans="1:130" ht="12.75" x14ac:dyDescent="0.2">
      <c r="A64" s="647"/>
      <c r="B64" s="647"/>
      <c r="C64" s="23"/>
      <c r="D64" s="23"/>
      <c r="E64" s="23"/>
      <c r="F64" s="23"/>
      <c r="G64" s="23"/>
      <c r="H64" s="634"/>
      <c r="I64" s="23">
        <f t="shared" si="51"/>
        <v>0</v>
      </c>
      <c r="J64" s="634"/>
      <c r="K64" s="23"/>
      <c r="L64" s="23"/>
      <c r="M64" s="634"/>
      <c r="N64" s="634"/>
      <c r="O64" s="634"/>
      <c r="P64" s="634"/>
      <c r="Q64" s="634"/>
      <c r="R64" s="634"/>
      <c r="S64" s="659"/>
      <c r="T64" s="647"/>
      <c r="U64" s="23"/>
      <c r="V64" s="23">
        <v>835</v>
      </c>
      <c r="W64" s="23">
        <v>15056</v>
      </c>
      <c r="X64" s="23">
        <v>15233</v>
      </c>
      <c r="Y64" s="23">
        <v>0</v>
      </c>
      <c r="Z64" s="634"/>
      <c r="AA64" s="23">
        <f t="shared" si="52"/>
        <v>177</v>
      </c>
      <c r="AB64" s="634"/>
      <c r="AC64" s="23" t="s">
        <v>51</v>
      </c>
      <c r="AD64" s="23" t="s">
        <v>51</v>
      </c>
      <c r="AE64" s="696">
        <v>3.25</v>
      </c>
      <c r="AF64" s="634"/>
      <c r="AG64" s="634"/>
      <c r="AH64" s="634"/>
      <c r="AI64" s="696">
        <f>AE64*60</f>
        <v>195</v>
      </c>
      <c r="AJ64" s="634"/>
      <c r="AK64" s="797">
        <f>SUM(AA64:AA65)/AI64</f>
        <v>2.0820512820512822</v>
      </c>
      <c r="AL64" s="647"/>
      <c r="AM64" s="23"/>
      <c r="AN64" s="53">
        <v>487</v>
      </c>
      <c r="AO64" s="53">
        <v>19505</v>
      </c>
      <c r="AP64" s="53">
        <v>20001</v>
      </c>
      <c r="AQ64" s="53">
        <v>6</v>
      </c>
      <c r="AR64" s="634"/>
      <c r="AS64" s="53">
        <f t="shared" si="56"/>
        <v>490</v>
      </c>
      <c r="AT64" s="635"/>
      <c r="AU64" s="635"/>
      <c r="AV64" s="635"/>
      <c r="AW64" s="53" t="s">
        <v>52</v>
      </c>
      <c r="AX64" s="634"/>
      <c r="AY64" s="634"/>
      <c r="AZ64" s="634"/>
      <c r="BA64" s="634"/>
      <c r="BB64" s="634"/>
      <c r="BC64" s="634"/>
      <c r="BD64" s="662"/>
      <c r="BE64" s="118"/>
      <c r="BF64" s="118"/>
      <c r="BG64" s="118"/>
      <c r="BH64" s="118"/>
      <c r="BI64" s="118"/>
      <c r="BJ64" s="118"/>
      <c r="BK64" s="118"/>
      <c r="BL64" s="662"/>
      <c r="BM64" s="118"/>
      <c r="BN64" s="118"/>
      <c r="BO64" s="662"/>
      <c r="BP64" s="662"/>
      <c r="BQ64" s="662"/>
      <c r="BR64" s="662"/>
      <c r="BS64" s="663"/>
      <c r="BT64" s="118"/>
      <c r="BU64" s="662"/>
      <c r="BV64" s="647"/>
      <c r="BW64" s="23"/>
      <c r="BX64" s="23"/>
      <c r="BY64" s="23"/>
      <c r="BZ64" s="23"/>
      <c r="CA64" s="23"/>
      <c r="CB64" s="634"/>
      <c r="CC64" s="23"/>
      <c r="CD64" s="634"/>
      <c r="CE64" s="23"/>
      <c r="CF64" s="23"/>
      <c r="CG64" s="634"/>
      <c r="CH64" s="634"/>
      <c r="CI64" s="634"/>
      <c r="CJ64" s="634"/>
      <c r="CK64" s="634"/>
      <c r="CL64" s="634"/>
      <c r="CM64" s="659"/>
      <c r="CN64" s="92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4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670"/>
      <c r="DU64" s="634"/>
      <c r="DV64" s="634"/>
      <c r="DW64" s="659"/>
      <c r="DX64" s="19"/>
      <c r="DY64" s="634"/>
      <c r="DZ64" s="634"/>
    </row>
    <row r="65" spans="1:130" ht="12.75" x14ac:dyDescent="0.2">
      <c r="A65" s="647"/>
      <c r="B65" s="648"/>
      <c r="C65" s="23"/>
      <c r="D65" s="23"/>
      <c r="E65" s="23"/>
      <c r="F65" s="23"/>
      <c r="G65" s="23"/>
      <c r="H65" s="635"/>
      <c r="I65" s="23">
        <f t="shared" si="51"/>
        <v>0</v>
      </c>
      <c r="J65" s="635"/>
      <c r="K65" s="23"/>
      <c r="L65" s="23"/>
      <c r="M65" s="635"/>
      <c r="N65" s="635"/>
      <c r="O65" s="635"/>
      <c r="P65" s="635"/>
      <c r="Q65" s="635"/>
      <c r="R65" s="635"/>
      <c r="S65" s="660"/>
      <c r="T65" s="648"/>
      <c r="U65" s="23"/>
      <c r="V65" s="23">
        <v>835</v>
      </c>
      <c r="W65" s="23">
        <v>15271</v>
      </c>
      <c r="X65" s="23">
        <v>15500</v>
      </c>
      <c r="Y65" s="23">
        <v>0</v>
      </c>
      <c r="Z65" s="635"/>
      <c r="AA65" s="23">
        <f t="shared" si="52"/>
        <v>229</v>
      </c>
      <c r="AB65" s="635"/>
      <c r="AC65" s="23" t="s">
        <v>51</v>
      </c>
      <c r="AD65" s="23" t="s">
        <v>51</v>
      </c>
      <c r="AE65" s="635"/>
      <c r="AF65" s="635"/>
      <c r="AG65" s="635"/>
      <c r="AH65" s="635"/>
      <c r="AI65" s="635"/>
      <c r="AJ65" s="635"/>
      <c r="AK65" s="660"/>
      <c r="AL65" s="648"/>
      <c r="AM65" s="23"/>
      <c r="AN65" s="53"/>
      <c r="AO65" s="53"/>
      <c r="AP65" s="53"/>
      <c r="AQ65" s="53"/>
      <c r="AR65" s="635"/>
      <c r="AS65" s="53">
        <f t="shared" si="56"/>
        <v>0</v>
      </c>
      <c r="AT65" s="98"/>
      <c r="AU65" s="53"/>
      <c r="AV65" s="56"/>
      <c r="AW65" s="56"/>
      <c r="AX65" s="635"/>
      <c r="AY65" s="635"/>
      <c r="AZ65" s="635"/>
      <c r="BA65" s="635"/>
      <c r="BB65" s="635"/>
      <c r="BC65" s="635"/>
      <c r="BD65" s="711"/>
      <c r="BE65" s="118"/>
      <c r="BF65" s="118"/>
      <c r="BG65" s="118"/>
      <c r="BH65" s="118"/>
      <c r="BI65" s="118"/>
      <c r="BJ65" s="118"/>
      <c r="BK65" s="118"/>
      <c r="BL65" s="711"/>
      <c r="BM65" s="118"/>
      <c r="BN65" s="118"/>
      <c r="BO65" s="663"/>
      <c r="BP65" s="663"/>
      <c r="BQ65" s="711"/>
      <c r="BR65" s="711"/>
      <c r="BS65" s="662"/>
      <c r="BT65" s="118"/>
      <c r="BU65" s="119"/>
      <c r="BV65" s="648"/>
      <c r="BW65" s="23"/>
      <c r="BX65" s="23"/>
      <c r="BY65" s="23"/>
      <c r="BZ65" s="23"/>
      <c r="CA65" s="23"/>
      <c r="CB65" s="635"/>
      <c r="CC65" s="23"/>
      <c r="CD65" s="635"/>
      <c r="CE65" s="23"/>
      <c r="CF65" s="23"/>
      <c r="CG65" s="635"/>
      <c r="CH65" s="635"/>
      <c r="CI65" s="635"/>
      <c r="CJ65" s="635"/>
      <c r="CK65" s="635"/>
      <c r="CL65" s="635"/>
      <c r="CM65" s="660"/>
      <c r="CN65" s="92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4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0"/>
      <c r="DQ65" s="90"/>
      <c r="DR65" s="90"/>
      <c r="DS65" s="90"/>
      <c r="DT65" s="671"/>
      <c r="DU65" s="635"/>
      <c r="DV65" s="635"/>
      <c r="DW65" s="660"/>
      <c r="DX65" s="19"/>
      <c r="DY65" s="635"/>
      <c r="DZ65" s="635"/>
    </row>
    <row r="66" spans="1:130" ht="12.75" x14ac:dyDescent="0.2">
      <c r="A66" s="647"/>
      <c r="B66" s="694">
        <v>46065</v>
      </c>
      <c r="C66" s="53"/>
      <c r="D66" s="53"/>
      <c r="E66" s="53"/>
      <c r="F66" s="53"/>
      <c r="G66" s="91"/>
      <c r="H66" s="696"/>
      <c r="I66" s="53">
        <f t="shared" si="51"/>
        <v>0</v>
      </c>
      <c r="J66" s="691">
        <f>SUM(I66:I69,H66)</f>
        <v>0</v>
      </c>
      <c r="K66" s="53"/>
      <c r="L66" s="53"/>
      <c r="M66" s="690"/>
      <c r="N66" s="687">
        <v>2</v>
      </c>
      <c r="O66" s="689">
        <f>SUM(M66:N69)</f>
        <v>2</v>
      </c>
      <c r="P66" s="690"/>
      <c r="Q66" s="690">
        <f>M66*60</f>
        <v>0</v>
      </c>
      <c r="R66" s="692">
        <f>IF(
   COUNTIF(K66:K69,"SI")&gt;0,
   1.8,
   IF(
      COUNTIF(L66:L69,"SI")&gt;0,
      1.6,
      2
   )
)</f>
        <v>2</v>
      </c>
      <c r="S66" s="693">
        <f>IF(Q66=0,0,J66/Q66)</f>
        <v>0</v>
      </c>
      <c r="T66" s="694">
        <v>46065</v>
      </c>
      <c r="U66" s="53"/>
      <c r="V66" s="53"/>
      <c r="W66" s="53"/>
      <c r="X66" s="53"/>
      <c r="Y66" s="53"/>
      <c r="Z66" s="690"/>
      <c r="AA66" s="53">
        <f t="shared" si="52"/>
        <v>0</v>
      </c>
      <c r="AB66" s="691">
        <f>SUM(AA66:AA69,Z66)</f>
        <v>0</v>
      </c>
      <c r="AC66" s="53"/>
      <c r="AD66" s="53"/>
      <c r="AE66" s="690"/>
      <c r="AF66" s="690"/>
      <c r="AG66" s="689">
        <f>SUM(AE66:AF69)</f>
        <v>0</v>
      </c>
      <c r="AH66" s="690">
        <v>0</v>
      </c>
      <c r="AI66" s="690">
        <f>AE66*60</f>
        <v>0</v>
      </c>
      <c r="AJ66" s="692">
        <f>IF(
   COUNTIF(AC66:AC69,"SI")&gt;0,
   1.8,
   IF(
      COUNTIF(AD66:AD69,"SI")&gt;0,
      1.6,
      2
   )
)</f>
        <v>2</v>
      </c>
      <c r="AK66" s="693">
        <f>IF(AI66=0,0,AB66/AI66)</f>
        <v>0</v>
      </c>
      <c r="AL66" s="694">
        <v>46065</v>
      </c>
      <c r="AM66" s="23">
        <v>66</v>
      </c>
      <c r="AN66" s="23">
        <v>832</v>
      </c>
      <c r="AO66" s="23">
        <v>13636</v>
      </c>
      <c r="AP66" s="23">
        <v>14007</v>
      </c>
      <c r="AQ66" s="53"/>
      <c r="AR66" s="690">
        <v>53</v>
      </c>
      <c r="AS66" s="53">
        <f>AP66-AO66-AQ66+AR66</f>
        <v>424</v>
      </c>
      <c r="AT66" s="691">
        <f>SUM(AS66:AS67)</f>
        <v>424</v>
      </c>
      <c r="AU66" s="690" t="s">
        <v>51</v>
      </c>
      <c r="AV66" s="690">
        <v>2.5</v>
      </c>
      <c r="AW66" s="53" t="s">
        <v>51</v>
      </c>
      <c r="AX66" s="690">
        <v>5.5</v>
      </c>
      <c r="AY66" s="689">
        <f>SUM(AV66:AX69)</f>
        <v>8</v>
      </c>
      <c r="AZ66" s="690">
        <v>0.25</v>
      </c>
      <c r="BA66" s="690">
        <f>AV66*60</f>
        <v>150</v>
      </c>
      <c r="BB66" s="692">
        <f>IF(
   COUNTIF(AU66:AU69,"SI")&gt;0,
   1.8,
   IF(
      COUNTIF(AV66:AV69,"SI")&gt;0,
      1.6,
      2
   )
)</f>
        <v>1.8</v>
      </c>
      <c r="BC66" s="698">
        <f>IF(BA66=0,0,AT66/BA66)</f>
        <v>2.8266666666666667</v>
      </c>
      <c r="BD66" s="662"/>
      <c r="BE66" s="118"/>
      <c r="BF66" s="118"/>
      <c r="BG66" s="118"/>
      <c r="BH66" s="118"/>
      <c r="BI66" s="118"/>
      <c r="BJ66" s="118"/>
      <c r="BK66" s="118"/>
      <c r="BL66" s="662"/>
      <c r="BM66" s="118"/>
      <c r="BN66" s="118"/>
      <c r="BO66" s="662"/>
      <c r="BP66" s="662"/>
      <c r="BQ66" s="662"/>
      <c r="BR66" s="662"/>
      <c r="BS66" s="663"/>
      <c r="BT66" s="118"/>
      <c r="BU66" s="116"/>
      <c r="BV66" s="694">
        <v>46065</v>
      </c>
      <c r="BW66" s="53">
        <v>114</v>
      </c>
      <c r="BX66" s="53">
        <v>836</v>
      </c>
      <c r="BY66" s="53">
        <v>15500</v>
      </c>
      <c r="BZ66" s="53">
        <v>16000</v>
      </c>
      <c r="CA66" s="53">
        <v>0</v>
      </c>
      <c r="CB66" s="690">
        <v>0</v>
      </c>
      <c r="CC66" s="53">
        <f t="shared" ref="CC66:CC67" si="57">BZ66-BY66-CA66</f>
        <v>500</v>
      </c>
      <c r="CD66" s="691">
        <f>SUM(CC66:CC69,CB66)</f>
        <v>600</v>
      </c>
      <c r="CE66" s="53" t="s">
        <v>54</v>
      </c>
      <c r="CF66" s="53" t="s">
        <v>54</v>
      </c>
      <c r="CG66" s="690">
        <v>4</v>
      </c>
      <c r="CH66" s="690">
        <v>0</v>
      </c>
      <c r="CI66" s="689">
        <f>SUM(CG66:CH69)</f>
        <v>4</v>
      </c>
      <c r="CJ66" s="690">
        <v>0</v>
      </c>
      <c r="CK66" s="690">
        <f>CG66*60</f>
        <v>240</v>
      </c>
      <c r="CL66" s="692">
        <f>IF(
   COUNTIF(CE66:CE69,"SI")&gt;0,
   1.8,
   IF(
      COUNTIF(CF66:CF69,"SI")&gt;0,
      1.6,
      2
   )
)</f>
        <v>1.8</v>
      </c>
      <c r="CM66" s="705">
        <f>IF(CK66=0,0,CD66/CK66)</f>
        <v>2.5</v>
      </c>
      <c r="CN66" s="92"/>
      <c r="CO66" s="93"/>
      <c r="CP66" s="93"/>
      <c r="CQ66" s="93"/>
      <c r="CR66" s="93"/>
      <c r="CS66" s="93"/>
      <c r="CT66" s="93"/>
      <c r="CU66" s="93"/>
      <c r="CV66" s="93"/>
      <c r="CW66" s="93"/>
      <c r="CX66" s="93"/>
      <c r="CY66" s="93"/>
      <c r="CZ66" s="93"/>
      <c r="DA66" s="93"/>
      <c r="DB66" s="93"/>
      <c r="DC66" s="94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706">
        <v>46065</v>
      </c>
      <c r="DU66" s="707">
        <f>SUM(J66,AB66,AT66,BL66,CD66)</f>
        <v>1024</v>
      </c>
      <c r="DV66" s="707">
        <f>SUM(Q66,AI66,BA66,BS66,CK66)</f>
        <v>390</v>
      </c>
      <c r="DW66" s="709">
        <f>DU66/DV66</f>
        <v>2.6256410256410256</v>
      </c>
      <c r="DX66" s="19"/>
      <c r="DY66" s="691" t="s">
        <v>47</v>
      </c>
      <c r="DZ66" s="728">
        <f>IF(DZ61=0,0,DZ58/DZ61)</f>
        <v>2.3317736185383242</v>
      </c>
    </row>
    <row r="67" spans="1:130" ht="12.75" x14ac:dyDescent="0.2">
      <c r="A67" s="647"/>
      <c r="B67" s="647"/>
      <c r="C67" s="53"/>
      <c r="D67" s="53"/>
      <c r="E67" s="53"/>
      <c r="F67" s="53"/>
      <c r="G67" s="53"/>
      <c r="H67" s="634"/>
      <c r="I67" s="53">
        <f t="shared" si="51"/>
        <v>0</v>
      </c>
      <c r="J67" s="634"/>
      <c r="K67" s="53"/>
      <c r="L67" s="53"/>
      <c r="M67" s="634"/>
      <c r="N67" s="634"/>
      <c r="O67" s="634"/>
      <c r="P67" s="634"/>
      <c r="Q67" s="634"/>
      <c r="R67" s="634"/>
      <c r="S67" s="659"/>
      <c r="T67" s="647"/>
      <c r="U67" s="53"/>
      <c r="V67" s="53"/>
      <c r="W67" s="53"/>
      <c r="X67" s="53"/>
      <c r="Y67" s="53"/>
      <c r="Z67" s="634"/>
      <c r="AA67" s="53">
        <f t="shared" si="52"/>
        <v>0</v>
      </c>
      <c r="AB67" s="634"/>
      <c r="AC67" s="53"/>
      <c r="AD67" s="53"/>
      <c r="AE67" s="634"/>
      <c r="AF67" s="634"/>
      <c r="AG67" s="634"/>
      <c r="AH67" s="634"/>
      <c r="AI67" s="634"/>
      <c r="AJ67" s="634"/>
      <c r="AK67" s="659"/>
      <c r="AL67" s="647"/>
      <c r="AM67" s="23"/>
      <c r="AN67" s="23"/>
      <c r="AO67" s="23"/>
      <c r="AP67" s="23"/>
      <c r="AQ67" s="53"/>
      <c r="AR67" s="634"/>
      <c r="AS67" s="53">
        <f t="shared" ref="AS67:AS77" si="58">AP67-AO67-AQ67</f>
        <v>0</v>
      </c>
      <c r="AT67" s="634"/>
      <c r="AU67" s="634"/>
      <c r="AV67" s="634"/>
      <c r="AW67" s="53"/>
      <c r="AX67" s="634"/>
      <c r="AY67" s="634"/>
      <c r="AZ67" s="634"/>
      <c r="BA67" s="634"/>
      <c r="BB67" s="634"/>
      <c r="BC67" s="634"/>
      <c r="BD67" s="668"/>
      <c r="BE67" s="117"/>
      <c r="BF67" s="117"/>
      <c r="BG67" s="117"/>
      <c r="BH67" s="117"/>
      <c r="BI67" s="117"/>
      <c r="BJ67" s="117"/>
      <c r="BK67" s="118"/>
      <c r="BL67" s="663"/>
      <c r="BM67" s="118"/>
      <c r="BN67" s="118"/>
      <c r="BO67" s="663"/>
      <c r="BP67" s="663"/>
      <c r="BQ67" s="663"/>
      <c r="BR67" s="663"/>
      <c r="BS67" s="662"/>
      <c r="BT67" s="118"/>
      <c r="BU67" s="668"/>
      <c r="BV67" s="647"/>
      <c r="BW67" s="53">
        <v>23</v>
      </c>
      <c r="BX67" s="53">
        <v>837</v>
      </c>
      <c r="BY67" s="53">
        <v>16002</v>
      </c>
      <c r="BZ67" s="53">
        <v>16102</v>
      </c>
      <c r="CA67" s="53">
        <v>0</v>
      </c>
      <c r="CB67" s="634"/>
      <c r="CC67" s="53">
        <f t="shared" si="57"/>
        <v>100</v>
      </c>
      <c r="CD67" s="634"/>
      <c r="CE67" s="53" t="s">
        <v>54</v>
      </c>
      <c r="CF67" s="53" t="s">
        <v>54</v>
      </c>
      <c r="CG67" s="634"/>
      <c r="CH67" s="634"/>
      <c r="CI67" s="634"/>
      <c r="CJ67" s="634"/>
      <c r="CK67" s="634"/>
      <c r="CL67" s="634"/>
      <c r="CM67" s="659"/>
      <c r="CN67" s="92"/>
      <c r="CO67" s="93"/>
      <c r="CP67" s="93"/>
      <c r="CQ67" s="93"/>
      <c r="CR67" s="93"/>
      <c r="CS67" s="93"/>
      <c r="CT67" s="93"/>
      <c r="CU67" s="93"/>
      <c r="CV67" s="93"/>
      <c r="CW67" s="93"/>
      <c r="CX67" s="93"/>
      <c r="CY67" s="93"/>
      <c r="CZ67" s="93"/>
      <c r="DA67" s="93"/>
      <c r="DB67" s="93"/>
      <c r="DC67" s="94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/>
      <c r="DP67" s="90"/>
      <c r="DQ67" s="90"/>
      <c r="DR67" s="90"/>
      <c r="DS67" s="90"/>
      <c r="DT67" s="670"/>
      <c r="DU67" s="634"/>
      <c r="DV67" s="634"/>
      <c r="DW67" s="659"/>
      <c r="DX67" s="19"/>
      <c r="DY67" s="634"/>
      <c r="DZ67" s="634"/>
    </row>
    <row r="68" spans="1:130" ht="12.75" x14ac:dyDescent="0.2">
      <c r="A68" s="647"/>
      <c r="B68" s="647"/>
      <c r="C68" s="53"/>
      <c r="D68" s="53"/>
      <c r="E68" s="53"/>
      <c r="F68" s="53"/>
      <c r="G68" s="53"/>
      <c r="H68" s="634"/>
      <c r="I68" s="53">
        <f t="shared" si="51"/>
        <v>0</v>
      </c>
      <c r="J68" s="634"/>
      <c r="K68" s="53"/>
      <c r="L68" s="53"/>
      <c r="M68" s="634"/>
      <c r="N68" s="634"/>
      <c r="O68" s="634"/>
      <c r="P68" s="634"/>
      <c r="Q68" s="634"/>
      <c r="R68" s="634"/>
      <c r="S68" s="659"/>
      <c r="T68" s="647"/>
      <c r="U68" s="53"/>
      <c r="V68" s="53"/>
      <c r="W68" s="53"/>
      <c r="X68" s="53"/>
      <c r="Y68" s="53"/>
      <c r="Z68" s="634"/>
      <c r="AA68" s="53">
        <f t="shared" si="52"/>
        <v>0</v>
      </c>
      <c r="AB68" s="634"/>
      <c r="AC68" s="53"/>
      <c r="AD68" s="53"/>
      <c r="AE68" s="634"/>
      <c r="AF68" s="634"/>
      <c r="AG68" s="634"/>
      <c r="AH68" s="634"/>
      <c r="AI68" s="634"/>
      <c r="AJ68" s="634"/>
      <c r="AK68" s="659"/>
      <c r="AL68" s="647"/>
      <c r="AM68" s="53"/>
      <c r="AN68" s="53"/>
      <c r="AO68" s="53"/>
      <c r="AP68" s="53"/>
      <c r="AQ68" s="53"/>
      <c r="AR68" s="634"/>
      <c r="AS68" s="53">
        <f t="shared" si="58"/>
        <v>0</v>
      </c>
      <c r="AT68" s="634"/>
      <c r="AU68" s="635"/>
      <c r="AV68" s="635"/>
      <c r="AW68" s="53"/>
      <c r="AX68" s="634"/>
      <c r="AY68" s="634"/>
      <c r="AZ68" s="634"/>
      <c r="BA68" s="634"/>
      <c r="BB68" s="634"/>
      <c r="BC68" s="635"/>
      <c r="BD68" s="662"/>
      <c r="BE68" s="117"/>
      <c r="BF68" s="117"/>
      <c r="BG68" s="117"/>
      <c r="BH68" s="117"/>
      <c r="BI68" s="117"/>
      <c r="BJ68" s="117"/>
      <c r="BK68" s="118"/>
      <c r="BL68" s="662"/>
      <c r="BM68" s="118"/>
      <c r="BN68" s="118"/>
      <c r="BO68" s="662"/>
      <c r="BP68" s="662"/>
      <c r="BQ68" s="662"/>
      <c r="BR68" s="662"/>
      <c r="BS68" s="663"/>
      <c r="BT68" s="118"/>
      <c r="BU68" s="662"/>
      <c r="BV68" s="647"/>
      <c r="BW68" s="53"/>
      <c r="BX68" s="53"/>
      <c r="BY68" s="53"/>
      <c r="BZ68" s="53"/>
      <c r="CA68" s="53"/>
      <c r="CB68" s="634"/>
      <c r="CC68" s="53"/>
      <c r="CD68" s="634"/>
      <c r="CE68" s="53"/>
      <c r="CF68" s="53"/>
      <c r="CG68" s="634"/>
      <c r="CH68" s="634"/>
      <c r="CI68" s="634"/>
      <c r="CJ68" s="634"/>
      <c r="CK68" s="634"/>
      <c r="CL68" s="634"/>
      <c r="CM68" s="659"/>
      <c r="CN68" s="92"/>
      <c r="CO68" s="93"/>
      <c r="CP68" s="93"/>
      <c r="CQ68" s="93"/>
      <c r="CR68" s="93"/>
      <c r="CS68" s="93"/>
      <c r="CT68" s="93"/>
      <c r="CU68" s="93"/>
      <c r="CV68" s="93"/>
      <c r="CW68" s="93"/>
      <c r="CX68" s="93"/>
      <c r="CY68" s="93"/>
      <c r="CZ68" s="93"/>
      <c r="DA68" s="93"/>
      <c r="DB68" s="93"/>
      <c r="DC68" s="94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670"/>
      <c r="DU68" s="634"/>
      <c r="DV68" s="634"/>
      <c r="DW68" s="659"/>
      <c r="DX68" s="19"/>
      <c r="DY68" s="635"/>
      <c r="DZ68" s="635"/>
    </row>
    <row r="69" spans="1:130" ht="12.75" x14ac:dyDescent="0.2">
      <c r="A69" s="647"/>
      <c r="B69" s="648"/>
      <c r="C69" s="53"/>
      <c r="D69" s="53"/>
      <c r="E69" s="53"/>
      <c r="F69" s="53"/>
      <c r="G69" s="53"/>
      <c r="H69" s="635"/>
      <c r="I69" s="53">
        <f t="shared" si="51"/>
        <v>0</v>
      </c>
      <c r="J69" s="635"/>
      <c r="K69" s="53"/>
      <c r="L69" s="53"/>
      <c r="M69" s="635"/>
      <c r="N69" s="635"/>
      <c r="O69" s="635"/>
      <c r="P69" s="635"/>
      <c r="Q69" s="635"/>
      <c r="R69" s="635"/>
      <c r="S69" s="660"/>
      <c r="T69" s="648"/>
      <c r="U69" s="53"/>
      <c r="V69" s="53"/>
      <c r="W69" s="53"/>
      <c r="X69" s="53"/>
      <c r="Y69" s="53"/>
      <c r="Z69" s="635"/>
      <c r="AA69" s="53">
        <f t="shared" si="52"/>
        <v>0</v>
      </c>
      <c r="AB69" s="635"/>
      <c r="AC69" s="53"/>
      <c r="AD69" s="53"/>
      <c r="AE69" s="635"/>
      <c r="AF69" s="635"/>
      <c r="AG69" s="635"/>
      <c r="AH69" s="635"/>
      <c r="AI69" s="635"/>
      <c r="AJ69" s="635"/>
      <c r="AK69" s="660"/>
      <c r="AL69" s="648"/>
      <c r="AM69" s="53"/>
      <c r="AN69" s="53"/>
      <c r="AO69" s="53"/>
      <c r="AP69" s="53"/>
      <c r="AQ69" s="53"/>
      <c r="AR69" s="635"/>
      <c r="AS69" s="53">
        <f t="shared" si="58"/>
        <v>0</v>
      </c>
      <c r="AT69" s="96">
        <f>AS69</f>
        <v>0</v>
      </c>
      <c r="AU69" s="53"/>
      <c r="AV69" s="56"/>
      <c r="AW69" s="56"/>
      <c r="AX69" s="635"/>
      <c r="AY69" s="635"/>
      <c r="AZ69" s="635"/>
      <c r="BA69" s="54">
        <f t="shared" ref="BA69:BA70" si="59">AV69*60</f>
        <v>0</v>
      </c>
      <c r="BB69" s="635"/>
      <c r="BC69" s="95">
        <f t="shared" ref="BC69:BC70" si="60">IF(BA69=0,0,AT69/BA69)</f>
        <v>0</v>
      </c>
      <c r="BD69" s="711"/>
      <c r="BE69" s="117"/>
      <c r="BF69" s="117"/>
      <c r="BG69" s="117"/>
      <c r="BH69" s="117"/>
      <c r="BI69" s="117"/>
      <c r="BJ69" s="117"/>
      <c r="BK69" s="118"/>
      <c r="BL69" s="711"/>
      <c r="BM69" s="118"/>
      <c r="BN69" s="118"/>
      <c r="BO69" s="663"/>
      <c r="BP69" s="663"/>
      <c r="BQ69" s="711"/>
      <c r="BR69" s="711"/>
      <c r="BS69" s="662"/>
      <c r="BT69" s="118"/>
      <c r="BU69" s="116"/>
      <c r="BV69" s="648"/>
      <c r="BW69" s="53"/>
      <c r="BX69" s="53"/>
      <c r="BY69" s="53"/>
      <c r="BZ69" s="53"/>
      <c r="CA69" s="53"/>
      <c r="CB69" s="635"/>
      <c r="CC69" s="53"/>
      <c r="CD69" s="635"/>
      <c r="CE69" s="53"/>
      <c r="CF69" s="53"/>
      <c r="CG69" s="635"/>
      <c r="CH69" s="635"/>
      <c r="CI69" s="635"/>
      <c r="CJ69" s="635"/>
      <c r="CK69" s="635"/>
      <c r="CL69" s="635"/>
      <c r="CM69" s="660"/>
      <c r="CN69" s="92"/>
      <c r="CO69" s="93"/>
      <c r="CP69" s="93"/>
      <c r="CQ69" s="93"/>
      <c r="CR69" s="93"/>
      <c r="CS69" s="93"/>
      <c r="CT69" s="93"/>
      <c r="CU69" s="93"/>
      <c r="CV69" s="93"/>
      <c r="CW69" s="93"/>
      <c r="CX69" s="93"/>
      <c r="CY69" s="93"/>
      <c r="CZ69" s="93"/>
      <c r="DA69" s="93"/>
      <c r="DB69" s="93"/>
      <c r="DC69" s="94"/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0"/>
      <c r="DQ69" s="90"/>
      <c r="DR69" s="90"/>
      <c r="DS69" s="90"/>
      <c r="DT69" s="671"/>
      <c r="DU69" s="635"/>
      <c r="DV69" s="635"/>
      <c r="DW69" s="660"/>
      <c r="DX69" s="19"/>
      <c r="DY69" s="19"/>
      <c r="DZ69" s="19"/>
    </row>
    <row r="70" spans="1:130" ht="12.75" x14ac:dyDescent="0.2">
      <c r="A70" s="647"/>
      <c r="B70" s="695">
        <v>46066</v>
      </c>
      <c r="C70" s="23"/>
      <c r="D70" s="23"/>
      <c r="E70" s="23"/>
      <c r="F70" s="23"/>
      <c r="G70" s="23"/>
      <c r="H70" s="688"/>
      <c r="I70" s="23">
        <f t="shared" si="51"/>
        <v>0</v>
      </c>
      <c r="J70" s="691">
        <f>SUM(I70:I73,H70)</f>
        <v>0</v>
      </c>
      <c r="K70" s="23"/>
      <c r="L70" s="23"/>
      <c r="M70" s="690"/>
      <c r="N70" s="690"/>
      <c r="O70" s="689">
        <f>SUM(M70:N73)</f>
        <v>0</v>
      </c>
      <c r="P70" s="688"/>
      <c r="Q70" s="688">
        <f>M62*60</f>
        <v>420</v>
      </c>
      <c r="R70" s="692">
        <f>IF(
   COUNTIF(K70:K73,"SI")&gt;0,
   1.8,
   IF(
      COUNTIF(L70:L73,"SI")&gt;0,
      1.6,
      2
   )
)</f>
        <v>2</v>
      </c>
      <c r="S70" s="693">
        <f>IF(Q70=0,0,J70/Q70)</f>
        <v>0</v>
      </c>
      <c r="T70" s="695">
        <v>46066</v>
      </c>
      <c r="U70" s="23"/>
      <c r="V70" s="23"/>
      <c r="W70" s="23"/>
      <c r="X70" s="23"/>
      <c r="Y70" s="23"/>
      <c r="Z70" s="688"/>
      <c r="AA70" s="23">
        <f t="shared" si="52"/>
        <v>0</v>
      </c>
      <c r="AB70" s="691">
        <f>SUM(AA70:AA73,Z70)</f>
        <v>0</v>
      </c>
      <c r="AC70" s="23"/>
      <c r="AD70" s="23"/>
      <c r="AE70" s="688"/>
      <c r="AF70" s="688">
        <v>5</v>
      </c>
      <c r="AG70" s="689">
        <f>SUM(AE70:AF73)</f>
        <v>5</v>
      </c>
      <c r="AH70" s="688">
        <v>0</v>
      </c>
      <c r="AI70" s="688">
        <f>AE70*60</f>
        <v>0</v>
      </c>
      <c r="AJ70" s="692">
        <f>IF(
   COUNTIF(AC70:AC73,"SI")&gt;0,
   1.8,
   IF(
      COUNTIF(AD70:AD73,"SI")&gt;0,
      1.6,
      2
   )
)</f>
        <v>2</v>
      </c>
      <c r="AK70" s="693">
        <f>IF(AI70=0,0,AB70/AI70)</f>
        <v>0</v>
      </c>
      <c r="AL70" s="695">
        <v>46066</v>
      </c>
      <c r="AM70" s="23"/>
      <c r="AN70" s="23"/>
      <c r="AO70" s="23"/>
      <c r="AP70" s="49"/>
      <c r="AQ70" s="23"/>
      <c r="AR70" s="688"/>
      <c r="AS70" s="53">
        <f t="shared" si="58"/>
        <v>0</v>
      </c>
      <c r="AT70" s="691">
        <f>SUM(AS70:AS72)</f>
        <v>0</v>
      </c>
      <c r="AU70" s="53"/>
      <c r="AV70" s="688"/>
      <c r="AW70" s="23"/>
      <c r="AX70" s="688"/>
      <c r="AY70" s="689">
        <f>SUM(AV70:AV73)</f>
        <v>0</v>
      </c>
      <c r="AZ70" s="688">
        <v>0.2</v>
      </c>
      <c r="BA70" s="688">
        <f t="shared" si="59"/>
        <v>0</v>
      </c>
      <c r="BB70" s="696">
        <f>IF(
   COUNTIF(AU70:AU73,"SI")&gt;0,
   1.8,
   IF(
      COUNTIF(AV70:AV73,"SI")&gt;0,
      1.6,
      2
   )
)</f>
        <v>2</v>
      </c>
      <c r="BC70" s="697">
        <f t="shared" si="60"/>
        <v>0</v>
      </c>
      <c r="BD70" s="662"/>
      <c r="BE70" s="117"/>
      <c r="BF70" s="117"/>
      <c r="BG70" s="120"/>
      <c r="BH70" s="120"/>
      <c r="BI70" s="120"/>
      <c r="BJ70" s="120"/>
      <c r="BK70" s="118"/>
      <c r="BL70" s="662"/>
      <c r="BM70" s="118"/>
      <c r="BN70" s="118"/>
      <c r="BO70" s="662"/>
      <c r="BP70" s="662"/>
      <c r="BQ70" s="662"/>
      <c r="BR70" s="662"/>
      <c r="BS70" s="663"/>
      <c r="BT70" s="118"/>
      <c r="BU70" s="118"/>
      <c r="BV70" s="695">
        <v>46066</v>
      </c>
      <c r="BW70" s="23">
        <v>18</v>
      </c>
      <c r="BX70" s="23">
        <v>499</v>
      </c>
      <c r="BY70" s="23">
        <v>25857</v>
      </c>
      <c r="BZ70" s="23">
        <v>26000</v>
      </c>
      <c r="CA70" s="23">
        <v>0</v>
      </c>
      <c r="CB70" s="688">
        <v>0</v>
      </c>
      <c r="CC70" s="23">
        <f t="shared" ref="CC70:CC71" si="61">BZ70-BY70-CA70</f>
        <v>143</v>
      </c>
      <c r="CD70" s="691">
        <f>SUM(CC70:CC73,CB70)</f>
        <v>397</v>
      </c>
      <c r="CE70" s="23" t="s">
        <v>53</v>
      </c>
      <c r="CF70" s="23" t="s">
        <v>53</v>
      </c>
      <c r="CG70" s="688">
        <v>6</v>
      </c>
      <c r="CH70" s="688">
        <v>1</v>
      </c>
      <c r="CI70" s="689">
        <v>7</v>
      </c>
      <c r="CJ70" s="688">
        <v>0</v>
      </c>
      <c r="CK70" s="688">
        <f>CG70*60</f>
        <v>360</v>
      </c>
      <c r="CL70" s="692">
        <f>IF(
   COUNTIF(CE70:CE73,"SI")&gt;0,
   1.8,
   IF(
      COUNTIF(CF70:CF73,"SI")&gt;0,
      1.6,
      2
   )
)</f>
        <v>1.8</v>
      </c>
      <c r="CM70" s="705">
        <f>IF(CK70=0,0,CD70/CK70)</f>
        <v>1.1027777777777779</v>
      </c>
      <c r="CN70" s="92"/>
      <c r="CO70" s="93"/>
      <c r="CP70" s="93"/>
      <c r="CQ70" s="93"/>
      <c r="CR70" s="93"/>
      <c r="CS70" s="93"/>
      <c r="CT70" s="93"/>
      <c r="CU70" s="93"/>
      <c r="CV70" s="93"/>
      <c r="CW70" s="93"/>
      <c r="CX70" s="93"/>
      <c r="CY70" s="93"/>
      <c r="CZ70" s="93"/>
      <c r="DA70" s="93"/>
      <c r="DB70" s="93"/>
      <c r="DC70" s="94"/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0"/>
      <c r="DQ70" s="90"/>
      <c r="DR70" s="90"/>
      <c r="DS70" s="90"/>
      <c r="DT70" s="715">
        <v>46066</v>
      </c>
      <c r="DU70" s="707">
        <f>SUM(J70,AB70,AT70,BL70,CD70)</f>
        <v>397</v>
      </c>
      <c r="DV70" s="707">
        <f>SUM(Q70,AI70,BA70,BS70,CK70)</f>
        <v>780</v>
      </c>
      <c r="DW70" s="709">
        <f>DU70/DV70</f>
        <v>0.50897435897435894</v>
      </c>
      <c r="DX70" s="19"/>
      <c r="DY70" s="19"/>
      <c r="DZ70" s="19"/>
    </row>
    <row r="71" spans="1:130" ht="12.75" x14ac:dyDescent="0.2">
      <c r="A71" s="647"/>
      <c r="B71" s="647"/>
      <c r="C71" s="23"/>
      <c r="D71" s="23"/>
      <c r="E71" s="23"/>
      <c r="F71" s="23"/>
      <c r="G71" s="23"/>
      <c r="H71" s="634"/>
      <c r="I71" s="23">
        <f t="shared" si="51"/>
        <v>0</v>
      </c>
      <c r="J71" s="634"/>
      <c r="K71" s="23"/>
      <c r="L71" s="23"/>
      <c r="M71" s="634"/>
      <c r="N71" s="634"/>
      <c r="O71" s="634"/>
      <c r="P71" s="634"/>
      <c r="Q71" s="634"/>
      <c r="R71" s="634"/>
      <c r="S71" s="659"/>
      <c r="T71" s="647"/>
      <c r="U71" s="23"/>
      <c r="V71" s="23"/>
      <c r="W71" s="23"/>
      <c r="X71" s="19"/>
      <c r="Y71" s="23"/>
      <c r="Z71" s="634"/>
      <c r="AA71" s="23"/>
      <c r="AB71" s="634"/>
      <c r="AC71" s="23"/>
      <c r="AD71" s="23"/>
      <c r="AE71" s="634"/>
      <c r="AF71" s="634"/>
      <c r="AG71" s="634"/>
      <c r="AH71" s="634"/>
      <c r="AI71" s="634"/>
      <c r="AJ71" s="634"/>
      <c r="AK71" s="659"/>
      <c r="AL71" s="647"/>
      <c r="AM71" s="23"/>
      <c r="AN71" s="23"/>
      <c r="AO71" s="23"/>
      <c r="AP71" s="23"/>
      <c r="AQ71" s="23"/>
      <c r="AR71" s="634"/>
      <c r="AS71" s="23">
        <f t="shared" si="58"/>
        <v>0</v>
      </c>
      <c r="AT71" s="634"/>
      <c r="AU71" s="53"/>
      <c r="AV71" s="634"/>
      <c r="AW71" s="23"/>
      <c r="AX71" s="634"/>
      <c r="AY71" s="634"/>
      <c r="AZ71" s="634"/>
      <c r="BA71" s="634"/>
      <c r="BB71" s="634"/>
      <c r="BC71" s="634"/>
      <c r="BD71" s="119"/>
      <c r="BE71" s="121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5"/>
      <c r="BR71" s="122"/>
      <c r="BS71" s="662"/>
      <c r="BT71" s="118"/>
      <c r="BU71" s="116"/>
      <c r="BV71" s="647"/>
      <c r="BW71" s="23">
        <v>87</v>
      </c>
      <c r="BX71" s="23">
        <v>837</v>
      </c>
      <c r="BY71" s="23">
        <v>16110</v>
      </c>
      <c r="BZ71" s="23">
        <v>16364</v>
      </c>
      <c r="CA71" s="23">
        <v>0</v>
      </c>
      <c r="CB71" s="634"/>
      <c r="CC71" s="23">
        <f t="shared" si="61"/>
        <v>254</v>
      </c>
      <c r="CD71" s="634"/>
      <c r="CE71" s="23" t="s">
        <v>54</v>
      </c>
      <c r="CF71" s="23" t="s">
        <v>54</v>
      </c>
      <c r="CG71" s="634"/>
      <c r="CH71" s="634"/>
      <c r="CI71" s="634"/>
      <c r="CJ71" s="634"/>
      <c r="CK71" s="634"/>
      <c r="CL71" s="634"/>
      <c r="CM71" s="659"/>
      <c r="CN71" s="92"/>
      <c r="CO71" s="93"/>
      <c r="CP71" s="93"/>
      <c r="CQ71" s="93"/>
      <c r="CR71" s="93"/>
      <c r="CS71" s="93"/>
      <c r="CT71" s="93"/>
      <c r="CU71" s="93"/>
      <c r="CV71" s="93"/>
      <c r="CW71" s="93"/>
      <c r="CX71" s="93"/>
      <c r="CY71" s="93"/>
      <c r="CZ71" s="93"/>
      <c r="DA71" s="93"/>
      <c r="DB71" s="93"/>
      <c r="DC71" s="94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T71" s="670"/>
      <c r="DU71" s="634"/>
      <c r="DV71" s="634"/>
      <c r="DW71" s="659"/>
      <c r="DX71" s="19"/>
      <c r="DY71" s="19"/>
      <c r="DZ71" s="19"/>
    </row>
    <row r="72" spans="1:130" ht="12.75" x14ac:dyDescent="0.2">
      <c r="A72" s="647"/>
      <c r="B72" s="647"/>
      <c r="C72" s="23"/>
      <c r="D72" s="23"/>
      <c r="E72" s="23"/>
      <c r="F72" s="23"/>
      <c r="G72" s="23"/>
      <c r="H72" s="634"/>
      <c r="I72" s="23">
        <f t="shared" si="51"/>
        <v>0</v>
      </c>
      <c r="J72" s="634"/>
      <c r="K72" s="23"/>
      <c r="L72" s="23"/>
      <c r="M72" s="634"/>
      <c r="N72" s="634"/>
      <c r="O72" s="634"/>
      <c r="P72" s="634"/>
      <c r="Q72" s="634"/>
      <c r="R72" s="634"/>
      <c r="S72" s="659"/>
      <c r="T72" s="647"/>
      <c r="U72" s="23"/>
      <c r="V72" s="23"/>
      <c r="W72" s="23"/>
      <c r="X72" s="23"/>
      <c r="Y72" s="23"/>
      <c r="Z72" s="634"/>
      <c r="AA72" s="23">
        <f t="shared" ref="AA72:AA77" si="62">X72-W72-Y72</f>
        <v>0</v>
      </c>
      <c r="AB72" s="634"/>
      <c r="AC72" s="23"/>
      <c r="AD72" s="23"/>
      <c r="AE72" s="634"/>
      <c r="AF72" s="634"/>
      <c r="AG72" s="634"/>
      <c r="AH72" s="634"/>
      <c r="AI72" s="634"/>
      <c r="AJ72" s="634"/>
      <c r="AK72" s="659"/>
      <c r="AL72" s="647"/>
      <c r="AM72" s="23"/>
      <c r="AN72" s="23"/>
      <c r="AO72" s="23"/>
      <c r="AP72" s="23"/>
      <c r="AQ72" s="23"/>
      <c r="AR72" s="634"/>
      <c r="AS72" s="23">
        <f t="shared" si="58"/>
        <v>0</v>
      </c>
      <c r="AT72" s="635"/>
      <c r="AU72" s="53"/>
      <c r="AV72" s="635"/>
      <c r="AW72" s="23"/>
      <c r="AX72" s="634"/>
      <c r="AY72" s="634"/>
      <c r="AZ72" s="634"/>
      <c r="BA72" s="634"/>
      <c r="BB72" s="634"/>
      <c r="BC72" s="634"/>
      <c r="BD72" s="668"/>
      <c r="BE72" s="118"/>
      <c r="BF72" s="118"/>
      <c r="BG72" s="118"/>
      <c r="BH72" s="118"/>
      <c r="BI72" s="118"/>
      <c r="BJ72" s="118"/>
      <c r="BK72" s="118"/>
      <c r="BL72" s="663"/>
      <c r="BM72" s="118"/>
      <c r="BN72" s="118"/>
      <c r="BO72" s="663"/>
      <c r="BP72" s="663"/>
      <c r="BQ72" s="663"/>
      <c r="BR72" s="663"/>
      <c r="BS72" s="663"/>
      <c r="BT72" s="118"/>
      <c r="BU72" s="116"/>
      <c r="BV72" s="647"/>
      <c r="BW72" s="23"/>
      <c r="BX72" s="23"/>
      <c r="BY72" s="23"/>
      <c r="BZ72" s="23"/>
      <c r="CA72" s="23"/>
      <c r="CB72" s="634"/>
      <c r="CC72" s="23"/>
      <c r="CD72" s="634"/>
      <c r="CE72" s="23"/>
      <c r="CF72" s="23"/>
      <c r="CG72" s="634"/>
      <c r="CH72" s="634"/>
      <c r="CI72" s="634"/>
      <c r="CJ72" s="634"/>
      <c r="CK72" s="634"/>
      <c r="CL72" s="634"/>
      <c r="CM72" s="659"/>
      <c r="CN72" s="92"/>
      <c r="CO72" s="93"/>
      <c r="CP72" s="93"/>
      <c r="CQ72" s="93"/>
      <c r="CR72" s="93"/>
      <c r="CS72" s="93"/>
      <c r="CT72" s="93"/>
      <c r="CU72" s="93"/>
      <c r="CV72" s="93"/>
      <c r="CW72" s="93"/>
      <c r="CX72" s="93"/>
      <c r="CY72" s="93"/>
      <c r="CZ72" s="93"/>
      <c r="DA72" s="93"/>
      <c r="DB72" s="93"/>
      <c r="DC72" s="94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670"/>
      <c r="DU72" s="634"/>
      <c r="DV72" s="634"/>
      <c r="DW72" s="659"/>
      <c r="DX72" s="19"/>
      <c r="DY72" s="19"/>
      <c r="DZ72" s="19"/>
    </row>
    <row r="73" spans="1:130" ht="12.75" x14ac:dyDescent="0.2">
      <c r="A73" s="647"/>
      <c r="B73" s="648"/>
      <c r="C73" s="102"/>
      <c r="D73" s="102"/>
      <c r="E73" s="102"/>
      <c r="F73" s="102"/>
      <c r="G73" s="102"/>
      <c r="H73" s="635"/>
      <c r="I73" s="23">
        <f t="shared" si="51"/>
        <v>0</v>
      </c>
      <c r="J73" s="635"/>
      <c r="K73" s="102"/>
      <c r="L73" s="102"/>
      <c r="M73" s="635"/>
      <c r="N73" s="635"/>
      <c r="O73" s="635"/>
      <c r="P73" s="635"/>
      <c r="Q73" s="635"/>
      <c r="R73" s="635"/>
      <c r="S73" s="660"/>
      <c r="T73" s="648"/>
      <c r="U73" s="102"/>
      <c r="V73" s="102"/>
      <c r="W73" s="102"/>
      <c r="X73" s="102"/>
      <c r="Y73" s="102"/>
      <c r="Z73" s="635"/>
      <c r="AA73" s="23">
        <f t="shared" si="62"/>
        <v>0</v>
      </c>
      <c r="AB73" s="635"/>
      <c r="AC73" s="102"/>
      <c r="AD73" s="102"/>
      <c r="AE73" s="635"/>
      <c r="AF73" s="635"/>
      <c r="AG73" s="635"/>
      <c r="AH73" s="635"/>
      <c r="AI73" s="635"/>
      <c r="AJ73" s="635"/>
      <c r="AK73" s="660"/>
      <c r="AL73" s="648"/>
      <c r="AM73" s="103"/>
      <c r="AN73" s="103"/>
      <c r="AO73" s="103"/>
      <c r="AP73" s="103"/>
      <c r="AQ73" s="103"/>
      <c r="AR73" s="635"/>
      <c r="AS73" s="23">
        <f t="shared" si="58"/>
        <v>0</v>
      </c>
      <c r="AT73" s="96">
        <f>AS73</f>
        <v>0</v>
      </c>
      <c r="AU73" s="103"/>
      <c r="AV73" s="91"/>
      <c r="AW73" s="23"/>
      <c r="AX73" s="635"/>
      <c r="AY73" s="635"/>
      <c r="AZ73" s="635"/>
      <c r="BA73" s="54">
        <f t="shared" ref="BA73:BA74" si="63">AV73*60</f>
        <v>0</v>
      </c>
      <c r="BB73" s="635"/>
      <c r="BC73" s="95">
        <f t="shared" ref="BC73:BC74" si="64">IF(BA73=0,0,AT73/BA73)</f>
        <v>0</v>
      </c>
      <c r="BD73" s="662"/>
      <c r="BE73" s="118"/>
      <c r="BF73" s="118"/>
      <c r="BG73" s="118"/>
      <c r="BH73" s="118"/>
      <c r="BI73" s="118"/>
      <c r="BJ73" s="118"/>
      <c r="BK73" s="118"/>
      <c r="BL73" s="662"/>
      <c r="BM73" s="118"/>
      <c r="BN73" s="118"/>
      <c r="BO73" s="662"/>
      <c r="BP73" s="662"/>
      <c r="BQ73" s="662"/>
      <c r="BR73" s="662"/>
      <c r="BS73" s="662"/>
      <c r="BT73" s="118"/>
      <c r="BU73" s="118"/>
      <c r="BV73" s="648"/>
      <c r="BW73" s="102"/>
      <c r="BX73" s="102"/>
      <c r="BY73" s="102"/>
      <c r="BZ73" s="102"/>
      <c r="CA73" s="102"/>
      <c r="CB73" s="635"/>
      <c r="CC73" s="23"/>
      <c r="CD73" s="635"/>
      <c r="CE73" s="102"/>
      <c r="CF73" s="102"/>
      <c r="CG73" s="635"/>
      <c r="CH73" s="635"/>
      <c r="CI73" s="635"/>
      <c r="CJ73" s="635"/>
      <c r="CK73" s="635"/>
      <c r="CL73" s="635"/>
      <c r="CM73" s="660"/>
      <c r="CN73" s="92"/>
      <c r="CO73" s="93"/>
      <c r="CP73" s="93"/>
      <c r="CQ73" s="93"/>
      <c r="CR73" s="93"/>
      <c r="CS73" s="93"/>
      <c r="CT73" s="93"/>
      <c r="CU73" s="93"/>
      <c r="CV73" s="93"/>
      <c r="CW73" s="93"/>
      <c r="CX73" s="93"/>
      <c r="CY73" s="93"/>
      <c r="CZ73" s="93"/>
      <c r="DA73" s="93"/>
      <c r="DB73" s="93"/>
      <c r="DC73" s="94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671"/>
      <c r="DU73" s="635"/>
      <c r="DV73" s="635"/>
      <c r="DW73" s="660"/>
      <c r="DX73" s="19"/>
      <c r="DY73" s="19"/>
      <c r="DZ73" s="19"/>
    </row>
    <row r="74" spans="1:130" ht="12.75" x14ac:dyDescent="0.2">
      <c r="A74" s="647"/>
      <c r="B74" s="694">
        <v>46067</v>
      </c>
      <c r="C74" s="55"/>
      <c r="D74" s="55"/>
      <c r="E74" s="55"/>
      <c r="F74" s="55"/>
      <c r="G74" s="55"/>
      <c r="H74" s="687"/>
      <c r="I74" s="53">
        <f t="shared" si="51"/>
        <v>0</v>
      </c>
      <c r="J74" s="691">
        <f>SUM(I74:I77,H74)</f>
        <v>0</v>
      </c>
      <c r="K74" s="55"/>
      <c r="L74" s="55"/>
      <c r="M74" s="687"/>
      <c r="N74" s="690"/>
      <c r="O74" s="689">
        <f>SUM(M74:N77)</f>
        <v>0</v>
      </c>
      <c r="P74" s="687"/>
      <c r="Q74" s="690">
        <f>M74*60</f>
        <v>0</v>
      </c>
      <c r="R74" s="692">
        <f>IF(
   COUNTIF(K74:K77,"SI")&gt;0,
   1.8,
   IF(
      COUNTIF(L74:L77,"SI")&gt;0,
      1.6,
      2
   )
)</f>
        <v>2</v>
      </c>
      <c r="S74" s="693">
        <f>IF(Q74=0,0,J74/Q74)</f>
        <v>0</v>
      </c>
      <c r="T74" s="694">
        <v>46067</v>
      </c>
      <c r="U74" s="52"/>
      <c r="V74" s="52"/>
      <c r="W74" s="52"/>
      <c r="X74" s="52"/>
      <c r="Y74" s="52"/>
      <c r="Z74" s="687"/>
      <c r="AA74" s="53">
        <f t="shared" si="62"/>
        <v>0</v>
      </c>
      <c r="AB74" s="691">
        <f>SUM(AA74:AA77,Z74)</f>
        <v>0</v>
      </c>
      <c r="AC74" s="52"/>
      <c r="AD74" s="52"/>
      <c r="AE74" s="687"/>
      <c r="AF74" s="687">
        <v>4</v>
      </c>
      <c r="AG74" s="689">
        <f>SUM(AE74:AF77)</f>
        <v>4</v>
      </c>
      <c r="AH74" s="687">
        <v>0</v>
      </c>
      <c r="AI74" s="690">
        <f>AE74*60</f>
        <v>0</v>
      </c>
      <c r="AJ74" s="692">
        <f>IF(
   COUNTIF(AC74:AC77,"SI")&gt;0,
   1.8,
   IF(
      COUNTIF(AD74:AD77,"SI")&gt;0,
      1.6,
      2
   )
)</f>
        <v>2</v>
      </c>
      <c r="AK74" s="693">
        <f>IF(AI74=0,0,AB74/AI74)</f>
        <v>0</v>
      </c>
      <c r="AL74" s="694">
        <v>46067</v>
      </c>
      <c r="AM74" s="52"/>
      <c r="AN74" s="52"/>
      <c r="AO74" s="52"/>
      <c r="AP74" s="52"/>
      <c r="AQ74" s="55"/>
      <c r="AR74" s="687"/>
      <c r="AS74" s="53">
        <f t="shared" si="58"/>
        <v>0</v>
      </c>
      <c r="AT74" s="691">
        <f>SUM(AS74:AS77,AR74)</f>
        <v>0</v>
      </c>
      <c r="AU74" s="55"/>
      <c r="AV74" s="687"/>
      <c r="AW74" s="55"/>
      <c r="AX74" s="687"/>
      <c r="AY74" s="689">
        <f>SUM(AV74:AX77)</f>
        <v>0</v>
      </c>
      <c r="AZ74" s="687"/>
      <c r="BA74" s="690">
        <f t="shared" si="63"/>
        <v>0</v>
      </c>
      <c r="BB74" s="692">
        <f>IF(
   COUNTIF(AU74:AU77,"SI")&gt;0,
   1.8,
   IF(
      COUNTIF(AV74:AV77,"SI")&gt;0,
      1.6,
      2
   )
)</f>
        <v>2</v>
      </c>
      <c r="BC74" s="697">
        <f t="shared" si="64"/>
        <v>0</v>
      </c>
      <c r="BD74" s="668"/>
      <c r="BE74" s="118"/>
      <c r="BF74" s="118"/>
      <c r="BG74" s="118"/>
      <c r="BH74" s="118"/>
      <c r="BI74" s="118"/>
      <c r="BJ74" s="118"/>
      <c r="BK74" s="118"/>
      <c r="BL74" s="663"/>
      <c r="BM74" s="118"/>
      <c r="BN74" s="118"/>
      <c r="BO74" s="663"/>
      <c r="BP74" s="663"/>
      <c r="BQ74" s="663"/>
      <c r="BR74" s="663"/>
      <c r="BS74" s="663"/>
      <c r="BT74" s="118"/>
      <c r="BU74" s="116"/>
      <c r="BV74" s="694">
        <v>46067</v>
      </c>
      <c r="BW74" s="52"/>
      <c r="BX74" s="52"/>
      <c r="BY74" s="52"/>
      <c r="BZ74" s="52"/>
      <c r="CA74" s="52"/>
      <c r="CB74" s="687"/>
      <c r="CC74" s="53"/>
      <c r="CD74" s="691">
        <f>SUM(CC74:CC77,CB74)</f>
        <v>0</v>
      </c>
      <c r="CE74" s="52"/>
      <c r="CF74" s="52"/>
      <c r="CG74" s="687"/>
      <c r="CH74" s="687"/>
      <c r="CI74" s="689">
        <f>SUM(CG74:CH77)</f>
        <v>0</v>
      </c>
      <c r="CJ74" s="687">
        <v>0</v>
      </c>
      <c r="CK74" s="690">
        <f>CG74*60</f>
        <v>0</v>
      </c>
      <c r="CL74" s="692">
        <f>IF(
   COUNTIF(CE74:CE77,"SI")&gt;0,
   1.8,
   IF(
      COUNTIF(CF74:CF77,"SI")&gt;0,
      1.6,
      2
   )
)</f>
        <v>2</v>
      </c>
      <c r="CM74" s="705">
        <f>IF(CK74=0,0,CD74/CK74)</f>
        <v>0</v>
      </c>
      <c r="CN74" s="92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4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/>
      <c r="DO74" s="90"/>
      <c r="DP74" s="90"/>
      <c r="DQ74" s="90"/>
      <c r="DR74" s="90"/>
      <c r="DS74" s="90"/>
      <c r="DT74" s="706">
        <v>46067</v>
      </c>
      <c r="DU74" s="707">
        <f>SUM(J74,AB74,AT74,BL74,CD74)</f>
        <v>0</v>
      </c>
      <c r="DV74" s="707">
        <f>SUM(Q74,AI74,BA74,BS74,CK74)</f>
        <v>0</v>
      </c>
      <c r="DW74" s="709" t="e">
        <f>DU74/DV74</f>
        <v>#DIV/0!</v>
      </c>
      <c r="DX74" s="19"/>
      <c r="DY74" s="19"/>
      <c r="DZ74" s="19"/>
    </row>
    <row r="75" spans="1:130" ht="12.75" x14ac:dyDescent="0.2">
      <c r="A75" s="647"/>
      <c r="B75" s="647"/>
      <c r="C75" s="55"/>
      <c r="D75" s="55"/>
      <c r="E75" s="55"/>
      <c r="F75" s="55"/>
      <c r="G75" s="55"/>
      <c r="H75" s="634"/>
      <c r="I75" s="53">
        <f t="shared" si="51"/>
        <v>0</v>
      </c>
      <c r="J75" s="634"/>
      <c r="K75" s="55"/>
      <c r="L75" s="55"/>
      <c r="M75" s="634"/>
      <c r="N75" s="634"/>
      <c r="O75" s="634"/>
      <c r="P75" s="634"/>
      <c r="Q75" s="634"/>
      <c r="R75" s="634"/>
      <c r="S75" s="659"/>
      <c r="T75" s="647"/>
      <c r="U75" s="55"/>
      <c r="V75" s="55"/>
      <c r="W75" s="55"/>
      <c r="X75" s="55"/>
      <c r="Y75" s="55"/>
      <c r="Z75" s="634"/>
      <c r="AA75" s="53">
        <f t="shared" si="62"/>
        <v>0</v>
      </c>
      <c r="AB75" s="634"/>
      <c r="AC75" s="55"/>
      <c r="AD75" s="55"/>
      <c r="AE75" s="634"/>
      <c r="AF75" s="634"/>
      <c r="AG75" s="634"/>
      <c r="AH75" s="634"/>
      <c r="AI75" s="634"/>
      <c r="AJ75" s="634"/>
      <c r="AK75" s="659"/>
      <c r="AL75" s="647"/>
      <c r="AM75" s="55"/>
      <c r="AN75" s="55"/>
      <c r="AO75" s="55"/>
      <c r="AP75" s="55"/>
      <c r="AQ75" s="55"/>
      <c r="AR75" s="634"/>
      <c r="AS75" s="53">
        <f t="shared" si="58"/>
        <v>0</v>
      </c>
      <c r="AT75" s="634"/>
      <c r="AU75" s="55"/>
      <c r="AV75" s="634"/>
      <c r="AW75" s="55"/>
      <c r="AX75" s="634"/>
      <c r="AY75" s="634"/>
      <c r="AZ75" s="634"/>
      <c r="BA75" s="634"/>
      <c r="BB75" s="634"/>
      <c r="BC75" s="634"/>
      <c r="BD75" s="662"/>
      <c r="BE75" s="118"/>
      <c r="BF75" s="118"/>
      <c r="BG75" s="118"/>
      <c r="BH75" s="118"/>
      <c r="BI75" s="118"/>
      <c r="BJ75" s="118"/>
      <c r="BK75" s="118"/>
      <c r="BL75" s="662"/>
      <c r="BM75" s="118"/>
      <c r="BN75" s="118"/>
      <c r="BO75" s="662"/>
      <c r="BP75" s="662"/>
      <c r="BQ75" s="662"/>
      <c r="BR75" s="662"/>
      <c r="BS75" s="662"/>
      <c r="BT75" s="118"/>
      <c r="BU75" s="19"/>
      <c r="BV75" s="647"/>
      <c r="BW75" s="55"/>
      <c r="BX75" s="55"/>
      <c r="BY75" s="55"/>
      <c r="BZ75" s="55"/>
      <c r="CA75" s="55"/>
      <c r="CB75" s="634"/>
      <c r="CC75" s="53"/>
      <c r="CD75" s="634"/>
      <c r="CE75" s="55"/>
      <c r="CF75" s="55"/>
      <c r="CG75" s="634"/>
      <c r="CH75" s="634"/>
      <c r="CI75" s="634"/>
      <c r="CJ75" s="634"/>
      <c r="CK75" s="634"/>
      <c r="CL75" s="634"/>
      <c r="CM75" s="659"/>
      <c r="CN75" s="92"/>
      <c r="CO75" s="93"/>
      <c r="CP75" s="93"/>
      <c r="CQ75" s="93"/>
      <c r="CR75" s="93"/>
      <c r="CS75" s="93"/>
      <c r="CT75" s="93"/>
      <c r="CU75" s="93"/>
      <c r="CV75" s="93"/>
      <c r="CW75" s="93"/>
      <c r="CX75" s="93"/>
      <c r="CY75" s="93"/>
      <c r="CZ75" s="93"/>
      <c r="DA75" s="93"/>
      <c r="DB75" s="93"/>
      <c r="DC75" s="94"/>
      <c r="DD75" s="90"/>
      <c r="DE75" s="90"/>
      <c r="DF75" s="90"/>
      <c r="DG75" s="90"/>
      <c r="DH75" s="90"/>
      <c r="DI75" s="90"/>
      <c r="DJ75" s="90"/>
      <c r="DK75" s="90"/>
      <c r="DL75" s="90"/>
      <c r="DM75" s="90"/>
      <c r="DN75" s="90"/>
      <c r="DO75" s="90"/>
      <c r="DP75" s="90"/>
      <c r="DQ75" s="90"/>
      <c r="DR75" s="90"/>
      <c r="DS75" s="90"/>
      <c r="DT75" s="670"/>
      <c r="DU75" s="634"/>
      <c r="DV75" s="634"/>
      <c r="DW75" s="659"/>
      <c r="DX75" s="19"/>
      <c r="DY75" s="19"/>
      <c r="DZ75" s="19"/>
    </row>
    <row r="76" spans="1:130" ht="12.75" x14ac:dyDescent="0.2">
      <c r="A76" s="647"/>
      <c r="B76" s="647"/>
      <c r="C76" s="55"/>
      <c r="D76" s="55"/>
      <c r="E76" s="55"/>
      <c r="F76" s="55"/>
      <c r="G76" s="55"/>
      <c r="H76" s="634"/>
      <c r="I76" s="53">
        <f t="shared" si="51"/>
        <v>0</v>
      </c>
      <c r="J76" s="634"/>
      <c r="K76" s="55"/>
      <c r="L76" s="55"/>
      <c r="M76" s="634"/>
      <c r="N76" s="634"/>
      <c r="O76" s="634"/>
      <c r="P76" s="634"/>
      <c r="Q76" s="634"/>
      <c r="R76" s="634"/>
      <c r="S76" s="659"/>
      <c r="T76" s="647"/>
      <c r="U76" s="55"/>
      <c r="V76" s="55"/>
      <c r="W76" s="55"/>
      <c r="X76" s="55"/>
      <c r="Y76" s="55"/>
      <c r="Z76" s="634"/>
      <c r="AA76" s="53">
        <f t="shared" si="62"/>
        <v>0</v>
      </c>
      <c r="AB76" s="634"/>
      <c r="AC76" s="55"/>
      <c r="AD76" s="55"/>
      <c r="AE76" s="634"/>
      <c r="AF76" s="634"/>
      <c r="AG76" s="634"/>
      <c r="AH76" s="634"/>
      <c r="AI76" s="634"/>
      <c r="AJ76" s="634"/>
      <c r="AK76" s="659"/>
      <c r="AL76" s="647"/>
      <c r="AM76" s="55"/>
      <c r="AN76" s="55"/>
      <c r="AO76" s="55"/>
      <c r="AP76" s="55"/>
      <c r="AQ76" s="55"/>
      <c r="AR76" s="634"/>
      <c r="AS76" s="53">
        <f t="shared" si="58"/>
        <v>0</v>
      </c>
      <c r="AT76" s="634"/>
      <c r="AU76" s="55"/>
      <c r="AV76" s="634"/>
      <c r="AW76" s="55"/>
      <c r="AX76" s="634"/>
      <c r="AY76" s="634"/>
      <c r="AZ76" s="634"/>
      <c r="BA76" s="634"/>
      <c r="BB76" s="634"/>
      <c r="BC76" s="634"/>
      <c r="BD76" s="668"/>
      <c r="BE76" s="118"/>
      <c r="BF76" s="118"/>
      <c r="BG76" s="118"/>
      <c r="BH76" s="118"/>
      <c r="BI76" s="118"/>
      <c r="BJ76" s="118"/>
      <c r="BK76" s="118"/>
      <c r="BL76" s="663"/>
      <c r="BM76" s="118"/>
      <c r="BN76" s="118"/>
      <c r="BO76" s="663"/>
      <c r="BP76" s="663"/>
      <c r="BQ76" s="663"/>
      <c r="BR76" s="663"/>
      <c r="BS76" s="663"/>
      <c r="BT76" s="118"/>
      <c r="BU76" s="19"/>
      <c r="BV76" s="647"/>
      <c r="BW76" s="55"/>
      <c r="BX76" s="55"/>
      <c r="BY76" s="55"/>
      <c r="BZ76" s="55"/>
      <c r="CA76" s="55"/>
      <c r="CB76" s="634"/>
      <c r="CC76" s="53"/>
      <c r="CD76" s="634"/>
      <c r="CE76" s="55"/>
      <c r="CF76" s="55"/>
      <c r="CG76" s="634"/>
      <c r="CH76" s="634"/>
      <c r="CI76" s="634"/>
      <c r="CJ76" s="634"/>
      <c r="CK76" s="634"/>
      <c r="CL76" s="634"/>
      <c r="CM76" s="659"/>
      <c r="CN76" s="92"/>
      <c r="CO76" s="93"/>
      <c r="CP76" s="93"/>
      <c r="CQ76" s="93"/>
      <c r="CR76" s="93"/>
      <c r="CS76" s="93"/>
      <c r="CT76" s="93"/>
      <c r="CU76" s="93"/>
      <c r="CV76" s="93"/>
      <c r="CW76" s="93"/>
      <c r="CX76" s="93"/>
      <c r="CY76" s="93"/>
      <c r="CZ76" s="93"/>
      <c r="DA76" s="93"/>
      <c r="DB76" s="93"/>
      <c r="DC76" s="94"/>
      <c r="DD76" s="90"/>
      <c r="DE76" s="90"/>
      <c r="DF76" s="90"/>
      <c r="DG76" s="90"/>
      <c r="DH76" s="90"/>
      <c r="DI76" s="90"/>
      <c r="DJ76" s="90"/>
      <c r="DK76" s="90"/>
      <c r="DL76" s="90"/>
      <c r="DM76" s="90"/>
      <c r="DN76" s="90"/>
      <c r="DO76" s="90"/>
      <c r="DP76" s="90"/>
      <c r="DQ76" s="90"/>
      <c r="DR76" s="90"/>
      <c r="DS76" s="90"/>
      <c r="DT76" s="670"/>
      <c r="DU76" s="634"/>
      <c r="DV76" s="634"/>
      <c r="DW76" s="659"/>
      <c r="DX76" s="19"/>
      <c r="DY76" s="19"/>
      <c r="DZ76" s="19"/>
    </row>
    <row r="77" spans="1:130" ht="12.75" x14ac:dyDescent="0.2">
      <c r="A77" s="648"/>
      <c r="B77" s="648"/>
      <c r="C77" s="55"/>
      <c r="D77" s="55"/>
      <c r="E77" s="55"/>
      <c r="F77" s="55"/>
      <c r="G77" s="55"/>
      <c r="H77" s="635"/>
      <c r="I77" s="53">
        <f t="shared" si="51"/>
        <v>0</v>
      </c>
      <c r="J77" s="635"/>
      <c r="K77" s="55"/>
      <c r="L77" s="55"/>
      <c r="M77" s="635"/>
      <c r="N77" s="635"/>
      <c r="O77" s="635"/>
      <c r="P77" s="635"/>
      <c r="Q77" s="635"/>
      <c r="R77" s="635"/>
      <c r="S77" s="660"/>
      <c r="T77" s="648"/>
      <c r="U77" s="55"/>
      <c r="V77" s="55"/>
      <c r="W77" s="55"/>
      <c r="X77" s="55"/>
      <c r="Y77" s="55"/>
      <c r="Z77" s="635"/>
      <c r="AA77" s="53">
        <f t="shared" si="62"/>
        <v>0</v>
      </c>
      <c r="AB77" s="635"/>
      <c r="AC77" s="55"/>
      <c r="AD77" s="55"/>
      <c r="AE77" s="635"/>
      <c r="AF77" s="635"/>
      <c r="AG77" s="635"/>
      <c r="AH77" s="635"/>
      <c r="AI77" s="635"/>
      <c r="AJ77" s="635"/>
      <c r="AK77" s="660"/>
      <c r="AL77" s="648"/>
      <c r="AM77" s="55"/>
      <c r="AN77" s="55"/>
      <c r="AO77" s="55"/>
      <c r="AP77" s="55"/>
      <c r="AQ77" s="55"/>
      <c r="AR77" s="635"/>
      <c r="AS77" s="53">
        <f t="shared" si="58"/>
        <v>0</v>
      </c>
      <c r="AT77" s="635"/>
      <c r="AU77" s="55"/>
      <c r="AV77" s="635"/>
      <c r="AW77" s="55"/>
      <c r="AX77" s="635"/>
      <c r="AY77" s="635"/>
      <c r="AZ77" s="635"/>
      <c r="BA77" s="635"/>
      <c r="BB77" s="635"/>
      <c r="BC77" s="635"/>
      <c r="BD77" s="662"/>
      <c r="BE77" s="118"/>
      <c r="BF77" s="118"/>
      <c r="BG77" s="118"/>
      <c r="BH77" s="118"/>
      <c r="BI77" s="118"/>
      <c r="BJ77" s="118"/>
      <c r="BK77" s="118"/>
      <c r="BL77" s="662"/>
      <c r="BM77" s="118"/>
      <c r="BN77" s="118"/>
      <c r="BO77" s="662"/>
      <c r="BP77" s="662"/>
      <c r="BQ77" s="662"/>
      <c r="BR77" s="662"/>
      <c r="BS77" s="662"/>
      <c r="BT77" s="118"/>
      <c r="BU77" s="19"/>
      <c r="BV77" s="648"/>
      <c r="BW77" s="55"/>
      <c r="BX77" s="55"/>
      <c r="BY77" s="55"/>
      <c r="BZ77" s="55"/>
      <c r="CA77" s="55"/>
      <c r="CB77" s="635"/>
      <c r="CC77" s="53"/>
      <c r="CD77" s="635"/>
      <c r="CE77" s="55"/>
      <c r="CF77" s="55"/>
      <c r="CG77" s="635"/>
      <c r="CH77" s="635"/>
      <c r="CI77" s="635"/>
      <c r="CJ77" s="635"/>
      <c r="CK77" s="635"/>
      <c r="CL77" s="635"/>
      <c r="CM77" s="660"/>
      <c r="CN77" s="92"/>
      <c r="CO77" s="93"/>
      <c r="CP77" s="93"/>
      <c r="CQ77" s="93"/>
      <c r="CR77" s="93"/>
      <c r="CS77" s="93"/>
      <c r="CT77" s="93"/>
      <c r="CU77" s="93"/>
      <c r="CV77" s="93"/>
      <c r="CW77" s="93"/>
      <c r="CX77" s="93"/>
      <c r="CY77" s="93"/>
      <c r="CZ77" s="93"/>
      <c r="DA77" s="93"/>
      <c r="DB77" s="93"/>
      <c r="DC77" s="94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0"/>
      <c r="DQ77" s="90"/>
      <c r="DR77" s="90"/>
      <c r="DS77" s="90"/>
      <c r="DT77" s="671"/>
      <c r="DU77" s="708"/>
      <c r="DV77" s="708"/>
      <c r="DW77" s="710"/>
      <c r="DX77" s="19"/>
      <c r="DY77" s="19"/>
      <c r="DZ77" s="19"/>
    </row>
    <row r="78" spans="1:130" ht="12.75" x14ac:dyDescent="0.2">
      <c r="A78" s="104"/>
      <c r="B78" s="105" t="s">
        <v>40</v>
      </c>
      <c r="C78" s="58">
        <f>SUM(C53:C77)</f>
        <v>307</v>
      </c>
      <c r="D78" s="57" t="s">
        <v>49</v>
      </c>
      <c r="E78" s="57" t="s">
        <v>49</v>
      </c>
      <c r="F78" s="57" t="s">
        <v>49</v>
      </c>
      <c r="G78" s="58">
        <f t="shared" ref="G78:J78" si="65">SUM(G53:G77)</f>
        <v>0</v>
      </c>
      <c r="H78" s="58">
        <f t="shared" si="65"/>
        <v>0</v>
      </c>
      <c r="I78" s="58">
        <f t="shared" si="65"/>
        <v>2872</v>
      </c>
      <c r="J78" s="58">
        <f t="shared" si="65"/>
        <v>2872</v>
      </c>
      <c r="K78" s="57" t="s">
        <v>49</v>
      </c>
      <c r="L78" s="57"/>
      <c r="M78" s="58">
        <f>SUM(M53:M77)</f>
        <v>20</v>
      </c>
      <c r="N78" s="58">
        <f>SUM(N53:N73)</f>
        <v>3</v>
      </c>
      <c r="O78" s="73">
        <f t="shared" ref="O78:Q78" si="66">SUM(O53:O77)</f>
        <v>23</v>
      </c>
      <c r="P78" s="58">
        <f t="shared" si="66"/>
        <v>0</v>
      </c>
      <c r="Q78" s="58">
        <f t="shared" si="66"/>
        <v>1620</v>
      </c>
      <c r="R78" s="107"/>
      <c r="S78" s="60">
        <f>AVERAGE(S62:S65)</f>
        <v>2.3761904761904762</v>
      </c>
      <c r="T78" s="105" t="s">
        <v>40</v>
      </c>
      <c r="U78" s="58">
        <f>SUM(U53:U77)</f>
        <v>176</v>
      </c>
      <c r="V78" s="57" t="s">
        <v>49</v>
      </c>
      <c r="W78" s="57" t="s">
        <v>49</v>
      </c>
      <c r="X78" s="57" t="s">
        <v>49</v>
      </c>
      <c r="Y78" s="58">
        <f t="shared" ref="Y78:AB78" si="67">SUM(Y53:Y77)</f>
        <v>11</v>
      </c>
      <c r="Z78" s="58">
        <f t="shared" si="67"/>
        <v>0</v>
      </c>
      <c r="AA78" s="58">
        <f t="shared" si="67"/>
        <v>1976</v>
      </c>
      <c r="AB78" s="58">
        <f t="shared" si="67"/>
        <v>1976</v>
      </c>
      <c r="AC78" s="57" t="s">
        <v>49</v>
      </c>
      <c r="AD78" s="57"/>
      <c r="AE78" s="58">
        <f t="shared" ref="AE78:AI78" si="68">SUM(AE53:AE77)</f>
        <v>15.25</v>
      </c>
      <c r="AF78" s="58">
        <f t="shared" si="68"/>
        <v>9.75</v>
      </c>
      <c r="AG78" s="73">
        <f t="shared" si="68"/>
        <v>25</v>
      </c>
      <c r="AH78" s="58">
        <f t="shared" si="68"/>
        <v>0</v>
      </c>
      <c r="AI78" s="58">
        <f t="shared" si="68"/>
        <v>915</v>
      </c>
      <c r="AJ78" s="107"/>
      <c r="AK78" s="108">
        <f t="shared" ref="AK78:AK79" si="69">IF(AI78=0,0,AB78/AI78)</f>
        <v>2.1595628415300547</v>
      </c>
      <c r="AL78" s="105" t="s">
        <v>40</v>
      </c>
      <c r="AM78" s="58">
        <f>SUM(AM53:AM77)</f>
        <v>97</v>
      </c>
      <c r="AN78" s="57" t="s">
        <v>49</v>
      </c>
      <c r="AO78" s="57" t="s">
        <v>49</v>
      </c>
      <c r="AP78" s="57" t="s">
        <v>49</v>
      </c>
      <c r="AQ78" s="58">
        <f t="shared" ref="AQ78:AT78" si="70">SUM(AQ53:AQ77)</f>
        <v>83</v>
      </c>
      <c r="AR78" s="58">
        <f t="shared" si="70"/>
        <v>229</v>
      </c>
      <c r="AS78" s="58">
        <f t="shared" si="70"/>
        <v>3700</v>
      </c>
      <c r="AT78" s="58">
        <f t="shared" si="70"/>
        <v>4007</v>
      </c>
      <c r="AU78" s="57" t="s">
        <v>49</v>
      </c>
      <c r="AV78" s="58">
        <f>SUM(AV53:AV77)</f>
        <v>18.8</v>
      </c>
      <c r="AW78" s="58"/>
      <c r="AX78" s="110">
        <f t="shared" ref="AX78:BA78" si="71">SUM(AX53:AX77)</f>
        <v>6.7</v>
      </c>
      <c r="AY78" s="59">
        <f t="shared" si="71"/>
        <v>25.5</v>
      </c>
      <c r="AZ78" s="110">
        <f t="shared" si="71"/>
        <v>1</v>
      </c>
      <c r="BA78" s="58">
        <f t="shared" si="71"/>
        <v>1128</v>
      </c>
      <c r="BB78" s="107"/>
      <c r="BC78" s="126">
        <f t="shared" ref="BC78:BC79" si="72">IF(BA78=0,0,AT78/BA78)</f>
        <v>3.5523049645390072</v>
      </c>
      <c r="BD78" s="668"/>
      <c r="BE78" s="118"/>
      <c r="BF78" s="118"/>
      <c r="BG78" s="118"/>
      <c r="BH78" s="118"/>
      <c r="BI78" s="118"/>
      <c r="BJ78" s="118"/>
      <c r="BK78" s="118"/>
      <c r="BL78" s="663"/>
      <c r="BM78" s="118"/>
      <c r="BN78" s="118"/>
      <c r="BO78" s="663"/>
      <c r="BP78" s="663"/>
      <c r="BQ78" s="663"/>
      <c r="BR78" s="663"/>
      <c r="BS78" s="118"/>
      <c r="BT78" s="118"/>
      <c r="BU78" s="19"/>
      <c r="BV78" s="105" t="s">
        <v>40</v>
      </c>
      <c r="BW78" s="58">
        <f>SUM(BW53:BW77)</f>
        <v>504</v>
      </c>
      <c r="BX78" s="57" t="s">
        <v>49</v>
      </c>
      <c r="BY78" s="57" t="s">
        <v>49</v>
      </c>
      <c r="BZ78" s="57" t="s">
        <v>49</v>
      </c>
      <c r="CA78" s="58">
        <f t="shared" ref="CA78:CD78" si="73">SUM(CA53:CA77)</f>
        <v>0</v>
      </c>
      <c r="CB78" s="58">
        <f t="shared" si="73"/>
        <v>0</v>
      </c>
      <c r="CC78" s="58">
        <f t="shared" si="73"/>
        <v>2275</v>
      </c>
      <c r="CD78" s="58">
        <f t="shared" si="73"/>
        <v>2275</v>
      </c>
      <c r="CE78" s="57" t="s">
        <v>49</v>
      </c>
      <c r="CF78" s="57"/>
      <c r="CG78" s="58">
        <f t="shared" ref="CG78:CK78" si="74">SUM(CG53:CG77)</f>
        <v>22</v>
      </c>
      <c r="CH78" s="58">
        <f t="shared" si="74"/>
        <v>1</v>
      </c>
      <c r="CI78" s="73">
        <f t="shared" si="74"/>
        <v>23</v>
      </c>
      <c r="CJ78" s="58">
        <f t="shared" si="74"/>
        <v>0</v>
      </c>
      <c r="CK78" s="58">
        <f t="shared" si="74"/>
        <v>1320</v>
      </c>
      <c r="CL78" s="107"/>
      <c r="CM78" s="108">
        <f>IF(CK78=0,0,CD78/CK78)</f>
        <v>1.7234848484848484</v>
      </c>
      <c r="CN78" s="92"/>
      <c r="CO78" s="93"/>
      <c r="CP78" s="93"/>
      <c r="CQ78" s="93"/>
      <c r="CR78" s="93"/>
      <c r="CS78" s="93"/>
      <c r="CT78" s="93"/>
      <c r="CU78" s="93"/>
      <c r="CV78" s="93"/>
      <c r="CW78" s="93"/>
      <c r="CX78" s="93"/>
      <c r="CY78" s="93"/>
      <c r="CZ78" s="93"/>
      <c r="DA78" s="93"/>
      <c r="DB78" s="93"/>
      <c r="DC78" s="94"/>
      <c r="DD78" s="111"/>
      <c r="DE78" s="111"/>
      <c r="DF78" s="111"/>
      <c r="DG78" s="111"/>
      <c r="DH78" s="111"/>
      <c r="DI78" s="111"/>
      <c r="DJ78" s="111"/>
      <c r="DK78" s="111"/>
      <c r="DL78" s="111"/>
      <c r="DM78" s="111"/>
      <c r="DN78" s="111"/>
      <c r="DO78" s="111"/>
      <c r="DP78" s="111"/>
      <c r="DQ78" s="111"/>
      <c r="DR78" s="111"/>
      <c r="DS78" s="111"/>
      <c r="DT78" s="112" t="s">
        <v>40</v>
      </c>
      <c r="DU78" s="19"/>
      <c r="DV78" s="19"/>
      <c r="DW78" s="19"/>
      <c r="DX78" s="19"/>
      <c r="DY78" s="19"/>
      <c r="DZ78" s="19"/>
    </row>
    <row r="79" spans="1:130" ht="12.75" x14ac:dyDescent="0.2">
      <c r="A79" s="798" t="s">
        <v>60</v>
      </c>
      <c r="B79" s="701">
        <v>46069</v>
      </c>
      <c r="C79" s="85"/>
      <c r="D79" s="85"/>
      <c r="E79" s="85"/>
      <c r="F79" s="85"/>
      <c r="G79" s="85"/>
      <c r="H79" s="692"/>
      <c r="I79" s="85">
        <f t="shared" ref="I79:I81" si="75">F79-E79-G79</f>
        <v>0</v>
      </c>
      <c r="J79" s="703">
        <f>SUM(I79:I83,H79)</f>
        <v>0</v>
      </c>
      <c r="K79" s="85"/>
      <c r="L79" s="85"/>
      <c r="M79" s="692"/>
      <c r="N79" s="692"/>
      <c r="O79" s="699">
        <f>SUM(M79:N83)</f>
        <v>0</v>
      </c>
      <c r="P79" s="692"/>
      <c r="Q79" s="692">
        <f>M79*60</f>
        <v>0</v>
      </c>
      <c r="R79" s="692">
        <f>IF(
   COUNTIF(K79:K83,"SI")&gt;0,
   1.8,
   IF(
      COUNTIF(L79:L83,"SI")&gt;0,
      1.6,
      2
   )
)</f>
        <v>2</v>
      </c>
      <c r="S79" s="700">
        <f>IF(Q79=0,0,J79/Q79)</f>
        <v>0</v>
      </c>
      <c r="T79" s="701">
        <v>46069</v>
      </c>
      <c r="U79" s="85"/>
      <c r="V79" s="85"/>
      <c r="W79" s="85"/>
      <c r="X79" s="85"/>
      <c r="Y79" s="85"/>
      <c r="Z79" s="692"/>
      <c r="AA79" s="85">
        <f t="shared" ref="AA79:AA81" si="76">X79-W79-Y79</f>
        <v>0</v>
      </c>
      <c r="AB79" s="703">
        <f>SUM(AA79:AA83,Z79)</f>
        <v>0</v>
      </c>
      <c r="AC79" s="85"/>
      <c r="AD79" s="85"/>
      <c r="AE79" s="692"/>
      <c r="AF79" s="692"/>
      <c r="AG79" s="699">
        <f>SUM(AE79:AF83)</f>
        <v>0</v>
      </c>
      <c r="AH79" s="692"/>
      <c r="AI79" s="692">
        <f>AE79*60</f>
        <v>0</v>
      </c>
      <c r="AJ79" s="692">
        <f>IF(
   COUNTIF(AC79:AC83,"SI")&gt;0,
   1.8,
   IF(
      COUNTIF(AD79:AD83,"SI")&gt;0,
      1.6,
      2
   )
)</f>
        <v>2</v>
      </c>
      <c r="AK79" s="700">
        <f t="shared" si="69"/>
        <v>0</v>
      </c>
      <c r="AL79" s="701">
        <v>46069</v>
      </c>
      <c r="AM79" s="85">
        <v>112</v>
      </c>
      <c r="AN79" s="85">
        <v>839</v>
      </c>
      <c r="AO79" s="85">
        <v>17004</v>
      </c>
      <c r="AP79" s="85">
        <v>17500</v>
      </c>
      <c r="AQ79" s="85">
        <v>3</v>
      </c>
      <c r="AR79" s="692"/>
      <c r="AS79" s="85">
        <f t="shared" ref="AS79:AS83" si="77">AP79-AO79-AQ79</f>
        <v>493</v>
      </c>
      <c r="AT79" s="691">
        <f>SUM(AS79:AS83)</f>
        <v>1178</v>
      </c>
      <c r="AU79" s="23" t="s">
        <v>51</v>
      </c>
      <c r="AV79" s="688">
        <v>8</v>
      </c>
      <c r="AW79" s="23" t="s">
        <v>51</v>
      </c>
      <c r="AX79" s="692">
        <v>0.5</v>
      </c>
      <c r="AY79" s="699">
        <f>SUM(AV79:AX83)</f>
        <v>8.5</v>
      </c>
      <c r="AZ79" s="692">
        <v>0.15</v>
      </c>
      <c r="BA79" s="692">
        <f>AV79*60</f>
        <v>480</v>
      </c>
      <c r="BB79" s="692">
        <f>IF(
   COUNTIF(AU79:AU83,"SI")&gt;0,
   1.8,
   IF(
      COUNTIF(AV79:AV83,"SI")&gt;0,
      1.6,
      2
   )
)</f>
        <v>1.8</v>
      </c>
      <c r="BC79" s="702">
        <f t="shared" si="72"/>
        <v>2.4541666666666666</v>
      </c>
      <c r="BD79" s="662"/>
      <c r="BE79" s="118"/>
      <c r="BF79" s="118"/>
      <c r="BG79" s="118"/>
      <c r="BH79" s="118"/>
      <c r="BI79" s="118"/>
      <c r="BJ79" s="118"/>
      <c r="BK79" s="118"/>
      <c r="BL79" s="662"/>
      <c r="BM79" s="118"/>
      <c r="BN79" s="118"/>
      <c r="BO79" s="662"/>
      <c r="BP79" s="662"/>
      <c r="BQ79" s="662"/>
      <c r="BR79" s="662"/>
      <c r="BS79" s="118"/>
      <c r="BT79" s="118"/>
      <c r="BU79" s="19"/>
      <c r="BV79" s="663"/>
      <c r="BW79" s="118"/>
      <c r="BX79" s="120"/>
      <c r="BY79" s="120"/>
      <c r="BZ79" s="120"/>
      <c r="CA79" s="120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0"/>
      <c r="CN79" s="92"/>
      <c r="CO79" s="93"/>
      <c r="CP79" s="93"/>
      <c r="CQ79" s="93"/>
      <c r="CR79" s="93"/>
      <c r="CS79" s="93"/>
      <c r="CT79" s="93"/>
      <c r="CU79" s="93"/>
      <c r="CV79" s="93"/>
      <c r="CW79" s="93"/>
      <c r="CX79" s="93"/>
      <c r="CY79" s="93"/>
      <c r="CZ79" s="93"/>
      <c r="DA79" s="93"/>
      <c r="DB79" s="93"/>
      <c r="DC79" s="94"/>
      <c r="DD79" s="120"/>
      <c r="DE79" s="120"/>
      <c r="DF79" s="120"/>
      <c r="DG79" s="120"/>
      <c r="DH79" s="120"/>
      <c r="DI79" s="120"/>
      <c r="DJ79" s="120"/>
      <c r="DK79" s="120"/>
      <c r="DL79" s="120"/>
      <c r="DM79" s="120"/>
      <c r="DN79" s="120"/>
      <c r="DO79" s="120"/>
      <c r="DP79" s="120"/>
      <c r="DQ79" s="120"/>
      <c r="DR79" s="120"/>
      <c r="DS79" s="120"/>
      <c r="DT79" s="120"/>
      <c r="DU79" s="19"/>
      <c r="DV79" s="19"/>
      <c r="DW79" s="19"/>
      <c r="DX79" s="19"/>
      <c r="DY79" s="19"/>
      <c r="DZ79" s="19"/>
    </row>
    <row r="80" spans="1:130" ht="12.75" x14ac:dyDescent="0.2">
      <c r="A80" s="647"/>
      <c r="B80" s="647"/>
      <c r="C80" s="23"/>
      <c r="D80" s="23"/>
      <c r="E80" s="23"/>
      <c r="F80" s="23"/>
      <c r="G80" s="23"/>
      <c r="H80" s="634"/>
      <c r="I80" s="23">
        <f t="shared" si="75"/>
        <v>0</v>
      </c>
      <c r="J80" s="634"/>
      <c r="K80" s="23"/>
      <c r="L80" s="91"/>
      <c r="M80" s="634"/>
      <c r="N80" s="634"/>
      <c r="O80" s="634"/>
      <c r="P80" s="634"/>
      <c r="Q80" s="634"/>
      <c r="R80" s="634"/>
      <c r="S80" s="659"/>
      <c r="T80" s="647"/>
      <c r="U80" s="23"/>
      <c r="V80" s="23"/>
      <c r="W80" s="23"/>
      <c r="X80" s="23"/>
      <c r="Y80" s="23"/>
      <c r="Z80" s="634"/>
      <c r="AA80" s="23">
        <f t="shared" si="76"/>
        <v>0</v>
      </c>
      <c r="AB80" s="634"/>
      <c r="AC80" s="23"/>
      <c r="AD80" s="91"/>
      <c r="AE80" s="634"/>
      <c r="AF80" s="634"/>
      <c r="AG80" s="634"/>
      <c r="AH80" s="634"/>
      <c r="AI80" s="634"/>
      <c r="AJ80" s="634"/>
      <c r="AK80" s="659"/>
      <c r="AL80" s="647"/>
      <c r="AM80" s="23">
        <v>33</v>
      </c>
      <c r="AN80" s="23">
        <v>840</v>
      </c>
      <c r="AO80" s="23">
        <v>17501</v>
      </c>
      <c r="AP80" s="23">
        <v>17644</v>
      </c>
      <c r="AQ80" s="23"/>
      <c r="AR80" s="634"/>
      <c r="AS80" s="23">
        <f t="shared" si="77"/>
        <v>143</v>
      </c>
      <c r="AT80" s="634"/>
      <c r="AU80" s="23" t="s">
        <v>51</v>
      </c>
      <c r="AV80" s="634"/>
      <c r="AW80" s="23" t="s">
        <v>51</v>
      </c>
      <c r="AX80" s="634"/>
      <c r="AY80" s="634"/>
      <c r="AZ80" s="634"/>
      <c r="BA80" s="634"/>
      <c r="BB80" s="634"/>
      <c r="BC80" s="634"/>
      <c r="BD80" s="668"/>
      <c r="BE80" s="117"/>
      <c r="BF80" s="117"/>
      <c r="BG80" s="117"/>
      <c r="BH80" s="117"/>
      <c r="BI80" s="117"/>
      <c r="BJ80" s="117"/>
      <c r="BK80" s="118"/>
      <c r="BL80" s="663"/>
      <c r="BM80" s="118"/>
      <c r="BN80" s="118"/>
      <c r="BO80" s="663"/>
      <c r="BP80" s="663"/>
      <c r="BQ80" s="663"/>
      <c r="BR80" s="663"/>
      <c r="BS80" s="118"/>
      <c r="BT80" s="118"/>
      <c r="BU80" s="19"/>
      <c r="BV80" s="662"/>
      <c r="BW80" s="118"/>
      <c r="BX80" s="120"/>
      <c r="BY80" s="120"/>
      <c r="BZ80" s="120"/>
      <c r="CA80" s="120"/>
      <c r="CB80" s="120"/>
      <c r="CC80" s="120"/>
      <c r="CD80" s="120"/>
      <c r="CE80" s="120"/>
      <c r="CF80" s="120"/>
      <c r="CG80" s="120"/>
      <c r="CH80" s="120"/>
      <c r="CI80" s="120"/>
      <c r="CJ80" s="120"/>
      <c r="CK80" s="120"/>
      <c r="CL80" s="120"/>
      <c r="CM80" s="120"/>
      <c r="CN80" s="92"/>
      <c r="CO80" s="93"/>
      <c r="CP80" s="93"/>
      <c r="CQ80" s="93"/>
      <c r="CR80" s="93"/>
      <c r="CS80" s="93"/>
      <c r="CT80" s="93"/>
      <c r="CU80" s="93"/>
      <c r="CV80" s="93"/>
      <c r="CW80" s="93"/>
      <c r="CX80" s="93"/>
      <c r="CY80" s="93"/>
      <c r="CZ80" s="93"/>
      <c r="DA80" s="93"/>
      <c r="DB80" s="93"/>
      <c r="DC80" s="94"/>
      <c r="DD80" s="120"/>
      <c r="DE80" s="120"/>
      <c r="DF80" s="120"/>
      <c r="DG80" s="120"/>
      <c r="DH80" s="120"/>
      <c r="DI80" s="120"/>
      <c r="DJ80" s="120"/>
      <c r="DK80" s="120"/>
      <c r="DL80" s="120"/>
      <c r="DM80" s="120"/>
      <c r="DN80" s="120"/>
      <c r="DO80" s="120"/>
      <c r="DP80" s="120"/>
      <c r="DQ80" s="120"/>
      <c r="DR80" s="120"/>
      <c r="DS80" s="120"/>
      <c r="DT80" s="120"/>
      <c r="DU80" s="19"/>
      <c r="DV80" s="19"/>
      <c r="DW80" s="19"/>
      <c r="DX80" s="19"/>
      <c r="DY80" s="19"/>
      <c r="DZ80" s="19"/>
    </row>
    <row r="81" spans="1:130" ht="12.75" x14ac:dyDescent="0.2">
      <c r="A81" s="647"/>
      <c r="B81" s="647"/>
      <c r="C81" s="23"/>
      <c r="D81" s="23"/>
      <c r="E81" s="23"/>
      <c r="F81" s="23"/>
      <c r="G81" s="23"/>
      <c r="H81" s="634"/>
      <c r="I81" s="23">
        <f t="shared" si="75"/>
        <v>0</v>
      </c>
      <c r="J81" s="634"/>
      <c r="K81" s="23"/>
      <c r="L81" s="91"/>
      <c r="M81" s="634"/>
      <c r="N81" s="634"/>
      <c r="O81" s="634"/>
      <c r="P81" s="634"/>
      <c r="Q81" s="634"/>
      <c r="R81" s="634"/>
      <c r="S81" s="659"/>
      <c r="T81" s="647"/>
      <c r="U81" s="23"/>
      <c r="V81" s="23"/>
      <c r="W81" s="23"/>
      <c r="X81" s="23"/>
      <c r="Y81" s="23"/>
      <c r="Z81" s="634"/>
      <c r="AA81" s="23">
        <f t="shared" si="76"/>
        <v>0</v>
      </c>
      <c r="AB81" s="634"/>
      <c r="AC81" s="23"/>
      <c r="AD81" s="91"/>
      <c r="AE81" s="634"/>
      <c r="AF81" s="634"/>
      <c r="AG81" s="634"/>
      <c r="AH81" s="634"/>
      <c r="AI81" s="634"/>
      <c r="AJ81" s="634"/>
      <c r="AK81" s="659"/>
      <c r="AL81" s="647"/>
      <c r="AM81" s="28">
        <v>36</v>
      </c>
      <c r="AN81" s="28">
        <v>837</v>
      </c>
      <c r="AO81" s="28">
        <v>16366</v>
      </c>
      <c r="AP81" s="28">
        <v>16502</v>
      </c>
      <c r="AQ81" s="23"/>
      <c r="AR81" s="634"/>
      <c r="AS81" s="23">
        <f t="shared" si="77"/>
        <v>136</v>
      </c>
      <c r="AT81" s="634"/>
      <c r="AU81" s="23" t="s">
        <v>51</v>
      </c>
      <c r="AV81" s="634"/>
      <c r="AW81" s="91" t="s">
        <v>51</v>
      </c>
      <c r="AX81" s="634"/>
      <c r="AY81" s="634"/>
      <c r="AZ81" s="634"/>
      <c r="BA81" s="634"/>
      <c r="BB81" s="634"/>
      <c r="BC81" s="634"/>
      <c r="BD81" s="662"/>
      <c r="BE81" s="117"/>
      <c r="BF81" s="117"/>
      <c r="BG81" s="117"/>
      <c r="BH81" s="117"/>
      <c r="BI81" s="117"/>
      <c r="BJ81" s="117"/>
      <c r="BK81" s="118"/>
      <c r="BL81" s="662"/>
      <c r="BM81" s="118"/>
      <c r="BN81" s="118"/>
      <c r="BO81" s="662"/>
      <c r="BP81" s="662"/>
      <c r="BQ81" s="662"/>
      <c r="BR81" s="662"/>
      <c r="BS81" s="118"/>
      <c r="BT81" s="120"/>
      <c r="BU81" s="120"/>
      <c r="BV81" s="663"/>
      <c r="BW81" s="118"/>
      <c r="BX81" s="120"/>
      <c r="BY81" s="120"/>
      <c r="BZ81" s="120"/>
      <c r="CA81" s="120"/>
      <c r="CB81" s="120"/>
      <c r="CC81" s="120"/>
      <c r="CD81" s="120"/>
      <c r="CE81" s="120"/>
      <c r="CF81" s="120"/>
      <c r="CG81" s="120"/>
      <c r="CH81" s="120"/>
      <c r="CI81" s="120"/>
      <c r="CJ81" s="120"/>
      <c r="CK81" s="120"/>
      <c r="CL81" s="120"/>
      <c r="CM81" s="120"/>
      <c r="CN81" s="92"/>
      <c r="CO81" s="93"/>
      <c r="CP81" s="93"/>
      <c r="CQ81" s="93"/>
      <c r="CR81" s="93"/>
      <c r="CS81" s="93"/>
      <c r="CT81" s="93"/>
      <c r="CU81" s="93"/>
      <c r="CV81" s="93"/>
      <c r="CW81" s="93"/>
      <c r="CX81" s="93"/>
      <c r="CY81" s="93"/>
      <c r="CZ81" s="93"/>
      <c r="DA81" s="93"/>
      <c r="DB81" s="93"/>
      <c r="DC81" s="94"/>
      <c r="DD81" s="120"/>
      <c r="DE81" s="120"/>
      <c r="DF81" s="120"/>
      <c r="DG81" s="120"/>
      <c r="DH81" s="120"/>
      <c r="DI81" s="120"/>
      <c r="DJ81" s="120"/>
      <c r="DK81" s="120"/>
      <c r="DL81" s="120"/>
      <c r="DM81" s="120"/>
      <c r="DN81" s="120"/>
      <c r="DO81" s="120"/>
      <c r="DP81" s="120"/>
      <c r="DQ81" s="120"/>
      <c r="DR81" s="120"/>
      <c r="DS81" s="120"/>
      <c r="DT81" s="120"/>
      <c r="DU81" s="19"/>
      <c r="DV81" s="19"/>
      <c r="DW81" s="19"/>
      <c r="DX81" s="19"/>
      <c r="DY81" s="19"/>
      <c r="DZ81" s="19"/>
    </row>
    <row r="82" spans="1:130" ht="12.75" x14ac:dyDescent="0.2">
      <c r="A82" s="647"/>
      <c r="B82" s="647"/>
      <c r="C82" s="23"/>
      <c r="D82" s="23"/>
      <c r="E82" s="23"/>
      <c r="F82" s="23"/>
      <c r="G82" s="23"/>
      <c r="H82" s="634"/>
      <c r="I82" s="23"/>
      <c r="J82" s="634"/>
      <c r="K82" s="23"/>
      <c r="L82" s="91"/>
      <c r="M82" s="634"/>
      <c r="N82" s="634"/>
      <c r="O82" s="634"/>
      <c r="P82" s="634"/>
      <c r="Q82" s="634"/>
      <c r="R82" s="634"/>
      <c r="S82" s="659"/>
      <c r="T82" s="647"/>
      <c r="U82" s="23"/>
      <c r="V82" s="23"/>
      <c r="W82" s="23"/>
      <c r="X82" s="23"/>
      <c r="Y82" s="23"/>
      <c r="Z82" s="634"/>
      <c r="AA82" s="23"/>
      <c r="AB82" s="634"/>
      <c r="AC82" s="23"/>
      <c r="AD82" s="91"/>
      <c r="AE82" s="634"/>
      <c r="AF82" s="634"/>
      <c r="AG82" s="634"/>
      <c r="AH82" s="634"/>
      <c r="AI82" s="634"/>
      <c r="AJ82" s="634"/>
      <c r="AK82" s="659"/>
      <c r="AL82" s="647"/>
      <c r="AM82" s="23">
        <v>96</v>
      </c>
      <c r="AN82" s="23">
        <v>772</v>
      </c>
      <c r="AO82" s="23">
        <v>2</v>
      </c>
      <c r="AP82" s="23">
        <v>408</v>
      </c>
      <c r="AQ82" s="23"/>
      <c r="AR82" s="634"/>
      <c r="AS82" s="23">
        <f t="shared" si="77"/>
        <v>406</v>
      </c>
      <c r="AT82" s="635"/>
      <c r="AU82" s="23"/>
      <c r="AV82" s="635"/>
      <c r="AW82" s="91"/>
      <c r="AX82" s="634"/>
      <c r="AY82" s="634"/>
      <c r="AZ82" s="634"/>
      <c r="BA82" s="634"/>
      <c r="BB82" s="634"/>
      <c r="BC82" s="634"/>
      <c r="BD82" s="668"/>
      <c r="BE82" s="117"/>
      <c r="BF82" s="117"/>
      <c r="BG82" s="117"/>
      <c r="BH82" s="117"/>
      <c r="BI82" s="117"/>
      <c r="BJ82" s="117"/>
      <c r="BK82" s="118"/>
      <c r="BL82" s="663"/>
      <c r="BM82" s="118"/>
      <c r="BN82" s="118"/>
      <c r="BO82" s="663"/>
      <c r="BP82" s="663"/>
      <c r="BQ82" s="663"/>
      <c r="BR82" s="663"/>
      <c r="BS82" s="118"/>
      <c r="BT82" s="120"/>
      <c r="BU82" s="120"/>
      <c r="BV82" s="662"/>
      <c r="BW82" s="118"/>
      <c r="BX82" s="120"/>
      <c r="BY82" s="120"/>
      <c r="BZ82" s="120"/>
      <c r="CA82" s="120"/>
      <c r="CB82" s="120"/>
      <c r="CC82" s="120"/>
      <c r="CD82" s="120"/>
      <c r="CE82" s="120"/>
      <c r="CF82" s="120"/>
      <c r="CG82" s="120"/>
      <c r="CH82" s="120"/>
      <c r="CI82" s="120"/>
      <c r="CJ82" s="120"/>
      <c r="CK82" s="120"/>
      <c r="CL82" s="120"/>
      <c r="CM82" s="120"/>
      <c r="CN82" s="92"/>
      <c r="CO82" s="93"/>
      <c r="CP82" s="93"/>
      <c r="CQ82" s="93"/>
      <c r="CR82" s="93"/>
      <c r="CS82" s="93"/>
      <c r="CT82" s="93"/>
      <c r="CU82" s="93"/>
      <c r="CV82" s="93"/>
      <c r="CW82" s="93"/>
      <c r="CX82" s="93"/>
      <c r="CY82" s="93"/>
      <c r="CZ82" s="93"/>
      <c r="DA82" s="93"/>
      <c r="DB82" s="93"/>
      <c r="DC82" s="94"/>
      <c r="DD82" s="120"/>
      <c r="DE82" s="120"/>
      <c r="DF82" s="120"/>
      <c r="DG82" s="120"/>
      <c r="DH82" s="120"/>
      <c r="DI82" s="120"/>
      <c r="DJ82" s="120"/>
      <c r="DK82" s="120"/>
      <c r="DL82" s="120"/>
      <c r="DM82" s="120"/>
      <c r="DN82" s="120"/>
      <c r="DO82" s="120"/>
      <c r="DP82" s="120"/>
      <c r="DQ82" s="120"/>
      <c r="DR82" s="120"/>
      <c r="DS82" s="120"/>
      <c r="DT82" s="120"/>
      <c r="DU82" s="19"/>
      <c r="DV82" s="19"/>
      <c r="DW82" s="19"/>
      <c r="DX82" s="19"/>
      <c r="DY82" s="19"/>
      <c r="DZ82" s="19"/>
    </row>
    <row r="83" spans="1:130" ht="12.75" x14ac:dyDescent="0.2">
      <c r="A83" s="647"/>
      <c r="B83" s="648"/>
      <c r="C83" s="23"/>
      <c r="D83" s="23"/>
      <c r="E83" s="23"/>
      <c r="F83" s="23"/>
      <c r="G83" s="23"/>
      <c r="H83" s="635"/>
      <c r="I83" s="23">
        <f t="shared" ref="I83:I103" si="78">F83-E83-G83</f>
        <v>0</v>
      </c>
      <c r="J83" s="635"/>
      <c r="K83" s="23"/>
      <c r="L83" s="91"/>
      <c r="M83" s="635"/>
      <c r="N83" s="635"/>
      <c r="O83" s="635"/>
      <c r="P83" s="635"/>
      <c r="Q83" s="635"/>
      <c r="R83" s="635"/>
      <c r="S83" s="660"/>
      <c r="T83" s="648"/>
      <c r="U83" s="23"/>
      <c r="V83" s="23"/>
      <c r="W83" s="23"/>
      <c r="X83" s="23"/>
      <c r="Y83" s="23"/>
      <c r="Z83" s="635"/>
      <c r="AA83" s="23">
        <f t="shared" ref="AA83:AA103" si="79">X83-W83-Y83</f>
        <v>0</v>
      </c>
      <c r="AB83" s="635"/>
      <c r="AC83" s="23"/>
      <c r="AD83" s="91"/>
      <c r="AE83" s="635"/>
      <c r="AF83" s="635"/>
      <c r="AG83" s="635"/>
      <c r="AH83" s="635"/>
      <c r="AI83" s="635"/>
      <c r="AJ83" s="635"/>
      <c r="AK83" s="660"/>
      <c r="AL83" s="648"/>
      <c r="AM83" s="23"/>
      <c r="AN83" s="23"/>
      <c r="AO83" s="23"/>
      <c r="AP83" s="23"/>
      <c r="AQ83" s="23"/>
      <c r="AR83" s="635"/>
      <c r="AS83" s="23">
        <f t="shared" si="77"/>
        <v>0</v>
      </c>
      <c r="AT83" s="96">
        <f>AS83</f>
        <v>0</v>
      </c>
      <c r="AU83" s="23"/>
      <c r="AV83" s="91"/>
      <c r="AW83" s="91"/>
      <c r="AX83" s="635"/>
      <c r="AY83" s="635"/>
      <c r="AZ83" s="635"/>
      <c r="BA83" s="54">
        <f t="shared" ref="BA83:BA84" si="80">AV83*60</f>
        <v>0</v>
      </c>
      <c r="BB83" s="635"/>
      <c r="BC83" s="95">
        <f t="shared" ref="BC83:BC84" si="81">IF(BA83=0,0,AT83/BA83)</f>
        <v>0</v>
      </c>
      <c r="BD83" s="662"/>
      <c r="BE83" s="120"/>
      <c r="BF83" s="120"/>
      <c r="BG83" s="120"/>
      <c r="BH83" s="120"/>
      <c r="BI83" s="120"/>
      <c r="BJ83" s="120"/>
      <c r="BK83" s="118"/>
      <c r="BL83" s="662"/>
      <c r="BM83" s="118"/>
      <c r="BN83" s="118"/>
      <c r="BO83" s="662"/>
      <c r="BP83" s="662"/>
      <c r="BQ83" s="662"/>
      <c r="BR83" s="662"/>
      <c r="BS83" s="118"/>
      <c r="BT83" s="120"/>
      <c r="BU83" s="120"/>
      <c r="BV83" s="663"/>
      <c r="BW83" s="118"/>
      <c r="BX83" s="120"/>
      <c r="BY83" s="120"/>
      <c r="BZ83" s="120"/>
      <c r="CA83" s="120"/>
      <c r="CB83" s="120"/>
      <c r="CC83" s="120"/>
      <c r="CD83" s="120"/>
      <c r="CE83" s="120"/>
      <c r="CF83" s="120"/>
      <c r="CG83" s="120"/>
      <c r="CH83" s="120"/>
      <c r="CI83" s="120"/>
      <c r="CJ83" s="120"/>
      <c r="CK83" s="120"/>
      <c r="CL83" s="120"/>
      <c r="CM83" s="120"/>
      <c r="CN83" s="92"/>
      <c r="CO83" s="93"/>
      <c r="CP83" s="93"/>
      <c r="CQ83" s="93"/>
      <c r="CR83" s="93"/>
      <c r="CS83" s="93"/>
      <c r="CT83" s="93"/>
      <c r="CU83" s="93"/>
      <c r="CV83" s="93"/>
      <c r="CW83" s="93"/>
      <c r="CX83" s="93"/>
      <c r="CY83" s="93"/>
      <c r="CZ83" s="93"/>
      <c r="DA83" s="93"/>
      <c r="DB83" s="93"/>
      <c r="DC83" s="94"/>
      <c r="DD83" s="120"/>
      <c r="DE83" s="120"/>
      <c r="DF83" s="120"/>
      <c r="DG83" s="120"/>
      <c r="DH83" s="120"/>
      <c r="DI83" s="120"/>
      <c r="DJ83" s="120"/>
      <c r="DK83" s="120"/>
      <c r="DL83" s="120"/>
      <c r="DM83" s="120"/>
      <c r="DN83" s="120"/>
      <c r="DO83" s="120"/>
      <c r="DP83" s="120"/>
      <c r="DQ83" s="120"/>
      <c r="DR83" s="120"/>
      <c r="DS83" s="120"/>
      <c r="DT83" s="120"/>
      <c r="DU83" s="19"/>
      <c r="DV83" s="19"/>
      <c r="DW83" s="19"/>
      <c r="DX83" s="19"/>
      <c r="DY83" s="19"/>
      <c r="DZ83" s="19"/>
    </row>
    <row r="84" spans="1:130" ht="12.75" x14ac:dyDescent="0.2">
      <c r="A84" s="647"/>
      <c r="B84" s="694">
        <v>46070</v>
      </c>
      <c r="C84" s="53"/>
      <c r="D84" s="53"/>
      <c r="E84" s="53"/>
      <c r="F84" s="53"/>
      <c r="G84" s="53"/>
      <c r="H84" s="690"/>
      <c r="I84" s="53">
        <f t="shared" si="78"/>
        <v>0</v>
      </c>
      <c r="J84" s="691">
        <f>SUM(I84:I87,H84)</f>
        <v>0</v>
      </c>
      <c r="K84" s="53"/>
      <c r="L84" s="53"/>
      <c r="M84" s="690"/>
      <c r="N84" s="690"/>
      <c r="O84" s="689">
        <f>SUM(M84:N87)</f>
        <v>0</v>
      </c>
      <c r="P84" s="690">
        <v>5</v>
      </c>
      <c r="Q84" s="690">
        <f>M84*60</f>
        <v>0</v>
      </c>
      <c r="R84" s="692">
        <f>IF(
   COUNTIF(K84:K87,"SI")&gt;0,
   1.8,
   IF(
      COUNTIF(L84:L87,"SI")&gt;0,
      1.6,
      2
   )
)</f>
        <v>2</v>
      </c>
      <c r="S84" s="700">
        <f>IF(Q84=0,0,J84/Q84)</f>
        <v>0</v>
      </c>
      <c r="T84" s="694">
        <v>46070</v>
      </c>
      <c r="U84" s="53">
        <v>106</v>
      </c>
      <c r="V84" s="53">
        <v>773</v>
      </c>
      <c r="W84" s="53">
        <v>502</v>
      </c>
      <c r="X84" s="53">
        <v>1000</v>
      </c>
      <c r="Y84" s="53">
        <v>0</v>
      </c>
      <c r="Z84" s="690">
        <v>0</v>
      </c>
      <c r="AA84" s="53">
        <f t="shared" si="79"/>
        <v>498</v>
      </c>
      <c r="AB84" s="691">
        <f>SUM(AA84:AA85)</f>
        <v>684</v>
      </c>
      <c r="AC84" s="53" t="s">
        <v>51</v>
      </c>
      <c r="AD84" s="53" t="s">
        <v>51</v>
      </c>
      <c r="AE84" s="690">
        <v>5.5</v>
      </c>
      <c r="AF84" s="690">
        <v>2.5</v>
      </c>
      <c r="AG84" s="689">
        <f>SUM(AE84:AF87)</f>
        <v>8</v>
      </c>
      <c r="AH84" s="690">
        <v>0</v>
      </c>
      <c r="AI84" s="690">
        <f>AE84*60</f>
        <v>330</v>
      </c>
      <c r="AJ84" s="692">
        <f>IF(
   COUNTIF(AC84:AC87,"SI")&gt;0,
   1.8,
   IF(
      COUNTIF(AD84:AD87,"SI")&gt;0,
      1.6,
      2
   )
)</f>
        <v>1.8</v>
      </c>
      <c r="AK84" s="693">
        <f>SUM(AA84:AA85)/AI84</f>
        <v>2.0727272727272728</v>
      </c>
      <c r="AL84" s="694">
        <v>46070</v>
      </c>
      <c r="AM84" s="53"/>
      <c r="AN84" s="53"/>
      <c r="AO84" s="53"/>
      <c r="AP84" s="53"/>
      <c r="AQ84" s="53"/>
      <c r="AR84" s="690"/>
      <c r="AS84" s="53"/>
      <c r="AT84" s="691"/>
      <c r="AU84" s="690"/>
      <c r="AV84" s="690"/>
      <c r="AW84" s="53"/>
      <c r="AX84" s="690"/>
      <c r="AY84" s="689">
        <f>SUM(AV84:AX87)</f>
        <v>0</v>
      </c>
      <c r="AZ84" s="690">
        <v>0.3</v>
      </c>
      <c r="BA84" s="690">
        <f t="shared" si="80"/>
        <v>0</v>
      </c>
      <c r="BB84" s="692">
        <f>IF(
   COUNTIF(AU84:AU87,"SI")&gt;0,
   1.8,
   IF(
      COUNTIF(AV84:AV87,"SI")&gt;0,
      1.6,
      2
   )
)</f>
        <v>2</v>
      </c>
      <c r="BC84" s="698">
        <f t="shared" si="81"/>
        <v>0</v>
      </c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662"/>
      <c r="BW84" s="118"/>
      <c r="BX84" s="120"/>
      <c r="BY84" s="120"/>
      <c r="BZ84" s="120"/>
      <c r="CA84" s="120"/>
      <c r="CB84" s="120"/>
      <c r="CC84" s="120"/>
      <c r="CD84" s="120"/>
      <c r="CE84" s="120"/>
      <c r="CF84" s="120"/>
      <c r="CG84" s="120"/>
      <c r="CH84" s="120"/>
      <c r="CI84" s="120"/>
      <c r="CJ84" s="120"/>
      <c r="CK84" s="120"/>
      <c r="CL84" s="120"/>
      <c r="CM84" s="120"/>
      <c r="CN84" s="92"/>
      <c r="CO84" s="93"/>
      <c r="CP84" s="93"/>
      <c r="CQ84" s="93"/>
      <c r="CR84" s="93"/>
      <c r="CS84" s="93"/>
      <c r="CT84" s="93"/>
      <c r="CU84" s="93"/>
      <c r="CV84" s="93"/>
      <c r="CW84" s="93"/>
      <c r="CX84" s="93"/>
      <c r="CY84" s="93"/>
      <c r="CZ84" s="93"/>
      <c r="DA84" s="93"/>
      <c r="DB84" s="93"/>
      <c r="DC84" s="94"/>
      <c r="DD84" s="120"/>
      <c r="DE84" s="120"/>
      <c r="DF84" s="120"/>
      <c r="DG84" s="120"/>
      <c r="DH84" s="120"/>
      <c r="DI84" s="120"/>
      <c r="DJ84" s="120"/>
      <c r="DK84" s="120"/>
      <c r="DL84" s="120"/>
      <c r="DM84" s="120"/>
      <c r="DN84" s="120"/>
      <c r="DO84" s="120"/>
      <c r="DP84" s="120"/>
      <c r="DQ84" s="120"/>
      <c r="DR84" s="120"/>
      <c r="DS84" s="120"/>
      <c r="DT84" s="120"/>
      <c r="DU84" s="19"/>
      <c r="DV84" s="19"/>
      <c r="DW84" s="19"/>
      <c r="DX84" s="19"/>
      <c r="DY84" s="19"/>
      <c r="DZ84" s="19"/>
    </row>
    <row r="85" spans="1:130" ht="12.75" x14ac:dyDescent="0.2">
      <c r="A85" s="647"/>
      <c r="B85" s="647"/>
      <c r="C85" s="53"/>
      <c r="D85" s="53"/>
      <c r="E85" s="53"/>
      <c r="F85" s="53"/>
      <c r="G85" s="53"/>
      <c r="H85" s="634"/>
      <c r="I85" s="53">
        <f t="shared" si="78"/>
        <v>0</v>
      </c>
      <c r="J85" s="634"/>
      <c r="K85" s="53"/>
      <c r="L85" s="53"/>
      <c r="M85" s="634"/>
      <c r="N85" s="634"/>
      <c r="O85" s="634"/>
      <c r="P85" s="634"/>
      <c r="Q85" s="634"/>
      <c r="R85" s="634"/>
      <c r="S85" s="659"/>
      <c r="T85" s="647"/>
      <c r="U85" s="53">
        <v>40</v>
      </c>
      <c r="V85" s="53">
        <v>774</v>
      </c>
      <c r="W85" s="53">
        <v>1001</v>
      </c>
      <c r="X85" s="53">
        <v>1187</v>
      </c>
      <c r="Y85" s="53">
        <v>0</v>
      </c>
      <c r="Z85" s="634"/>
      <c r="AA85" s="53">
        <f t="shared" si="79"/>
        <v>186</v>
      </c>
      <c r="AB85" s="634"/>
      <c r="AC85" s="49" t="s">
        <v>51</v>
      </c>
      <c r="AD85" s="53" t="s">
        <v>51</v>
      </c>
      <c r="AE85" s="634"/>
      <c r="AF85" s="634"/>
      <c r="AG85" s="634"/>
      <c r="AH85" s="634"/>
      <c r="AI85" s="634"/>
      <c r="AJ85" s="634"/>
      <c r="AK85" s="659"/>
      <c r="AL85" s="647"/>
      <c r="AM85" s="53"/>
      <c r="AN85" s="53"/>
      <c r="AO85" s="53"/>
      <c r="AP85" s="53"/>
      <c r="AQ85" s="53"/>
      <c r="AR85" s="634"/>
      <c r="AS85" s="53"/>
      <c r="AT85" s="634"/>
      <c r="AU85" s="634"/>
      <c r="AV85" s="634"/>
      <c r="AW85" s="53"/>
      <c r="AX85" s="634"/>
      <c r="AY85" s="634"/>
      <c r="AZ85" s="634"/>
      <c r="BA85" s="634"/>
      <c r="BB85" s="634"/>
      <c r="BC85" s="634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 s="120"/>
      <c r="CH85" s="120"/>
      <c r="CI85" s="120"/>
      <c r="CJ85" s="120"/>
      <c r="CK85" s="120"/>
      <c r="CL85" s="120"/>
      <c r="CM85" s="120"/>
      <c r="CN85" s="92"/>
      <c r="CO85" s="93"/>
      <c r="CP85" s="93"/>
      <c r="CQ85" s="93"/>
      <c r="CR85" s="93"/>
      <c r="CS85" s="93"/>
      <c r="CT85" s="93"/>
      <c r="CU85" s="93"/>
      <c r="CV85" s="93"/>
      <c r="CW85" s="93"/>
      <c r="CX85" s="93"/>
      <c r="CY85" s="93"/>
      <c r="CZ85" s="93"/>
      <c r="DA85" s="93"/>
      <c r="DB85" s="93"/>
      <c r="DC85" s="94"/>
      <c r="DD85" s="120"/>
      <c r="DE85" s="120"/>
      <c r="DF85" s="120"/>
      <c r="DG85" s="120"/>
      <c r="DH85" s="120"/>
      <c r="DI85" s="120"/>
      <c r="DJ85" s="120"/>
      <c r="DK85" s="120"/>
      <c r="DL85" s="120"/>
      <c r="DM85" s="120"/>
      <c r="DN85" s="120"/>
      <c r="DO85" s="120"/>
      <c r="DP85" s="120"/>
      <c r="DQ85" s="120"/>
      <c r="DR85" s="120"/>
      <c r="DS85" s="120"/>
      <c r="DT85" s="120"/>
      <c r="DU85" s="19"/>
      <c r="DV85" s="19"/>
      <c r="DW85" s="19"/>
      <c r="DX85" s="19"/>
      <c r="DY85" s="19"/>
      <c r="DZ85" s="19"/>
    </row>
    <row r="86" spans="1:130" ht="12.75" x14ac:dyDescent="0.2">
      <c r="A86" s="647"/>
      <c r="B86" s="647"/>
      <c r="C86" s="53"/>
      <c r="D86" s="53"/>
      <c r="E86" s="53"/>
      <c r="F86" s="53"/>
      <c r="G86" s="53"/>
      <c r="H86" s="634"/>
      <c r="I86" s="53">
        <f t="shared" si="78"/>
        <v>0</v>
      </c>
      <c r="J86" s="634"/>
      <c r="K86" s="53"/>
      <c r="L86" s="53"/>
      <c r="M86" s="634"/>
      <c r="N86" s="634"/>
      <c r="O86" s="634"/>
      <c r="P86" s="634"/>
      <c r="Q86" s="634"/>
      <c r="R86" s="634"/>
      <c r="S86" s="659"/>
      <c r="T86" s="647"/>
      <c r="U86" s="53"/>
      <c r="V86" s="53"/>
      <c r="W86" s="53"/>
      <c r="X86" s="53"/>
      <c r="Y86" s="53"/>
      <c r="Z86" s="634"/>
      <c r="AA86" s="53">
        <f t="shared" si="79"/>
        <v>0</v>
      </c>
      <c r="AB86" s="691">
        <f>SUM(AA86:AA87)</f>
        <v>0</v>
      </c>
      <c r="AC86" s="53"/>
      <c r="AD86" s="53"/>
      <c r="AE86" s="690"/>
      <c r="AF86" s="634"/>
      <c r="AG86" s="634"/>
      <c r="AH86" s="634"/>
      <c r="AI86" s="690">
        <f>AE86*60</f>
        <v>0</v>
      </c>
      <c r="AJ86" s="634"/>
      <c r="AK86" s="693" t="e">
        <f>SUM(AA86:AA87)/AI86</f>
        <v>#DIV/0!</v>
      </c>
      <c r="AL86" s="647"/>
      <c r="AM86" s="53"/>
      <c r="AN86" s="53"/>
      <c r="AO86" s="53"/>
      <c r="AP86" s="53"/>
      <c r="AQ86" s="53"/>
      <c r="AR86" s="634"/>
      <c r="AS86" s="53"/>
      <c r="AT86" s="635"/>
      <c r="AU86" s="635"/>
      <c r="AV86" s="635"/>
      <c r="AW86" s="53"/>
      <c r="AX86" s="634"/>
      <c r="AY86" s="634"/>
      <c r="AZ86" s="634"/>
      <c r="BA86" s="634"/>
      <c r="BB86" s="634"/>
      <c r="BC86" s="635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92"/>
      <c r="CO86" s="93"/>
      <c r="CP86" s="93"/>
      <c r="CQ86" s="93"/>
      <c r="CR86" s="93"/>
      <c r="CS86" s="93"/>
      <c r="CT86" s="93"/>
      <c r="CU86" s="93"/>
      <c r="CV86" s="93"/>
      <c r="CW86" s="93"/>
      <c r="CX86" s="93"/>
      <c r="CY86" s="93"/>
      <c r="CZ86" s="93"/>
      <c r="DA86" s="93"/>
      <c r="DB86" s="93"/>
      <c r="DC86" s="94"/>
      <c r="DD86" s="120"/>
      <c r="DE86" s="120"/>
      <c r="DF86" s="120"/>
      <c r="DG86" s="120"/>
      <c r="DH86" s="120"/>
      <c r="DI86" s="120"/>
      <c r="DJ86" s="120"/>
      <c r="DK86" s="120"/>
      <c r="DL86" s="120"/>
      <c r="DM86" s="120"/>
      <c r="DN86" s="120"/>
      <c r="DO86" s="120"/>
      <c r="DP86" s="120"/>
      <c r="DQ86" s="120"/>
      <c r="DR86" s="120"/>
      <c r="DS86" s="120"/>
      <c r="DT86" s="120"/>
      <c r="DU86" s="19"/>
      <c r="DV86" s="19"/>
      <c r="DW86" s="19"/>
      <c r="DX86" s="19"/>
      <c r="DY86" s="19"/>
      <c r="DZ86" s="19"/>
    </row>
    <row r="87" spans="1:130" ht="12.75" x14ac:dyDescent="0.2">
      <c r="A87" s="647"/>
      <c r="B87" s="648"/>
      <c r="C87" s="53"/>
      <c r="D87" s="53"/>
      <c r="E87" s="53"/>
      <c r="F87" s="53"/>
      <c r="G87" s="53"/>
      <c r="H87" s="635"/>
      <c r="I87" s="53">
        <f t="shared" si="78"/>
        <v>0</v>
      </c>
      <c r="J87" s="635"/>
      <c r="K87" s="53"/>
      <c r="L87" s="53"/>
      <c r="M87" s="635"/>
      <c r="N87" s="635"/>
      <c r="O87" s="635"/>
      <c r="P87" s="635"/>
      <c r="Q87" s="635"/>
      <c r="R87" s="635"/>
      <c r="S87" s="660"/>
      <c r="T87" s="648"/>
      <c r="U87" s="53"/>
      <c r="V87" s="53"/>
      <c r="W87" s="53"/>
      <c r="X87" s="53"/>
      <c r="Y87" s="53"/>
      <c r="Z87" s="635"/>
      <c r="AA87" s="53">
        <f t="shared" si="79"/>
        <v>0</v>
      </c>
      <c r="AB87" s="634"/>
      <c r="AC87" s="53"/>
      <c r="AD87" s="53"/>
      <c r="AE87" s="634"/>
      <c r="AF87" s="635"/>
      <c r="AG87" s="635"/>
      <c r="AH87" s="635"/>
      <c r="AI87" s="634"/>
      <c r="AJ87" s="635"/>
      <c r="AK87" s="659"/>
      <c r="AL87" s="648"/>
      <c r="AM87" s="53"/>
      <c r="AN87" s="53"/>
      <c r="AO87" s="53"/>
      <c r="AP87" s="53"/>
      <c r="AQ87" s="53"/>
      <c r="AR87" s="635"/>
      <c r="AS87" s="53"/>
      <c r="AT87" s="98"/>
      <c r="AU87" s="53"/>
      <c r="AV87" s="56"/>
      <c r="AW87" s="56"/>
      <c r="AX87" s="635"/>
      <c r="AY87" s="635"/>
      <c r="AZ87" s="635"/>
      <c r="BA87" s="56"/>
      <c r="BB87" s="635"/>
      <c r="BC87" s="124"/>
      <c r="BD87" s="121"/>
      <c r="BE87" s="661"/>
      <c r="BF87" s="662"/>
      <c r="BG87" s="662"/>
      <c r="BH87" s="662"/>
      <c r="BI87" s="662"/>
      <c r="BJ87" s="662"/>
      <c r="BK87" s="662"/>
      <c r="BL87" s="662"/>
      <c r="BM87" s="662"/>
      <c r="BN87" s="662"/>
      <c r="BO87" s="662"/>
      <c r="BP87" s="662"/>
      <c r="BQ87" s="662"/>
      <c r="BR87" s="662"/>
      <c r="BS87" s="662"/>
      <c r="BT87" s="662"/>
      <c r="BU87" s="662"/>
      <c r="BV87" s="662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20"/>
      <c r="CK87" s="120"/>
      <c r="CL87" s="120"/>
      <c r="CM87" s="120"/>
      <c r="CN87" s="92"/>
      <c r="CO87" s="93"/>
      <c r="CP87" s="93"/>
      <c r="CQ87" s="93"/>
      <c r="CR87" s="93"/>
      <c r="CS87" s="93"/>
      <c r="CT87" s="93"/>
      <c r="CU87" s="93"/>
      <c r="CV87" s="93"/>
      <c r="CW87" s="93"/>
      <c r="CX87" s="93"/>
      <c r="CY87" s="93"/>
      <c r="CZ87" s="93"/>
      <c r="DA87" s="93"/>
      <c r="DB87" s="93"/>
      <c r="DC87" s="94"/>
      <c r="DD87" s="120"/>
      <c r="DE87" s="120"/>
      <c r="DF87" s="120"/>
      <c r="DG87" s="120"/>
      <c r="DH87" s="120"/>
      <c r="DI87" s="120"/>
      <c r="DJ87" s="120"/>
      <c r="DK87" s="120"/>
      <c r="DL87" s="120"/>
      <c r="DM87" s="120"/>
      <c r="DN87" s="120"/>
      <c r="DO87" s="120"/>
      <c r="DP87" s="120"/>
      <c r="DQ87" s="120"/>
      <c r="DR87" s="120"/>
      <c r="DS87" s="120"/>
      <c r="DT87" s="120"/>
      <c r="DU87" s="19"/>
      <c r="DV87" s="19"/>
      <c r="DW87" s="19"/>
      <c r="DX87" s="19"/>
      <c r="DY87" s="19"/>
      <c r="DZ87" s="19"/>
    </row>
    <row r="88" spans="1:130" ht="12.75" x14ac:dyDescent="0.2">
      <c r="A88" s="647"/>
      <c r="B88" s="695">
        <v>46071</v>
      </c>
      <c r="C88" s="23"/>
      <c r="D88" s="23"/>
      <c r="E88" s="23"/>
      <c r="F88" s="23"/>
      <c r="G88" s="23"/>
      <c r="H88" s="688"/>
      <c r="I88" s="23">
        <f t="shared" si="78"/>
        <v>0</v>
      </c>
      <c r="J88" s="691">
        <f>SUM(I88:I91,H88)</f>
        <v>0</v>
      </c>
      <c r="K88" s="23"/>
      <c r="L88" s="23"/>
      <c r="M88" s="688"/>
      <c r="N88" s="688"/>
      <c r="O88" s="712">
        <f>SUM(M88:N91)</f>
        <v>0</v>
      </c>
      <c r="P88" s="688">
        <v>5</v>
      </c>
      <c r="Q88" s="696">
        <f>M88*60</f>
        <v>0</v>
      </c>
      <c r="R88" s="692">
        <f>IF(
   COUNTIF(K88:K91,"SI")&gt;0,
   1.8,
   IF(
      COUNTIF(L88:L91,"SI")&gt;0,
      1.6,
      2
   )
)</f>
        <v>2</v>
      </c>
      <c r="S88" s="693">
        <f>IF(Q88=0,0,J88/Q88)</f>
        <v>0</v>
      </c>
      <c r="T88" s="695">
        <v>46071</v>
      </c>
      <c r="U88" s="23">
        <v>79</v>
      </c>
      <c r="V88" s="23">
        <v>774</v>
      </c>
      <c r="W88" s="23">
        <v>1187</v>
      </c>
      <c r="X88" s="23">
        <v>1502</v>
      </c>
      <c r="Y88" s="23">
        <v>0</v>
      </c>
      <c r="Z88" s="688">
        <v>0</v>
      </c>
      <c r="AA88" s="23">
        <f t="shared" si="79"/>
        <v>315</v>
      </c>
      <c r="AB88" s="691">
        <f>SUM(AA88:AA91,Z88)</f>
        <v>816</v>
      </c>
      <c r="AC88" s="23"/>
      <c r="AD88" s="23"/>
      <c r="AE88" s="688">
        <v>6.5</v>
      </c>
      <c r="AF88" s="688">
        <v>1.5</v>
      </c>
      <c r="AG88" s="689">
        <f>SUM(AE88:AF91)</f>
        <v>8</v>
      </c>
      <c r="AH88" s="688">
        <v>0</v>
      </c>
      <c r="AI88" s="688">
        <f>AE88*60</f>
        <v>390</v>
      </c>
      <c r="AJ88" s="692">
        <f>IF(
   COUNTIF(AC88:AC91,"SI")&gt;0,
   1.8,
   IF(
      COUNTIF(AD88:AD91,"SI")&gt;0,
      1.6,
      2
   )
)</f>
        <v>2</v>
      </c>
      <c r="AK88" s="693">
        <f>SUM(AA88:AA89)/AI88</f>
        <v>2.0923076923076924</v>
      </c>
      <c r="AL88" s="695">
        <v>46071</v>
      </c>
      <c r="AM88" s="23"/>
      <c r="AN88" s="53"/>
      <c r="AO88" s="53"/>
      <c r="AP88" s="53"/>
      <c r="AQ88" s="53"/>
      <c r="AR88" s="690"/>
      <c r="AS88" s="53">
        <f t="shared" ref="AS88:AS91" si="82">AP88-AO88-AQ88</f>
        <v>0</v>
      </c>
      <c r="AT88" s="691">
        <f>SUM(AS88:AS90,AR88)</f>
        <v>0</v>
      </c>
      <c r="AU88" s="690"/>
      <c r="AV88" s="690"/>
      <c r="AW88" s="53"/>
      <c r="AX88" s="690"/>
      <c r="AY88" s="689">
        <f>SUM(AV88:AX91)</f>
        <v>0</v>
      </c>
      <c r="AZ88" s="688">
        <v>0.25</v>
      </c>
      <c r="BA88" s="688">
        <f>AV88*60</f>
        <v>0</v>
      </c>
      <c r="BB88" s="692">
        <f>IF(
   COUNTIF(AU88:AU91,"SI")&gt;0,
   1.8,
   IF(
      COUNTIF(AV88:AV91,"SI")&gt;0,
      1.6,
      2
   )
)</f>
        <v>2</v>
      </c>
      <c r="BC88" s="697">
        <f>IF(BA88=0,0,AT88/BA88)</f>
        <v>0</v>
      </c>
      <c r="BD88" s="120"/>
      <c r="BE88" s="116"/>
      <c r="BF88" s="663"/>
      <c r="BG88" s="662"/>
      <c r="BH88" s="662"/>
      <c r="BI88" s="662"/>
      <c r="BJ88" s="662"/>
      <c r="BK88" s="662"/>
      <c r="BL88" s="662"/>
      <c r="BM88" s="662"/>
      <c r="BN88" s="662"/>
      <c r="BO88" s="662"/>
      <c r="BP88" s="662"/>
      <c r="BQ88" s="662"/>
      <c r="BR88" s="662"/>
      <c r="BS88" s="662"/>
      <c r="BT88" s="662"/>
      <c r="BU88" s="662"/>
      <c r="BV88" s="662"/>
      <c r="BW88" s="116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92"/>
      <c r="CO88" s="93"/>
      <c r="CP88" s="93"/>
      <c r="CQ88" s="93"/>
      <c r="CR88" s="93"/>
      <c r="CS88" s="93"/>
      <c r="CT88" s="93"/>
      <c r="CU88" s="93"/>
      <c r="CV88" s="93"/>
      <c r="CW88" s="93"/>
      <c r="CX88" s="93"/>
      <c r="CY88" s="93"/>
      <c r="CZ88" s="93"/>
      <c r="DA88" s="93"/>
      <c r="DB88" s="93"/>
      <c r="DC88" s="94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9"/>
      <c r="DV88" s="19"/>
      <c r="DW88" s="19"/>
      <c r="DX88" s="19"/>
      <c r="DY88" s="19"/>
      <c r="DZ88" s="19"/>
    </row>
    <row r="89" spans="1:130" ht="12.75" x14ac:dyDescent="0.2">
      <c r="A89" s="647"/>
      <c r="B89" s="647"/>
      <c r="C89" s="23"/>
      <c r="D89" s="23"/>
      <c r="E89" s="23"/>
      <c r="F89" s="23"/>
      <c r="G89" s="23"/>
      <c r="H89" s="634"/>
      <c r="I89" s="23">
        <f t="shared" si="78"/>
        <v>0</v>
      </c>
      <c r="J89" s="634"/>
      <c r="K89" s="23"/>
      <c r="L89" s="23"/>
      <c r="M89" s="634"/>
      <c r="N89" s="634"/>
      <c r="O89" s="634"/>
      <c r="P89" s="634"/>
      <c r="Q89" s="634"/>
      <c r="R89" s="634"/>
      <c r="S89" s="659"/>
      <c r="T89" s="647"/>
      <c r="U89" s="23">
        <v>108</v>
      </c>
      <c r="V89" s="23">
        <v>775</v>
      </c>
      <c r="W89" s="23">
        <v>1502</v>
      </c>
      <c r="X89" s="23">
        <v>2003</v>
      </c>
      <c r="Y89" s="23">
        <v>0</v>
      </c>
      <c r="Z89" s="634"/>
      <c r="AA89" s="23">
        <f t="shared" si="79"/>
        <v>501</v>
      </c>
      <c r="AB89" s="634"/>
      <c r="AC89" s="23"/>
      <c r="AD89" s="23"/>
      <c r="AE89" s="634"/>
      <c r="AF89" s="634"/>
      <c r="AG89" s="634"/>
      <c r="AH89" s="634"/>
      <c r="AI89" s="634"/>
      <c r="AJ89" s="634"/>
      <c r="AK89" s="659"/>
      <c r="AL89" s="647"/>
      <c r="AM89" s="23"/>
      <c r="AN89" s="53"/>
      <c r="AO89" s="53"/>
      <c r="AP89" s="53"/>
      <c r="AQ89" s="53"/>
      <c r="AR89" s="634"/>
      <c r="AS89" s="53">
        <f t="shared" si="82"/>
        <v>0</v>
      </c>
      <c r="AT89" s="634"/>
      <c r="AU89" s="634"/>
      <c r="AV89" s="634"/>
      <c r="AW89" s="53"/>
      <c r="AX89" s="634"/>
      <c r="AY89" s="634"/>
      <c r="AZ89" s="634"/>
      <c r="BA89" s="634"/>
      <c r="BB89" s="634"/>
      <c r="BC89" s="634"/>
      <c r="BD89" s="120"/>
      <c r="BE89" s="116"/>
      <c r="BF89" s="662"/>
      <c r="BG89" s="662"/>
      <c r="BH89" s="662"/>
      <c r="BI89" s="662"/>
      <c r="BJ89" s="662"/>
      <c r="BK89" s="662"/>
      <c r="BL89" s="662"/>
      <c r="BM89" s="662"/>
      <c r="BN89" s="662"/>
      <c r="BO89" s="662"/>
      <c r="BP89" s="662"/>
      <c r="BQ89" s="662"/>
      <c r="BR89" s="662"/>
      <c r="BS89" s="662"/>
      <c r="BT89" s="662"/>
      <c r="BU89" s="662"/>
      <c r="BV89" s="662"/>
      <c r="BW89" s="116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92"/>
      <c r="CO89" s="93"/>
      <c r="CP89" s="93"/>
      <c r="CQ89" s="93"/>
      <c r="CR89" s="93"/>
      <c r="CS89" s="93"/>
      <c r="CT89" s="93"/>
      <c r="CU89" s="93"/>
      <c r="CV89" s="93"/>
      <c r="CW89" s="93"/>
      <c r="CX89" s="93"/>
      <c r="CY89" s="93"/>
      <c r="CZ89" s="93"/>
      <c r="DA89" s="93"/>
      <c r="DB89" s="93"/>
      <c r="DC89" s="94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9"/>
      <c r="DV89" s="19"/>
      <c r="DW89" s="19"/>
      <c r="DX89" s="19"/>
      <c r="DY89" s="19"/>
      <c r="DZ89" s="19"/>
    </row>
    <row r="90" spans="1:130" ht="12.75" x14ac:dyDescent="0.2">
      <c r="A90" s="647"/>
      <c r="B90" s="647"/>
      <c r="C90" s="23"/>
      <c r="D90" s="23"/>
      <c r="E90" s="23"/>
      <c r="F90" s="23"/>
      <c r="G90" s="23"/>
      <c r="H90" s="634"/>
      <c r="I90" s="23">
        <f t="shared" si="78"/>
        <v>0</v>
      </c>
      <c r="J90" s="634"/>
      <c r="K90" s="23"/>
      <c r="L90" s="23"/>
      <c r="M90" s="634"/>
      <c r="N90" s="634"/>
      <c r="O90" s="634"/>
      <c r="P90" s="634"/>
      <c r="Q90" s="634"/>
      <c r="R90" s="634"/>
      <c r="S90" s="659"/>
      <c r="T90" s="647"/>
      <c r="U90" s="23"/>
      <c r="V90" s="23"/>
      <c r="W90" s="23"/>
      <c r="X90" s="23"/>
      <c r="Y90" s="23"/>
      <c r="Z90" s="634"/>
      <c r="AA90" s="23">
        <f t="shared" si="79"/>
        <v>0</v>
      </c>
      <c r="AB90" s="634"/>
      <c r="AC90" s="23"/>
      <c r="AD90" s="23"/>
      <c r="AE90" s="696"/>
      <c r="AF90" s="634"/>
      <c r="AG90" s="634"/>
      <c r="AH90" s="634"/>
      <c r="AI90" s="696">
        <f>AE90*60</f>
        <v>0</v>
      </c>
      <c r="AJ90" s="634"/>
      <c r="AK90" s="797" t="e">
        <f>SUM(AA90:AA91)/AI90</f>
        <v>#DIV/0!</v>
      </c>
      <c r="AL90" s="647"/>
      <c r="AM90" s="23"/>
      <c r="AN90" s="53"/>
      <c r="AO90" s="53"/>
      <c r="AP90" s="53"/>
      <c r="AQ90" s="53"/>
      <c r="AR90" s="634"/>
      <c r="AS90" s="53">
        <f t="shared" si="82"/>
        <v>0</v>
      </c>
      <c r="AT90" s="635"/>
      <c r="AU90" s="635"/>
      <c r="AV90" s="635"/>
      <c r="AW90" s="53"/>
      <c r="AX90" s="634"/>
      <c r="AY90" s="634"/>
      <c r="AZ90" s="634"/>
      <c r="BA90" s="634"/>
      <c r="BB90" s="634"/>
      <c r="BC90" s="634"/>
      <c r="BD90" s="120"/>
      <c r="BE90" s="116"/>
      <c r="BF90" s="662"/>
      <c r="BG90" s="662"/>
      <c r="BH90" s="662"/>
      <c r="BI90" s="662"/>
      <c r="BJ90" s="662"/>
      <c r="BK90" s="662"/>
      <c r="BL90" s="662"/>
      <c r="BM90" s="662"/>
      <c r="BN90" s="662"/>
      <c r="BO90" s="662"/>
      <c r="BP90" s="662"/>
      <c r="BQ90" s="662"/>
      <c r="BR90" s="662"/>
      <c r="BS90" s="662"/>
      <c r="BT90" s="662"/>
      <c r="BU90" s="662"/>
      <c r="BV90" s="662"/>
      <c r="BW90" s="116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92"/>
      <c r="CO90" s="93"/>
      <c r="CP90" s="93"/>
      <c r="CQ90" s="93"/>
      <c r="CR90" s="93"/>
      <c r="CS90" s="93"/>
      <c r="CT90" s="93"/>
      <c r="CU90" s="93"/>
      <c r="CV90" s="93"/>
      <c r="CW90" s="93"/>
      <c r="CX90" s="93"/>
      <c r="CY90" s="93"/>
      <c r="CZ90" s="93"/>
      <c r="DA90" s="93"/>
      <c r="DB90" s="93"/>
      <c r="DC90" s="94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9"/>
      <c r="DV90" s="19"/>
      <c r="DW90" s="19"/>
      <c r="DX90" s="19"/>
      <c r="DY90" s="19"/>
      <c r="DZ90" s="19"/>
    </row>
    <row r="91" spans="1:130" ht="12.75" x14ac:dyDescent="0.2">
      <c r="A91" s="647"/>
      <c r="B91" s="648"/>
      <c r="C91" s="23"/>
      <c r="D91" s="23"/>
      <c r="E91" s="23"/>
      <c r="F91" s="23"/>
      <c r="G91" s="23"/>
      <c r="H91" s="635"/>
      <c r="I91" s="23">
        <f t="shared" si="78"/>
        <v>0</v>
      </c>
      <c r="J91" s="635"/>
      <c r="K91" s="23"/>
      <c r="L91" s="23"/>
      <c r="M91" s="635"/>
      <c r="N91" s="635"/>
      <c r="O91" s="635"/>
      <c r="P91" s="635"/>
      <c r="Q91" s="635"/>
      <c r="R91" s="635"/>
      <c r="S91" s="660"/>
      <c r="T91" s="648"/>
      <c r="U91" s="23"/>
      <c r="V91" s="23"/>
      <c r="W91" s="23"/>
      <c r="X91" s="23"/>
      <c r="Y91" s="23"/>
      <c r="Z91" s="635"/>
      <c r="AA91" s="23">
        <f t="shared" si="79"/>
        <v>0</v>
      </c>
      <c r="AB91" s="635"/>
      <c r="AC91" s="23"/>
      <c r="AD91" s="23"/>
      <c r="AE91" s="635"/>
      <c r="AF91" s="635"/>
      <c r="AG91" s="635"/>
      <c r="AH91" s="635"/>
      <c r="AI91" s="635"/>
      <c r="AJ91" s="635"/>
      <c r="AK91" s="660"/>
      <c r="AL91" s="648"/>
      <c r="AM91" s="23"/>
      <c r="AN91" s="53"/>
      <c r="AO91" s="53"/>
      <c r="AP91" s="53"/>
      <c r="AQ91" s="53"/>
      <c r="AR91" s="635"/>
      <c r="AS91" s="53">
        <f t="shared" si="82"/>
        <v>0</v>
      </c>
      <c r="AT91" s="98"/>
      <c r="AU91" s="53"/>
      <c r="AV91" s="56"/>
      <c r="AW91" s="56"/>
      <c r="AX91" s="635"/>
      <c r="AY91" s="635"/>
      <c r="AZ91" s="635"/>
      <c r="BA91" s="635"/>
      <c r="BB91" s="635"/>
      <c r="BC91" s="635"/>
      <c r="BD91" s="120"/>
      <c r="BE91" s="116"/>
      <c r="BF91" s="662"/>
      <c r="BG91" s="662"/>
      <c r="BH91" s="662"/>
      <c r="BI91" s="662"/>
      <c r="BJ91" s="662"/>
      <c r="BK91" s="662"/>
      <c r="BL91" s="662"/>
      <c r="BM91" s="662"/>
      <c r="BN91" s="662"/>
      <c r="BO91" s="662"/>
      <c r="BP91" s="662"/>
      <c r="BQ91" s="662"/>
      <c r="BR91" s="662"/>
      <c r="BS91" s="662"/>
      <c r="BT91" s="662"/>
      <c r="BU91" s="662"/>
      <c r="BV91" s="662"/>
      <c r="BW91" s="116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92"/>
      <c r="CO91" s="93"/>
      <c r="CP91" s="93"/>
      <c r="CQ91" s="93"/>
      <c r="CR91" s="93"/>
      <c r="CS91" s="93"/>
      <c r="CT91" s="93"/>
      <c r="CU91" s="93"/>
      <c r="CV91" s="93"/>
      <c r="CW91" s="93"/>
      <c r="CX91" s="93"/>
      <c r="CY91" s="93"/>
      <c r="CZ91" s="93"/>
      <c r="DA91" s="93"/>
      <c r="DB91" s="93"/>
      <c r="DC91" s="94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9"/>
      <c r="DV91" s="19"/>
      <c r="DW91" s="19"/>
      <c r="DX91" s="19"/>
      <c r="DY91" s="19"/>
      <c r="DZ91" s="19"/>
    </row>
    <row r="92" spans="1:130" ht="12.75" x14ac:dyDescent="0.2">
      <c r="A92" s="647"/>
      <c r="B92" s="694">
        <v>46072</v>
      </c>
      <c r="C92" s="53"/>
      <c r="D92" s="53"/>
      <c r="E92" s="53"/>
      <c r="F92" s="53"/>
      <c r="G92" s="91"/>
      <c r="H92" s="696"/>
      <c r="I92" s="53">
        <f t="shared" si="78"/>
        <v>0</v>
      </c>
      <c r="J92" s="691">
        <f>SUM(I92:I95,H92)</f>
        <v>0</v>
      </c>
      <c r="K92" s="53"/>
      <c r="L92" s="53"/>
      <c r="M92" s="690"/>
      <c r="N92" s="687"/>
      <c r="O92" s="689">
        <f>SUM(M92:N95)</f>
        <v>0</v>
      </c>
      <c r="P92" s="690">
        <v>6</v>
      </c>
      <c r="Q92" s="690">
        <f>M92*60</f>
        <v>0</v>
      </c>
      <c r="R92" s="692">
        <f>IF(
   COUNTIF(K92:K95,"SI")&gt;0,
   1.8,
   IF(
      COUNTIF(L92:L95,"SI")&gt;0,
      1.6,
      2
   )
)</f>
        <v>2</v>
      </c>
      <c r="S92" s="693">
        <f>IF(Q92=0,0,J92/Q92)</f>
        <v>0</v>
      </c>
      <c r="T92" s="694">
        <v>46072</v>
      </c>
      <c r="U92" s="53"/>
      <c r="V92" s="53"/>
      <c r="W92" s="53"/>
      <c r="X92" s="53"/>
      <c r="Y92" s="53"/>
      <c r="Z92" s="690"/>
      <c r="AA92" s="53">
        <f t="shared" si="79"/>
        <v>0</v>
      </c>
      <c r="AB92" s="691">
        <f>SUM(AA92:AA95,Z92)</f>
        <v>0</v>
      </c>
      <c r="AC92" s="53"/>
      <c r="AD92" s="53"/>
      <c r="AE92" s="690"/>
      <c r="AF92" s="690"/>
      <c r="AG92" s="689">
        <f>SUM(AE92:AF95)</f>
        <v>0</v>
      </c>
      <c r="AH92" s="690">
        <v>0</v>
      </c>
      <c r="AI92" s="690">
        <f>AE92*60</f>
        <v>0</v>
      </c>
      <c r="AJ92" s="692">
        <f>IF(
   COUNTIF(AC92:AC95,"SI")&gt;0,
   1.8,
   IF(
      COUNTIF(AD92:AD95,"SI")&gt;0,
      1.6,
      2
   )
)</f>
        <v>2</v>
      </c>
      <c r="AK92" s="693">
        <f>IF(AI92=0,0,AB92/AI92)</f>
        <v>0</v>
      </c>
      <c r="AL92" s="694">
        <v>46072</v>
      </c>
      <c r="AM92" s="23">
        <v>22</v>
      </c>
      <c r="AN92" s="23">
        <v>772</v>
      </c>
      <c r="AO92" s="23">
        <v>409</v>
      </c>
      <c r="AP92" s="23">
        <v>501</v>
      </c>
      <c r="AQ92" s="53"/>
      <c r="AR92" s="690">
        <v>14</v>
      </c>
      <c r="AS92" s="53">
        <f>AP92-AO92-AQ92+AR92</f>
        <v>106</v>
      </c>
      <c r="AT92" s="691">
        <f>SUM(AS92:AS95)+AR92</f>
        <v>1186</v>
      </c>
      <c r="AU92" s="690" t="s">
        <v>51</v>
      </c>
      <c r="AV92" s="690">
        <v>8</v>
      </c>
      <c r="AW92" s="53"/>
      <c r="AX92" s="690">
        <v>0.5</v>
      </c>
      <c r="AY92" s="689">
        <f>SUM(AV92:AX95)</f>
        <v>8.5</v>
      </c>
      <c r="AZ92" s="690">
        <v>0.15</v>
      </c>
      <c r="BA92" s="690">
        <f>AV92*60</f>
        <v>480</v>
      </c>
      <c r="BB92" s="692">
        <f>IF(
   COUNTIF(AU92:AU95,"SI")&gt;0,
   1.8,
   IF(
      COUNTIF(AV92:AV95,"SI")&gt;0,
      1.6,
      2
   )
)</f>
        <v>1.8</v>
      </c>
      <c r="BC92" s="698">
        <f>IF(BA92=0,0,AT92/BA92)</f>
        <v>2.4708333333333332</v>
      </c>
      <c r="BD92" s="120"/>
      <c r="BE92" s="116"/>
      <c r="BF92" s="662"/>
      <c r="BG92" s="662"/>
      <c r="BH92" s="662"/>
      <c r="BI92" s="662"/>
      <c r="BJ92" s="662"/>
      <c r="BK92" s="662"/>
      <c r="BL92" s="662"/>
      <c r="BM92" s="662"/>
      <c r="BN92" s="662"/>
      <c r="BO92" s="662"/>
      <c r="BP92" s="662"/>
      <c r="BQ92" s="662"/>
      <c r="BR92" s="662"/>
      <c r="BS92" s="662"/>
      <c r="BT92" s="662"/>
      <c r="BU92" s="662"/>
      <c r="BV92" s="662"/>
      <c r="BW92" s="116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92"/>
      <c r="CO92" s="93"/>
      <c r="CP92" s="93"/>
      <c r="CQ92" s="93"/>
      <c r="CR92" s="93"/>
      <c r="CS92" s="93"/>
      <c r="CT92" s="93"/>
      <c r="CU92" s="93"/>
      <c r="CV92" s="93"/>
      <c r="CW92" s="93"/>
      <c r="CX92" s="93"/>
      <c r="CY92" s="93"/>
      <c r="CZ92" s="93"/>
      <c r="DA92" s="93"/>
      <c r="DB92" s="93"/>
      <c r="DC92" s="94"/>
      <c r="DD92" s="118"/>
      <c r="DE92" s="118"/>
      <c r="DF92" s="118"/>
      <c r="DG92" s="118"/>
      <c r="DH92" s="118"/>
      <c r="DI92" s="118"/>
      <c r="DJ92" s="118"/>
      <c r="DK92" s="118"/>
      <c r="DL92" s="118"/>
      <c r="DM92" s="118"/>
      <c r="DN92" s="118"/>
      <c r="DO92" s="118"/>
      <c r="DP92" s="118"/>
      <c r="DQ92" s="118"/>
      <c r="DR92" s="118"/>
      <c r="DS92" s="118"/>
      <c r="DT92" s="118"/>
      <c r="DU92" s="19"/>
      <c r="DV92" s="19"/>
      <c r="DW92" s="19"/>
      <c r="DX92" s="19"/>
      <c r="DY92" s="19"/>
      <c r="DZ92" s="19"/>
    </row>
    <row r="93" spans="1:130" ht="12.75" x14ac:dyDescent="0.2">
      <c r="A93" s="647"/>
      <c r="B93" s="647"/>
      <c r="C93" s="53"/>
      <c r="D93" s="53"/>
      <c r="E93" s="53"/>
      <c r="F93" s="53"/>
      <c r="G93" s="53"/>
      <c r="H93" s="634"/>
      <c r="I93" s="53">
        <f t="shared" si="78"/>
        <v>0</v>
      </c>
      <c r="J93" s="634"/>
      <c r="K93" s="53"/>
      <c r="L93" s="53"/>
      <c r="M93" s="634"/>
      <c r="N93" s="634"/>
      <c r="O93" s="634"/>
      <c r="P93" s="634"/>
      <c r="Q93" s="634"/>
      <c r="R93" s="634"/>
      <c r="S93" s="659"/>
      <c r="T93" s="647"/>
      <c r="U93" s="53"/>
      <c r="V93" s="53"/>
      <c r="W93" s="53"/>
      <c r="X93" s="53"/>
      <c r="Y93" s="53"/>
      <c r="Z93" s="634"/>
      <c r="AA93" s="53">
        <f t="shared" si="79"/>
        <v>0</v>
      </c>
      <c r="AB93" s="634"/>
      <c r="AC93" s="53"/>
      <c r="AD93" s="53"/>
      <c r="AE93" s="634"/>
      <c r="AF93" s="634"/>
      <c r="AG93" s="634"/>
      <c r="AH93" s="634"/>
      <c r="AI93" s="634"/>
      <c r="AJ93" s="634"/>
      <c r="AK93" s="659"/>
      <c r="AL93" s="647"/>
      <c r="AM93" s="23">
        <v>123</v>
      </c>
      <c r="AN93" s="23">
        <v>776</v>
      </c>
      <c r="AO93" s="23">
        <v>2003</v>
      </c>
      <c r="AP93" s="23">
        <v>2501</v>
      </c>
      <c r="AQ93" s="53">
        <v>2</v>
      </c>
      <c r="AR93" s="634"/>
      <c r="AS93" s="53">
        <f t="shared" ref="AS93:AS95" si="83">AP93-AO93-AQ93</f>
        <v>496</v>
      </c>
      <c r="AT93" s="634"/>
      <c r="AU93" s="634"/>
      <c r="AV93" s="634"/>
      <c r="AW93" s="53"/>
      <c r="AX93" s="634"/>
      <c r="AY93" s="634"/>
      <c r="AZ93" s="634"/>
      <c r="BA93" s="634"/>
      <c r="BB93" s="634"/>
      <c r="BC93" s="634"/>
      <c r="BD93" s="120"/>
      <c r="BE93" s="116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8"/>
      <c r="BS93" s="118"/>
      <c r="BT93" s="118"/>
      <c r="BU93" s="118"/>
      <c r="BV93" s="133"/>
      <c r="BW93" s="116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8"/>
      <c r="CK93" s="118"/>
      <c r="CL93" s="118"/>
      <c r="CM93" s="118"/>
      <c r="CN93" s="92"/>
      <c r="CO93" s="93"/>
      <c r="CP93" s="93"/>
      <c r="CQ93" s="93"/>
      <c r="CR93" s="93"/>
      <c r="CS93" s="93"/>
      <c r="CT93" s="93"/>
      <c r="CU93" s="93"/>
      <c r="CV93" s="93"/>
      <c r="CW93" s="93"/>
      <c r="CX93" s="93"/>
      <c r="CY93" s="93"/>
      <c r="CZ93" s="93"/>
      <c r="DA93" s="93"/>
      <c r="DB93" s="93"/>
      <c r="DC93" s="94"/>
      <c r="DD93" s="134"/>
      <c r="DE93" s="134"/>
      <c r="DF93" s="134"/>
      <c r="DG93" s="134"/>
      <c r="DH93" s="134"/>
      <c r="DI93" s="134"/>
      <c r="DJ93" s="134"/>
      <c r="DK93" s="134"/>
      <c r="DL93" s="134"/>
      <c r="DM93" s="134"/>
      <c r="DN93" s="134"/>
      <c r="DO93" s="134"/>
      <c r="DP93" s="134"/>
      <c r="DQ93" s="134"/>
      <c r="DR93" s="134"/>
      <c r="DS93" s="134"/>
      <c r="DT93" s="134"/>
      <c r="DU93" s="19"/>
      <c r="DV93" s="19"/>
      <c r="DW93" s="19"/>
      <c r="DX93" s="19"/>
      <c r="DY93" s="19"/>
      <c r="DZ93" s="19"/>
    </row>
    <row r="94" spans="1:130" ht="12.75" x14ac:dyDescent="0.2">
      <c r="A94" s="647"/>
      <c r="B94" s="647"/>
      <c r="C94" s="53"/>
      <c r="D94" s="53"/>
      <c r="E94" s="53"/>
      <c r="F94" s="53"/>
      <c r="G94" s="53"/>
      <c r="H94" s="634"/>
      <c r="I94" s="53">
        <f t="shared" si="78"/>
        <v>0</v>
      </c>
      <c r="J94" s="634"/>
      <c r="K94" s="53"/>
      <c r="L94" s="53"/>
      <c r="M94" s="634"/>
      <c r="N94" s="634"/>
      <c r="O94" s="634"/>
      <c r="P94" s="634"/>
      <c r="Q94" s="634"/>
      <c r="R94" s="634"/>
      <c r="S94" s="659"/>
      <c r="T94" s="647"/>
      <c r="U94" s="53"/>
      <c r="V94" s="53"/>
      <c r="W94" s="53"/>
      <c r="X94" s="53"/>
      <c r="Y94" s="53"/>
      <c r="Z94" s="634"/>
      <c r="AA94" s="53">
        <f t="shared" si="79"/>
        <v>0</v>
      </c>
      <c r="AB94" s="634"/>
      <c r="AC94" s="53"/>
      <c r="AD94" s="53"/>
      <c r="AE94" s="634"/>
      <c r="AF94" s="634"/>
      <c r="AG94" s="634"/>
      <c r="AH94" s="634"/>
      <c r="AI94" s="634"/>
      <c r="AJ94" s="634"/>
      <c r="AK94" s="659"/>
      <c r="AL94" s="647"/>
      <c r="AM94" s="53">
        <v>108</v>
      </c>
      <c r="AN94" s="53">
        <v>777</v>
      </c>
      <c r="AO94" s="53">
        <v>2502</v>
      </c>
      <c r="AP94" s="53">
        <v>3002</v>
      </c>
      <c r="AQ94" s="53">
        <v>2</v>
      </c>
      <c r="AR94" s="634"/>
      <c r="AS94" s="53">
        <f t="shared" si="83"/>
        <v>498</v>
      </c>
      <c r="AT94" s="634"/>
      <c r="AU94" s="634"/>
      <c r="AV94" s="634"/>
      <c r="AW94" s="53"/>
      <c r="AX94" s="634"/>
      <c r="AY94" s="634"/>
      <c r="AZ94" s="634"/>
      <c r="BA94" s="634"/>
      <c r="BB94" s="634"/>
      <c r="BC94" s="634"/>
      <c r="BD94" s="121"/>
      <c r="BE94" s="119"/>
      <c r="BF94" s="121"/>
      <c r="BG94" s="122"/>
      <c r="BH94" s="122"/>
      <c r="BI94" s="122"/>
      <c r="BJ94" s="121"/>
      <c r="BK94" s="121"/>
      <c r="BL94" s="121"/>
      <c r="BM94" s="121"/>
      <c r="BN94" s="121"/>
      <c r="BO94" s="121"/>
      <c r="BP94" s="121"/>
      <c r="BQ94" s="19"/>
      <c r="BR94" s="19"/>
      <c r="BS94" s="123"/>
      <c r="BT94" s="123"/>
      <c r="BU94" s="121"/>
      <c r="BV94" s="121"/>
      <c r="BW94" s="119"/>
      <c r="BX94" s="121"/>
      <c r="BY94" s="122"/>
      <c r="BZ94" s="122"/>
      <c r="CA94" s="122"/>
      <c r="CB94" s="122"/>
      <c r="CC94" s="122"/>
      <c r="CD94" s="121"/>
      <c r="CE94" s="121"/>
      <c r="CF94" s="121"/>
      <c r="CG94" s="121"/>
      <c r="CH94" s="121"/>
      <c r="CI94" s="121"/>
      <c r="CJ94" s="123"/>
      <c r="CK94" s="123"/>
      <c r="CL94" s="123"/>
      <c r="CM94" s="121"/>
      <c r="CN94" s="92"/>
      <c r="CO94" s="93"/>
      <c r="CP94" s="93"/>
      <c r="CQ94" s="93"/>
      <c r="CR94" s="93"/>
      <c r="CS94" s="93"/>
      <c r="CT94" s="93"/>
      <c r="CU94" s="93"/>
      <c r="CV94" s="93"/>
      <c r="CW94" s="93"/>
      <c r="CX94" s="93"/>
      <c r="CY94" s="93"/>
      <c r="CZ94" s="93"/>
      <c r="DA94" s="93"/>
      <c r="DB94" s="93"/>
      <c r="DC94" s="94"/>
      <c r="DD94" s="134"/>
      <c r="DE94" s="134"/>
      <c r="DF94" s="134"/>
      <c r="DG94" s="134"/>
      <c r="DH94" s="134"/>
      <c r="DI94" s="134"/>
      <c r="DJ94" s="134"/>
      <c r="DK94" s="134"/>
      <c r="DL94" s="134"/>
      <c r="DM94" s="134"/>
      <c r="DN94" s="134"/>
      <c r="DO94" s="134"/>
      <c r="DP94" s="134"/>
      <c r="DQ94" s="134"/>
      <c r="DR94" s="134"/>
      <c r="DS94" s="134"/>
      <c r="DT94" s="134"/>
      <c r="DU94" s="19"/>
      <c r="DV94" s="19"/>
      <c r="DW94" s="19"/>
      <c r="DX94" s="19"/>
      <c r="DY94" s="19"/>
      <c r="DZ94" s="19"/>
    </row>
    <row r="95" spans="1:130" ht="12.75" x14ac:dyDescent="0.2">
      <c r="A95" s="647"/>
      <c r="B95" s="648"/>
      <c r="C95" s="53"/>
      <c r="D95" s="53"/>
      <c r="E95" s="53"/>
      <c r="F95" s="53"/>
      <c r="G95" s="53"/>
      <c r="H95" s="635"/>
      <c r="I95" s="53">
        <f t="shared" si="78"/>
        <v>0</v>
      </c>
      <c r="J95" s="635"/>
      <c r="K95" s="53"/>
      <c r="L95" s="53"/>
      <c r="M95" s="635"/>
      <c r="N95" s="635"/>
      <c r="O95" s="635"/>
      <c r="P95" s="635"/>
      <c r="Q95" s="635"/>
      <c r="R95" s="635"/>
      <c r="S95" s="660"/>
      <c r="T95" s="648"/>
      <c r="U95" s="53"/>
      <c r="V95" s="53"/>
      <c r="W95" s="53"/>
      <c r="X95" s="53"/>
      <c r="Y95" s="53"/>
      <c r="Z95" s="635"/>
      <c r="AA95" s="53">
        <f t="shared" si="79"/>
        <v>0</v>
      </c>
      <c r="AB95" s="635"/>
      <c r="AC95" s="53"/>
      <c r="AD95" s="53"/>
      <c r="AE95" s="635"/>
      <c r="AF95" s="635"/>
      <c r="AG95" s="635"/>
      <c r="AH95" s="635"/>
      <c r="AI95" s="635"/>
      <c r="AJ95" s="635"/>
      <c r="AK95" s="660"/>
      <c r="AL95" s="648"/>
      <c r="AM95" s="53"/>
      <c r="AN95" s="53">
        <v>778</v>
      </c>
      <c r="AO95" s="53">
        <v>3003</v>
      </c>
      <c r="AP95" s="53">
        <v>3094</v>
      </c>
      <c r="AQ95" s="53">
        <v>19</v>
      </c>
      <c r="AR95" s="635"/>
      <c r="AS95" s="53">
        <f t="shared" si="83"/>
        <v>72</v>
      </c>
      <c r="AT95" s="635"/>
      <c r="AU95" s="635"/>
      <c r="AV95" s="635"/>
      <c r="AW95" s="56"/>
      <c r="AX95" s="635"/>
      <c r="AY95" s="635"/>
      <c r="AZ95" s="635"/>
      <c r="BA95" s="634"/>
      <c r="BB95" s="635"/>
      <c r="BC95" s="635"/>
      <c r="BD95" s="120"/>
      <c r="BE95" s="116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9"/>
      <c r="BR95" s="19"/>
      <c r="BS95" s="117"/>
      <c r="BT95" s="117"/>
      <c r="BU95" s="117"/>
      <c r="BV95" s="120"/>
      <c r="BW95" s="116"/>
      <c r="BX95" s="117"/>
      <c r="BY95" s="117"/>
      <c r="BZ95" s="117"/>
      <c r="CA95" s="117"/>
      <c r="CB95" s="117"/>
      <c r="CC95" s="117"/>
      <c r="CD95" s="117"/>
      <c r="CE95" s="135"/>
      <c r="CF95" s="135"/>
      <c r="CG95" s="135"/>
      <c r="CH95" s="135"/>
      <c r="CI95" s="117"/>
      <c r="CJ95" s="117"/>
      <c r="CK95" s="117"/>
      <c r="CL95" s="117"/>
      <c r="CM95" s="117"/>
      <c r="CN95" s="92"/>
      <c r="CO95" s="93"/>
      <c r="CP95" s="93"/>
      <c r="CQ95" s="93"/>
      <c r="CR95" s="93"/>
      <c r="CS95" s="93"/>
      <c r="CT95" s="93"/>
      <c r="CU95" s="93"/>
      <c r="CV95" s="93"/>
      <c r="CW95" s="93"/>
      <c r="CX95" s="93"/>
      <c r="CY95" s="93"/>
      <c r="CZ95" s="93"/>
      <c r="DA95" s="93"/>
      <c r="DB95" s="93"/>
      <c r="DC95" s="94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6"/>
      <c r="DO95" s="136"/>
      <c r="DP95" s="136"/>
      <c r="DQ95" s="136"/>
      <c r="DR95" s="136"/>
      <c r="DS95" s="136"/>
      <c r="DT95" s="136"/>
      <c r="DU95" s="19"/>
      <c r="DV95" s="19"/>
      <c r="DW95" s="19"/>
      <c r="DX95" s="19"/>
      <c r="DY95" s="19"/>
      <c r="DZ95" s="19"/>
    </row>
    <row r="96" spans="1:130" ht="12.75" x14ac:dyDescent="0.2">
      <c r="A96" s="647"/>
      <c r="B96" s="695">
        <v>46073</v>
      </c>
      <c r="C96" s="23"/>
      <c r="D96" s="23"/>
      <c r="E96" s="23"/>
      <c r="F96" s="23"/>
      <c r="G96" s="23"/>
      <c r="H96" s="688"/>
      <c r="I96" s="23">
        <f t="shared" si="78"/>
        <v>0</v>
      </c>
      <c r="J96" s="691">
        <f>SUM(I96:I99,H96)</f>
        <v>0</v>
      </c>
      <c r="K96" s="23"/>
      <c r="L96" s="23"/>
      <c r="M96" s="690"/>
      <c r="N96" s="690"/>
      <c r="O96" s="689">
        <f>SUM(M96:N99)</f>
        <v>0</v>
      </c>
      <c r="P96" s="688">
        <v>3</v>
      </c>
      <c r="Q96" s="688">
        <f>M88*60</f>
        <v>0</v>
      </c>
      <c r="R96" s="692">
        <f>IF(
   COUNTIF(K96:K99,"SI")&gt;0,
   1.8,
   IF(
      COUNTIF(L96:L99,"SI")&gt;0,
      1.6,
      2
   )
)</f>
        <v>2</v>
      </c>
      <c r="S96" s="693">
        <f>IF(Q96=0,0,J96/Q96)</f>
        <v>0</v>
      </c>
      <c r="T96" s="695">
        <v>46073</v>
      </c>
      <c r="U96" s="23"/>
      <c r="V96" s="23">
        <v>779</v>
      </c>
      <c r="W96" s="23">
        <v>3507</v>
      </c>
      <c r="X96" s="23">
        <v>4001</v>
      </c>
      <c r="Y96" s="23">
        <v>0</v>
      </c>
      <c r="Z96" s="688">
        <v>11</v>
      </c>
      <c r="AA96" s="23">
        <f t="shared" si="79"/>
        <v>494</v>
      </c>
      <c r="AB96" s="691">
        <f>SUM(AA96:AA99,Z96)</f>
        <v>1003</v>
      </c>
      <c r="AC96" s="23" t="s">
        <v>51</v>
      </c>
      <c r="AD96" s="23" t="s">
        <v>51</v>
      </c>
      <c r="AE96" s="688">
        <v>7.5</v>
      </c>
      <c r="AF96" s="688">
        <v>1.5</v>
      </c>
      <c r="AG96" s="689">
        <f>SUM(AE96:AF99)</f>
        <v>9</v>
      </c>
      <c r="AH96" s="688">
        <v>0</v>
      </c>
      <c r="AI96" s="688">
        <f>AE96*60</f>
        <v>450</v>
      </c>
      <c r="AJ96" s="692">
        <f>IF(
   COUNTIF(AC96:AC99,"SI")&gt;0,
   1.8,
   IF(
      COUNTIF(AD96:AD99,"SI")&gt;0,
      1.6,
      2
   )
)</f>
        <v>1.8</v>
      </c>
      <c r="AK96" s="693">
        <f>IF(AI96=0,0,AB96/AI96)</f>
        <v>2.2288888888888887</v>
      </c>
      <c r="AL96" s="695">
        <v>46073</v>
      </c>
      <c r="AM96" s="23"/>
      <c r="AN96" s="23"/>
      <c r="AO96" s="23"/>
      <c r="AP96" s="49"/>
      <c r="AQ96" s="23"/>
      <c r="AR96" s="688">
        <v>117</v>
      </c>
      <c r="AS96" s="53">
        <f>AP96-AO96-AQ96+AR96</f>
        <v>117</v>
      </c>
      <c r="AT96" s="691">
        <f>SUM(AS96:AS98)</f>
        <v>117</v>
      </c>
      <c r="AU96" s="53" t="s">
        <v>52</v>
      </c>
      <c r="AV96" s="688">
        <v>0.8</v>
      </c>
      <c r="AW96" s="23" t="s">
        <v>52</v>
      </c>
      <c r="AX96" s="688">
        <v>3.2</v>
      </c>
      <c r="AY96" s="689">
        <f>SUM(AV96+AX96)</f>
        <v>4</v>
      </c>
      <c r="AZ96" s="688">
        <v>0.15</v>
      </c>
      <c r="BA96" s="688">
        <f>AV96*60</f>
        <v>48</v>
      </c>
      <c r="BB96" s="696">
        <f>IF(
   COUNTIF(AU96:AU99,"SI")&gt;0,
   1.8,
   IF(
      COUNTIF(AV96:AV99,"SI")&gt;0,
      1.6,
      2
   )
)</f>
        <v>2</v>
      </c>
      <c r="BC96" s="697">
        <f>IF(BA96=0,0,AT96/BA96)</f>
        <v>2.4375</v>
      </c>
      <c r="BD96" s="120"/>
      <c r="BE96" s="668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9"/>
      <c r="BR96" s="19"/>
      <c r="BS96" s="117"/>
      <c r="BT96" s="117"/>
      <c r="BU96" s="117"/>
      <c r="BV96" s="120"/>
      <c r="BW96" s="668"/>
      <c r="BX96" s="117"/>
      <c r="BY96" s="117"/>
      <c r="BZ96" s="117"/>
      <c r="CA96" s="117"/>
      <c r="CB96" s="117"/>
      <c r="CC96" s="661"/>
      <c r="CD96" s="117"/>
      <c r="CE96" s="135"/>
      <c r="CF96" s="135"/>
      <c r="CG96" s="135"/>
      <c r="CH96" s="704"/>
      <c r="CI96" s="661"/>
      <c r="CJ96" s="661"/>
      <c r="CK96" s="661"/>
      <c r="CL96" s="117"/>
      <c r="CM96" s="661"/>
      <c r="CN96" s="92"/>
      <c r="CO96" s="93"/>
      <c r="CP96" s="93"/>
      <c r="CQ96" s="93"/>
      <c r="CR96" s="93"/>
      <c r="CS96" s="93"/>
      <c r="CT96" s="93"/>
      <c r="CU96" s="93"/>
      <c r="CV96" s="93"/>
      <c r="CW96" s="93"/>
      <c r="CX96" s="93"/>
      <c r="CY96" s="93"/>
      <c r="CZ96" s="93"/>
      <c r="DA96" s="93"/>
      <c r="DB96" s="93"/>
      <c r="DC96" s="94"/>
      <c r="DD96" s="133"/>
      <c r="DE96" s="133"/>
      <c r="DF96" s="133"/>
      <c r="DG96" s="133"/>
      <c r="DH96" s="133"/>
      <c r="DI96" s="133"/>
      <c r="DJ96" s="133"/>
      <c r="DK96" s="133"/>
      <c r="DL96" s="133"/>
      <c r="DM96" s="133"/>
      <c r="DN96" s="133"/>
      <c r="DO96" s="133"/>
      <c r="DP96" s="133"/>
      <c r="DQ96" s="133"/>
      <c r="DR96" s="133"/>
      <c r="DS96" s="133"/>
      <c r="DT96" s="663"/>
      <c r="DU96" s="19"/>
      <c r="DV96" s="19"/>
      <c r="DW96" s="19"/>
      <c r="DX96" s="19"/>
      <c r="DY96" s="19"/>
      <c r="DZ96" s="19"/>
    </row>
    <row r="97" spans="1:130" ht="12.75" x14ac:dyDescent="0.2">
      <c r="A97" s="647"/>
      <c r="B97" s="647"/>
      <c r="C97" s="23"/>
      <c r="D97" s="23"/>
      <c r="E97" s="23"/>
      <c r="F97" s="23"/>
      <c r="G97" s="23"/>
      <c r="H97" s="634"/>
      <c r="I97" s="23">
        <f t="shared" si="78"/>
        <v>0</v>
      </c>
      <c r="J97" s="634"/>
      <c r="K97" s="23"/>
      <c r="L97" s="23"/>
      <c r="M97" s="634"/>
      <c r="N97" s="634"/>
      <c r="O97" s="634"/>
      <c r="P97" s="634"/>
      <c r="Q97" s="634"/>
      <c r="R97" s="634"/>
      <c r="S97" s="659"/>
      <c r="T97" s="647"/>
      <c r="U97" s="23"/>
      <c r="V97" s="23">
        <v>780</v>
      </c>
      <c r="W97" s="23">
        <v>4002</v>
      </c>
      <c r="X97" s="23">
        <v>4500</v>
      </c>
      <c r="Y97" s="23">
        <v>0</v>
      </c>
      <c r="Z97" s="634"/>
      <c r="AA97" s="23">
        <f t="shared" si="79"/>
        <v>498</v>
      </c>
      <c r="AB97" s="634"/>
      <c r="AC97" s="23" t="s">
        <v>51</v>
      </c>
      <c r="AD97" s="23" t="s">
        <v>51</v>
      </c>
      <c r="AE97" s="634"/>
      <c r="AF97" s="634"/>
      <c r="AG97" s="634"/>
      <c r="AH97" s="634"/>
      <c r="AI97" s="634"/>
      <c r="AJ97" s="634"/>
      <c r="AK97" s="659"/>
      <c r="AL97" s="647"/>
      <c r="AM97" s="23"/>
      <c r="AN97" s="23"/>
      <c r="AO97" s="23"/>
      <c r="AP97" s="23"/>
      <c r="AQ97" s="23"/>
      <c r="AR97" s="634"/>
      <c r="AS97" s="23">
        <f t="shared" ref="AS97:AS103" si="84">AP97-AO97-AQ97</f>
        <v>0</v>
      </c>
      <c r="AT97" s="634"/>
      <c r="AU97" s="53"/>
      <c r="AV97" s="634"/>
      <c r="AW97" s="23"/>
      <c r="AX97" s="634"/>
      <c r="AY97" s="634"/>
      <c r="AZ97" s="634"/>
      <c r="BA97" s="634"/>
      <c r="BB97" s="634"/>
      <c r="BC97" s="634"/>
      <c r="BD97" s="120"/>
      <c r="BE97" s="662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9"/>
      <c r="BR97" s="19"/>
      <c r="BS97" s="117"/>
      <c r="BT97" s="117"/>
      <c r="BU97" s="117"/>
      <c r="BV97" s="117"/>
      <c r="BW97" s="662"/>
      <c r="BX97" s="117"/>
      <c r="BY97" s="117"/>
      <c r="BZ97" s="117"/>
      <c r="CA97" s="117"/>
      <c r="CB97" s="117"/>
      <c r="CC97" s="662"/>
      <c r="CD97" s="117"/>
      <c r="CE97" s="135"/>
      <c r="CF97" s="135"/>
      <c r="CG97" s="135"/>
      <c r="CH97" s="662"/>
      <c r="CI97" s="662"/>
      <c r="CJ97" s="662"/>
      <c r="CK97" s="662"/>
      <c r="CL97" s="117"/>
      <c r="CM97" s="662"/>
      <c r="CN97" s="92"/>
      <c r="CO97" s="93"/>
      <c r="CP97" s="93"/>
      <c r="CQ97" s="93"/>
      <c r="CR97" s="93"/>
      <c r="CS97" s="93"/>
      <c r="CT97" s="93"/>
      <c r="CU97" s="93"/>
      <c r="CV97" s="93"/>
      <c r="CW97" s="93"/>
      <c r="CX97" s="93"/>
      <c r="CY97" s="93"/>
      <c r="CZ97" s="93"/>
      <c r="DA97" s="93"/>
      <c r="DB97" s="93"/>
      <c r="DC97" s="94"/>
      <c r="DD97" s="133"/>
      <c r="DE97" s="133"/>
      <c r="DF97" s="133"/>
      <c r="DG97" s="133"/>
      <c r="DH97" s="133"/>
      <c r="DI97" s="133"/>
      <c r="DJ97" s="133"/>
      <c r="DK97" s="133"/>
      <c r="DL97" s="133"/>
      <c r="DM97" s="133"/>
      <c r="DN97" s="133"/>
      <c r="DO97" s="133"/>
      <c r="DP97" s="133"/>
      <c r="DQ97" s="133"/>
      <c r="DR97" s="133"/>
      <c r="DS97" s="133"/>
      <c r="DT97" s="662"/>
      <c r="DU97" s="19"/>
      <c r="DV97" s="19"/>
      <c r="DW97" s="19"/>
      <c r="DX97" s="19"/>
      <c r="DY97" s="19"/>
      <c r="DZ97" s="19"/>
    </row>
    <row r="98" spans="1:130" ht="12.75" x14ac:dyDescent="0.2">
      <c r="A98" s="647"/>
      <c r="B98" s="647"/>
      <c r="C98" s="23"/>
      <c r="D98" s="23"/>
      <c r="E98" s="23"/>
      <c r="F98" s="23"/>
      <c r="G98" s="23"/>
      <c r="H98" s="634"/>
      <c r="I98" s="23">
        <f t="shared" si="78"/>
        <v>0</v>
      </c>
      <c r="J98" s="634"/>
      <c r="K98" s="23"/>
      <c r="L98" s="23"/>
      <c r="M98" s="634"/>
      <c r="N98" s="634"/>
      <c r="O98" s="634"/>
      <c r="P98" s="634"/>
      <c r="Q98" s="634"/>
      <c r="R98" s="634"/>
      <c r="S98" s="659"/>
      <c r="T98" s="647"/>
      <c r="U98" s="23"/>
      <c r="V98" s="23"/>
      <c r="W98" s="23"/>
      <c r="X98" s="23"/>
      <c r="Y98" s="23"/>
      <c r="Z98" s="634"/>
      <c r="AA98" s="23">
        <f t="shared" si="79"/>
        <v>0</v>
      </c>
      <c r="AB98" s="634"/>
      <c r="AC98" s="23"/>
      <c r="AD98" s="23"/>
      <c r="AE98" s="634"/>
      <c r="AF98" s="634"/>
      <c r="AG98" s="634"/>
      <c r="AH98" s="634"/>
      <c r="AI98" s="634"/>
      <c r="AJ98" s="634"/>
      <c r="AK98" s="659"/>
      <c r="AL98" s="647"/>
      <c r="AM98" s="23"/>
      <c r="AN98" s="23"/>
      <c r="AO98" s="23"/>
      <c r="AP98" s="23"/>
      <c r="AQ98" s="23"/>
      <c r="AR98" s="634"/>
      <c r="AS98" s="23">
        <f t="shared" si="84"/>
        <v>0</v>
      </c>
      <c r="AT98" s="635"/>
      <c r="AU98" s="53"/>
      <c r="AV98" s="635"/>
      <c r="AW98" s="23"/>
      <c r="AX98" s="634"/>
      <c r="AY98" s="634"/>
      <c r="AZ98" s="634"/>
      <c r="BA98" s="634"/>
      <c r="BB98" s="634"/>
      <c r="BC98" s="634"/>
      <c r="BD98" s="120"/>
      <c r="BE98" s="668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661"/>
      <c r="BQ98" s="121"/>
      <c r="BR98" s="123"/>
      <c r="BS98" s="661"/>
      <c r="BT98" s="117"/>
      <c r="BU98" s="661"/>
      <c r="BV98" s="661"/>
      <c r="BW98" s="116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20"/>
      <c r="CN98" s="92"/>
      <c r="CO98" s="93"/>
      <c r="CP98" s="93"/>
      <c r="CQ98" s="93"/>
      <c r="CR98" s="93"/>
      <c r="CS98" s="93"/>
      <c r="CT98" s="93"/>
      <c r="CU98" s="93"/>
      <c r="CV98" s="93"/>
      <c r="CW98" s="93"/>
      <c r="CX98" s="93"/>
      <c r="CY98" s="93"/>
      <c r="CZ98" s="93"/>
      <c r="DA98" s="93"/>
      <c r="DB98" s="93"/>
      <c r="DC98" s="94"/>
      <c r="DD98" s="133"/>
      <c r="DE98" s="133"/>
      <c r="DF98" s="133"/>
      <c r="DG98" s="133"/>
      <c r="DH98" s="133"/>
      <c r="DI98" s="133"/>
      <c r="DJ98" s="133"/>
      <c r="DK98" s="133"/>
      <c r="DL98" s="133"/>
      <c r="DM98" s="133"/>
      <c r="DN98" s="133"/>
      <c r="DO98" s="133"/>
      <c r="DP98" s="133"/>
      <c r="DQ98" s="133"/>
      <c r="DR98" s="133"/>
      <c r="DS98" s="133"/>
      <c r="DT98" s="133"/>
      <c r="DU98" s="19"/>
      <c r="DV98" s="19"/>
      <c r="DW98" s="19"/>
      <c r="DX98" s="19"/>
      <c r="DY98" s="19"/>
      <c r="DZ98" s="19"/>
    </row>
    <row r="99" spans="1:130" ht="12.75" x14ac:dyDescent="0.2">
      <c r="A99" s="647"/>
      <c r="B99" s="648"/>
      <c r="C99" s="102"/>
      <c r="D99" s="102"/>
      <c r="E99" s="102"/>
      <c r="F99" s="102"/>
      <c r="G99" s="102"/>
      <c r="H99" s="635"/>
      <c r="I99" s="23">
        <f t="shared" si="78"/>
        <v>0</v>
      </c>
      <c r="J99" s="635"/>
      <c r="K99" s="102"/>
      <c r="L99" s="102"/>
      <c r="M99" s="635"/>
      <c r="N99" s="635"/>
      <c r="O99" s="635"/>
      <c r="P99" s="635"/>
      <c r="Q99" s="635"/>
      <c r="R99" s="635"/>
      <c r="S99" s="660"/>
      <c r="T99" s="648"/>
      <c r="U99" s="102"/>
      <c r="V99" s="102"/>
      <c r="W99" s="102"/>
      <c r="X99" s="102"/>
      <c r="Y99" s="102"/>
      <c r="Z99" s="635"/>
      <c r="AA99" s="23">
        <f t="shared" si="79"/>
        <v>0</v>
      </c>
      <c r="AB99" s="635"/>
      <c r="AC99" s="102"/>
      <c r="AD99" s="102"/>
      <c r="AE99" s="635"/>
      <c r="AF99" s="635"/>
      <c r="AG99" s="635"/>
      <c r="AH99" s="635"/>
      <c r="AI99" s="635"/>
      <c r="AJ99" s="635"/>
      <c r="AK99" s="660"/>
      <c r="AL99" s="648"/>
      <c r="AM99" s="103"/>
      <c r="AN99" s="103"/>
      <c r="AO99" s="103"/>
      <c r="AP99" s="103"/>
      <c r="AQ99" s="103"/>
      <c r="AR99" s="635"/>
      <c r="AS99" s="23">
        <f t="shared" si="84"/>
        <v>0</v>
      </c>
      <c r="AT99" s="96">
        <f>AS99</f>
        <v>0</v>
      </c>
      <c r="AU99" s="103"/>
      <c r="AV99" s="91"/>
      <c r="AW99" s="23"/>
      <c r="AX99" s="635"/>
      <c r="AY99" s="635"/>
      <c r="AZ99" s="635"/>
      <c r="BA99" s="54">
        <f t="shared" ref="BA99:BA100" si="85">AV99*60</f>
        <v>0</v>
      </c>
      <c r="BB99" s="635"/>
      <c r="BC99" s="95">
        <f t="shared" ref="BC99:BC100" si="86">IF(BA99=0,0,AT99/BA99)</f>
        <v>0</v>
      </c>
      <c r="BD99" s="120"/>
      <c r="BE99" s="662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662"/>
      <c r="BQ99" s="117"/>
      <c r="BR99" s="117"/>
      <c r="BS99" s="662"/>
      <c r="BT99" s="117"/>
      <c r="BU99" s="662"/>
      <c r="BV99" s="662"/>
      <c r="BW99" s="118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92"/>
      <c r="CO99" s="93"/>
      <c r="CP99" s="93"/>
      <c r="CQ99" s="93"/>
      <c r="CR99" s="93"/>
      <c r="CS99" s="93"/>
      <c r="CT99" s="93"/>
      <c r="CU99" s="93"/>
      <c r="CV99" s="93"/>
      <c r="CW99" s="93"/>
      <c r="CX99" s="93"/>
      <c r="CY99" s="93"/>
      <c r="CZ99" s="93"/>
      <c r="DA99" s="93"/>
      <c r="DB99" s="93"/>
      <c r="DC99" s="94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9"/>
      <c r="DV99" s="19"/>
      <c r="DW99" s="19"/>
      <c r="DX99" s="19"/>
      <c r="DY99" s="19"/>
      <c r="DZ99" s="19"/>
    </row>
    <row r="100" spans="1:130" ht="12.75" x14ac:dyDescent="0.2">
      <c r="A100" s="647"/>
      <c r="B100" s="694">
        <v>46074</v>
      </c>
      <c r="C100" s="55"/>
      <c r="D100" s="55"/>
      <c r="E100" s="55"/>
      <c r="F100" s="55"/>
      <c r="G100" s="55"/>
      <c r="H100" s="687"/>
      <c r="I100" s="53">
        <f t="shared" si="78"/>
        <v>0</v>
      </c>
      <c r="J100" s="691">
        <f>SUM(I100:I103,H100)</f>
        <v>0</v>
      </c>
      <c r="K100" s="55"/>
      <c r="L100" s="55"/>
      <c r="M100" s="687"/>
      <c r="N100" s="690"/>
      <c r="O100" s="689">
        <f>SUM(M100:N103)</f>
        <v>0</v>
      </c>
      <c r="P100" s="687"/>
      <c r="Q100" s="690">
        <f>M100*60</f>
        <v>0</v>
      </c>
      <c r="R100" s="692">
        <f>IF(
   COUNTIF(K100:K103,"SI")&gt;0,
   1.8,
   IF(
      COUNTIF(L100:L103,"SI")&gt;0,
      1.6,
      2
   )
)</f>
        <v>2</v>
      </c>
      <c r="S100" s="693">
        <f>IF(Q100=0,0,J100/Q100)</f>
        <v>0</v>
      </c>
      <c r="T100" s="694">
        <v>46074</v>
      </c>
      <c r="U100" s="52"/>
      <c r="V100" s="52"/>
      <c r="W100" s="52"/>
      <c r="X100" s="52"/>
      <c r="Y100" s="52"/>
      <c r="Z100" s="687"/>
      <c r="AA100" s="53">
        <f t="shared" si="79"/>
        <v>0</v>
      </c>
      <c r="AB100" s="691">
        <f>SUM(AA100:AA103,Z100)</f>
        <v>0</v>
      </c>
      <c r="AC100" s="52"/>
      <c r="AD100" s="52"/>
      <c r="AE100" s="687"/>
      <c r="AF100" s="687"/>
      <c r="AG100" s="689">
        <f>SUM(AE100:AF103)</f>
        <v>0</v>
      </c>
      <c r="AH100" s="687">
        <v>0</v>
      </c>
      <c r="AI100" s="690">
        <f>AE100*60</f>
        <v>0</v>
      </c>
      <c r="AJ100" s="692">
        <f>IF(
   COUNTIF(AC100:AC103,"SI")&gt;0,
   1.8,
   IF(
      COUNTIF(AD100:AD103,"SI")&gt;0,
      1.6,
      2
   )
)</f>
        <v>2</v>
      </c>
      <c r="AK100" s="693">
        <f>IF(AI100=0,0,AB100/AI100)</f>
        <v>0</v>
      </c>
      <c r="AL100" s="694">
        <v>46074</v>
      </c>
      <c r="AM100" s="52">
        <v>34</v>
      </c>
      <c r="AN100" s="53">
        <v>778</v>
      </c>
      <c r="AO100" s="52">
        <v>3095</v>
      </c>
      <c r="AP100" s="52">
        <v>3298</v>
      </c>
      <c r="AQ100" s="55"/>
      <c r="AR100" s="687"/>
      <c r="AS100" s="53">
        <f t="shared" si="84"/>
        <v>203</v>
      </c>
      <c r="AT100" s="691">
        <f>SUM(AS100:AS103,AR100)</f>
        <v>203</v>
      </c>
      <c r="AU100" s="52" t="s">
        <v>51</v>
      </c>
      <c r="AV100" s="687">
        <v>1.5</v>
      </c>
      <c r="AW100" s="52" t="s">
        <v>51</v>
      </c>
      <c r="AX100" s="687">
        <v>2.5</v>
      </c>
      <c r="AY100" s="689">
        <f>SUM(AV100:AX103)</f>
        <v>4</v>
      </c>
      <c r="AZ100" s="687"/>
      <c r="BA100" s="690">
        <f t="shared" si="85"/>
        <v>90</v>
      </c>
      <c r="BB100" s="692">
        <f>IF(
   COUNTIF(AU100:AU103,"SI")&gt;0,
   1.8,
   IF(
      COUNTIF(AV100:AV103,"SI")&gt;0,
      1.6,
      2
   )
)</f>
        <v>1.8</v>
      </c>
      <c r="BC100" s="697">
        <f t="shared" si="86"/>
        <v>2.2555555555555555</v>
      </c>
      <c r="BD100" s="661"/>
      <c r="BE100" s="116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20"/>
      <c r="BV100" s="120"/>
      <c r="BW100" s="116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20"/>
      <c r="CN100" s="92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B100" s="93"/>
      <c r="DC100" s="94"/>
      <c r="DD100" s="133"/>
      <c r="DE100" s="133"/>
      <c r="DF100" s="133"/>
      <c r="DG100" s="133"/>
      <c r="DH100" s="133"/>
      <c r="DI100" s="133"/>
      <c r="DJ100" s="133"/>
      <c r="DK100" s="133"/>
      <c r="DL100" s="133"/>
      <c r="DM100" s="133"/>
      <c r="DN100" s="133"/>
      <c r="DO100" s="133"/>
      <c r="DP100" s="133"/>
      <c r="DQ100" s="133"/>
      <c r="DR100" s="133"/>
      <c r="DS100" s="133"/>
      <c r="DT100" s="133"/>
      <c r="DU100" s="19"/>
      <c r="DV100" s="19"/>
      <c r="DW100" s="19"/>
      <c r="DX100" s="19"/>
      <c r="DY100" s="19"/>
      <c r="DZ100" s="19"/>
    </row>
    <row r="101" spans="1:130" ht="12.75" x14ac:dyDescent="0.2">
      <c r="A101" s="647"/>
      <c r="B101" s="647"/>
      <c r="C101" s="55"/>
      <c r="D101" s="55"/>
      <c r="E101" s="55"/>
      <c r="F101" s="55"/>
      <c r="G101" s="55"/>
      <c r="H101" s="634"/>
      <c r="I101" s="53">
        <f t="shared" si="78"/>
        <v>0</v>
      </c>
      <c r="J101" s="634"/>
      <c r="K101" s="55"/>
      <c r="L101" s="55"/>
      <c r="M101" s="634"/>
      <c r="N101" s="634"/>
      <c r="O101" s="634"/>
      <c r="P101" s="634"/>
      <c r="Q101" s="634"/>
      <c r="R101" s="634"/>
      <c r="S101" s="659"/>
      <c r="T101" s="647"/>
      <c r="U101" s="55"/>
      <c r="V101" s="55"/>
      <c r="W101" s="55"/>
      <c r="X101" s="55"/>
      <c r="Y101" s="55"/>
      <c r="Z101" s="634"/>
      <c r="AA101" s="53">
        <f t="shared" si="79"/>
        <v>0</v>
      </c>
      <c r="AB101" s="634"/>
      <c r="AC101" s="55"/>
      <c r="AD101" s="55"/>
      <c r="AE101" s="634"/>
      <c r="AF101" s="634"/>
      <c r="AG101" s="634"/>
      <c r="AH101" s="634"/>
      <c r="AI101" s="634"/>
      <c r="AJ101" s="634"/>
      <c r="AK101" s="659"/>
      <c r="AL101" s="647"/>
      <c r="AM101" s="55"/>
      <c r="AN101" s="55"/>
      <c r="AO101" s="55"/>
      <c r="AP101" s="55"/>
      <c r="AQ101" s="55"/>
      <c r="AR101" s="634"/>
      <c r="AS101" s="53">
        <f t="shared" si="84"/>
        <v>0</v>
      </c>
      <c r="AT101" s="634"/>
      <c r="AU101" s="55"/>
      <c r="AV101" s="634"/>
      <c r="AW101" s="55"/>
      <c r="AX101" s="634"/>
      <c r="AY101" s="634"/>
      <c r="AZ101" s="634"/>
      <c r="BA101" s="634"/>
      <c r="BB101" s="634"/>
      <c r="BC101" s="634"/>
      <c r="BD101" s="662"/>
      <c r="BE101" s="668"/>
      <c r="BF101" s="117"/>
      <c r="BG101" s="117"/>
      <c r="BH101" s="117"/>
      <c r="BI101" s="117"/>
      <c r="BJ101" s="117"/>
      <c r="BK101" s="117"/>
      <c r="BL101" s="117"/>
      <c r="BM101" s="117"/>
      <c r="BN101" s="117"/>
      <c r="BO101" s="117"/>
      <c r="BP101" s="661"/>
      <c r="BQ101" s="117"/>
      <c r="BR101" s="117"/>
      <c r="BS101" s="661"/>
      <c r="BT101" s="117"/>
      <c r="BU101" s="661"/>
      <c r="BV101" s="661"/>
      <c r="BW101" s="668"/>
      <c r="BX101" s="117"/>
      <c r="BY101" s="117"/>
      <c r="BZ101" s="117"/>
      <c r="CA101" s="117"/>
      <c r="CB101" s="117"/>
      <c r="CC101" s="661"/>
      <c r="CD101" s="117"/>
      <c r="CE101" s="117"/>
      <c r="CF101" s="117"/>
      <c r="CG101" s="117"/>
      <c r="CH101" s="661"/>
      <c r="CI101" s="661"/>
      <c r="CJ101" s="661"/>
      <c r="CK101" s="117"/>
      <c r="CL101" s="117"/>
      <c r="CM101" s="661"/>
      <c r="CN101" s="92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B101" s="93"/>
      <c r="DC101" s="94"/>
      <c r="DD101" s="133"/>
      <c r="DE101" s="133"/>
      <c r="DF101" s="133"/>
      <c r="DG101" s="133"/>
      <c r="DH101" s="133"/>
      <c r="DI101" s="133"/>
      <c r="DJ101" s="133"/>
      <c r="DK101" s="133"/>
      <c r="DL101" s="133"/>
      <c r="DM101" s="133"/>
      <c r="DN101" s="133"/>
      <c r="DO101" s="133"/>
      <c r="DP101" s="133"/>
      <c r="DQ101" s="133"/>
      <c r="DR101" s="133"/>
      <c r="DS101" s="133"/>
      <c r="DT101" s="663"/>
      <c r="DU101" s="19"/>
      <c r="DV101" s="19"/>
      <c r="DW101" s="19"/>
      <c r="DX101" s="19"/>
      <c r="DY101" s="19"/>
      <c r="DZ101" s="19"/>
    </row>
    <row r="102" spans="1:130" ht="12.75" x14ac:dyDescent="0.2">
      <c r="A102" s="647"/>
      <c r="B102" s="647"/>
      <c r="C102" s="55"/>
      <c r="D102" s="55"/>
      <c r="E102" s="55"/>
      <c r="F102" s="55"/>
      <c r="G102" s="55"/>
      <c r="H102" s="634"/>
      <c r="I102" s="53">
        <f t="shared" si="78"/>
        <v>0</v>
      </c>
      <c r="J102" s="634"/>
      <c r="K102" s="55"/>
      <c r="L102" s="55"/>
      <c r="M102" s="634"/>
      <c r="N102" s="634"/>
      <c r="O102" s="634"/>
      <c r="P102" s="634"/>
      <c r="Q102" s="634"/>
      <c r="R102" s="634"/>
      <c r="S102" s="659"/>
      <c r="T102" s="647"/>
      <c r="U102" s="55"/>
      <c r="V102" s="55"/>
      <c r="W102" s="55"/>
      <c r="X102" s="55"/>
      <c r="Y102" s="55"/>
      <c r="Z102" s="634"/>
      <c r="AA102" s="53">
        <f t="shared" si="79"/>
        <v>0</v>
      </c>
      <c r="AB102" s="634"/>
      <c r="AC102" s="55"/>
      <c r="AD102" s="55"/>
      <c r="AE102" s="634"/>
      <c r="AF102" s="634"/>
      <c r="AG102" s="634"/>
      <c r="AH102" s="634"/>
      <c r="AI102" s="634"/>
      <c r="AJ102" s="634"/>
      <c r="AK102" s="659"/>
      <c r="AL102" s="647"/>
      <c r="AM102" s="55"/>
      <c r="AN102" s="55"/>
      <c r="AO102" s="55"/>
      <c r="AP102" s="55"/>
      <c r="AQ102" s="55"/>
      <c r="AR102" s="634"/>
      <c r="AS102" s="53">
        <f t="shared" si="84"/>
        <v>0</v>
      </c>
      <c r="AT102" s="634"/>
      <c r="AU102" s="55"/>
      <c r="AV102" s="634"/>
      <c r="AW102" s="55"/>
      <c r="AX102" s="634"/>
      <c r="AY102" s="634"/>
      <c r="AZ102" s="634"/>
      <c r="BA102" s="634"/>
      <c r="BB102" s="634"/>
      <c r="BC102" s="634"/>
      <c r="BD102" s="120"/>
      <c r="BE102" s="662"/>
      <c r="BF102" s="11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662"/>
      <c r="BQ102" s="661"/>
      <c r="BR102" s="661"/>
      <c r="BS102" s="662"/>
      <c r="BT102" s="117"/>
      <c r="BU102" s="662"/>
      <c r="BV102" s="662"/>
      <c r="BW102" s="662"/>
      <c r="BX102" s="117"/>
      <c r="BY102" s="117"/>
      <c r="BZ102" s="117"/>
      <c r="CA102" s="117"/>
      <c r="CB102" s="117"/>
      <c r="CC102" s="662"/>
      <c r="CD102" s="117"/>
      <c r="CE102" s="117"/>
      <c r="CF102" s="117"/>
      <c r="CG102" s="117"/>
      <c r="CH102" s="662"/>
      <c r="CI102" s="662"/>
      <c r="CJ102" s="662"/>
      <c r="CK102" s="117"/>
      <c r="CL102" s="117"/>
      <c r="CM102" s="662"/>
      <c r="CN102" s="92"/>
      <c r="CO102" s="93"/>
      <c r="CP102" s="93"/>
      <c r="CQ102" s="93"/>
      <c r="CR102" s="93"/>
      <c r="CS102" s="93"/>
      <c r="CT102" s="93"/>
      <c r="CU102" s="93"/>
      <c r="CV102" s="93"/>
      <c r="CW102" s="93"/>
      <c r="CX102" s="93"/>
      <c r="CY102" s="93"/>
      <c r="CZ102" s="93"/>
      <c r="DA102" s="93"/>
      <c r="DB102" s="93"/>
      <c r="DC102" s="94"/>
      <c r="DD102" s="133"/>
      <c r="DE102" s="133"/>
      <c r="DF102" s="133"/>
      <c r="DG102" s="133"/>
      <c r="DH102" s="133"/>
      <c r="DI102" s="133"/>
      <c r="DJ102" s="133"/>
      <c r="DK102" s="133"/>
      <c r="DL102" s="133"/>
      <c r="DM102" s="133"/>
      <c r="DN102" s="133"/>
      <c r="DO102" s="133"/>
      <c r="DP102" s="133"/>
      <c r="DQ102" s="133"/>
      <c r="DR102" s="133"/>
      <c r="DS102" s="133"/>
      <c r="DT102" s="662"/>
      <c r="DU102" s="19"/>
      <c r="DV102" s="19"/>
      <c r="DW102" s="19"/>
      <c r="DX102" s="19"/>
      <c r="DY102" s="19"/>
      <c r="DZ102" s="19"/>
    </row>
    <row r="103" spans="1:130" ht="16.5" customHeight="1" x14ac:dyDescent="0.2">
      <c r="A103" s="648"/>
      <c r="B103" s="648"/>
      <c r="C103" s="55"/>
      <c r="D103" s="55"/>
      <c r="E103" s="55"/>
      <c r="F103" s="55"/>
      <c r="G103" s="55"/>
      <c r="H103" s="635"/>
      <c r="I103" s="53">
        <f t="shared" si="78"/>
        <v>0</v>
      </c>
      <c r="J103" s="635"/>
      <c r="K103" s="55"/>
      <c r="L103" s="55"/>
      <c r="M103" s="635"/>
      <c r="N103" s="635"/>
      <c r="O103" s="635"/>
      <c r="P103" s="635"/>
      <c r="Q103" s="635"/>
      <c r="R103" s="635"/>
      <c r="S103" s="660"/>
      <c r="T103" s="648"/>
      <c r="U103" s="55"/>
      <c r="V103" s="55"/>
      <c r="W103" s="55"/>
      <c r="X103" s="55"/>
      <c r="Y103" s="55"/>
      <c r="Z103" s="635"/>
      <c r="AA103" s="53">
        <f t="shared" si="79"/>
        <v>0</v>
      </c>
      <c r="AB103" s="635"/>
      <c r="AC103" s="55"/>
      <c r="AD103" s="55"/>
      <c r="AE103" s="635"/>
      <c r="AF103" s="635"/>
      <c r="AG103" s="635"/>
      <c r="AH103" s="635"/>
      <c r="AI103" s="635"/>
      <c r="AJ103" s="635"/>
      <c r="AK103" s="660"/>
      <c r="AL103" s="648"/>
      <c r="AM103" s="55"/>
      <c r="AN103" s="55"/>
      <c r="AO103" s="55"/>
      <c r="AP103" s="55"/>
      <c r="AQ103" s="55"/>
      <c r="AR103" s="635"/>
      <c r="AS103" s="53">
        <f t="shared" si="84"/>
        <v>0</v>
      </c>
      <c r="AT103" s="635"/>
      <c r="AU103" s="55"/>
      <c r="AV103" s="635"/>
      <c r="AW103" s="55"/>
      <c r="AX103" s="635"/>
      <c r="AY103" s="635"/>
      <c r="AZ103" s="635"/>
      <c r="BA103" s="635"/>
      <c r="BB103" s="635"/>
      <c r="BC103" s="635"/>
      <c r="BD103" s="663"/>
      <c r="BE103" s="668"/>
      <c r="BF103" s="117"/>
      <c r="BG103" s="117"/>
      <c r="BH103" s="117"/>
      <c r="BI103" s="117"/>
      <c r="BJ103" s="117"/>
      <c r="BK103" s="117"/>
      <c r="BL103" s="118"/>
      <c r="BM103" s="118"/>
      <c r="BN103" s="118"/>
      <c r="BO103" s="118"/>
      <c r="BP103" s="118"/>
      <c r="BQ103" s="662"/>
      <c r="BR103" s="662"/>
      <c r="BS103" s="118"/>
      <c r="BT103" s="118"/>
      <c r="BU103" s="118"/>
      <c r="BV103" s="133"/>
      <c r="BW103" s="668"/>
      <c r="BX103" s="117"/>
      <c r="BY103" s="117"/>
      <c r="BZ103" s="117"/>
      <c r="CA103" s="117"/>
      <c r="CB103" s="117"/>
      <c r="CC103" s="117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92"/>
      <c r="CO103" s="93"/>
      <c r="CP103" s="93"/>
      <c r="CQ103" s="93"/>
      <c r="CR103" s="93"/>
      <c r="CS103" s="93"/>
      <c r="CT103" s="93"/>
      <c r="CU103" s="93"/>
      <c r="CV103" s="93"/>
      <c r="CW103" s="93"/>
      <c r="CX103" s="93"/>
      <c r="CY103" s="93"/>
      <c r="CZ103" s="93"/>
      <c r="DA103" s="93"/>
      <c r="DB103" s="93"/>
      <c r="DC103" s="94"/>
      <c r="DD103" s="133"/>
      <c r="DE103" s="133"/>
      <c r="DF103" s="133"/>
      <c r="DG103" s="133"/>
      <c r="DH103" s="133"/>
      <c r="DI103" s="133"/>
      <c r="DJ103" s="133"/>
      <c r="DK103" s="133"/>
      <c r="DL103" s="133"/>
      <c r="DM103" s="133"/>
      <c r="DN103" s="133"/>
      <c r="DO103" s="133"/>
      <c r="DP103" s="133"/>
      <c r="DQ103" s="133"/>
      <c r="DR103" s="133"/>
      <c r="DS103" s="133"/>
      <c r="DT103" s="133"/>
      <c r="DU103" s="19"/>
      <c r="DV103" s="19"/>
      <c r="DW103" s="19"/>
      <c r="DX103" s="19"/>
      <c r="DY103" s="19"/>
      <c r="DZ103" s="19"/>
    </row>
    <row r="104" spans="1:130" ht="12.75" x14ac:dyDescent="0.2">
      <c r="A104" s="104"/>
      <c r="B104" s="105" t="s">
        <v>40</v>
      </c>
      <c r="C104" s="58">
        <f>SUM(C79:C103)</f>
        <v>0</v>
      </c>
      <c r="D104" s="57" t="s">
        <v>49</v>
      </c>
      <c r="E104" s="57" t="s">
        <v>49</v>
      </c>
      <c r="F104" s="57" t="s">
        <v>49</v>
      </c>
      <c r="G104" s="58">
        <f t="shared" ref="G104:J104" si="87">SUM(G79:G103)</f>
        <v>0</v>
      </c>
      <c r="H104" s="58">
        <f t="shared" si="87"/>
        <v>0</v>
      </c>
      <c r="I104" s="58">
        <f t="shared" si="87"/>
        <v>0</v>
      </c>
      <c r="J104" s="58">
        <f t="shared" si="87"/>
        <v>0</v>
      </c>
      <c r="K104" s="57" t="s">
        <v>49</v>
      </c>
      <c r="L104" s="57"/>
      <c r="M104" s="58">
        <f>SUM(M79:M103)</f>
        <v>0</v>
      </c>
      <c r="N104" s="58">
        <f>SUM(N79:N99)</f>
        <v>0</v>
      </c>
      <c r="O104" s="73">
        <f t="shared" ref="O104:Q104" si="88">SUM(O79:O103)</f>
        <v>0</v>
      </c>
      <c r="P104" s="58">
        <f t="shared" si="88"/>
        <v>19</v>
      </c>
      <c r="Q104" s="58">
        <f t="shared" si="88"/>
        <v>0</v>
      </c>
      <c r="R104" s="107"/>
      <c r="S104" s="60">
        <f>AVERAGE(S88:S91)</f>
        <v>0</v>
      </c>
      <c r="T104" s="105" t="s">
        <v>40</v>
      </c>
      <c r="U104" s="58">
        <f>SUM(U79:U103)</f>
        <v>333</v>
      </c>
      <c r="V104" s="57" t="s">
        <v>49</v>
      </c>
      <c r="W104" s="57" t="s">
        <v>49</v>
      </c>
      <c r="X104" s="57" t="s">
        <v>49</v>
      </c>
      <c r="Y104" s="58">
        <f t="shared" ref="Y104:AB104" si="89">SUM(Y79:Y103)</f>
        <v>0</v>
      </c>
      <c r="Z104" s="58">
        <f t="shared" si="89"/>
        <v>11</v>
      </c>
      <c r="AA104" s="58">
        <f t="shared" si="89"/>
        <v>2492</v>
      </c>
      <c r="AB104" s="58">
        <f t="shared" si="89"/>
        <v>2503</v>
      </c>
      <c r="AC104" s="57" t="s">
        <v>49</v>
      </c>
      <c r="AD104" s="57"/>
      <c r="AE104" s="58">
        <f t="shared" ref="AE104:AI104" si="90">SUM(AE79:AE103)</f>
        <v>19.5</v>
      </c>
      <c r="AF104" s="58">
        <f t="shared" si="90"/>
        <v>5.5</v>
      </c>
      <c r="AG104" s="73">
        <f t="shared" si="90"/>
        <v>25</v>
      </c>
      <c r="AH104" s="58">
        <f t="shared" si="90"/>
        <v>0</v>
      </c>
      <c r="AI104" s="58">
        <f t="shared" si="90"/>
        <v>1170</v>
      </c>
      <c r="AJ104" s="107"/>
      <c r="AK104" s="108">
        <f t="shared" ref="AK104:AK105" si="91">IF(AI104=0,0,AB104/AI104)</f>
        <v>2.1393162393162393</v>
      </c>
      <c r="AL104" s="105" t="s">
        <v>40</v>
      </c>
      <c r="AM104" s="58">
        <f>SUM(AM79:AM103)</f>
        <v>564</v>
      </c>
      <c r="AN104" s="57" t="s">
        <v>49</v>
      </c>
      <c r="AO104" s="57" t="s">
        <v>49</v>
      </c>
      <c r="AP104" s="57" t="s">
        <v>49</v>
      </c>
      <c r="AQ104" s="58">
        <f t="shared" ref="AQ104:AT104" si="92">SUM(AQ79:AQ103)</f>
        <v>26</v>
      </c>
      <c r="AR104" s="58">
        <f t="shared" si="92"/>
        <v>131</v>
      </c>
      <c r="AS104" s="58">
        <f t="shared" si="92"/>
        <v>2670</v>
      </c>
      <c r="AT104" s="58">
        <f t="shared" si="92"/>
        <v>2684</v>
      </c>
      <c r="AU104" s="57" t="s">
        <v>49</v>
      </c>
      <c r="AV104" s="58">
        <f>SUM(AV79:AV103)</f>
        <v>18.3</v>
      </c>
      <c r="AW104" s="58"/>
      <c r="AX104" s="110">
        <f t="shared" ref="AX104:BA104" si="93">SUM(AX79:AX103)</f>
        <v>6.7</v>
      </c>
      <c r="AY104" s="59">
        <f t="shared" si="93"/>
        <v>25</v>
      </c>
      <c r="AZ104" s="110">
        <f t="shared" si="93"/>
        <v>1</v>
      </c>
      <c r="BA104" s="58">
        <f t="shared" si="93"/>
        <v>1098</v>
      </c>
      <c r="BB104" s="107"/>
      <c r="BC104" s="126">
        <f t="shared" ref="BC104:BC105" si="94">IF(BA104=0,0,AT104/BA104)</f>
        <v>2.4444444444444446</v>
      </c>
      <c r="BD104" s="662"/>
      <c r="BE104" s="662"/>
      <c r="BF104" s="120"/>
      <c r="BG104" s="120"/>
      <c r="BH104" s="120"/>
      <c r="BI104" s="120"/>
      <c r="BJ104" s="120"/>
      <c r="BK104" s="120"/>
      <c r="BL104" s="118"/>
      <c r="BM104" s="118"/>
      <c r="BN104" s="118"/>
      <c r="BO104" s="118"/>
      <c r="BP104" s="118"/>
      <c r="BQ104" s="117"/>
      <c r="BR104" s="117"/>
      <c r="BS104" s="118"/>
      <c r="BT104" s="118"/>
      <c r="BU104" s="118"/>
      <c r="BV104" s="133"/>
      <c r="BW104" s="662"/>
      <c r="BX104" s="120"/>
      <c r="BY104" s="120"/>
      <c r="BZ104" s="120"/>
      <c r="CA104" s="120"/>
      <c r="CB104" s="120"/>
      <c r="CC104" s="120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92"/>
      <c r="CO104" s="93"/>
      <c r="CP104" s="93"/>
      <c r="CQ104" s="93"/>
      <c r="CR104" s="93"/>
      <c r="CS104" s="93"/>
      <c r="CT104" s="93"/>
      <c r="CU104" s="93"/>
      <c r="CV104" s="93"/>
      <c r="CW104" s="93"/>
      <c r="CX104" s="93"/>
      <c r="CY104" s="93"/>
      <c r="CZ104" s="93"/>
      <c r="DA104" s="93"/>
      <c r="DB104" s="93"/>
      <c r="DC104" s="94"/>
      <c r="DD104" s="133"/>
      <c r="DE104" s="133"/>
      <c r="DF104" s="133"/>
      <c r="DG104" s="133"/>
      <c r="DH104" s="133"/>
      <c r="DI104" s="133"/>
      <c r="DJ104" s="133"/>
      <c r="DK104" s="133"/>
      <c r="DL104" s="133"/>
      <c r="DM104" s="133"/>
      <c r="DN104" s="133"/>
      <c r="DO104" s="133"/>
      <c r="DP104" s="133"/>
      <c r="DQ104" s="133"/>
      <c r="DR104" s="133"/>
      <c r="DS104" s="133"/>
      <c r="DT104" s="133"/>
      <c r="DU104" s="19"/>
      <c r="DV104" s="19"/>
      <c r="DW104" s="19"/>
      <c r="DX104" s="19"/>
      <c r="DY104" s="19"/>
      <c r="DZ104" s="19"/>
    </row>
    <row r="105" spans="1:130" ht="12.75" x14ac:dyDescent="0.2">
      <c r="A105" s="798" t="s">
        <v>141</v>
      </c>
      <c r="B105" s="701">
        <v>46076</v>
      </c>
      <c r="C105" s="85"/>
      <c r="D105" s="85"/>
      <c r="E105" s="85"/>
      <c r="F105" s="85"/>
      <c r="G105" s="85"/>
      <c r="H105" s="692"/>
      <c r="I105" s="85">
        <f t="shared" ref="I105:I107" si="95">F105-E105-G105</f>
        <v>0</v>
      </c>
      <c r="J105" s="703">
        <f>SUM(I105:I109,H105)</f>
        <v>0</v>
      </c>
      <c r="K105" s="85"/>
      <c r="L105" s="85"/>
      <c r="M105" s="692"/>
      <c r="N105" s="692"/>
      <c r="O105" s="699">
        <f>SUM(M105:N109)</f>
        <v>0</v>
      </c>
      <c r="P105" s="692"/>
      <c r="Q105" s="692">
        <f>M105*60</f>
        <v>0</v>
      </c>
      <c r="R105" s="692">
        <f>IF(
   COUNTIF(K105:K109,"SI")&gt;0,
   1.8,
   IF(
      COUNTIF(L105:L109,"SI")&gt;0,
      1.6,
      2
   )
)</f>
        <v>2</v>
      </c>
      <c r="S105" s="700">
        <f>IF(Q105=0,0,J105/Q105)</f>
        <v>0</v>
      </c>
      <c r="T105" s="701">
        <v>46076</v>
      </c>
      <c r="U105" s="85"/>
      <c r="V105" s="85"/>
      <c r="W105" s="85"/>
      <c r="X105" s="85"/>
      <c r="Y105" s="85"/>
      <c r="Z105" s="692"/>
      <c r="AA105" s="85">
        <f t="shared" ref="AA105:AA107" si="96">X105-W105-Y105</f>
        <v>0</v>
      </c>
      <c r="AB105" s="703">
        <f>SUM(AA105:AA109,Z105)</f>
        <v>0</v>
      </c>
      <c r="AC105" s="85"/>
      <c r="AD105" s="85"/>
      <c r="AE105" s="692"/>
      <c r="AF105" s="692"/>
      <c r="AG105" s="699">
        <f>SUM(AE105:AF109)</f>
        <v>0</v>
      </c>
      <c r="AH105" s="692"/>
      <c r="AI105" s="692">
        <f>AE105*60</f>
        <v>0</v>
      </c>
      <c r="AJ105" s="692">
        <f>IF(
   COUNTIF(AC105:AC109,"SI")&gt;0,
   1.8,
   IF(
      COUNTIF(AD105:AD109,"SI")&gt;0,
      1.6,
      2
   )
)</f>
        <v>2</v>
      </c>
      <c r="AK105" s="700">
        <f t="shared" si="91"/>
        <v>0</v>
      </c>
      <c r="AL105" s="701">
        <v>46076</v>
      </c>
      <c r="AM105" s="85">
        <v>43</v>
      </c>
      <c r="AN105" s="85">
        <v>778</v>
      </c>
      <c r="AO105" s="85">
        <v>3299</v>
      </c>
      <c r="AP105" s="85">
        <v>3506</v>
      </c>
      <c r="AQ105" s="85"/>
      <c r="AR105" s="692"/>
      <c r="AS105" s="85">
        <f t="shared" ref="AS105:AS117" si="97">AP105-AO105-AQ105</f>
        <v>207</v>
      </c>
      <c r="AT105" s="691">
        <f>SUM(AS105:AS109)</f>
        <v>1201</v>
      </c>
      <c r="AU105" s="23" t="s">
        <v>51</v>
      </c>
      <c r="AV105" s="688">
        <v>8.25</v>
      </c>
      <c r="AW105" s="23" t="s">
        <v>51</v>
      </c>
      <c r="AX105" s="692">
        <v>0.25</v>
      </c>
      <c r="AY105" s="699">
        <f>SUM(AV105:AX109)</f>
        <v>8.5</v>
      </c>
      <c r="AZ105" s="692">
        <v>0.1</v>
      </c>
      <c r="BA105" s="692">
        <f>AV105*60</f>
        <v>495</v>
      </c>
      <c r="BB105" s="692">
        <f>IF(
   COUNTIF(AU105:AU109,"SI")&gt;0,
   1.8,
   IF(
      COUNTIF(AV105:AV109,"SI")&gt;0,
      1.6,
      2
   )
)</f>
        <v>1.8</v>
      </c>
      <c r="BC105" s="702">
        <f t="shared" si="94"/>
        <v>2.4262626262626261</v>
      </c>
      <c r="BD105" s="19"/>
      <c r="BE105" s="118"/>
      <c r="BF105" s="118"/>
      <c r="BG105" s="118"/>
      <c r="BH105" s="118"/>
      <c r="BI105" s="118"/>
      <c r="BJ105" s="118"/>
      <c r="BK105" s="118"/>
      <c r="BL105" s="19"/>
      <c r="BM105" s="118"/>
      <c r="BN105" s="118"/>
      <c r="BO105" s="19"/>
      <c r="BP105" s="19"/>
      <c r="BQ105" s="19"/>
      <c r="BR105" s="19"/>
      <c r="BS105" s="118"/>
      <c r="BT105" s="118"/>
      <c r="BU105" s="19"/>
      <c r="BV105" s="663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92"/>
      <c r="CO105" s="93"/>
      <c r="CP105" s="93"/>
      <c r="CQ105" s="93"/>
      <c r="CR105" s="93"/>
      <c r="CS105" s="93"/>
      <c r="CT105" s="93"/>
      <c r="CU105" s="93"/>
      <c r="CV105" s="93"/>
      <c r="CW105" s="93"/>
      <c r="CX105" s="93"/>
      <c r="CY105" s="93"/>
      <c r="CZ105" s="93"/>
      <c r="DA105" s="93"/>
      <c r="DB105" s="93"/>
      <c r="DC105" s="94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9"/>
      <c r="DV105" s="19"/>
      <c r="DW105" s="19"/>
      <c r="DX105" s="19"/>
      <c r="DY105" s="19"/>
      <c r="DZ105" s="19"/>
    </row>
    <row r="106" spans="1:130" ht="12.75" x14ac:dyDescent="0.2">
      <c r="A106" s="647"/>
      <c r="B106" s="647"/>
      <c r="C106" s="23"/>
      <c r="D106" s="23"/>
      <c r="E106" s="23"/>
      <c r="F106" s="23"/>
      <c r="G106" s="23"/>
      <c r="H106" s="634"/>
      <c r="I106" s="23">
        <f t="shared" si="95"/>
        <v>0</v>
      </c>
      <c r="J106" s="634"/>
      <c r="K106" s="23"/>
      <c r="L106" s="91"/>
      <c r="M106" s="634"/>
      <c r="N106" s="634"/>
      <c r="O106" s="634"/>
      <c r="P106" s="634"/>
      <c r="Q106" s="634"/>
      <c r="R106" s="634"/>
      <c r="S106" s="659"/>
      <c r="T106" s="647"/>
      <c r="U106" s="23"/>
      <c r="V106" s="23"/>
      <c r="W106" s="23"/>
      <c r="X106" s="23"/>
      <c r="Y106" s="23"/>
      <c r="Z106" s="634"/>
      <c r="AA106" s="23">
        <f t="shared" si="96"/>
        <v>0</v>
      </c>
      <c r="AB106" s="634"/>
      <c r="AC106" s="23"/>
      <c r="AD106" s="91"/>
      <c r="AE106" s="634"/>
      <c r="AF106" s="634"/>
      <c r="AG106" s="634"/>
      <c r="AH106" s="634"/>
      <c r="AI106" s="634"/>
      <c r="AJ106" s="634"/>
      <c r="AK106" s="659"/>
      <c r="AL106" s="647"/>
      <c r="AM106" s="23">
        <v>110</v>
      </c>
      <c r="AN106" s="23">
        <v>781</v>
      </c>
      <c r="AO106" s="23">
        <v>4501</v>
      </c>
      <c r="AP106" s="23">
        <v>5005</v>
      </c>
      <c r="AQ106" s="23">
        <v>6</v>
      </c>
      <c r="AR106" s="634"/>
      <c r="AS106" s="23">
        <f t="shared" si="97"/>
        <v>498</v>
      </c>
      <c r="AT106" s="634"/>
      <c r="AU106" s="23" t="s">
        <v>51</v>
      </c>
      <c r="AV106" s="634"/>
      <c r="AW106" s="23" t="s">
        <v>51</v>
      </c>
      <c r="AX106" s="634"/>
      <c r="AY106" s="634"/>
      <c r="AZ106" s="634"/>
      <c r="BA106" s="634"/>
      <c r="BB106" s="634"/>
      <c r="BC106" s="634"/>
      <c r="BD106" s="668"/>
      <c r="BE106" s="117"/>
      <c r="BF106" s="117"/>
      <c r="BG106" s="117"/>
      <c r="BH106" s="117"/>
      <c r="BI106" s="117"/>
      <c r="BJ106" s="117"/>
      <c r="BK106" s="118"/>
      <c r="BL106" s="663"/>
      <c r="BM106" s="118"/>
      <c r="BN106" s="118"/>
      <c r="BO106" s="663"/>
      <c r="BP106" s="663"/>
      <c r="BQ106" s="663"/>
      <c r="BR106" s="663"/>
      <c r="BS106" s="118"/>
      <c r="BT106" s="118"/>
      <c r="BU106" s="19"/>
      <c r="BV106" s="662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92"/>
      <c r="CO106" s="93"/>
      <c r="CP106" s="93"/>
      <c r="CQ106" s="93"/>
      <c r="CR106" s="93"/>
      <c r="CS106" s="93"/>
      <c r="CT106" s="93"/>
      <c r="CU106" s="93"/>
      <c r="CV106" s="93"/>
      <c r="CW106" s="93"/>
      <c r="CX106" s="93"/>
      <c r="CY106" s="93"/>
      <c r="CZ106" s="93"/>
      <c r="DA106" s="93"/>
      <c r="DB106" s="93"/>
      <c r="DC106" s="94"/>
      <c r="DD106" s="118"/>
      <c r="DE106" s="118"/>
      <c r="DF106" s="118"/>
      <c r="DG106" s="118"/>
      <c r="DH106" s="118"/>
      <c r="DI106" s="118"/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/>
      <c r="DT106" s="118"/>
      <c r="DU106" s="19"/>
      <c r="DV106" s="19"/>
      <c r="DW106" s="19"/>
      <c r="DX106" s="19"/>
      <c r="DY106" s="19"/>
      <c r="DZ106" s="19"/>
    </row>
    <row r="107" spans="1:130" ht="12.75" x14ac:dyDescent="0.2">
      <c r="A107" s="647"/>
      <c r="B107" s="647"/>
      <c r="C107" s="23"/>
      <c r="D107" s="23"/>
      <c r="E107" s="23"/>
      <c r="F107" s="23"/>
      <c r="G107" s="23"/>
      <c r="H107" s="634"/>
      <c r="I107" s="23">
        <f t="shared" si="95"/>
        <v>0</v>
      </c>
      <c r="J107" s="634"/>
      <c r="K107" s="23"/>
      <c r="L107" s="91"/>
      <c r="M107" s="634"/>
      <c r="N107" s="634"/>
      <c r="O107" s="634"/>
      <c r="P107" s="634"/>
      <c r="Q107" s="634"/>
      <c r="R107" s="634"/>
      <c r="S107" s="659"/>
      <c r="T107" s="647"/>
      <c r="U107" s="23"/>
      <c r="V107" s="23"/>
      <c r="W107" s="23"/>
      <c r="X107" s="23"/>
      <c r="Y107" s="23"/>
      <c r="Z107" s="634"/>
      <c r="AA107" s="23">
        <f t="shared" si="96"/>
        <v>0</v>
      </c>
      <c r="AB107" s="634"/>
      <c r="AC107" s="23"/>
      <c r="AD107" s="91"/>
      <c r="AE107" s="634"/>
      <c r="AF107" s="634"/>
      <c r="AG107" s="634"/>
      <c r="AH107" s="634"/>
      <c r="AI107" s="634"/>
      <c r="AJ107" s="634"/>
      <c r="AK107" s="659"/>
      <c r="AL107" s="647"/>
      <c r="AM107" s="28">
        <v>122</v>
      </c>
      <c r="AN107" s="28">
        <v>782</v>
      </c>
      <c r="AO107" s="28">
        <v>5006</v>
      </c>
      <c r="AP107" s="28">
        <v>5502</v>
      </c>
      <c r="AQ107" s="23"/>
      <c r="AR107" s="634"/>
      <c r="AS107" s="23">
        <f t="shared" si="97"/>
        <v>496</v>
      </c>
      <c r="AT107" s="634"/>
      <c r="AU107" s="23" t="s">
        <v>51</v>
      </c>
      <c r="AV107" s="634"/>
      <c r="AW107" s="91" t="s">
        <v>51</v>
      </c>
      <c r="AX107" s="634"/>
      <c r="AY107" s="634"/>
      <c r="AZ107" s="634"/>
      <c r="BA107" s="634"/>
      <c r="BB107" s="634"/>
      <c r="BC107" s="634"/>
      <c r="BD107" s="662"/>
      <c r="BE107" s="117"/>
      <c r="BF107" s="117"/>
      <c r="BG107" s="117"/>
      <c r="BH107" s="117"/>
      <c r="BI107" s="117"/>
      <c r="BJ107" s="117"/>
      <c r="BK107" s="118"/>
      <c r="BL107" s="662"/>
      <c r="BM107" s="118"/>
      <c r="BN107" s="118"/>
      <c r="BO107" s="662"/>
      <c r="BP107" s="662"/>
      <c r="BQ107" s="662"/>
      <c r="BR107" s="662"/>
      <c r="BS107" s="118"/>
      <c r="BT107" s="120"/>
      <c r="BU107" s="120"/>
      <c r="BV107" s="663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92"/>
      <c r="CO107" s="93"/>
      <c r="CP107" s="93"/>
      <c r="CQ107" s="93"/>
      <c r="CR107" s="93"/>
      <c r="CS107" s="93"/>
      <c r="CT107" s="93"/>
      <c r="CU107" s="93"/>
      <c r="CV107" s="93"/>
      <c r="CW107" s="93"/>
      <c r="CX107" s="93"/>
      <c r="CY107" s="93"/>
      <c r="CZ107" s="93"/>
      <c r="DA107" s="93"/>
      <c r="DB107" s="93"/>
      <c r="DC107" s="94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9"/>
      <c r="DV107" s="19"/>
      <c r="DW107" s="19"/>
      <c r="DX107" s="19"/>
      <c r="DY107" s="19"/>
      <c r="DZ107" s="19"/>
    </row>
    <row r="108" spans="1:130" ht="12.75" x14ac:dyDescent="0.2">
      <c r="A108" s="647"/>
      <c r="B108" s="647"/>
      <c r="C108" s="23"/>
      <c r="D108" s="23"/>
      <c r="E108" s="23"/>
      <c r="F108" s="23"/>
      <c r="G108" s="23"/>
      <c r="H108" s="634"/>
      <c r="I108" s="23"/>
      <c r="J108" s="634"/>
      <c r="K108" s="23"/>
      <c r="L108" s="91"/>
      <c r="M108" s="634"/>
      <c r="N108" s="634"/>
      <c r="O108" s="634"/>
      <c r="P108" s="634"/>
      <c r="Q108" s="634"/>
      <c r="R108" s="634"/>
      <c r="S108" s="659"/>
      <c r="T108" s="647"/>
      <c r="U108" s="23"/>
      <c r="V108" s="23"/>
      <c r="W108" s="23"/>
      <c r="X108" s="23"/>
      <c r="Y108" s="23"/>
      <c r="Z108" s="634"/>
      <c r="AA108" s="23"/>
      <c r="AB108" s="634"/>
      <c r="AC108" s="23"/>
      <c r="AD108" s="91"/>
      <c r="AE108" s="634"/>
      <c r="AF108" s="634"/>
      <c r="AG108" s="634"/>
      <c r="AH108" s="634"/>
      <c r="AI108" s="634"/>
      <c r="AJ108" s="634"/>
      <c r="AK108" s="659"/>
      <c r="AL108" s="647"/>
      <c r="AM108" s="23"/>
      <c r="AN108" s="23"/>
      <c r="AO108" s="23"/>
      <c r="AP108" s="23"/>
      <c r="AQ108" s="23"/>
      <c r="AR108" s="634"/>
      <c r="AS108" s="23">
        <f t="shared" si="97"/>
        <v>0</v>
      </c>
      <c r="AT108" s="635"/>
      <c r="AU108" s="23"/>
      <c r="AV108" s="635"/>
      <c r="AW108" s="91"/>
      <c r="AX108" s="634"/>
      <c r="AY108" s="634"/>
      <c r="AZ108" s="634"/>
      <c r="BA108" s="634"/>
      <c r="BB108" s="634"/>
      <c r="BC108" s="634"/>
      <c r="BD108" s="668"/>
      <c r="BE108" s="117"/>
      <c r="BF108" s="117"/>
      <c r="BG108" s="117"/>
      <c r="BH108" s="117"/>
      <c r="BI108" s="117"/>
      <c r="BJ108" s="117"/>
      <c r="BK108" s="118"/>
      <c r="BL108" s="663"/>
      <c r="BM108" s="118"/>
      <c r="BN108" s="118"/>
      <c r="BO108" s="663"/>
      <c r="BP108" s="663"/>
      <c r="BQ108" s="663"/>
      <c r="BR108" s="663"/>
      <c r="BS108" s="118"/>
      <c r="BT108" s="120"/>
      <c r="BU108" s="120"/>
      <c r="BV108" s="662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92"/>
      <c r="CO108" s="93"/>
      <c r="CP108" s="93"/>
      <c r="CQ108" s="93"/>
      <c r="CR108" s="93"/>
      <c r="CS108" s="93"/>
      <c r="CT108" s="93"/>
      <c r="CU108" s="93"/>
      <c r="CV108" s="93"/>
      <c r="CW108" s="93"/>
      <c r="CX108" s="93"/>
      <c r="CY108" s="93"/>
      <c r="CZ108" s="93"/>
      <c r="DA108" s="93"/>
      <c r="DB108" s="93"/>
      <c r="DC108" s="94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9"/>
      <c r="DV108" s="19"/>
      <c r="DW108" s="19"/>
      <c r="DX108" s="19"/>
      <c r="DY108" s="19"/>
      <c r="DZ108" s="19"/>
    </row>
    <row r="109" spans="1:130" ht="12.75" x14ac:dyDescent="0.2">
      <c r="A109" s="647"/>
      <c r="B109" s="648"/>
      <c r="C109" s="23"/>
      <c r="D109" s="23"/>
      <c r="E109" s="23"/>
      <c r="F109" s="23"/>
      <c r="G109" s="23"/>
      <c r="H109" s="635"/>
      <c r="I109" s="23">
        <f t="shared" ref="I109:I129" si="98">F109-E109-G109</f>
        <v>0</v>
      </c>
      <c r="J109" s="635"/>
      <c r="K109" s="23"/>
      <c r="L109" s="91"/>
      <c r="M109" s="635"/>
      <c r="N109" s="635"/>
      <c r="O109" s="635"/>
      <c r="P109" s="635"/>
      <c r="Q109" s="635"/>
      <c r="R109" s="635"/>
      <c r="S109" s="660"/>
      <c r="T109" s="648"/>
      <c r="U109" s="23"/>
      <c r="V109" s="23"/>
      <c r="W109" s="23"/>
      <c r="X109" s="23"/>
      <c r="Y109" s="23"/>
      <c r="Z109" s="635"/>
      <c r="AA109" s="23">
        <f t="shared" ref="AA109:AA129" si="99">X109-W109-Y109</f>
        <v>0</v>
      </c>
      <c r="AB109" s="635"/>
      <c r="AC109" s="23"/>
      <c r="AD109" s="91"/>
      <c r="AE109" s="635"/>
      <c r="AF109" s="635"/>
      <c r="AG109" s="635"/>
      <c r="AH109" s="635"/>
      <c r="AI109" s="635"/>
      <c r="AJ109" s="635"/>
      <c r="AK109" s="660"/>
      <c r="AL109" s="648"/>
      <c r="AM109" s="23"/>
      <c r="AN109" s="23"/>
      <c r="AO109" s="23"/>
      <c r="AP109" s="23"/>
      <c r="AQ109" s="23"/>
      <c r="AR109" s="635"/>
      <c r="AS109" s="23">
        <f t="shared" si="97"/>
        <v>0</v>
      </c>
      <c r="AT109" s="96">
        <f>AS109</f>
        <v>0</v>
      </c>
      <c r="AU109" s="23"/>
      <c r="AV109" s="91"/>
      <c r="AW109" s="91"/>
      <c r="AX109" s="635"/>
      <c r="AY109" s="635"/>
      <c r="AZ109" s="635"/>
      <c r="BA109" s="54">
        <f t="shared" ref="BA109:BA110" si="100">AV109*60</f>
        <v>0</v>
      </c>
      <c r="BB109" s="635"/>
      <c r="BC109" s="95">
        <f t="shared" ref="BC109:BC110" si="101">IF(BA109=0,0,AT109/BA109)</f>
        <v>0</v>
      </c>
      <c r="BD109" s="662"/>
      <c r="BE109" s="120"/>
      <c r="BF109" s="120"/>
      <c r="BG109" s="120"/>
      <c r="BH109" s="120"/>
      <c r="BI109" s="120"/>
      <c r="BJ109" s="120"/>
      <c r="BK109" s="118"/>
      <c r="BL109" s="662"/>
      <c r="BM109" s="118"/>
      <c r="BN109" s="118"/>
      <c r="BO109" s="662"/>
      <c r="BP109" s="662"/>
      <c r="BQ109" s="662"/>
      <c r="BR109" s="662"/>
      <c r="BS109" s="118"/>
      <c r="BT109" s="120"/>
      <c r="BU109" s="120"/>
      <c r="BV109" s="663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92"/>
      <c r="CO109" s="93"/>
      <c r="CP109" s="93"/>
      <c r="CQ109" s="93"/>
      <c r="CR109" s="93"/>
      <c r="CS109" s="93"/>
      <c r="CT109" s="93"/>
      <c r="CU109" s="93"/>
      <c r="CV109" s="93"/>
      <c r="CW109" s="93"/>
      <c r="CX109" s="93"/>
      <c r="CY109" s="93"/>
      <c r="CZ109" s="93"/>
      <c r="DA109" s="93"/>
      <c r="DB109" s="93"/>
      <c r="DC109" s="94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9"/>
      <c r="DV109" s="19"/>
      <c r="DW109" s="19"/>
      <c r="DX109" s="19"/>
      <c r="DY109" s="19"/>
      <c r="DZ109" s="19"/>
    </row>
    <row r="110" spans="1:130" ht="12.75" x14ac:dyDescent="0.2">
      <c r="A110" s="647"/>
      <c r="B110" s="694">
        <v>46077</v>
      </c>
      <c r="C110" s="53"/>
      <c r="D110" s="53"/>
      <c r="E110" s="53"/>
      <c r="F110" s="53"/>
      <c r="G110" s="53"/>
      <c r="H110" s="690"/>
      <c r="I110" s="53">
        <f t="shared" si="98"/>
        <v>0</v>
      </c>
      <c r="J110" s="691">
        <f>SUM(I110:I113,H110)</f>
        <v>0</v>
      </c>
      <c r="K110" s="53"/>
      <c r="L110" s="53"/>
      <c r="M110" s="690"/>
      <c r="N110" s="690"/>
      <c r="O110" s="689">
        <f>SUM(M110:N113)</f>
        <v>0</v>
      </c>
      <c r="P110" s="690"/>
      <c r="Q110" s="690">
        <f>M110*60</f>
        <v>0</v>
      </c>
      <c r="R110" s="692">
        <f>IF(
   COUNTIF(K110:K113,"SI")&gt;0,
   1.8,
   IF(
      COUNTIF(L110:L113,"SI")&gt;0,
      1.6,
      2
   )
)</f>
        <v>2</v>
      </c>
      <c r="S110" s="700">
        <f>IF(Q110=0,0,J110/Q110)</f>
        <v>0</v>
      </c>
      <c r="T110" s="694">
        <v>46077</v>
      </c>
      <c r="U110" s="53">
        <v>113</v>
      </c>
      <c r="V110" s="53">
        <v>783</v>
      </c>
      <c r="W110" s="53">
        <v>5502</v>
      </c>
      <c r="X110" s="53">
        <v>6004</v>
      </c>
      <c r="Y110" s="53">
        <v>0</v>
      </c>
      <c r="Z110" s="690">
        <v>0</v>
      </c>
      <c r="AA110" s="53">
        <f t="shared" si="99"/>
        <v>502</v>
      </c>
      <c r="AB110" s="691">
        <f>SUM(AA110:AA111)</f>
        <v>991</v>
      </c>
      <c r="AC110" s="53" t="s">
        <v>51</v>
      </c>
      <c r="AD110" s="53" t="s">
        <v>51</v>
      </c>
      <c r="AE110" s="690">
        <v>7.5</v>
      </c>
      <c r="AF110" s="690">
        <v>1</v>
      </c>
      <c r="AG110" s="689">
        <f>SUM(AE110:AF113)</f>
        <v>8.5</v>
      </c>
      <c r="AH110" s="690">
        <v>0</v>
      </c>
      <c r="AI110" s="690">
        <f>AE110*60</f>
        <v>450</v>
      </c>
      <c r="AJ110" s="692">
        <f>IF(
   COUNTIF(AC110:AC113,"SI")&gt;0,
   1.8,
   IF(
      COUNTIF(AD110:AD113,"SI")&gt;0,
      1.6,
      2
   )
)</f>
        <v>1.8</v>
      </c>
      <c r="AK110" s="693">
        <f>SUM(AA110:AA111)/AI110</f>
        <v>2.2022222222222223</v>
      </c>
      <c r="AL110" s="694">
        <v>46077</v>
      </c>
      <c r="AM110" s="53"/>
      <c r="AN110" s="53">
        <v>522</v>
      </c>
      <c r="AO110" s="53">
        <v>5614</v>
      </c>
      <c r="AP110" s="53">
        <v>5863</v>
      </c>
      <c r="AQ110" s="53">
        <v>1</v>
      </c>
      <c r="AR110" s="690"/>
      <c r="AS110" s="85">
        <f t="shared" si="97"/>
        <v>248</v>
      </c>
      <c r="AT110" s="691">
        <f>SUM(AS110:AS114)</f>
        <v>248</v>
      </c>
      <c r="AU110" s="690" t="s">
        <v>52</v>
      </c>
      <c r="AV110" s="690">
        <v>1.7</v>
      </c>
      <c r="AW110" s="53"/>
      <c r="AX110" s="690">
        <v>1.3</v>
      </c>
      <c r="AY110" s="689">
        <f>SUM(AV110:AX113)</f>
        <v>3</v>
      </c>
      <c r="AZ110" s="690">
        <v>0.25</v>
      </c>
      <c r="BA110" s="690">
        <f t="shared" si="100"/>
        <v>102</v>
      </c>
      <c r="BB110" s="692">
        <f>IF(
   COUNTIF(AU110:AU113,"SI")&gt;0,
   1.8,
   IF(
      COUNTIF(AV110:AV113,"SI")&gt;0,
      1.6,
      2
   )
)</f>
        <v>2</v>
      </c>
      <c r="BC110" s="698">
        <f t="shared" si="101"/>
        <v>2.4313725490196076</v>
      </c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662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92"/>
      <c r="CO110" s="93"/>
      <c r="CP110" s="93"/>
      <c r="CQ110" s="93"/>
      <c r="CR110" s="93"/>
      <c r="CS110" s="93"/>
      <c r="CT110" s="93"/>
      <c r="CU110" s="93"/>
      <c r="CV110" s="93"/>
      <c r="CW110" s="93"/>
      <c r="CX110" s="93"/>
      <c r="CY110" s="93"/>
      <c r="CZ110" s="93"/>
      <c r="DA110" s="93"/>
      <c r="DB110" s="93"/>
      <c r="DC110" s="94"/>
      <c r="DD110" s="118"/>
      <c r="DE110" s="118"/>
      <c r="DF110" s="118"/>
      <c r="DG110" s="118"/>
      <c r="DH110" s="118"/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9"/>
      <c r="DV110" s="19"/>
      <c r="DW110" s="19"/>
      <c r="DX110" s="19"/>
      <c r="DY110" s="19"/>
      <c r="DZ110" s="19"/>
    </row>
    <row r="111" spans="1:130" ht="12.75" x14ac:dyDescent="0.2">
      <c r="A111" s="647"/>
      <c r="B111" s="647"/>
      <c r="C111" s="53"/>
      <c r="D111" s="53"/>
      <c r="E111" s="53"/>
      <c r="F111" s="53"/>
      <c r="G111" s="53"/>
      <c r="H111" s="634"/>
      <c r="I111" s="53">
        <f t="shared" si="98"/>
        <v>0</v>
      </c>
      <c r="J111" s="634"/>
      <c r="K111" s="53"/>
      <c r="L111" s="53"/>
      <c r="M111" s="634"/>
      <c r="N111" s="634"/>
      <c r="O111" s="634"/>
      <c r="P111" s="634"/>
      <c r="Q111" s="634"/>
      <c r="R111" s="634"/>
      <c r="S111" s="659"/>
      <c r="T111" s="647"/>
      <c r="U111" s="53">
        <v>119</v>
      </c>
      <c r="V111" s="53">
        <v>784</v>
      </c>
      <c r="W111" s="53">
        <v>6005</v>
      </c>
      <c r="X111" s="53">
        <v>6504</v>
      </c>
      <c r="Y111" s="53">
        <v>10</v>
      </c>
      <c r="Z111" s="634"/>
      <c r="AA111" s="53">
        <f t="shared" si="99"/>
        <v>489</v>
      </c>
      <c r="AB111" s="634"/>
      <c r="AC111" s="49" t="s">
        <v>51</v>
      </c>
      <c r="AD111" s="53" t="s">
        <v>51</v>
      </c>
      <c r="AE111" s="634"/>
      <c r="AF111" s="634"/>
      <c r="AG111" s="634"/>
      <c r="AH111" s="634"/>
      <c r="AI111" s="634"/>
      <c r="AJ111" s="634"/>
      <c r="AK111" s="659"/>
      <c r="AL111" s="647"/>
      <c r="AM111" s="53"/>
      <c r="AN111" s="53"/>
      <c r="AO111" s="53"/>
      <c r="AP111" s="53"/>
      <c r="AQ111" s="53"/>
      <c r="AR111" s="634"/>
      <c r="AS111" s="85">
        <f t="shared" si="97"/>
        <v>0</v>
      </c>
      <c r="AT111" s="634"/>
      <c r="AU111" s="634"/>
      <c r="AV111" s="634"/>
      <c r="AW111" s="53"/>
      <c r="AX111" s="634"/>
      <c r="AY111" s="634"/>
      <c r="AZ111" s="634"/>
      <c r="BA111" s="634"/>
      <c r="BB111" s="634"/>
      <c r="BC111" s="634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92"/>
      <c r="CO111" s="93"/>
      <c r="CP111" s="93"/>
      <c r="CQ111" s="93"/>
      <c r="CR111" s="93"/>
      <c r="CS111" s="93"/>
      <c r="CT111" s="93"/>
      <c r="CU111" s="93"/>
      <c r="CV111" s="93"/>
      <c r="CW111" s="93"/>
      <c r="CX111" s="93"/>
      <c r="CY111" s="93"/>
      <c r="CZ111" s="93"/>
      <c r="DA111" s="93"/>
      <c r="DB111" s="93"/>
      <c r="DC111" s="94"/>
      <c r="DD111" s="118"/>
      <c r="DE111" s="118"/>
      <c r="DF111" s="118"/>
      <c r="DG111" s="118"/>
      <c r="DH111" s="118"/>
      <c r="DI111" s="118"/>
      <c r="DJ111" s="118"/>
      <c r="DK111" s="118"/>
      <c r="DL111" s="118"/>
      <c r="DM111" s="118"/>
      <c r="DN111" s="118"/>
      <c r="DO111" s="118"/>
      <c r="DP111" s="118"/>
      <c r="DQ111" s="118"/>
      <c r="DR111" s="118"/>
      <c r="DS111" s="118"/>
      <c r="DT111" s="118"/>
      <c r="DU111" s="19"/>
      <c r="DV111" s="19"/>
      <c r="DW111" s="19"/>
      <c r="DX111" s="19"/>
      <c r="DY111" s="19"/>
      <c r="DZ111" s="19"/>
    </row>
    <row r="112" spans="1:130" ht="12.75" x14ac:dyDescent="0.2">
      <c r="A112" s="647"/>
      <c r="B112" s="647"/>
      <c r="C112" s="53"/>
      <c r="D112" s="53"/>
      <c r="E112" s="53"/>
      <c r="F112" s="53"/>
      <c r="G112" s="53"/>
      <c r="H112" s="634"/>
      <c r="I112" s="53">
        <f t="shared" si="98"/>
        <v>0</v>
      </c>
      <c r="J112" s="634"/>
      <c r="K112" s="53"/>
      <c r="L112" s="53"/>
      <c r="M112" s="634"/>
      <c r="N112" s="634"/>
      <c r="O112" s="634"/>
      <c r="P112" s="634"/>
      <c r="Q112" s="634"/>
      <c r="R112" s="634"/>
      <c r="S112" s="659"/>
      <c r="T112" s="647"/>
      <c r="U112" s="53"/>
      <c r="V112" s="53"/>
      <c r="W112" s="53"/>
      <c r="X112" s="53"/>
      <c r="Y112" s="53"/>
      <c r="Z112" s="634"/>
      <c r="AA112" s="53">
        <f t="shared" si="99"/>
        <v>0</v>
      </c>
      <c r="AB112" s="691">
        <f>SUM(AA112:AA113)</f>
        <v>0</v>
      </c>
      <c r="AC112" s="53"/>
      <c r="AD112" s="53"/>
      <c r="AE112" s="690"/>
      <c r="AF112" s="634"/>
      <c r="AG112" s="634"/>
      <c r="AH112" s="634"/>
      <c r="AI112" s="690">
        <f>AE112*60</f>
        <v>0</v>
      </c>
      <c r="AJ112" s="634"/>
      <c r="AK112" s="693" t="e">
        <f>SUM(AA112:AA113)/AI112</f>
        <v>#DIV/0!</v>
      </c>
      <c r="AL112" s="647"/>
      <c r="AM112" s="53"/>
      <c r="AN112" s="53"/>
      <c r="AO112" s="53"/>
      <c r="AP112" s="53"/>
      <c r="AQ112" s="53"/>
      <c r="AR112" s="634"/>
      <c r="AS112" s="85">
        <f t="shared" si="97"/>
        <v>0</v>
      </c>
      <c r="AT112" s="635"/>
      <c r="AU112" s="635"/>
      <c r="AV112" s="635"/>
      <c r="AW112" s="53"/>
      <c r="AX112" s="634"/>
      <c r="AY112" s="634"/>
      <c r="AZ112" s="634"/>
      <c r="BA112" s="634"/>
      <c r="BB112" s="634"/>
      <c r="BC112" s="635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92"/>
      <c r="CO112" s="93"/>
      <c r="CP112" s="93"/>
      <c r="CQ112" s="93"/>
      <c r="CR112" s="93"/>
      <c r="CS112" s="93"/>
      <c r="CT112" s="93"/>
      <c r="CU112" s="93"/>
      <c r="CV112" s="93"/>
      <c r="CW112" s="93"/>
      <c r="CX112" s="93"/>
      <c r="CY112" s="93"/>
      <c r="CZ112" s="93"/>
      <c r="DA112" s="93"/>
      <c r="DB112" s="93"/>
      <c r="DC112" s="94"/>
      <c r="DD112" s="118"/>
      <c r="DE112" s="118"/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9"/>
      <c r="DV112" s="19"/>
      <c r="DW112" s="19"/>
      <c r="DX112" s="19"/>
      <c r="DY112" s="19"/>
      <c r="DZ112" s="19"/>
    </row>
    <row r="113" spans="1:130" ht="12.75" x14ac:dyDescent="0.2">
      <c r="A113" s="647"/>
      <c r="B113" s="648"/>
      <c r="C113" s="53"/>
      <c r="D113" s="53"/>
      <c r="E113" s="53"/>
      <c r="F113" s="53"/>
      <c r="G113" s="53"/>
      <c r="H113" s="635"/>
      <c r="I113" s="53">
        <f t="shared" si="98"/>
        <v>0</v>
      </c>
      <c r="J113" s="635"/>
      <c r="K113" s="53"/>
      <c r="L113" s="53"/>
      <c r="M113" s="635"/>
      <c r="N113" s="635"/>
      <c r="O113" s="635"/>
      <c r="P113" s="635"/>
      <c r="Q113" s="635"/>
      <c r="R113" s="635"/>
      <c r="S113" s="660"/>
      <c r="T113" s="648"/>
      <c r="U113" s="53"/>
      <c r="V113" s="53"/>
      <c r="W113" s="53"/>
      <c r="X113" s="53"/>
      <c r="Y113" s="53"/>
      <c r="Z113" s="635"/>
      <c r="AA113" s="53">
        <f t="shared" si="99"/>
        <v>0</v>
      </c>
      <c r="AB113" s="634"/>
      <c r="AC113" s="53"/>
      <c r="AD113" s="53"/>
      <c r="AE113" s="634"/>
      <c r="AF113" s="635"/>
      <c r="AG113" s="635"/>
      <c r="AH113" s="635"/>
      <c r="AI113" s="634"/>
      <c r="AJ113" s="635"/>
      <c r="AK113" s="659"/>
      <c r="AL113" s="648"/>
      <c r="AM113" s="53"/>
      <c r="AN113" s="53"/>
      <c r="AO113" s="53"/>
      <c r="AP113" s="53"/>
      <c r="AQ113" s="53"/>
      <c r="AR113" s="635"/>
      <c r="AS113" s="85">
        <f t="shared" si="97"/>
        <v>0</v>
      </c>
      <c r="AT113" s="98"/>
      <c r="AU113" s="53"/>
      <c r="AV113" s="56"/>
      <c r="AW113" s="56"/>
      <c r="AX113" s="635"/>
      <c r="AY113" s="635"/>
      <c r="AZ113" s="635"/>
      <c r="BA113" s="56"/>
      <c r="BB113" s="635"/>
      <c r="BC113" s="124"/>
      <c r="BD113" s="121"/>
      <c r="BE113" s="661"/>
      <c r="BF113" s="662"/>
      <c r="BG113" s="662"/>
      <c r="BH113" s="662"/>
      <c r="BI113" s="662"/>
      <c r="BJ113" s="662"/>
      <c r="BK113" s="662"/>
      <c r="BL113" s="662"/>
      <c r="BM113" s="662"/>
      <c r="BN113" s="662"/>
      <c r="BO113" s="662"/>
      <c r="BP113" s="662"/>
      <c r="BQ113" s="662"/>
      <c r="BR113" s="662"/>
      <c r="BS113" s="662"/>
      <c r="BT113" s="662"/>
      <c r="BU113" s="662"/>
      <c r="BV113" s="662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92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3"/>
      <c r="DC113" s="94"/>
      <c r="DD113" s="118"/>
      <c r="DE113" s="118"/>
      <c r="DF113" s="118"/>
      <c r="DG113" s="118"/>
      <c r="DH113" s="118"/>
      <c r="DI113" s="118"/>
      <c r="DJ113" s="118"/>
      <c r="DK113" s="118"/>
      <c r="DL113" s="118"/>
      <c r="DM113" s="118"/>
      <c r="DN113" s="118"/>
      <c r="DO113" s="118"/>
      <c r="DP113" s="118"/>
      <c r="DQ113" s="118"/>
      <c r="DR113" s="118"/>
      <c r="DS113" s="118"/>
      <c r="DT113" s="118"/>
      <c r="DU113" s="19"/>
      <c r="DV113" s="19"/>
      <c r="DW113" s="19"/>
      <c r="DX113" s="19"/>
      <c r="DY113" s="19"/>
      <c r="DZ113" s="19"/>
    </row>
    <row r="114" spans="1:130" ht="12.75" x14ac:dyDescent="0.2">
      <c r="A114" s="647"/>
      <c r="B114" s="695">
        <v>46078</v>
      </c>
      <c r="C114" s="23"/>
      <c r="D114" s="23"/>
      <c r="E114" s="23"/>
      <c r="F114" s="23"/>
      <c r="G114" s="23"/>
      <c r="H114" s="688"/>
      <c r="I114" s="23">
        <f t="shared" si="98"/>
        <v>0</v>
      </c>
      <c r="J114" s="691">
        <f>SUM(I114:I117,H114)</f>
        <v>0</v>
      </c>
      <c r="K114" s="23"/>
      <c r="L114" s="23"/>
      <c r="M114" s="688"/>
      <c r="N114" s="688"/>
      <c r="O114" s="712">
        <f>SUM(M114:N117)</f>
        <v>0</v>
      </c>
      <c r="P114" s="688"/>
      <c r="Q114" s="696">
        <f>M114*60</f>
        <v>0</v>
      </c>
      <c r="R114" s="692">
        <f>IF(
   COUNTIF(K114:K117,"SI")&gt;0,
   1.8,
   IF(
      COUNTIF(L114:L117,"SI")&gt;0,
      1.6,
      2
   )
)</f>
        <v>2</v>
      </c>
      <c r="S114" s="693">
        <f>IF(Q114=0,0,J114/Q114)</f>
        <v>0</v>
      </c>
      <c r="T114" s="695">
        <v>46078</v>
      </c>
      <c r="U114" s="23">
        <v>106</v>
      </c>
      <c r="V114" s="23">
        <v>785</v>
      </c>
      <c r="W114" s="23">
        <v>6505</v>
      </c>
      <c r="X114" s="23">
        <v>7001</v>
      </c>
      <c r="Y114" s="23">
        <v>2</v>
      </c>
      <c r="Z114" s="688">
        <v>0</v>
      </c>
      <c r="AA114" s="23">
        <f t="shared" si="99"/>
        <v>494</v>
      </c>
      <c r="AB114" s="691">
        <f>SUM(AA114:AA117,Z114)</f>
        <v>990</v>
      </c>
      <c r="AC114" s="23" t="s">
        <v>51</v>
      </c>
      <c r="AD114" s="23" t="s">
        <v>51</v>
      </c>
      <c r="AE114" s="688">
        <v>8</v>
      </c>
      <c r="AF114" s="688">
        <v>0.5</v>
      </c>
      <c r="AG114" s="689">
        <f>SUM(AE114:AF117)</f>
        <v>8.5</v>
      </c>
      <c r="AH114" s="688">
        <v>0</v>
      </c>
      <c r="AI114" s="688">
        <f>AE114*60</f>
        <v>480</v>
      </c>
      <c r="AJ114" s="692">
        <f>IF(
   COUNTIF(AC114:AC117,"SI")&gt;0,
   1.8,
   IF(
      COUNTIF(AD114:AD117,"SI")&gt;0,
      1.6,
      2
   )
)</f>
        <v>1.8</v>
      </c>
      <c r="AK114" s="693">
        <f>SUM(AA114:AA115)/AI114</f>
        <v>2.0625</v>
      </c>
      <c r="AL114" s="695">
        <v>46078</v>
      </c>
      <c r="AM114" s="23"/>
      <c r="AN114" s="53"/>
      <c r="AO114" s="53"/>
      <c r="AP114" s="53"/>
      <c r="AQ114" s="53"/>
      <c r="AR114" s="690"/>
      <c r="AS114" s="53">
        <f t="shared" si="97"/>
        <v>0</v>
      </c>
      <c r="AT114" s="691">
        <f>SUM(AS114:AS116,AR114)</f>
        <v>0</v>
      </c>
      <c r="AU114" s="690"/>
      <c r="AV114" s="690"/>
      <c r="AW114" s="53"/>
      <c r="AX114" s="690"/>
      <c r="AY114" s="689">
        <f>SUM(AV114:AX117)</f>
        <v>0</v>
      </c>
      <c r="AZ114" s="688">
        <v>0.25</v>
      </c>
      <c r="BA114" s="688">
        <f>AV114*60</f>
        <v>0</v>
      </c>
      <c r="BB114" s="692">
        <f>IF(
   COUNTIF(AU114:AU117,"SI")&gt;0,
   1.8,
   IF(
      COUNTIF(AV114:AV117,"SI")&gt;0,
      1.6,
      2
   )
)</f>
        <v>2</v>
      </c>
      <c r="BC114" s="697">
        <f>IF(BA114=0,0,AT114/BA114)</f>
        <v>0</v>
      </c>
      <c r="BD114" s="120"/>
      <c r="BE114" s="116"/>
      <c r="BF114" s="663"/>
      <c r="BG114" s="662"/>
      <c r="BH114" s="662"/>
      <c r="BI114" s="662"/>
      <c r="BJ114" s="662"/>
      <c r="BK114" s="662"/>
      <c r="BL114" s="662"/>
      <c r="BM114" s="662"/>
      <c r="BN114" s="662"/>
      <c r="BO114" s="662"/>
      <c r="BP114" s="662"/>
      <c r="BQ114" s="662"/>
      <c r="BR114" s="662"/>
      <c r="BS114" s="662"/>
      <c r="BT114" s="662"/>
      <c r="BU114" s="662"/>
      <c r="BV114" s="662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92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B114" s="93"/>
      <c r="DC114" s="94"/>
      <c r="DD114" s="118"/>
      <c r="DE114" s="118"/>
      <c r="DF114" s="118"/>
      <c r="DG114" s="118"/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118"/>
      <c r="DU114" s="19"/>
      <c r="DV114" s="19"/>
      <c r="DW114" s="19"/>
      <c r="DX114" s="19"/>
      <c r="DY114" s="19"/>
      <c r="DZ114" s="19"/>
    </row>
    <row r="115" spans="1:130" ht="12.75" x14ac:dyDescent="0.2">
      <c r="A115" s="647"/>
      <c r="B115" s="647"/>
      <c r="C115" s="23"/>
      <c r="D115" s="23"/>
      <c r="E115" s="23"/>
      <c r="F115" s="23"/>
      <c r="G115" s="23"/>
      <c r="H115" s="634"/>
      <c r="I115" s="23">
        <f t="shared" si="98"/>
        <v>0</v>
      </c>
      <c r="J115" s="634"/>
      <c r="K115" s="23"/>
      <c r="L115" s="23"/>
      <c r="M115" s="634"/>
      <c r="N115" s="634"/>
      <c r="O115" s="634"/>
      <c r="P115" s="634"/>
      <c r="Q115" s="634"/>
      <c r="R115" s="634"/>
      <c r="S115" s="659"/>
      <c r="T115" s="647"/>
      <c r="U115" s="23">
        <v>113</v>
      </c>
      <c r="V115" s="23">
        <v>786</v>
      </c>
      <c r="W115" s="23">
        <v>7002</v>
      </c>
      <c r="X115" s="23">
        <v>7502</v>
      </c>
      <c r="Y115" s="23">
        <v>4</v>
      </c>
      <c r="Z115" s="634"/>
      <c r="AA115" s="23">
        <f t="shared" si="99"/>
        <v>496</v>
      </c>
      <c r="AB115" s="634"/>
      <c r="AC115" s="23" t="s">
        <v>51</v>
      </c>
      <c r="AD115" s="23" t="s">
        <v>51</v>
      </c>
      <c r="AE115" s="635"/>
      <c r="AF115" s="634"/>
      <c r="AG115" s="634"/>
      <c r="AH115" s="634"/>
      <c r="AI115" s="634"/>
      <c r="AJ115" s="634"/>
      <c r="AK115" s="659"/>
      <c r="AL115" s="647"/>
      <c r="AM115" s="23"/>
      <c r="AN115" s="53"/>
      <c r="AO115" s="53"/>
      <c r="AP115" s="53"/>
      <c r="AQ115" s="53"/>
      <c r="AR115" s="634"/>
      <c r="AS115" s="53">
        <f t="shared" si="97"/>
        <v>0</v>
      </c>
      <c r="AT115" s="634"/>
      <c r="AU115" s="634"/>
      <c r="AV115" s="634"/>
      <c r="AW115" s="53"/>
      <c r="AX115" s="634"/>
      <c r="AY115" s="634"/>
      <c r="AZ115" s="634"/>
      <c r="BA115" s="634"/>
      <c r="BB115" s="634"/>
      <c r="BC115" s="634"/>
      <c r="BD115" s="120"/>
      <c r="BE115" s="116"/>
      <c r="BF115" s="662"/>
      <c r="BG115" s="662"/>
      <c r="BH115" s="662"/>
      <c r="BI115" s="662"/>
      <c r="BJ115" s="662"/>
      <c r="BK115" s="662"/>
      <c r="BL115" s="662"/>
      <c r="BM115" s="662"/>
      <c r="BN115" s="662"/>
      <c r="BO115" s="662"/>
      <c r="BP115" s="662"/>
      <c r="BQ115" s="662"/>
      <c r="BR115" s="662"/>
      <c r="BS115" s="662"/>
      <c r="BT115" s="662"/>
      <c r="BU115" s="662"/>
      <c r="BV115" s="662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92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  <c r="CY115" s="93"/>
      <c r="CZ115" s="93"/>
      <c r="DA115" s="93"/>
      <c r="DB115" s="93"/>
      <c r="DC115" s="94"/>
      <c r="DD115" s="118"/>
      <c r="DE115" s="118"/>
      <c r="DF115" s="118"/>
      <c r="DG115" s="118"/>
      <c r="DH115" s="118"/>
      <c r="DI115" s="118"/>
      <c r="DJ115" s="118"/>
      <c r="DK115" s="118"/>
      <c r="DL115" s="118"/>
      <c r="DM115" s="118"/>
      <c r="DN115" s="118"/>
      <c r="DO115" s="118"/>
      <c r="DP115" s="118"/>
      <c r="DQ115" s="118"/>
      <c r="DR115" s="118"/>
      <c r="DS115" s="118"/>
      <c r="DT115" s="118"/>
      <c r="DU115" s="19"/>
      <c r="DV115" s="19"/>
      <c r="DW115" s="19"/>
      <c r="DX115" s="19"/>
      <c r="DY115" s="19"/>
      <c r="DZ115" s="19"/>
    </row>
    <row r="116" spans="1:130" ht="12.75" x14ac:dyDescent="0.2">
      <c r="A116" s="647"/>
      <c r="B116" s="647"/>
      <c r="C116" s="23"/>
      <c r="D116" s="23"/>
      <c r="E116" s="23"/>
      <c r="F116" s="23"/>
      <c r="G116" s="23"/>
      <c r="H116" s="634"/>
      <c r="I116" s="23">
        <f t="shared" si="98"/>
        <v>0</v>
      </c>
      <c r="J116" s="634"/>
      <c r="K116" s="23"/>
      <c r="L116" s="23"/>
      <c r="M116" s="634"/>
      <c r="N116" s="634"/>
      <c r="O116" s="634"/>
      <c r="P116" s="634"/>
      <c r="Q116" s="634"/>
      <c r="R116" s="634"/>
      <c r="S116" s="659"/>
      <c r="T116" s="647"/>
      <c r="U116" s="23"/>
      <c r="V116" s="23"/>
      <c r="W116" s="23"/>
      <c r="X116" s="23"/>
      <c r="Y116" s="23"/>
      <c r="Z116" s="634"/>
      <c r="AA116" s="23">
        <f t="shared" si="99"/>
        <v>0</v>
      </c>
      <c r="AB116" s="634"/>
      <c r="AC116" s="23"/>
      <c r="AD116" s="23"/>
      <c r="AE116" s="688"/>
      <c r="AF116" s="634"/>
      <c r="AG116" s="634"/>
      <c r="AH116" s="634"/>
      <c r="AI116" s="696">
        <f>AE116*60</f>
        <v>0</v>
      </c>
      <c r="AJ116" s="634"/>
      <c r="AK116" s="797" t="e">
        <f>SUM(AA116:AA117)/AI116</f>
        <v>#DIV/0!</v>
      </c>
      <c r="AL116" s="647"/>
      <c r="AM116" s="23"/>
      <c r="AN116" s="53"/>
      <c r="AO116" s="53"/>
      <c r="AP116" s="53"/>
      <c r="AQ116" s="53"/>
      <c r="AR116" s="634"/>
      <c r="AS116" s="53">
        <f t="shared" si="97"/>
        <v>0</v>
      </c>
      <c r="AT116" s="635"/>
      <c r="AU116" s="635"/>
      <c r="AV116" s="635"/>
      <c r="AW116" s="53"/>
      <c r="AX116" s="634"/>
      <c r="AY116" s="634"/>
      <c r="AZ116" s="634"/>
      <c r="BA116" s="634"/>
      <c r="BB116" s="634"/>
      <c r="BC116" s="634"/>
      <c r="BD116" s="120"/>
      <c r="BE116" s="116"/>
      <c r="BF116" s="662"/>
      <c r="BG116" s="662"/>
      <c r="BH116" s="662"/>
      <c r="BI116" s="662"/>
      <c r="BJ116" s="662"/>
      <c r="BK116" s="662"/>
      <c r="BL116" s="662"/>
      <c r="BM116" s="662"/>
      <c r="BN116" s="662"/>
      <c r="BO116" s="662"/>
      <c r="BP116" s="662"/>
      <c r="BQ116" s="662"/>
      <c r="BR116" s="662"/>
      <c r="BS116" s="662"/>
      <c r="BT116" s="662"/>
      <c r="BU116" s="662"/>
      <c r="BV116" s="662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92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  <c r="CY116" s="93"/>
      <c r="CZ116" s="93"/>
      <c r="DA116" s="93"/>
      <c r="DB116" s="93"/>
      <c r="DC116" s="94"/>
      <c r="DD116" s="118"/>
      <c r="DE116" s="118"/>
      <c r="DF116" s="118"/>
      <c r="DG116" s="118"/>
      <c r="DH116" s="118"/>
      <c r="DI116" s="118"/>
      <c r="DJ116" s="118"/>
      <c r="DK116" s="118"/>
      <c r="DL116" s="118"/>
      <c r="DM116" s="118"/>
      <c r="DN116" s="118"/>
      <c r="DO116" s="118"/>
      <c r="DP116" s="118"/>
      <c r="DQ116" s="118"/>
      <c r="DR116" s="118"/>
      <c r="DS116" s="118"/>
      <c r="DT116" s="118"/>
      <c r="DU116" s="19"/>
      <c r="DV116" s="19"/>
      <c r="DW116" s="19"/>
      <c r="DX116" s="19"/>
      <c r="DY116" s="19"/>
      <c r="DZ116" s="19"/>
    </row>
    <row r="117" spans="1:130" ht="12.75" x14ac:dyDescent="0.2">
      <c r="A117" s="647"/>
      <c r="B117" s="648"/>
      <c r="C117" s="23"/>
      <c r="D117" s="23"/>
      <c r="E117" s="23"/>
      <c r="F117" s="23"/>
      <c r="G117" s="23"/>
      <c r="H117" s="635"/>
      <c r="I117" s="23">
        <f t="shared" si="98"/>
        <v>0</v>
      </c>
      <c r="J117" s="635"/>
      <c r="K117" s="23"/>
      <c r="L117" s="23"/>
      <c r="M117" s="635"/>
      <c r="N117" s="635"/>
      <c r="O117" s="635"/>
      <c r="P117" s="635"/>
      <c r="Q117" s="635"/>
      <c r="R117" s="635"/>
      <c r="S117" s="660"/>
      <c r="T117" s="648"/>
      <c r="U117" s="23"/>
      <c r="V117" s="23"/>
      <c r="W117" s="23"/>
      <c r="X117" s="23"/>
      <c r="Y117" s="23"/>
      <c r="Z117" s="635"/>
      <c r="AA117" s="23">
        <f t="shared" si="99"/>
        <v>0</v>
      </c>
      <c r="AB117" s="635"/>
      <c r="AC117" s="23"/>
      <c r="AD117" s="23"/>
      <c r="AE117" s="635"/>
      <c r="AF117" s="635"/>
      <c r="AG117" s="635"/>
      <c r="AH117" s="635"/>
      <c r="AI117" s="635"/>
      <c r="AJ117" s="635"/>
      <c r="AK117" s="660"/>
      <c r="AL117" s="648"/>
      <c r="AM117" s="23"/>
      <c r="AN117" s="53"/>
      <c r="AO117" s="53"/>
      <c r="AP117" s="53"/>
      <c r="AQ117" s="53"/>
      <c r="AR117" s="635"/>
      <c r="AS117" s="53">
        <f t="shared" si="97"/>
        <v>0</v>
      </c>
      <c r="AT117" s="98"/>
      <c r="AU117" s="53"/>
      <c r="AV117" s="56"/>
      <c r="AW117" s="56"/>
      <c r="AX117" s="635"/>
      <c r="AY117" s="635"/>
      <c r="AZ117" s="635"/>
      <c r="BA117" s="635"/>
      <c r="BB117" s="635"/>
      <c r="BC117" s="635"/>
      <c r="BD117" s="120"/>
      <c r="BE117" s="116"/>
      <c r="BF117" s="662"/>
      <c r="BG117" s="662"/>
      <c r="BH117" s="662"/>
      <c r="BI117" s="662"/>
      <c r="BJ117" s="662"/>
      <c r="BK117" s="662"/>
      <c r="BL117" s="662"/>
      <c r="BM117" s="662"/>
      <c r="BN117" s="662"/>
      <c r="BO117" s="662"/>
      <c r="BP117" s="662"/>
      <c r="BQ117" s="662"/>
      <c r="BR117" s="662"/>
      <c r="BS117" s="662"/>
      <c r="BT117" s="662"/>
      <c r="BU117" s="662"/>
      <c r="BV117" s="662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92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3"/>
      <c r="DC117" s="94"/>
      <c r="DD117" s="118"/>
      <c r="DE117" s="118"/>
      <c r="DF117" s="118"/>
      <c r="DG117" s="118"/>
      <c r="DH117" s="118"/>
      <c r="DI117" s="118"/>
      <c r="DJ117" s="118"/>
      <c r="DK117" s="118"/>
      <c r="DL117" s="118"/>
      <c r="DM117" s="118"/>
      <c r="DN117" s="118"/>
      <c r="DO117" s="118"/>
      <c r="DP117" s="118"/>
      <c r="DQ117" s="118"/>
      <c r="DR117" s="118"/>
      <c r="DS117" s="118"/>
      <c r="DT117" s="118"/>
      <c r="DU117" s="19"/>
      <c r="DV117" s="19"/>
      <c r="DW117" s="19"/>
      <c r="DX117" s="19"/>
      <c r="DY117" s="19"/>
      <c r="DZ117" s="19"/>
    </row>
    <row r="118" spans="1:130" ht="12.75" x14ac:dyDescent="0.2">
      <c r="A118" s="647"/>
      <c r="B118" s="694">
        <v>46079</v>
      </c>
      <c r="C118" s="53"/>
      <c r="D118" s="53"/>
      <c r="E118" s="53"/>
      <c r="F118" s="53"/>
      <c r="G118" s="91"/>
      <c r="H118" s="696"/>
      <c r="I118" s="53">
        <f t="shared" si="98"/>
        <v>0</v>
      </c>
      <c r="J118" s="691">
        <f>SUM(I118:I121,H118)</f>
        <v>0</v>
      </c>
      <c r="K118" s="53"/>
      <c r="L118" s="53"/>
      <c r="M118" s="690"/>
      <c r="N118" s="687"/>
      <c r="O118" s="689">
        <f>SUM(M118:N121)</f>
        <v>0</v>
      </c>
      <c r="P118" s="690"/>
      <c r="Q118" s="690">
        <f>M118*60</f>
        <v>0</v>
      </c>
      <c r="R118" s="692">
        <f>IF(
   COUNTIF(K118:K121,"SI")&gt;0,
   1.8,
   IF(
      COUNTIF(L118:L121,"SI")&gt;0,
      1.6,
      2
   )
)</f>
        <v>2</v>
      </c>
      <c r="S118" s="693">
        <f>IF(Q118=0,0,J118/Q118)</f>
        <v>0</v>
      </c>
      <c r="T118" s="694">
        <v>46079</v>
      </c>
      <c r="U118" s="53">
        <v>111</v>
      </c>
      <c r="V118" s="53">
        <v>787</v>
      </c>
      <c r="W118" s="53">
        <v>7502</v>
      </c>
      <c r="X118" s="53">
        <v>8002</v>
      </c>
      <c r="Y118" s="53">
        <v>0</v>
      </c>
      <c r="Z118" s="690">
        <v>0</v>
      </c>
      <c r="AA118" s="53">
        <f t="shared" si="99"/>
        <v>500</v>
      </c>
      <c r="AB118" s="691">
        <f>SUM(AA118:AA121,Z118)</f>
        <v>903</v>
      </c>
      <c r="AC118" s="53" t="s">
        <v>51</v>
      </c>
      <c r="AD118" s="53" t="s">
        <v>51</v>
      </c>
      <c r="AE118" s="690">
        <v>7.5</v>
      </c>
      <c r="AF118" s="690">
        <v>0.5</v>
      </c>
      <c r="AG118" s="689">
        <f>SUM(AE118:AF121)</f>
        <v>8</v>
      </c>
      <c r="AH118" s="690">
        <v>0</v>
      </c>
      <c r="AI118" s="690">
        <f>AE118*60</f>
        <v>450</v>
      </c>
      <c r="AJ118" s="692">
        <f>IF(
   COUNTIF(AC118:AC121,"SI")&gt;0,
   1.8,
   IF(
      COUNTIF(AD118:AD121,"SI")&gt;0,
      1.6,
      2
   )
)</f>
        <v>1.8</v>
      </c>
      <c r="AK118" s="693">
        <f>IF(AI118=0,0,AB118/AI118)</f>
        <v>2.0066666666666668</v>
      </c>
      <c r="AL118" s="694">
        <v>46079</v>
      </c>
      <c r="AM118" s="23"/>
      <c r="AN118" s="23"/>
      <c r="AO118" s="23"/>
      <c r="AP118" s="23"/>
      <c r="AQ118" s="53"/>
      <c r="AR118" s="690"/>
      <c r="AS118" s="53">
        <f>AP118-AO118-AQ118+AR118</f>
        <v>0</v>
      </c>
      <c r="AT118" s="691">
        <f>SUM(AS118:AS121)+AR118</f>
        <v>0</v>
      </c>
      <c r="AU118" s="690"/>
      <c r="AV118" s="690"/>
      <c r="AW118" s="53"/>
      <c r="AX118" s="690"/>
      <c r="AY118" s="689">
        <f>SUM(AV118:AX121)</f>
        <v>0</v>
      </c>
      <c r="AZ118" s="690">
        <v>0.25</v>
      </c>
      <c r="BA118" s="690">
        <f>AV118*60</f>
        <v>0</v>
      </c>
      <c r="BB118" s="692">
        <f>IF(
   COUNTIF(AU118:AU121,"SI")&gt;0,
   1.8,
   IF(
      COUNTIF(AV118:AV121,"SI")&gt;0,
      1.6,
      2
   )
)</f>
        <v>2</v>
      </c>
      <c r="BC118" s="698">
        <f>IF(BA118=0,0,AT118/BA118)</f>
        <v>0</v>
      </c>
      <c r="BD118" s="120"/>
      <c r="BE118" s="116"/>
      <c r="BF118" s="662"/>
      <c r="BG118" s="662"/>
      <c r="BH118" s="662"/>
      <c r="BI118" s="662"/>
      <c r="BJ118" s="662"/>
      <c r="BK118" s="662"/>
      <c r="BL118" s="662"/>
      <c r="BM118" s="662"/>
      <c r="BN118" s="662"/>
      <c r="BO118" s="662"/>
      <c r="BP118" s="662"/>
      <c r="BQ118" s="662"/>
      <c r="BR118" s="662"/>
      <c r="BS118" s="662"/>
      <c r="BT118" s="662"/>
      <c r="BU118" s="662"/>
      <c r="BV118" s="662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92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3"/>
      <c r="DC118" s="94"/>
      <c r="DD118" s="118"/>
      <c r="DE118" s="118"/>
      <c r="DF118" s="118"/>
      <c r="DG118" s="118"/>
      <c r="DH118" s="118"/>
      <c r="DI118" s="118"/>
      <c r="DJ118" s="118"/>
      <c r="DK118" s="118"/>
      <c r="DL118" s="118"/>
      <c r="DM118" s="118"/>
      <c r="DN118" s="118"/>
      <c r="DO118" s="118"/>
      <c r="DP118" s="118"/>
      <c r="DQ118" s="118"/>
      <c r="DR118" s="118"/>
      <c r="DS118" s="118"/>
      <c r="DT118" s="118"/>
      <c r="DU118" s="19"/>
      <c r="DV118" s="19"/>
      <c r="DW118" s="19"/>
      <c r="DX118" s="19"/>
      <c r="DY118" s="19"/>
      <c r="DZ118" s="19"/>
    </row>
    <row r="119" spans="1:130" ht="12.75" x14ac:dyDescent="0.2">
      <c r="A119" s="647"/>
      <c r="B119" s="647"/>
      <c r="C119" s="53"/>
      <c r="D119" s="53"/>
      <c r="E119" s="53"/>
      <c r="F119" s="53"/>
      <c r="G119" s="53"/>
      <c r="H119" s="634"/>
      <c r="I119" s="53">
        <f t="shared" si="98"/>
        <v>0</v>
      </c>
      <c r="J119" s="634"/>
      <c r="K119" s="53"/>
      <c r="L119" s="53"/>
      <c r="M119" s="634"/>
      <c r="N119" s="634"/>
      <c r="O119" s="634"/>
      <c r="P119" s="634"/>
      <c r="Q119" s="634"/>
      <c r="R119" s="634"/>
      <c r="S119" s="659"/>
      <c r="T119" s="647"/>
      <c r="U119" s="53">
        <v>83</v>
      </c>
      <c r="V119" s="53">
        <v>788</v>
      </c>
      <c r="W119" s="53">
        <v>8003</v>
      </c>
      <c r="X119" s="53">
        <v>8406</v>
      </c>
      <c r="Y119" s="53">
        <v>0</v>
      </c>
      <c r="Z119" s="634"/>
      <c r="AA119" s="53">
        <f t="shared" si="99"/>
        <v>403</v>
      </c>
      <c r="AB119" s="634"/>
      <c r="AC119" s="53"/>
      <c r="AD119" s="53"/>
      <c r="AE119" s="634"/>
      <c r="AF119" s="634"/>
      <c r="AG119" s="634"/>
      <c r="AH119" s="634"/>
      <c r="AI119" s="634"/>
      <c r="AJ119" s="634"/>
      <c r="AK119" s="659"/>
      <c r="AL119" s="647"/>
      <c r="AM119" s="23"/>
      <c r="AN119" s="23"/>
      <c r="AO119" s="23"/>
      <c r="AP119" s="23"/>
      <c r="AQ119" s="53"/>
      <c r="AR119" s="634"/>
      <c r="AS119" s="53">
        <f t="shared" ref="AS119:AS129" si="102">AP119-AO119-AQ119</f>
        <v>0</v>
      </c>
      <c r="AT119" s="634"/>
      <c r="AU119" s="634"/>
      <c r="AV119" s="634"/>
      <c r="AW119" s="53"/>
      <c r="AX119" s="634"/>
      <c r="AY119" s="634"/>
      <c r="AZ119" s="634"/>
      <c r="BA119" s="634"/>
      <c r="BB119" s="634"/>
      <c r="BC119" s="634"/>
      <c r="BD119" s="120"/>
      <c r="BE119" s="116"/>
      <c r="BF119" s="11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118"/>
      <c r="BS119" s="118"/>
      <c r="BT119" s="118"/>
      <c r="BU119" s="118"/>
      <c r="BV119" s="133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92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4"/>
      <c r="DD119" s="118"/>
      <c r="DE119" s="118"/>
      <c r="DF119" s="118"/>
      <c r="DG119" s="118"/>
      <c r="DH119" s="118"/>
      <c r="DI119" s="118"/>
      <c r="DJ119" s="118"/>
      <c r="DK119" s="118"/>
      <c r="DL119" s="118"/>
      <c r="DM119" s="118"/>
      <c r="DN119" s="118"/>
      <c r="DO119" s="118"/>
      <c r="DP119" s="118"/>
      <c r="DQ119" s="118"/>
      <c r="DR119" s="118"/>
      <c r="DS119" s="118"/>
      <c r="DT119" s="118"/>
      <c r="DU119" s="19"/>
      <c r="DV119" s="19"/>
      <c r="DW119" s="19"/>
      <c r="DX119" s="19"/>
      <c r="DY119" s="19"/>
      <c r="DZ119" s="19"/>
    </row>
    <row r="120" spans="1:130" ht="12.75" x14ac:dyDescent="0.2">
      <c r="A120" s="647"/>
      <c r="B120" s="647"/>
      <c r="C120" s="53"/>
      <c r="D120" s="53"/>
      <c r="E120" s="53"/>
      <c r="F120" s="53"/>
      <c r="G120" s="53"/>
      <c r="H120" s="634"/>
      <c r="I120" s="53">
        <f t="shared" si="98"/>
        <v>0</v>
      </c>
      <c r="J120" s="634"/>
      <c r="K120" s="53"/>
      <c r="L120" s="53"/>
      <c r="M120" s="634"/>
      <c r="N120" s="634"/>
      <c r="O120" s="634"/>
      <c r="P120" s="634"/>
      <c r="Q120" s="634"/>
      <c r="R120" s="634"/>
      <c r="S120" s="659"/>
      <c r="T120" s="647"/>
      <c r="U120" s="53"/>
      <c r="V120" s="53"/>
      <c r="W120" s="53"/>
      <c r="X120" s="53"/>
      <c r="Y120" s="53"/>
      <c r="Z120" s="634"/>
      <c r="AA120" s="53">
        <f t="shared" si="99"/>
        <v>0</v>
      </c>
      <c r="AB120" s="634"/>
      <c r="AC120" s="53"/>
      <c r="AD120" s="53"/>
      <c r="AE120" s="634"/>
      <c r="AF120" s="634"/>
      <c r="AG120" s="634"/>
      <c r="AH120" s="634"/>
      <c r="AI120" s="634"/>
      <c r="AJ120" s="634"/>
      <c r="AK120" s="659"/>
      <c r="AL120" s="647"/>
      <c r="AM120" s="53"/>
      <c r="AN120" s="53"/>
      <c r="AO120" s="53"/>
      <c r="AP120" s="53"/>
      <c r="AQ120" s="53"/>
      <c r="AR120" s="634"/>
      <c r="AS120" s="53">
        <f t="shared" si="102"/>
        <v>0</v>
      </c>
      <c r="AT120" s="634"/>
      <c r="AU120" s="634"/>
      <c r="AV120" s="634"/>
      <c r="AW120" s="53"/>
      <c r="AX120" s="634"/>
      <c r="AY120" s="634"/>
      <c r="AZ120" s="634"/>
      <c r="BA120" s="634"/>
      <c r="BB120" s="634"/>
      <c r="BC120" s="634"/>
      <c r="BD120" s="121"/>
      <c r="BE120" s="119"/>
      <c r="BF120" s="121"/>
      <c r="BG120" s="122"/>
      <c r="BH120" s="122"/>
      <c r="BI120" s="122"/>
      <c r="BJ120" s="121"/>
      <c r="BK120" s="121"/>
      <c r="BL120" s="121"/>
      <c r="BM120" s="121"/>
      <c r="BN120" s="121"/>
      <c r="BO120" s="121"/>
      <c r="BP120" s="121"/>
      <c r="BQ120" s="19"/>
      <c r="BR120" s="19"/>
      <c r="BS120" s="123"/>
      <c r="BT120" s="123"/>
      <c r="BU120" s="121"/>
      <c r="BV120" s="121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92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4"/>
      <c r="DD120" s="118"/>
      <c r="DE120" s="118"/>
      <c r="DF120" s="118"/>
      <c r="DG120" s="118"/>
      <c r="DH120" s="118"/>
      <c r="DI120" s="118"/>
      <c r="DJ120" s="118"/>
      <c r="DK120" s="118"/>
      <c r="DL120" s="118"/>
      <c r="DM120" s="118"/>
      <c r="DN120" s="118"/>
      <c r="DO120" s="118"/>
      <c r="DP120" s="118"/>
      <c r="DQ120" s="118"/>
      <c r="DR120" s="118"/>
      <c r="DS120" s="118"/>
      <c r="DT120" s="118"/>
      <c r="DU120" s="19"/>
      <c r="DV120" s="19"/>
      <c r="DW120" s="19"/>
      <c r="DX120" s="19"/>
      <c r="DY120" s="19"/>
      <c r="DZ120" s="19"/>
    </row>
    <row r="121" spans="1:130" ht="12.75" x14ac:dyDescent="0.2">
      <c r="A121" s="647"/>
      <c r="B121" s="648"/>
      <c r="C121" s="53"/>
      <c r="D121" s="53"/>
      <c r="E121" s="53"/>
      <c r="F121" s="53"/>
      <c r="G121" s="53"/>
      <c r="H121" s="635"/>
      <c r="I121" s="53">
        <f t="shared" si="98"/>
        <v>0</v>
      </c>
      <c r="J121" s="635"/>
      <c r="K121" s="53"/>
      <c r="L121" s="53"/>
      <c r="M121" s="635"/>
      <c r="N121" s="635"/>
      <c r="O121" s="635"/>
      <c r="P121" s="635"/>
      <c r="Q121" s="635"/>
      <c r="R121" s="635"/>
      <c r="S121" s="660"/>
      <c r="T121" s="648"/>
      <c r="U121" s="53"/>
      <c r="V121" s="53"/>
      <c r="W121" s="53"/>
      <c r="X121" s="53"/>
      <c r="Y121" s="53"/>
      <c r="Z121" s="635"/>
      <c r="AA121" s="53">
        <f t="shared" si="99"/>
        <v>0</v>
      </c>
      <c r="AB121" s="635"/>
      <c r="AC121" s="53"/>
      <c r="AD121" s="53"/>
      <c r="AE121" s="635"/>
      <c r="AF121" s="635"/>
      <c r="AG121" s="635"/>
      <c r="AH121" s="635"/>
      <c r="AI121" s="635"/>
      <c r="AJ121" s="635"/>
      <c r="AK121" s="660"/>
      <c r="AL121" s="648"/>
      <c r="AM121" s="53"/>
      <c r="AN121" s="53"/>
      <c r="AO121" s="53"/>
      <c r="AP121" s="53"/>
      <c r="AQ121" s="53"/>
      <c r="AR121" s="635"/>
      <c r="AS121" s="53">
        <f t="shared" si="102"/>
        <v>0</v>
      </c>
      <c r="AT121" s="635"/>
      <c r="AU121" s="635"/>
      <c r="AV121" s="635"/>
      <c r="AW121" s="56"/>
      <c r="AX121" s="635"/>
      <c r="AY121" s="635"/>
      <c r="AZ121" s="635"/>
      <c r="BA121" s="634"/>
      <c r="BB121" s="635"/>
      <c r="BC121" s="635"/>
      <c r="BD121" s="120"/>
      <c r="BE121" s="116"/>
      <c r="BF121" s="11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9"/>
      <c r="BR121" s="19"/>
      <c r="BS121" s="117"/>
      <c r="BT121" s="117"/>
      <c r="BU121" s="117"/>
      <c r="BV121" s="120"/>
      <c r="BW121" s="118"/>
      <c r="BX121" s="118"/>
      <c r="BY121" s="118"/>
      <c r="BZ121" s="118"/>
      <c r="CA121" s="118"/>
      <c r="CB121" s="118"/>
      <c r="CC121" s="118"/>
      <c r="CD121" s="118"/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92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4"/>
      <c r="DD121" s="118"/>
      <c r="DE121" s="118"/>
      <c r="DF121" s="118"/>
      <c r="DG121" s="118"/>
      <c r="DH121" s="118"/>
      <c r="DI121" s="118"/>
      <c r="DJ121" s="118"/>
      <c r="DK121" s="118"/>
      <c r="DL121" s="118"/>
      <c r="DM121" s="118"/>
      <c r="DN121" s="118"/>
      <c r="DO121" s="118"/>
      <c r="DP121" s="118"/>
      <c r="DQ121" s="118"/>
      <c r="DR121" s="118"/>
      <c r="DS121" s="118"/>
      <c r="DT121" s="118"/>
      <c r="DU121" s="19"/>
      <c r="DV121" s="19"/>
      <c r="DW121" s="19"/>
      <c r="DX121" s="19"/>
      <c r="DY121" s="19"/>
      <c r="DZ121" s="19"/>
    </row>
    <row r="122" spans="1:130" ht="12.75" x14ac:dyDescent="0.2">
      <c r="A122" s="647"/>
      <c r="B122" s="695">
        <v>46080</v>
      </c>
      <c r="C122" s="23"/>
      <c r="D122" s="23"/>
      <c r="E122" s="23"/>
      <c r="F122" s="23"/>
      <c r="G122" s="23"/>
      <c r="H122" s="688"/>
      <c r="I122" s="23">
        <f t="shared" si="98"/>
        <v>0</v>
      </c>
      <c r="J122" s="691">
        <f>SUM(I122:I125,H122)</f>
        <v>0</v>
      </c>
      <c r="K122" s="23"/>
      <c r="L122" s="23"/>
      <c r="M122" s="690"/>
      <c r="N122" s="690"/>
      <c r="O122" s="689">
        <f>SUM(M122:N125)</f>
        <v>0</v>
      </c>
      <c r="P122" s="688"/>
      <c r="Q122" s="688">
        <f>M114*60</f>
        <v>0</v>
      </c>
      <c r="R122" s="692">
        <f>IF(
   COUNTIF(K122:K125,"SI")&gt;0,
   1.8,
   IF(
      COUNTIF(L122:L125,"SI")&gt;0,
      1.6,
      2
   )
)</f>
        <v>2</v>
      </c>
      <c r="S122" s="693">
        <f>IF(Q122=0,0,J122/Q122)</f>
        <v>0</v>
      </c>
      <c r="T122" s="695">
        <v>46080</v>
      </c>
      <c r="U122" s="23"/>
      <c r="V122" s="23"/>
      <c r="W122" s="23"/>
      <c r="X122" s="23"/>
      <c r="Y122" s="23"/>
      <c r="Z122" s="688"/>
      <c r="AA122" s="23">
        <f t="shared" si="99"/>
        <v>0</v>
      </c>
      <c r="AB122" s="691">
        <f>SUM(AA122:AA125,Z122)</f>
        <v>0</v>
      </c>
      <c r="AC122" s="23"/>
      <c r="AD122" s="23"/>
      <c r="AE122" s="688"/>
      <c r="AF122" s="688"/>
      <c r="AG122" s="689">
        <f>SUM(AE122:AF125)</f>
        <v>0</v>
      </c>
      <c r="AH122" s="688">
        <v>0</v>
      </c>
      <c r="AI122" s="688">
        <f>AE122*60</f>
        <v>0</v>
      </c>
      <c r="AJ122" s="692">
        <f>IF(
   COUNTIF(AC122:AC125,"SI")&gt;0,
   1.8,
   IF(
      COUNTIF(AD122:AD125,"SI")&gt;0,
      1.6,
      2
   )
)</f>
        <v>2</v>
      </c>
      <c r="AK122" s="693">
        <f>IF(AI122=0,0,AB122/AI122)</f>
        <v>0</v>
      </c>
      <c r="AL122" s="695">
        <v>46080</v>
      </c>
      <c r="AM122" s="23">
        <v>103</v>
      </c>
      <c r="AN122" s="23">
        <v>789</v>
      </c>
      <c r="AO122" s="23">
        <v>8503</v>
      </c>
      <c r="AP122" s="49">
        <v>9000</v>
      </c>
      <c r="AQ122" s="23"/>
      <c r="AR122" s="688">
        <v>56</v>
      </c>
      <c r="AS122" s="53">
        <f t="shared" si="102"/>
        <v>497</v>
      </c>
      <c r="AT122" s="691">
        <f>SUM(AS122:AS124)+AR122</f>
        <v>1092</v>
      </c>
      <c r="AU122" s="53"/>
      <c r="AV122" s="688">
        <v>7.6</v>
      </c>
      <c r="AW122" s="23"/>
      <c r="AX122" s="688">
        <v>0.4</v>
      </c>
      <c r="AY122" s="689">
        <f>SUM(AV122+AX122)</f>
        <v>8</v>
      </c>
      <c r="AZ122" s="688">
        <v>0.15</v>
      </c>
      <c r="BA122" s="688">
        <f>AV122*60</f>
        <v>456</v>
      </c>
      <c r="BB122" s="696">
        <f>IF(
   COUNTIF(AU122:AU125,"SI")&gt;0,
   1.8,
   IF(
      COUNTIF(AV122:AV125,"SI")&gt;0,
      1.6,
      2
   )
)</f>
        <v>2</v>
      </c>
      <c r="BC122" s="697">
        <f>IF(BA122=0,0,AT122/BA122)</f>
        <v>2.3947368421052633</v>
      </c>
      <c r="BD122" s="120"/>
      <c r="BE122" s="668"/>
      <c r="BF122" s="11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9"/>
      <c r="BR122" s="19"/>
      <c r="BS122" s="117"/>
      <c r="BT122" s="117"/>
      <c r="BU122" s="117"/>
      <c r="BV122" s="120"/>
      <c r="BW122" s="118"/>
      <c r="BX122" s="118"/>
      <c r="BY122" s="118"/>
      <c r="BZ122" s="118"/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92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4"/>
      <c r="DD122" s="118"/>
      <c r="DE122" s="118"/>
      <c r="DF122" s="118"/>
      <c r="DG122" s="118"/>
      <c r="DH122" s="118"/>
      <c r="DI122" s="118"/>
      <c r="DJ122" s="118"/>
      <c r="DK122" s="118"/>
      <c r="DL122" s="118"/>
      <c r="DM122" s="118"/>
      <c r="DN122" s="118"/>
      <c r="DO122" s="118"/>
      <c r="DP122" s="118"/>
      <c r="DQ122" s="118"/>
      <c r="DR122" s="118"/>
      <c r="DS122" s="118"/>
      <c r="DT122" s="118"/>
      <c r="DU122" s="19"/>
      <c r="DV122" s="19"/>
      <c r="DW122" s="19"/>
      <c r="DX122" s="19"/>
      <c r="DY122" s="19"/>
      <c r="DZ122" s="19"/>
    </row>
    <row r="123" spans="1:130" ht="12.75" x14ac:dyDescent="0.2">
      <c r="A123" s="647"/>
      <c r="B123" s="647"/>
      <c r="C123" s="23"/>
      <c r="D123" s="23"/>
      <c r="E123" s="23"/>
      <c r="F123" s="23"/>
      <c r="G123" s="23"/>
      <c r="H123" s="634"/>
      <c r="I123" s="23">
        <f t="shared" si="98"/>
        <v>0</v>
      </c>
      <c r="J123" s="634"/>
      <c r="K123" s="23"/>
      <c r="L123" s="23"/>
      <c r="M123" s="634"/>
      <c r="N123" s="634"/>
      <c r="O123" s="634"/>
      <c r="P123" s="634"/>
      <c r="Q123" s="634"/>
      <c r="R123" s="634"/>
      <c r="S123" s="659"/>
      <c r="T123" s="647"/>
      <c r="U123" s="23"/>
      <c r="V123" s="23"/>
      <c r="W123" s="23"/>
      <c r="X123" s="23"/>
      <c r="Y123" s="23"/>
      <c r="Z123" s="634"/>
      <c r="AA123" s="23">
        <f t="shared" si="99"/>
        <v>0</v>
      </c>
      <c r="AB123" s="634"/>
      <c r="AC123" s="23"/>
      <c r="AD123" s="23"/>
      <c r="AE123" s="634"/>
      <c r="AF123" s="634"/>
      <c r="AG123" s="634"/>
      <c r="AH123" s="634"/>
      <c r="AI123" s="634"/>
      <c r="AJ123" s="634"/>
      <c r="AK123" s="659"/>
      <c r="AL123" s="647"/>
      <c r="AM123" s="23">
        <v>111</v>
      </c>
      <c r="AN123" s="23">
        <v>790</v>
      </c>
      <c r="AO123" s="23">
        <v>9001</v>
      </c>
      <c r="AP123" s="23">
        <v>9500</v>
      </c>
      <c r="AQ123" s="23">
        <v>13</v>
      </c>
      <c r="AR123" s="634"/>
      <c r="AS123" s="23">
        <f t="shared" si="102"/>
        <v>486</v>
      </c>
      <c r="AT123" s="634"/>
      <c r="AU123" s="53"/>
      <c r="AV123" s="634"/>
      <c r="AW123" s="23"/>
      <c r="AX123" s="634"/>
      <c r="AY123" s="634"/>
      <c r="AZ123" s="634"/>
      <c r="BA123" s="634"/>
      <c r="BB123" s="634"/>
      <c r="BC123" s="634"/>
      <c r="BD123" s="120"/>
      <c r="BE123" s="662"/>
      <c r="BF123" s="11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9"/>
      <c r="BR123" s="19"/>
      <c r="BS123" s="117"/>
      <c r="BT123" s="117"/>
      <c r="BU123" s="117"/>
      <c r="BV123" s="117"/>
      <c r="BW123" s="118"/>
      <c r="BX123" s="118"/>
      <c r="BY123" s="118"/>
      <c r="BZ123" s="118"/>
      <c r="CA123" s="118"/>
      <c r="CB123" s="118"/>
      <c r="CC123" s="118"/>
      <c r="CD123" s="118"/>
      <c r="CE123" s="118"/>
      <c r="CF123" s="118"/>
      <c r="CG123" s="118"/>
      <c r="CH123" s="118"/>
      <c r="CI123" s="118"/>
      <c r="CJ123" s="118"/>
      <c r="CK123" s="118"/>
      <c r="CL123" s="118"/>
      <c r="CM123" s="118"/>
      <c r="CN123" s="92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4"/>
      <c r="DD123" s="118"/>
      <c r="DE123" s="118"/>
      <c r="DF123" s="118"/>
      <c r="DG123" s="118"/>
      <c r="DH123" s="118"/>
      <c r="DI123" s="118"/>
      <c r="DJ123" s="118"/>
      <c r="DK123" s="118"/>
      <c r="DL123" s="118"/>
      <c r="DM123" s="118"/>
      <c r="DN123" s="118"/>
      <c r="DO123" s="118"/>
      <c r="DP123" s="118"/>
      <c r="DQ123" s="118"/>
      <c r="DR123" s="118"/>
      <c r="DS123" s="118"/>
      <c r="DT123" s="118"/>
      <c r="DU123" s="19"/>
      <c r="DV123" s="19"/>
      <c r="DW123" s="19"/>
      <c r="DX123" s="19"/>
      <c r="DY123" s="19"/>
      <c r="DZ123" s="19"/>
    </row>
    <row r="124" spans="1:130" ht="12.75" x14ac:dyDescent="0.2">
      <c r="A124" s="647"/>
      <c r="B124" s="647"/>
      <c r="C124" s="23"/>
      <c r="D124" s="23"/>
      <c r="E124" s="23"/>
      <c r="F124" s="23"/>
      <c r="G124" s="23"/>
      <c r="H124" s="634"/>
      <c r="I124" s="23">
        <f t="shared" si="98"/>
        <v>0</v>
      </c>
      <c r="J124" s="634"/>
      <c r="K124" s="23"/>
      <c r="L124" s="23"/>
      <c r="M124" s="634"/>
      <c r="N124" s="634"/>
      <c r="O124" s="634"/>
      <c r="P124" s="634"/>
      <c r="Q124" s="634"/>
      <c r="R124" s="634"/>
      <c r="S124" s="659"/>
      <c r="T124" s="647"/>
      <c r="U124" s="23"/>
      <c r="V124" s="23"/>
      <c r="W124" s="23"/>
      <c r="X124" s="23"/>
      <c r="Y124" s="23"/>
      <c r="Z124" s="634"/>
      <c r="AA124" s="23">
        <f t="shared" si="99"/>
        <v>0</v>
      </c>
      <c r="AB124" s="634"/>
      <c r="AC124" s="23"/>
      <c r="AD124" s="23"/>
      <c r="AE124" s="634"/>
      <c r="AF124" s="634"/>
      <c r="AG124" s="634"/>
      <c r="AH124" s="634"/>
      <c r="AI124" s="634"/>
      <c r="AJ124" s="634"/>
      <c r="AK124" s="659"/>
      <c r="AL124" s="647"/>
      <c r="AM124" s="23">
        <v>12</v>
      </c>
      <c r="AN124" s="23">
        <v>791</v>
      </c>
      <c r="AO124" s="23">
        <v>9501</v>
      </c>
      <c r="AP124" s="23">
        <v>9554</v>
      </c>
      <c r="AQ124" s="23"/>
      <c r="AR124" s="634"/>
      <c r="AS124" s="23">
        <f t="shared" si="102"/>
        <v>53</v>
      </c>
      <c r="AT124" s="635"/>
      <c r="AU124" s="53"/>
      <c r="AV124" s="635"/>
      <c r="AW124" s="23"/>
      <c r="AX124" s="634"/>
      <c r="AY124" s="634"/>
      <c r="AZ124" s="634"/>
      <c r="BA124" s="634"/>
      <c r="BB124" s="634"/>
      <c r="BC124" s="634"/>
      <c r="BD124" s="120"/>
      <c r="BE124" s="668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661"/>
      <c r="BQ124" s="121"/>
      <c r="BR124" s="123"/>
      <c r="BS124" s="661"/>
      <c r="BT124" s="117"/>
      <c r="BU124" s="661"/>
      <c r="BV124" s="661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92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4"/>
      <c r="DD124" s="118"/>
      <c r="DE124" s="118"/>
      <c r="DF124" s="118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8"/>
      <c r="DQ124" s="118"/>
      <c r="DR124" s="118"/>
      <c r="DS124" s="118"/>
      <c r="DT124" s="118"/>
      <c r="DU124" s="19"/>
      <c r="DV124" s="19"/>
      <c r="DW124" s="19"/>
      <c r="DX124" s="19"/>
      <c r="DY124" s="19"/>
      <c r="DZ124" s="19"/>
    </row>
    <row r="125" spans="1:130" ht="12.75" x14ac:dyDescent="0.2">
      <c r="A125" s="647"/>
      <c r="B125" s="648"/>
      <c r="C125" s="102"/>
      <c r="D125" s="102"/>
      <c r="E125" s="102"/>
      <c r="F125" s="102"/>
      <c r="G125" s="102"/>
      <c r="H125" s="635"/>
      <c r="I125" s="23">
        <f t="shared" si="98"/>
        <v>0</v>
      </c>
      <c r="J125" s="635"/>
      <c r="K125" s="102"/>
      <c r="L125" s="102"/>
      <c r="M125" s="635"/>
      <c r="N125" s="635"/>
      <c r="O125" s="635"/>
      <c r="P125" s="635"/>
      <c r="Q125" s="635"/>
      <c r="R125" s="635"/>
      <c r="S125" s="660"/>
      <c r="T125" s="648"/>
      <c r="U125" s="102"/>
      <c r="V125" s="102"/>
      <c r="W125" s="102"/>
      <c r="X125" s="102"/>
      <c r="Y125" s="102"/>
      <c r="Z125" s="635"/>
      <c r="AA125" s="23">
        <f t="shared" si="99"/>
        <v>0</v>
      </c>
      <c r="AB125" s="635"/>
      <c r="AC125" s="102"/>
      <c r="AD125" s="102"/>
      <c r="AE125" s="635"/>
      <c r="AF125" s="635"/>
      <c r="AG125" s="635"/>
      <c r="AH125" s="635"/>
      <c r="AI125" s="635"/>
      <c r="AJ125" s="635"/>
      <c r="AK125" s="660"/>
      <c r="AL125" s="648"/>
      <c r="AM125" s="103"/>
      <c r="AN125" s="103"/>
      <c r="AO125" s="103"/>
      <c r="AP125" s="103"/>
      <c r="AQ125" s="103"/>
      <c r="AR125" s="635"/>
      <c r="AS125" s="23">
        <f t="shared" si="102"/>
        <v>0</v>
      </c>
      <c r="AT125" s="96">
        <f>AS125</f>
        <v>0</v>
      </c>
      <c r="AU125" s="103"/>
      <c r="AV125" s="91"/>
      <c r="AW125" s="23"/>
      <c r="AX125" s="635"/>
      <c r="AY125" s="635"/>
      <c r="AZ125" s="635"/>
      <c r="BA125" s="54">
        <f t="shared" ref="BA125:BA126" si="103">AV125*60</f>
        <v>0</v>
      </c>
      <c r="BB125" s="635"/>
      <c r="BC125" s="95">
        <f t="shared" ref="BC125:BC126" si="104">IF(BA125=0,0,AT125/BA125)</f>
        <v>0</v>
      </c>
      <c r="BD125" s="120"/>
      <c r="BE125" s="662"/>
      <c r="BF125" s="11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662"/>
      <c r="BQ125" s="117"/>
      <c r="BR125" s="117"/>
      <c r="BS125" s="662"/>
      <c r="BT125" s="117"/>
      <c r="BU125" s="662"/>
      <c r="BV125" s="662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92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4"/>
      <c r="DD125" s="118"/>
      <c r="DE125" s="118"/>
      <c r="DF125" s="118"/>
      <c r="DG125" s="118"/>
      <c r="DH125" s="118"/>
      <c r="DI125" s="118"/>
      <c r="DJ125" s="118"/>
      <c r="DK125" s="118"/>
      <c r="DL125" s="118"/>
      <c r="DM125" s="118"/>
      <c r="DN125" s="118"/>
      <c r="DO125" s="118"/>
      <c r="DP125" s="118"/>
      <c r="DQ125" s="118"/>
      <c r="DR125" s="118"/>
      <c r="DS125" s="118"/>
      <c r="DT125" s="118"/>
      <c r="DU125" s="19"/>
      <c r="DV125" s="19"/>
      <c r="DW125" s="19"/>
      <c r="DX125" s="19"/>
      <c r="DY125" s="19"/>
      <c r="DZ125" s="19"/>
    </row>
    <row r="126" spans="1:130" ht="12.75" x14ac:dyDescent="0.2">
      <c r="A126" s="647"/>
      <c r="B126" s="694">
        <v>46081</v>
      </c>
      <c r="C126" s="55"/>
      <c r="D126" s="55"/>
      <c r="E126" s="55"/>
      <c r="F126" s="55"/>
      <c r="G126" s="55"/>
      <c r="H126" s="687"/>
      <c r="I126" s="53">
        <f t="shared" si="98"/>
        <v>0</v>
      </c>
      <c r="J126" s="691">
        <f>SUM(I126:I129,H126)</f>
        <v>0</v>
      </c>
      <c r="K126" s="55"/>
      <c r="L126" s="55"/>
      <c r="M126" s="687"/>
      <c r="N126" s="690"/>
      <c r="O126" s="689">
        <f>SUM(M126:N129)</f>
        <v>0</v>
      </c>
      <c r="P126" s="687"/>
      <c r="Q126" s="690">
        <f>M126*60</f>
        <v>0</v>
      </c>
      <c r="R126" s="692">
        <f>IF(
   COUNTIF(K126:K129,"SI")&gt;0,
   1.8,
   IF(
      COUNTIF(L126:L129,"SI")&gt;0,
      1.6,
      2
   )
)</f>
        <v>2</v>
      </c>
      <c r="S126" s="693">
        <f>IF(Q126=0,0,J126/Q126)</f>
        <v>0</v>
      </c>
      <c r="T126" s="694">
        <v>46081</v>
      </c>
      <c r="U126" s="52"/>
      <c r="V126" s="52"/>
      <c r="W126" s="52"/>
      <c r="X126" s="52"/>
      <c r="Y126" s="52"/>
      <c r="Z126" s="687"/>
      <c r="AA126" s="53">
        <f t="shared" si="99"/>
        <v>0</v>
      </c>
      <c r="AB126" s="691">
        <f>SUM(AA126:AA129,Z126)</f>
        <v>0</v>
      </c>
      <c r="AC126" s="52"/>
      <c r="AD126" s="52"/>
      <c r="AE126" s="687"/>
      <c r="AF126" s="687"/>
      <c r="AG126" s="689">
        <f>SUM(AE126:AF129)</f>
        <v>0</v>
      </c>
      <c r="AH126" s="687">
        <v>0</v>
      </c>
      <c r="AI126" s="690">
        <f>AE126*60</f>
        <v>0</v>
      </c>
      <c r="AJ126" s="692">
        <f>IF(
   COUNTIF(AC126:AC129,"SI")&gt;0,
   1.8,
   IF(
      COUNTIF(AD126:AD129,"SI")&gt;0,
      1.6,
      2
   )
)</f>
        <v>2</v>
      </c>
      <c r="AK126" s="693">
        <f>IF(AI126=0,0,AB126/AI126)</f>
        <v>0</v>
      </c>
      <c r="AL126" s="694">
        <v>46081</v>
      </c>
      <c r="AM126" s="53">
        <v>101</v>
      </c>
      <c r="AN126" s="23">
        <v>791</v>
      </c>
      <c r="AO126" s="52">
        <v>9555</v>
      </c>
      <c r="AP126" s="52">
        <v>10001</v>
      </c>
      <c r="AQ126" s="55"/>
      <c r="AR126" s="687"/>
      <c r="AS126" s="53">
        <f t="shared" si="102"/>
        <v>446</v>
      </c>
      <c r="AT126" s="691">
        <f>SUM(AS126:AS129,AR126)</f>
        <v>826</v>
      </c>
      <c r="AU126" s="52"/>
      <c r="AV126" s="687">
        <v>5.5</v>
      </c>
      <c r="AW126" s="52"/>
      <c r="AX126" s="687"/>
      <c r="AY126" s="689">
        <f>SUM(AV126:AX129)</f>
        <v>5.5</v>
      </c>
      <c r="AZ126" s="687"/>
      <c r="BA126" s="690">
        <f t="shared" si="103"/>
        <v>330</v>
      </c>
      <c r="BB126" s="692">
        <f>IF(
   COUNTIF(AU126:AU129,"SI")&gt;0,
   1.8,
   IF(
      COUNTIF(AV126:AV129,"SI")&gt;0,
      1.6,
      2
   )
)</f>
        <v>2</v>
      </c>
      <c r="BC126" s="697">
        <f t="shared" si="104"/>
        <v>2.5030303030303029</v>
      </c>
      <c r="BD126" s="661"/>
      <c r="BE126" s="116"/>
      <c r="BF126" s="11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117"/>
      <c r="BS126" s="117"/>
      <c r="BT126" s="117"/>
      <c r="BU126" s="120"/>
      <c r="BV126" s="120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92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4"/>
      <c r="DD126" s="118"/>
      <c r="DE126" s="118"/>
      <c r="DF126" s="118"/>
      <c r="DG126" s="118"/>
      <c r="DH126" s="118"/>
      <c r="DI126" s="118"/>
      <c r="DJ126" s="118"/>
      <c r="DK126" s="118"/>
      <c r="DL126" s="118"/>
      <c r="DM126" s="118"/>
      <c r="DN126" s="118"/>
      <c r="DO126" s="118"/>
      <c r="DP126" s="118"/>
      <c r="DQ126" s="118"/>
      <c r="DR126" s="118"/>
      <c r="DS126" s="118"/>
      <c r="DT126" s="118"/>
      <c r="DU126" s="19"/>
      <c r="DV126" s="19"/>
      <c r="DW126" s="19"/>
      <c r="DX126" s="19"/>
      <c r="DY126" s="19"/>
      <c r="DZ126" s="19"/>
    </row>
    <row r="127" spans="1:130" ht="12.75" x14ac:dyDescent="0.2">
      <c r="A127" s="647"/>
      <c r="B127" s="647"/>
      <c r="C127" s="55"/>
      <c r="D127" s="55"/>
      <c r="E127" s="55"/>
      <c r="F127" s="55"/>
      <c r="G127" s="55"/>
      <c r="H127" s="634"/>
      <c r="I127" s="53">
        <f t="shared" si="98"/>
        <v>0</v>
      </c>
      <c r="J127" s="634"/>
      <c r="K127" s="55"/>
      <c r="L127" s="55"/>
      <c r="M127" s="634"/>
      <c r="N127" s="634"/>
      <c r="O127" s="634"/>
      <c r="P127" s="634"/>
      <c r="Q127" s="634"/>
      <c r="R127" s="634"/>
      <c r="S127" s="659"/>
      <c r="T127" s="647"/>
      <c r="U127" s="55"/>
      <c r="V127" s="55"/>
      <c r="W127" s="55"/>
      <c r="X127" s="55"/>
      <c r="Y127" s="55"/>
      <c r="Z127" s="634"/>
      <c r="AA127" s="53">
        <f t="shared" si="99"/>
        <v>0</v>
      </c>
      <c r="AB127" s="634"/>
      <c r="AC127" s="55"/>
      <c r="AD127" s="55"/>
      <c r="AE127" s="634"/>
      <c r="AF127" s="634"/>
      <c r="AG127" s="634"/>
      <c r="AH127" s="634"/>
      <c r="AI127" s="634"/>
      <c r="AJ127" s="634"/>
      <c r="AK127" s="659"/>
      <c r="AL127" s="647"/>
      <c r="AM127" s="52">
        <f>98-24</f>
        <v>74</v>
      </c>
      <c r="AN127" s="52">
        <v>792</v>
      </c>
      <c r="AO127" s="52">
        <v>10002</v>
      </c>
      <c r="AP127" s="52">
        <v>10400</v>
      </c>
      <c r="AQ127" s="52">
        <v>18</v>
      </c>
      <c r="AR127" s="634"/>
      <c r="AS127" s="53">
        <f t="shared" si="102"/>
        <v>380</v>
      </c>
      <c r="AT127" s="634"/>
      <c r="AU127" s="55"/>
      <c r="AV127" s="634"/>
      <c r="AW127" s="55"/>
      <c r="AX127" s="634"/>
      <c r="AY127" s="634"/>
      <c r="AZ127" s="634"/>
      <c r="BA127" s="634"/>
      <c r="BB127" s="634"/>
      <c r="BC127" s="634"/>
      <c r="BD127" s="662"/>
      <c r="BE127" s="668"/>
      <c r="BF127" s="11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661"/>
      <c r="BQ127" s="117"/>
      <c r="BR127" s="117"/>
      <c r="BS127" s="661"/>
      <c r="BT127" s="117"/>
      <c r="BU127" s="661"/>
      <c r="BV127" s="661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92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4"/>
      <c r="DD127" s="118"/>
      <c r="DE127" s="118"/>
      <c r="DF127" s="118"/>
      <c r="DG127" s="118"/>
      <c r="DH127" s="118"/>
      <c r="DI127" s="118"/>
      <c r="DJ127" s="118"/>
      <c r="DK127" s="118"/>
      <c r="DL127" s="118"/>
      <c r="DM127" s="118"/>
      <c r="DN127" s="118"/>
      <c r="DO127" s="118"/>
      <c r="DP127" s="118"/>
      <c r="DQ127" s="118"/>
      <c r="DR127" s="118"/>
      <c r="DS127" s="118"/>
      <c r="DT127" s="118"/>
      <c r="DU127" s="19"/>
      <c r="DV127" s="19"/>
      <c r="DW127" s="19"/>
      <c r="DX127" s="19"/>
      <c r="DY127" s="19"/>
      <c r="DZ127" s="19"/>
    </row>
    <row r="128" spans="1:130" ht="12.75" x14ac:dyDescent="0.2">
      <c r="A128" s="647"/>
      <c r="B128" s="647"/>
      <c r="C128" s="55"/>
      <c r="D128" s="55"/>
      <c r="E128" s="55"/>
      <c r="F128" s="55"/>
      <c r="G128" s="55"/>
      <c r="H128" s="634"/>
      <c r="I128" s="53">
        <f t="shared" si="98"/>
        <v>0</v>
      </c>
      <c r="J128" s="634"/>
      <c r="K128" s="55"/>
      <c r="L128" s="55"/>
      <c r="M128" s="634"/>
      <c r="N128" s="634"/>
      <c r="O128" s="634"/>
      <c r="P128" s="634"/>
      <c r="Q128" s="634"/>
      <c r="R128" s="634"/>
      <c r="S128" s="659"/>
      <c r="T128" s="647"/>
      <c r="U128" s="55"/>
      <c r="V128" s="55"/>
      <c r="W128" s="55"/>
      <c r="X128" s="55"/>
      <c r="Y128" s="55"/>
      <c r="Z128" s="634"/>
      <c r="AA128" s="53">
        <f t="shared" si="99"/>
        <v>0</v>
      </c>
      <c r="AB128" s="634"/>
      <c r="AC128" s="55"/>
      <c r="AD128" s="55"/>
      <c r="AE128" s="634"/>
      <c r="AF128" s="634"/>
      <c r="AG128" s="634"/>
      <c r="AH128" s="634"/>
      <c r="AI128" s="634"/>
      <c r="AJ128" s="634"/>
      <c r="AK128" s="659"/>
      <c r="AL128" s="647"/>
      <c r="AM128" s="55"/>
      <c r="AN128" s="55"/>
      <c r="AO128" s="55"/>
      <c r="AP128" s="55"/>
      <c r="AQ128" s="55"/>
      <c r="AR128" s="634"/>
      <c r="AS128" s="53">
        <f t="shared" si="102"/>
        <v>0</v>
      </c>
      <c r="AT128" s="634"/>
      <c r="AU128" s="55"/>
      <c r="AV128" s="634"/>
      <c r="AW128" s="55"/>
      <c r="AX128" s="634"/>
      <c r="AY128" s="634"/>
      <c r="AZ128" s="634"/>
      <c r="BA128" s="634"/>
      <c r="BB128" s="634"/>
      <c r="BC128" s="634"/>
      <c r="BD128" s="120"/>
      <c r="BE128" s="662"/>
      <c r="BF128" s="11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662"/>
      <c r="BQ128" s="661"/>
      <c r="BR128" s="661"/>
      <c r="BS128" s="662"/>
      <c r="BT128" s="117"/>
      <c r="BU128" s="662"/>
      <c r="BV128" s="662"/>
      <c r="BW128" s="118"/>
      <c r="BX128" s="118"/>
      <c r="BY128" s="118"/>
      <c r="BZ128" s="118"/>
      <c r="CA128" s="118"/>
      <c r="CB128" s="118"/>
      <c r="CC128" s="118"/>
      <c r="CD128" s="118"/>
      <c r="CE128" s="118"/>
      <c r="CF128" s="118"/>
      <c r="CG128" s="118"/>
      <c r="CH128" s="118"/>
      <c r="CI128" s="118"/>
      <c r="CJ128" s="118"/>
      <c r="CK128" s="118"/>
      <c r="CL128" s="118"/>
      <c r="CM128" s="118"/>
      <c r="CN128" s="92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4"/>
      <c r="DD128" s="118"/>
      <c r="DE128" s="118"/>
      <c r="DF128" s="118"/>
      <c r="DG128" s="118"/>
      <c r="DH128" s="118"/>
      <c r="DI128" s="118"/>
      <c r="DJ128" s="118"/>
      <c r="DK128" s="118"/>
      <c r="DL128" s="118"/>
      <c r="DM128" s="118"/>
      <c r="DN128" s="118"/>
      <c r="DO128" s="118"/>
      <c r="DP128" s="118"/>
      <c r="DQ128" s="118"/>
      <c r="DR128" s="118"/>
      <c r="DS128" s="118"/>
      <c r="DT128" s="118"/>
      <c r="DU128" s="19"/>
      <c r="DV128" s="19"/>
      <c r="DW128" s="19"/>
      <c r="DX128" s="19"/>
      <c r="DY128" s="19"/>
      <c r="DZ128" s="19"/>
    </row>
    <row r="129" spans="1:130" ht="12.75" x14ac:dyDescent="0.2">
      <c r="A129" s="648"/>
      <c r="B129" s="648"/>
      <c r="C129" s="55"/>
      <c r="D129" s="55"/>
      <c r="E129" s="55"/>
      <c r="F129" s="55"/>
      <c r="G129" s="55"/>
      <c r="H129" s="635"/>
      <c r="I129" s="53">
        <f t="shared" si="98"/>
        <v>0</v>
      </c>
      <c r="J129" s="635"/>
      <c r="K129" s="55"/>
      <c r="L129" s="55"/>
      <c r="M129" s="635"/>
      <c r="N129" s="635"/>
      <c r="O129" s="635"/>
      <c r="P129" s="635"/>
      <c r="Q129" s="635"/>
      <c r="R129" s="635"/>
      <c r="S129" s="660"/>
      <c r="T129" s="648"/>
      <c r="U129" s="55"/>
      <c r="V129" s="55"/>
      <c r="W129" s="55"/>
      <c r="X129" s="55"/>
      <c r="Y129" s="55"/>
      <c r="Z129" s="635"/>
      <c r="AA129" s="53">
        <f t="shared" si="99"/>
        <v>0</v>
      </c>
      <c r="AB129" s="635"/>
      <c r="AC129" s="55"/>
      <c r="AD129" s="55"/>
      <c r="AE129" s="635"/>
      <c r="AF129" s="635"/>
      <c r="AG129" s="635"/>
      <c r="AH129" s="635"/>
      <c r="AI129" s="635"/>
      <c r="AJ129" s="635"/>
      <c r="AK129" s="660"/>
      <c r="AL129" s="648"/>
      <c r="AM129" s="55"/>
      <c r="AN129" s="55"/>
      <c r="AO129" s="55"/>
      <c r="AP129" s="55"/>
      <c r="AQ129" s="55"/>
      <c r="AR129" s="635"/>
      <c r="AS129" s="53">
        <f t="shared" si="102"/>
        <v>0</v>
      </c>
      <c r="AT129" s="635"/>
      <c r="AU129" s="55"/>
      <c r="AV129" s="635"/>
      <c r="AW129" s="55"/>
      <c r="AX129" s="635"/>
      <c r="AY129" s="635"/>
      <c r="AZ129" s="635"/>
      <c r="BA129" s="635"/>
      <c r="BB129" s="635"/>
      <c r="BC129" s="635"/>
      <c r="BD129" s="663"/>
      <c r="BE129" s="668"/>
      <c r="BF129" s="117"/>
      <c r="BG129" s="117"/>
      <c r="BH129" s="117"/>
      <c r="BI129" s="117"/>
      <c r="BJ129" s="117"/>
      <c r="BK129" s="117"/>
      <c r="BL129" s="118"/>
      <c r="BM129" s="118"/>
      <c r="BN129" s="118"/>
      <c r="BO129" s="118"/>
      <c r="BP129" s="118"/>
      <c r="BQ129" s="662"/>
      <c r="BR129" s="662"/>
      <c r="BS129" s="118"/>
      <c r="BT129" s="118"/>
      <c r="BU129" s="118"/>
      <c r="BV129" s="133"/>
      <c r="BW129" s="118"/>
      <c r="BX129" s="118"/>
      <c r="BY129" s="118"/>
      <c r="BZ129" s="118"/>
      <c r="CA129" s="118"/>
      <c r="CB129" s="118"/>
      <c r="CC129" s="118"/>
      <c r="CD129" s="118"/>
      <c r="CE129" s="118"/>
      <c r="CF129" s="118"/>
      <c r="CG129" s="118"/>
      <c r="CH129" s="118"/>
      <c r="CI129" s="118"/>
      <c r="CJ129" s="118"/>
      <c r="CK129" s="118"/>
      <c r="CL129" s="118"/>
      <c r="CM129" s="118"/>
      <c r="CN129" s="92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4"/>
      <c r="DD129" s="118"/>
      <c r="DE129" s="118"/>
      <c r="DF129" s="118"/>
      <c r="DG129" s="118"/>
      <c r="DH129" s="118"/>
      <c r="DI129" s="118"/>
      <c r="DJ129" s="118"/>
      <c r="DK129" s="118"/>
      <c r="DL129" s="118"/>
      <c r="DM129" s="118"/>
      <c r="DN129" s="118"/>
      <c r="DO129" s="118"/>
      <c r="DP129" s="118"/>
      <c r="DQ129" s="118"/>
      <c r="DR129" s="118"/>
      <c r="DS129" s="118"/>
      <c r="DT129" s="118"/>
      <c r="DU129" s="19"/>
      <c r="DV129" s="19"/>
      <c r="DW129" s="19"/>
      <c r="DX129" s="19"/>
      <c r="DY129" s="19"/>
      <c r="DZ129" s="19"/>
    </row>
    <row r="130" spans="1:130" ht="12.75" x14ac:dyDescent="0.2">
      <c r="A130" s="104"/>
      <c r="B130" s="105" t="s">
        <v>40</v>
      </c>
      <c r="C130" s="58">
        <f>SUM(C105:C129)</f>
        <v>0</v>
      </c>
      <c r="D130" s="57" t="s">
        <v>49</v>
      </c>
      <c r="E130" s="57" t="s">
        <v>49</v>
      </c>
      <c r="F130" s="57" t="s">
        <v>49</v>
      </c>
      <c r="G130" s="58">
        <f t="shared" ref="G130:J130" si="105">SUM(G105:G129)</f>
        <v>0</v>
      </c>
      <c r="H130" s="58">
        <f t="shared" si="105"/>
        <v>0</v>
      </c>
      <c r="I130" s="58">
        <f t="shared" si="105"/>
        <v>0</v>
      </c>
      <c r="J130" s="58">
        <f t="shared" si="105"/>
        <v>0</v>
      </c>
      <c r="K130" s="57" t="s">
        <v>49</v>
      </c>
      <c r="L130" s="57"/>
      <c r="M130" s="58">
        <f>SUM(M105:M129)</f>
        <v>0</v>
      </c>
      <c r="N130" s="58">
        <f>SUM(N105:N125)</f>
        <v>0</v>
      </c>
      <c r="O130" s="73">
        <f t="shared" ref="O130:Q130" si="106">SUM(O105:O129)</f>
        <v>0</v>
      </c>
      <c r="P130" s="58">
        <f t="shared" si="106"/>
        <v>0</v>
      </c>
      <c r="Q130" s="58">
        <f t="shared" si="106"/>
        <v>0</v>
      </c>
      <c r="R130" s="107"/>
      <c r="S130" s="60">
        <f>AVERAGE(S114:S117)</f>
        <v>0</v>
      </c>
      <c r="T130" s="105" t="s">
        <v>40</v>
      </c>
      <c r="U130" s="58">
        <f>SUM(U105:U129)</f>
        <v>645</v>
      </c>
      <c r="V130" s="57" t="s">
        <v>49</v>
      </c>
      <c r="W130" s="57" t="s">
        <v>49</v>
      </c>
      <c r="X130" s="57" t="s">
        <v>49</v>
      </c>
      <c r="Y130" s="58">
        <f t="shared" ref="Y130:AB130" si="107">SUM(Y105:Y129)</f>
        <v>16</v>
      </c>
      <c r="Z130" s="58">
        <f t="shared" si="107"/>
        <v>0</v>
      </c>
      <c r="AA130" s="58">
        <f t="shared" si="107"/>
        <v>2884</v>
      </c>
      <c r="AB130" s="58">
        <f t="shared" si="107"/>
        <v>2884</v>
      </c>
      <c r="AC130" s="57" t="s">
        <v>49</v>
      </c>
      <c r="AD130" s="57"/>
      <c r="AE130" s="58">
        <f t="shared" ref="AE130:AI130" si="108">SUM(AE105:AE129)</f>
        <v>23</v>
      </c>
      <c r="AF130" s="58">
        <f t="shared" si="108"/>
        <v>2</v>
      </c>
      <c r="AG130" s="73">
        <f t="shared" si="108"/>
        <v>25</v>
      </c>
      <c r="AH130" s="58">
        <f t="shared" si="108"/>
        <v>0</v>
      </c>
      <c r="AI130" s="58">
        <f t="shared" si="108"/>
        <v>1380</v>
      </c>
      <c r="AJ130" s="107"/>
      <c r="AK130" s="108">
        <f t="shared" ref="AK130:AK131" si="109">IF(AI130=0,0,AB130/AI130)</f>
        <v>2.0898550724637683</v>
      </c>
      <c r="AL130" s="105" t="s">
        <v>40</v>
      </c>
      <c r="AM130" s="58">
        <f>SUM(AM105:AM129)</f>
        <v>676</v>
      </c>
      <c r="AN130" s="57" t="s">
        <v>49</v>
      </c>
      <c r="AO130" s="57" t="s">
        <v>49</v>
      </c>
      <c r="AP130" s="57" t="s">
        <v>49</v>
      </c>
      <c r="AQ130" s="58">
        <f t="shared" ref="AQ130:AT130" si="110">SUM(AQ105:AQ129)</f>
        <v>38</v>
      </c>
      <c r="AR130" s="58">
        <f t="shared" si="110"/>
        <v>56</v>
      </c>
      <c r="AS130" s="58">
        <f t="shared" si="110"/>
        <v>3311</v>
      </c>
      <c r="AT130" s="58">
        <f t="shared" si="110"/>
        <v>3367</v>
      </c>
      <c r="AU130" s="57" t="s">
        <v>49</v>
      </c>
      <c r="AV130" s="58">
        <f>SUM(AV105:AV129)</f>
        <v>23.049999999999997</v>
      </c>
      <c r="AW130" s="58"/>
      <c r="AX130" s="110">
        <f t="shared" ref="AX130:BA130" si="111">SUM(AX105:AX129)</f>
        <v>1.9500000000000002</v>
      </c>
      <c r="AY130" s="59">
        <f t="shared" si="111"/>
        <v>25</v>
      </c>
      <c r="AZ130" s="110">
        <f t="shared" si="111"/>
        <v>1</v>
      </c>
      <c r="BA130" s="58">
        <f t="shared" si="111"/>
        <v>1383</v>
      </c>
      <c r="BB130" s="107"/>
      <c r="BC130" s="126">
        <f t="shared" ref="BC130:BC131" si="112">IF(BA130=0,0,AT130/BA130)</f>
        <v>2.4345625451916124</v>
      </c>
      <c r="BD130" s="662"/>
      <c r="BE130" s="662"/>
      <c r="BF130" s="120"/>
      <c r="BG130" s="120"/>
      <c r="BH130" s="120"/>
      <c r="BI130" s="120"/>
      <c r="BJ130" s="120"/>
      <c r="BK130" s="120"/>
      <c r="BL130" s="118"/>
      <c r="BM130" s="118"/>
      <c r="BN130" s="118"/>
      <c r="BO130" s="118"/>
      <c r="BP130" s="118"/>
      <c r="BQ130" s="117"/>
      <c r="BR130" s="117"/>
      <c r="BS130" s="118"/>
      <c r="BT130" s="118"/>
      <c r="BU130" s="118"/>
      <c r="BV130" s="133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92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4"/>
      <c r="DD130" s="118"/>
      <c r="DE130" s="118"/>
      <c r="DF130" s="118"/>
      <c r="DG130" s="118"/>
      <c r="DH130" s="118"/>
      <c r="DI130" s="118"/>
      <c r="DJ130" s="118"/>
      <c r="DK130" s="118"/>
      <c r="DL130" s="118"/>
      <c r="DM130" s="118"/>
      <c r="DN130" s="118"/>
      <c r="DO130" s="118"/>
      <c r="DP130" s="118"/>
      <c r="DQ130" s="118"/>
      <c r="DR130" s="118"/>
      <c r="DS130" s="118"/>
      <c r="DT130" s="118"/>
      <c r="DU130" s="19"/>
      <c r="DV130" s="19"/>
      <c r="DW130" s="19"/>
      <c r="DX130" s="19"/>
      <c r="DY130" s="19"/>
      <c r="DZ130" s="19"/>
    </row>
    <row r="131" spans="1:130" ht="12.75" x14ac:dyDescent="0.2">
      <c r="A131" s="798" t="s">
        <v>164</v>
      </c>
      <c r="B131" s="701">
        <v>46083</v>
      </c>
      <c r="C131" s="85"/>
      <c r="D131" s="85"/>
      <c r="E131" s="85"/>
      <c r="F131" s="85"/>
      <c r="G131" s="85"/>
      <c r="H131" s="692"/>
      <c r="I131" s="85">
        <f t="shared" ref="I131:I133" si="113">F131-E131-G131</f>
        <v>0</v>
      </c>
      <c r="J131" s="703">
        <f>SUM(I131:I135,H131)</f>
        <v>0</v>
      </c>
      <c r="K131" s="85"/>
      <c r="L131" s="85"/>
      <c r="M131" s="692"/>
      <c r="N131" s="692"/>
      <c r="O131" s="699">
        <f>SUM(M131:N135)</f>
        <v>0</v>
      </c>
      <c r="P131" s="692"/>
      <c r="Q131" s="692">
        <f>M131*60</f>
        <v>0</v>
      </c>
      <c r="R131" s="692">
        <f>IF(
   COUNTIF(K131:K135,"SI")&gt;0,
   1.8,
   IF(
      COUNTIF(L131:L135,"SI")&gt;0,
      1.6,
      2
   )
)</f>
        <v>2</v>
      </c>
      <c r="S131" s="700">
        <f>IF(Q131=0,0,J131/Q131)</f>
        <v>0</v>
      </c>
      <c r="T131" s="701">
        <v>46083</v>
      </c>
      <c r="U131" s="85"/>
      <c r="V131" s="85"/>
      <c r="W131" s="85"/>
      <c r="X131" s="85"/>
      <c r="Y131" s="85"/>
      <c r="Z131" s="692"/>
      <c r="AA131" s="85">
        <f t="shared" ref="AA131:AA133" si="114">X131-W131-Y131</f>
        <v>0</v>
      </c>
      <c r="AB131" s="703">
        <f>SUM(AA131:AA135,Z131)</f>
        <v>0</v>
      </c>
      <c r="AC131" s="85"/>
      <c r="AD131" s="85"/>
      <c r="AE131" s="692"/>
      <c r="AF131" s="692"/>
      <c r="AG131" s="699">
        <f>SUM(AE131:AF135)</f>
        <v>0</v>
      </c>
      <c r="AH131" s="692"/>
      <c r="AI131" s="692">
        <f>AE131*60</f>
        <v>0</v>
      </c>
      <c r="AJ131" s="692">
        <f>IF(
   COUNTIF(AC131:AC135,"SI")&gt;0,
   1.8,
   IF(
      COUNTIF(AD131:AD135,"SI")&gt;0,
      1.6,
      2
   )
)</f>
        <v>2</v>
      </c>
      <c r="AK131" s="700">
        <f t="shared" si="109"/>
        <v>0</v>
      </c>
      <c r="AL131" s="701">
        <v>46083</v>
      </c>
      <c r="AM131" s="85">
        <v>24</v>
      </c>
      <c r="AN131" s="52">
        <v>792</v>
      </c>
      <c r="AO131" s="52">
        <v>10401</v>
      </c>
      <c r="AP131" s="85">
        <v>10510</v>
      </c>
      <c r="AQ131" s="85"/>
      <c r="AR131" s="692">
        <v>42</v>
      </c>
      <c r="AS131" s="85">
        <f t="shared" ref="AS131:AS143" si="115">AP131-AO131-AQ131</f>
        <v>109</v>
      </c>
      <c r="AT131" s="691">
        <f>SUM(AS131:AS135)+AR131</f>
        <v>1058</v>
      </c>
      <c r="AU131" s="23"/>
      <c r="AV131" s="688">
        <v>7.25</v>
      </c>
      <c r="AW131" s="23"/>
      <c r="AX131" s="692">
        <v>1.25</v>
      </c>
      <c r="AY131" s="699">
        <f>SUM(AV131:AX135)</f>
        <v>8.5</v>
      </c>
      <c r="AZ131" s="692">
        <v>0.15</v>
      </c>
      <c r="BA131" s="692">
        <f>AV131*60</f>
        <v>435</v>
      </c>
      <c r="BB131" s="692">
        <f>IF(
   COUNTIF(AU131:AU135,"SI")&gt;0,
   1.8,
   IF(
      COUNTIF(AV131:AV135,"SI")&gt;0,
      1.6,
      2
   )
)</f>
        <v>2</v>
      </c>
      <c r="BC131" s="702">
        <f t="shared" si="112"/>
        <v>2.4321839080459768</v>
      </c>
      <c r="BD131" s="19"/>
      <c r="BE131" s="118"/>
      <c r="BF131" s="118"/>
      <c r="BG131" s="118"/>
      <c r="BH131" s="118"/>
      <c r="BI131" s="118"/>
      <c r="BJ131" s="118"/>
      <c r="BK131" s="118"/>
      <c r="BL131" s="19"/>
      <c r="BM131" s="118"/>
      <c r="BN131" s="118"/>
      <c r="BO131" s="19"/>
      <c r="BP131" s="19"/>
      <c r="BQ131" s="19"/>
      <c r="BR131" s="19"/>
      <c r="BS131" s="118"/>
      <c r="BT131" s="118"/>
      <c r="BU131" s="19"/>
      <c r="BV131" s="663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92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4"/>
      <c r="DD131" s="118"/>
      <c r="DE131" s="118"/>
      <c r="DF131" s="118"/>
      <c r="DG131" s="118"/>
      <c r="DH131" s="118"/>
      <c r="DI131" s="118"/>
      <c r="DJ131" s="118"/>
      <c r="DK131" s="118"/>
      <c r="DL131" s="118"/>
      <c r="DM131" s="118"/>
      <c r="DN131" s="118"/>
      <c r="DO131" s="118"/>
      <c r="DP131" s="118"/>
      <c r="DQ131" s="118"/>
      <c r="DR131" s="118"/>
      <c r="DS131" s="118"/>
      <c r="DT131" s="118"/>
      <c r="DU131" s="19"/>
      <c r="DV131" s="19"/>
      <c r="DW131" s="19"/>
      <c r="DX131" s="19"/>
      <c r="DY131" s="19"/>
      <c r="DZ131" s="19"/>
    </row>
    <row r="132" spans="1:130" ht="12.75" x14ac:dyDescent="0.2">
      <c r="A132" s="647"/>
      <c r="B132" s="647"/>
      <c r="C132" s="23"/>
      <c r="D132" s="23"/>
      <c r="E132" s="23"/>
      <c r="F132" s="23"/>
      <c r="G132" s="23"/>
      <c r="H132" s="634"/>
      <c r="I132" s="23">
        <f t="shared" si="113"/>
        <v>0</v>
      </c>
      <c r="J132" s="634"/>
      <c r="K132" s="23"/>
      <c r="L132" s="91"/>
      <c r="M132" s="634"/>
      <c r="N132" s="634"/>
      <c r="O132" s="634"/>
      <c r="P132" s="634"/>
      <c r="Q132" s="634"/>
      <c r="R132" s="634"/>
      <c r="S132" s="659"/>
      <c r="T132" s="647"/>
      <c r="U132" s="23"/>
      <c r="V132" s="23"/>
      <c r="W132" s="23"/>
      <c r="X132" s="23"/>
      <c r="Y132" s="23"/>
      <c r="Z132" s="634"/>
      <c r="AA132" s="23">
        <f t="shared" si="114"/>
        <v>0</v>
      </c>
      <c r="AB132" s="634"/>
      <c r="AC132" s="23"/>
      <c r="AD132" s="91"/>
      <c r="AE132" s="634"/>
      <c r="AF132" s="634"/>
      <c r="AG132" s="634"/>
      <c r="AH132" s="634"/>
      <c r="AI132" s="634"/>
      <c r="AJ132" s="634"/>
      <c r="AK132" s="659"/>
      <c r="AL132" s="647"/>
      <c r="AM132" s="23">
        <v>116</v>
      </c>
      <c r="AN132" s="23">
        <v>793</v>
      </c>
      <c r="AO132" s="23">
        <v>10511</v>
      </c>
      <c r="AP132" s="23">
        <v>11003</v>
      </c>
      <c r="AQ132" s="23"/>
      <c r="AR132" s="634"/>
      <c r="AS132" s="23">
        <f t="shared" si="115"/>
        <v>492</v>
      </c>
      <c r="AT132" s="634"/>
      <c r="AU132" s="23"/>
      <c r="AV132" s="634"/>
      <c r="AW132" s="23"/>
      <c r="AX132" s="634"/>
      <c r="AY132" s="634"/>
      <c r="AZ132" s="634"/>
      <c r="BA132" s="634"/>
      <c r="BB132" s="634"/>
      <c r="BC132" s="634"/>
      <c r="BD132" s="668"/>
      <c r="BE132" s="117"/>
      <c r="BF132" s="117"/>
      <c r="BG132" s="117"/>
      <c r="BH132" s="117"/>
      <c r="BI132" s="117"/>
      <c r="BJ132" s="117"/>
      <c r="BK132" s="118"/>
      <c r="BL132" s="663"/>
      <c r="BM132" s="118"/>
      <c r="BN132" s="118"/>
      <c r="BO132" s="663"/>
      <c r="BP132" s="663"/>
      <c r="BQ132" s="663"/>
      <c r="BR132" s="663"/>
      <c r="BS132" s="118"/>
      <c r="BT132" s="118"/>
      <c r="BU132" s="19"/>
      <c r="BV132" s="662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/>
      <c r="CJ132" s="118"/>
      <c r="CK132" s="118"/>
      <c r="CL132" s="118"/>
      <c r="CM132" s="118"/>
      <c r="CN132" s="92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4"/>
      <c r="DD132" s="118"/>
      <c r="DE132" s="118"/>
      <c r="DF132" s="118"/>
      <c r="DG132" s="118"/>
      <c r="DH132" s="118"/>
      <c r="DI132" s="118"/>
      <c r="DJ132" s="118"/>
      <c r="DK132" s="118"/>
      <c r="DL132" s="118"/>
      <c r="DM132" s="118"/>
      <c r="DN132" s="118"/>
      <c r="DO132" s="118"/>
      <c r="DP132" s="118"/>
      <c r="DQ132" s="118"/>
      <c r="DR132" s="118"/>
      <c r="DS132" s="118"/>
      <c r="DT132" s="118"/>
      <c r="DU132" s="19"/>
      <c r="DV132" s="19"/>
      <c r="DW132" s="19"/>
      <c r="DX132" s="19"/>
      <c r="DY132" s="19"/>
      <c r="DZ132" s="19"/>
    </row>
    <row r="133" spans="1:130" ht="12.75" x14ac:dyDescent="0.2">
      <c r="A133" s="647"/>
      <c r="B133" s="647"/>
      <c r="C133" s="23"/>
      <c r="D133" s="23"/>
      <c r="E133" s="23"/>
      <c r="F133" s="23"/>
      <c r="G133" s="23"/>
      <c r="H133" s="634"/>
      <c r="I133" s="23">
        <f t="shared" si="113"/>
        <v>0</v>
      </c>
      <c r="J133" s="634"/>
      <c r="K133" s="23"/>
      <c r="L133" s="91"/>
      <c r="M133" s="634"/>
      <c r="N133" s="634"/>
      <c r="O133" s="634"/>
      <c r="P133" s="634"/>
      <c r="Q133" s="634"/>
      <c r="R133" s="634"/>
      <c r="S133" s="659"/>
      <c r="T133" s="647"/>
      <c r="U133" s="23"/>
      <c r="V133" s="23"/>
      <c r="W133" s="23"/>
      <c r="X133" s="23"/>
      <c r="Y133" s="23"/>
      <c r="Z133" s="634"/>
      <c r="AA133" s="23">
        <f t="shared" si="114"/>
        <v>0</v>
      </c>
      <c r="AB133" s="634"/>
      <c r="AC133" s="23"/>
      <c r="AD133" s="91"/>
      <c r="AE133" s="634"/>
      <c r="AF133" s="634"/>
      <c r="AG133" s="634"/>
      <c r="AH133" s="634"/>
      <c r="AI133" s="634"/>
      <c r="AJ133" s="634"/>
      <c r="AK133" s="659"/>
      <c r="AL133" s="647"/>
      <c r="AM133" s="28">
        <v>100</v>
      </c>
      <c r="AN133" s="28">
        <v>794</v>
      </c>
      <c r="AO133" s="28">
        <v>11004</v>
      </c>
      <c r="AP133" s="28">
        <v>11454</v>
      </c>
      <c r="AQ133" s="23">
        <v>35</v>
      </c>
      <c r="AR133" s="634"/>
      <c r="AS133" s="23">
        <f t="shared" si="115"/>
        <v>415</v>
      </c>
      <c r="AT133" s="634"/>
      <c r="AU133" s="23"/>
      <c r="AV133" s="634"/>
      <c r="AW133" s="91"/>
      <c r="AX133" s="634"/>
      <c r="AY133" s="634"/>
      <c r="AZ133" s="634"/>
      <c r="BA133" s="634"/>
      <c r="BB133" s="634"/>
      <c r="BC133" s="634"/>
      <c r="BD133" s="662"/>
      <c r="BE133" s="117"/>
      <c r="BF133" s="117"/>
      <c r="BG133" s="117"/>
      <c r="BH133" s="117"/>
      <c r="BI133" s="117"/>
      <c r="BJ133" s="117"/>
      <c r="BK133" s="118"/>
      <c r="BL133" s="662"/>
      <c r="BM133" s="118"/>
      <c r="BN133" s="118"/>
      <c r="BO133" s="662"/>
      <c r="BP133" s="662"/>
      <c r="BQ133" s="662"/>
      <c r="BR133" s="662"/>
      <c r="BS133" s="118"/>
      <c r="BT133" s="120"/>
      <c r="BU133" s="120"/>
      <c r="BV133" s="663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/>
      <c r="CJ133" s="118"/>
      <c r="CK133" s="118"/>
      <c r="CL133" s="118"/>
      <c r="CM133" s="118"/>
      <c r="CN133" s="92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4"/>
      <c r="DD133" s="118"/>
      <c r="DE133" s="118"/>
      <c r="DF133" s="118"/>
      <c r="DG133" s="118"/>
      <c r="DH133" s="118"/>
      <c r="DI133" s="118"/>
      <c r="DJ133" s="118"/>
      <c r="DK133" s="118"/>
      <c r="DL133" s="118"/>
      <c r="DM133" s="118"/>
      <c r="DN133" s="118"/>
      <c r="DO133" s="118"/>
      <c r="DP133" s="118"/>
      <c r="DQ133" s="118"/>
      <c r="DR133" s="118"/>
      <c r="DS133" s="118"/>
      <c r="DT133" s="118"/>
      <c r="DU133" s="19"/>
      <c r="DV133" s="19"/>
      <c r="DW133" s="19"/>
      <c r="DX133" s="19"/>
      <c r="DY133" s="19"/>
      <c r="DZ133" s="19"/>
    </row>
    <row r="134" spans="1:130" ht="12.75" x14ac:dyDescent="0.2">
      <c r="A134" s="647"/>
      <c r="B134" s="647"/>
      <c r="C134" s="23"/>
      <c r="D134" s="23"/>
      <c r="E134" s="23"/>
      <c r="F134" s="23"/>
      <c r="G134" s="23"/>
      <c r="H134" s="634"/>
      <c r="I134" s="23"/>
      <c r="J134" s="634"/>
      <c r="K134" s="23"/>
      <c r="L134" s="91"/>
      <c r="M134" s="634"/>
      <c r="N134" s="634"/>
      <c r="O134" s="634"/>
      <c r="P134" s="634"/>
      <c r="Q134" s="634"/>
      <c r="R134" s="634"/>
      <c r="S134" s="659"/>
      <c r="T134" s="647"/>
      <c r="U134" s="23"/>
      <c r="V134" s="23"/>
      <c r="W134" s="23"/>
      <c r="X134" s="23"/>
      <c r="Y134" s="23"/>
      <c r="Z134" s="634"/>
      <c r="AA134" s="23"/>
      <c r="AB134" s="634"/>
      <c r="AC134" s="23"/>
      <c r="AD134" s="91"/>
      <c r="AE134" s="634"/>
      <c r="AF134" s="634"/>
      <c r="AG134" s="634"/>
      <c r="AH134" s="634"/>
      <c r="AI134" s="634"/>
      <c r="AJ134" s="634"/>
      <c r="AK134" s="659"/>
      <c r="AL134" s="647"/>
      <c r="AM134" s="23"/>
      <c r="AN134" s="23"/>
      <c r="AO134" s="23"/>
      <c r="AP134" s="23"/>
      <c r="AQ134" s="23"/>
      <c r="AR134" s="634"/>
      <c r="AS134" s="23">
        <f t="shared" si="115"/>
        <v>0</v>
      </c>
      <c r="AT134" s="635"/>
      <c r="AU134" s="23"/>
      <c r="AV134" s="635"/>
      <c r="AW134" s="91"/>
      <c r="AX134" s="634"/>
      <c r="AY134" s="634"/>
      <c r="AZ134" s="634"/>
      <c r="BA134" s="634"/>
      <c r="BB134" s="634"/>
      <c r="BC134" s="634"/>
      <c r="BD134" s="668"/>
      <c r="BE134" s="117"/>
      <c r="BF134" s="117"/>
      <c r="BG134" s="117"/>
      <c r="BH134" s="117"/>
      <c r="BI134" s="117"/>
      <c r="BJ134" s="117"/>
      <c r="BK134" s="118"/>
      <c r="BL134" s="663"/>
      <c r="BM134" s="118"/>
      <c r="BN134" s="118"/>
      <c r="BO134" s="663"/>
      <c r="BP134" s="663"/>
      <c r="BQ134" s="663"/>
      <c r="BR134" s="663"/>
      <c r="BS134" s="118"/>
      <c r="BT134" s="120"/>
      <c r="BU134" s="120"/>
      <c r="BV134" s="662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/>
      <c r="CJ134" s="118"/>
      <c r="CK134" s="118"/>
      <c r="CL134" s="118"/>
      <c r="CM134" s="118"/>
      <c r="CN134" s="92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4"/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9"/>
      <c r="DV134" s="19"/>
      <c r="DW134" s="19"/>
      <c r="DX134" s="19"/>
      <c r="DY134" s="19"/>
      <c r="DZ134" s="19"/>
    </row>
    <row r="135" spans="1:130" ht="12.75" x14ac:dyDescent="0.2">
      <c r="A135" s="647"/>
      <c r="B135" s="648"/>
      <c r="C135" s="23"/>
      <c r="D135" s="23"/>
      <c r="E135" s="23"/>
      <c r="F135" s="23"/>
      <c r="G135" s="23"/>
      <c r="H135" s="635"/>
      <c r="I135" s="23">
        <f t="shared" ref="I135:I155" si="116">F135-E135-G135</f>
        <v>0</v>
      </c>
      <c r="J135" s="635"/>
      <c r="K135" s="23"/>
      <c r="L135" s="91"/>
      <c r="M135" s="635"/>
      <c r="N135" s="635"/>
      <c r="O135" s="635"/>
      <c r="P135" s="635"/>
      <c r="Q135" s="635"/>
      <c r="R135" s="635"/>
      <c r="S135" s="660"/>
      <c r="T135" s="648"/>
      <c r="U135" s="23"/>
      <c r="V135" s="23"/>
      <c r="W135" s="23"/>
      <c r="X135" s="23"/>
      <c r="Y135" s="23"/>
      <c r="Z135" s="635"/>
      <c r="AA135" s="23">
        <f t="shared" ref="AA135:AA155" si="117">X135-W135-Y135</f>
        <v>0</v>
      </c>
      <c r="AB135" s="635"/>
      <c r="AC135" s="23"/>
      <c r="AD135" s="91"/>
      <c r="AE135" s="635"/>
      <c r="AF135" s="635"/>
      <c r="AG135" s="635"/>
      <c r="AH135" s="635"/>
      <c r="AI135" s="635"/>
      <c r="AJ135" s="635"/>
      <c r="AK135" s="660"/>
      <c r="AL135" s="648"/>
      <c r="AM135" s="23"/>
      <c r="AN135" s="23"/>
      <c r="AO135" s="23"/>
      <c r="AP135" s="23"/>
      <c r="AQ135" s="23"/>
      <c r="AR135" s="635"/>
      <c r="AS135" s="23">
        <f t="shared" si="115"/>
        <v>0</v>
      </c>
      <c r="AT135" s="96">
        <f>AS135</f>
        <v>0</v>
      </c>
      <c r="AU135" s="23"/>
      <c r="AV135" s="91"/>
      <c r="AW135" s="91"/>
      <c r="AX135" s="635"/>
      <c r="AY135" s="635"/>
      <c r="AZ135" s="635"/>
      <c r="BA135" s="54">
        <f t="shared" ref="BA135:BA136" si="118">AV135*60</f>
        <v>0</v>
      </c>
      <c r="BB135" s="635"/>
      <c r="BC135" s="95">
        <f t="shared" ref="BC135:BC136" si="119">IF(BA135=0,0,AT135/BA135)</f>
        <v>0</v>
      </c>
      <c r="BD135" s="662"/>
      <c r="BE135" s="120"/>
      <c r="BF135" s="120"/>
      <c r="BG135" s="120"/>
      <c r="BH135" s="120"/>
      <c r="BI135" s="120"/>
      <c r="BJ135" s="120"/>
      <c r="BK135" s="118"/>
      <c r="BL135" s="662"/>
      <c r="BM135" s="118"/>
      <c r="BN135" s="118"/>
      <c r="BO135" s="662"/>
      <c r="BP135" s="662"/>
      <c r="BQ135" s="662"/>
      <c r="BR135" s="662"/>
      <c r="BS135" s="118"/>
      <c r="BT135" s="120"/>
      <c r="BU135" s="120"/>
      <c r="BV135" s="663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118"/>
      <c r="CN135" s="92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CZ135" s="93"/>
      <c r="DA135" s="93"/>
      <c r="DB135" s="93"/>
      <c r="DC135" s="94"/>
      <c r="DD135" s="118"/>
      <c r="DE135" s="118"/>
      <c r="DF135" s="118"/>
      <c r="DG135" s="118"/>
      <c r="DH135" s="118"/>
      <c r="DI135" s="118"/>
      <c r="DJ135" s="118"/>
      <c r="DK135" s="118"/>
      <c r="DL135" s="118"/>
      <c r="DM135" s="118"/>
      <c r="DN135" s="118"/>
      <c r="DO135" s="118"/>
      <c r="DP135" s="118"/>
      <c r="DQ135" s="118"/>
      <c r="DR135" s="118"/>
      <c r="DS135" s="118"/>
      <c r="DT135" s="118"/>
      <c r="DU135" s="19"/>
      <c r="DV135" s="19"/>
      <c r="DW135" s="19"/>
      <c r="DX135" s="19"/>
      <c r="DY135" s="19"/>
      <c r="DZ135" s="19"/>
    </row>
    <row r="136" spans="1:130" ht="12.75" x14ac:dyDescent="0.2">
      <c r="A136" s="647"/>
      <c r="B136" s="694">
        <v>46084</v>
      </c>
      <c r="C136" s="53"/>
      <c r="D136" s="53"/>
      <c r="E136" s="53"/>
      <c r="F136" s="53"/>
      <c r="G136" s="53"/>
      <c r="H136" s="690"/>
      <c r="I136" s="53">
        <f t="shared" si="116"/>
        <v>0</v>
      </c>
      <c r="J136" s="691">
        <f>SUM(I136:I139,H136)</f>
        <v>0</v>
      </c>
      <c r="K136" s="53"/>
      <c r="L136" s="53"/>
      <c r="M136" s="690"/>
      <c r="N136" s="690"/>
      <c r="O136" s="689">
        <f>SUM(M136:N139)</f>
        <v>0</v>
      </c>
      <c r="P136" s="690"/>
      <c r="Q136" s="690">
        <f>M136*60</f>
        <v>0</v>
      </c>
      <c r="R136" s="692">
        <f>IF(
   COUNTIF(K136:K139,"SI")&gt;0,
   1.8,
   IF(
      COUNTIF(L136:L139,"SI")&gt;0,
      1.6,
      2
   )
)</f>
        <v>2</v>
      </c>
      <c r="S136" s="700">
        <f>IF(Q136=0,0,J136/Q136)</f>
        <v>0</v>
      </c>
      <c r="T136" s="694">
        <v>46084</v>
      </c>
      <c r="U136" s="53">
        <v>92</v>
      </c>
      <c r="V136" s="53">
        <v>795</v>
      </c>
      <c r="W136" s="53">
        <v>11501</v>
      </c>
      <c r="X136" s="53">
        <v>11874</v>
      </c>
      <c r="Y136" s="53">
        <v>2</v>
      </c>
      <c r="Z136" s="690"/>
      <c r="AA136" s="53">
        <f t="shared" si="117"/>
        <v>371</v>
      </c>
      <c r="AB136" s="691">
        <f>SUM(AA136:AA137)</f>
        <v>371</v>
      </c>
      <c r="AC136" s="53" t="s">
        <v>51</v>
      </c>
      <c r="AD136" s="53" t="s">
        <v>51</v>
      </c>
      <c r="AE136" s="690">
        <v>5</v>
      </c>
      <c r="AF136" s="690">
        <v>1</v>
      </c>
      <c r="AG136" s="689">
        <f>SUM(AE136:AF139)</f>
        <v>6</v>
      </c>
      <c r="AH136" s="690">
        <v>0</v>
      </c>
      <c r="AI136" s="690">
        <f>AE136*60</f>
        <v>300</v>
      </c>
      <c r="AJ136" s="692">
        <f>IF(
   COUNTIF(AC136:AC139,"SI")&gt;0,
   1.8,
   IF(
      COUNTIF(AD136:AD139,"SI")&gt;0,
      1.6,
      2
   )
)</f>
        <v>1.8</v>
      </c>
      <c r="AK136" s="693">
        <f>SUM(AA136:AA137)/AI136</f>
        <v>1.2366666666666666</v>
      </c>
      <c r="AL136" s="694">
        <v>46084</v>
      </c>
      <c r="AM136" s="53"/>
      <c r="AN136" s="53"/>
      <c r="AO136" s="53"/>
      <c r="AP136" s="53"/>
      <c r="AQ136" s="53"/>
      <c r="AR136" s="690"/>
      <c r="AS136" s="85">
        <f t="shared" si="115"/>
        <v>0</v>
      </c>
      <c r="AT136" s="691">
        <f>SUM(AS136:AS140)</f>
        <v>0</v>
      </c>
      <c r="AU136" s="690"/>
      <c r="AV136" s="690"/>
      <c r="AW136" s="53"/>
      <c r="AX136" s="690"/>
      <c r="AY136" s="689">
        <f>SUM(AV136:AX139)</f>
        <v>0</v>
      </c>
      <c r="AZ136" s="690">
        <v>0.25</v>
      </c>
      <c r="BA136" s="690">
        <f t="shared" si="118"/>
        <v>0</v>
      </c>
      <c r="BB136" s="692">
        <f>IF(
   COUNTIF(AU136:AU139,"SI")&gt;0,
   1.8,
   IF(
      COUNTIF(AV136:AV139,"SI")&gt;0,
      1.6,
      2
   )
)</f>
        <v>2</v>
      </c>
      <c r="BC136" s="698">
        <f t="shared" si="119"/>
        <v>0</v>
      </c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662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118"/>
      <c r="CN136" s="92"/>
      <c r="CO136" s="93"/>
      <c r="CP136" s="93"/>
      <c r="CQ136" s="93"/>
      <c r="CR136" s="93"/>
      <c r="CS136" s="93"/>
      <c r="CT136" s="93"/>
      <c r="CU136" s="93"/>
      <c r="CV136" s="93"/>
      <c r="CW136" s="93"/>
      <c r="CX136" s="93"/>
      <c r="CY136" s="93"/>
      <c r="CZ136" s="93"/>
      <c r="DA136" s="93"/>
      <c r="DB136" s="93"/>
      <c r="DC136" s="94"/>
      <c r="DD136" s="118"/>
      <c r="DE136" s="118"/>
      <c r="DF136" s="118"/>
      <c r="DG136" s="118"/>
      <c r="DH136" s="118"/>
      <c r="DI136" s="118"/>
      <c r="DJ136" s="118"/>
      <c r="DK136" s="118"/>
      <c r="DL136" s="118"/>
      <c r="DM136" s="118"/>
      <c r="DN136" s="118"/>
      <c r="DO136" s="118"/>
      <c r="DP136" s="118"/>
      <c r="DQ136" s="118"/>
      <c r="DR136" s="118"/>
      <c r="DS136" s="118"/>
      <c r="DT136" s="118"/>
      <c r="DU136" s="19"/>
      <c r="DV136" s="19"/>
      <c r="DW136" s="19"/>
      <c r="DX136" s="19"/>
      <c r="DY136" s="19"/>
      <c r="DZ136" s="19"/>
    </row>
    <row r="137" spans="1:130" ht="12.75" x14ac:dyDescent="0.2">
      <c r="A137" s="647"/>
      <c r="B137" s="647"/>
      <c r="C137" s="53"/>
      <c r="D137" s="53"/>
      <c r="E137" s="53"/>
      <c r="F137" s="53"/>
      <c r="G137" s="53"/>
      <c r="H137" s="634"/>
      <c r="I137" s="53">
        <f t="shared" si="116"/>
        <v>0</v>
      </c>
      <c r="J137" s="634"/>
      <c r="K137" s="53"/>
      <c r="L137" s="53"/>
      <c r="M137" s="634"/>
      <c r="N137" s="634"/>
      <c r="O137" s="634"/>
      <c r="P137" s="634"/>
      <c r="Q137" s="634"/>
      <c r="R137" s="634"/>
      <c r="S137" s="659"/>
      <c r="T137" s="647"/>
      <c r="U137" s="53"/>
      <c r="V137" s="53"/>
      <c r="W137" s="53"/>
      <c r="X137" s="53"/>
      <c r="Y137" s="53"/>
      <c r="Z137" s="634"/>
      <c r="AA137" s="53">
        <f t="shared" si="117"/>
        <v>0</v>
      </c>
      <c r="AB137" s="634"/>
      <c r="AC137" s="49"/>
      <c r="AD137" s="53"/>
      <c r="AE137" s="634"/>
      <c r="AF137" s="634"/>
      <c r="AG137" s="634"/>
      <c r="AH137" s="634"/>
      <c r="AI137" s="634"/>
      <c r="AJ137" s="634"/>
      <c r="AK137" s="659"/>
      <c r="AL137" s="647"/>
      <c r="AM137" s="53"/>
      <c r="AN137" s="53"/>
      <c r="AO137" s="53"/>
      <c r="AP137" s="53"/>
      <c r="AQ137" s="53"/>
      <c r="AR137" s="634"/>
      <c r="AS137" s="85">
        <f t="shared" si="115"/>
        <v>0</v>
      </c>
      <c r="AT137" s="634"/>
      <c r="AU137" s="634"/>
      <c r="AV137" s="634"/>
      <c r="AW137" s="53"/>
      <c r="AX137" s="634"/>
      <c r="AY137" s="634"/>
      <c r="AZ137" s="634"/>
      <c r="BA137" s="634"/>
      <c r="BB137" s="634"/>
      <c r="BC137" s="634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92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B137" s="93"/>
      <c r="DC137" s="94"/>
      <c r="DD137" s="118"/>
      <c r="DE137" s="118"/>
      <c r="DF137" s="118"/>
      <c r="DG137" s="118"/>
      <c r="DH137" s="118"/>
      <c r="DI137" s="118"/>
      <c r="DJ137" s="118"/>
      <c r="DK137" s="118"/>
      <c r="DL137" s="118"/>
      <c r="DM137" s="118"/>
      <c r="DN137" s="118"/>
      <c r="DO137" s="118"/>
      <c r="DP137" s="118"/>
      <c r="DQ137" s="118"/>
      <c r="DR137" s="118"/>
      <c r="DS137" s="118"/>
      <c r="DT137" s="118"/>
      <c r="DU137" s="19"/>
      <c r="DV137" s="19"/>
      <c r="DW137" s="19"/>
      <c r="DX137" s="19"/>
      <c r="DY137" s="19"/>
      <c r="DZ137" s="19"/>
    </row>
    <row r="138" spans="1:130" ht="12.75" x14ac:dyDescent="0.2">
      <c r="A138" s="647"/>
      <c r="B138" s="647"/>
      <c r="C138" s="53"/>
      <c r="D138" s="53"/>
      <c r="E138" s="53"/>
      <c r="F138" s="53"/>
      <c r="G138" s="53"/>
      <c r="H138" s="634"/>
      <c r="I138" s="53">
        <f t="shared" si="116"/>
        <v>0</v>
      </c>
      <c r="J138" s="634"/>
      <c r="K138" s="53"/>
      <c r="L138" s="53"/>
      <c r="M138" s="634"/>
      <c r="N138" s="634"/>
      <c r="O138" s="634"/>
      <c r="P138" s="634"/>
      <c r="Q138" s="634"/>
      <c r="R138" s="634"/>
      <c r="S138" s="659"/>
      <c r="T138" s="647"/>
      <c r="U138" s="53"/>
      <c r="V138" s="53"/>
      <c r="W138" s="53"/>
      <c r="X138" s="53"/>
      <c r="Y138" s="53"/>
      <c r="Z138" s="634"/>
      <c r="AA138" s="53">
        <f t="shared" si="117"/>
        <v>0</v>
      </c>
      <c r="AB138" s="691">
        <f>SUM(AA138:AA139)</f>
        <v>0</v>
      </c>
      <c r="AC138" s="53"/>
      <c r="AD138" s="53"/>
      <c r="AE138" s="690"/>
      <c r="AF138" s="634"/>
      <c r="AG138" s="634"/>
      <c r="AH138" s="634"/>
      <c r="AI138" s="690">
        <f>AE138*60</f>
        <v>0</v>
      </c>
      <c r="AJ138" s="634"/>
      <c r="AK138" s="693" t="e">
        <f>SUM(AA138:AA139)/AI138</f>
        <v>#DIV/0!</v>
      </c>
      <c r="AL138" s="647"/>
      <c r="AM138" s="53"/>
      <c r="AN138" s="53"/>
      <c r="AO138" s="53"/>
      <c r="AP138" s="53"/>
      <c r="AQ138" s="53"/>
      <c r="AR138" s="634"/>
      <c r="AS138" s="85">
        <f t="shared" si="115"/>
        <v>0</v>
      </c>
      <c r="AT138" s="635"/>
      <c r="AU138" s="635"/>
      <c r="AV138" s="635"/>
      <c r="AW138" s="53"/>
      <c r="AX138" s="634"/>
      <c r="AY138" s="634"/>
      <c r="AZ138" s="634"/>
      <c r="BA138" s="634"/>
      <c r="BB138" s="634"/>
      <c r="BC138" s="635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92"/>
      <c r="CO138" s="93"/>
      <c r="CP138" s="93"/>
      <c r="CQ138" s="93"/>
      <c r="CR138" s="93"/>
      <c r="CS138" s="93"/>
      <c r="CT138" s="93"/>
      <c r="CU138" s="93"/>
      <c r="CV138" s="93"/>
      <c r="CW138" s="93"/>
      <c r="CX138" s="93"/>
      <c r="CY138" s="93"/>
      <c r="CZ138" s="93"/>
      <c r="DA138" s="93"/>
      <c r="DB138" s="93"/>
      <c r="DC138" s="94"/>
      <c r="DD138" s="118"/>
      <c r="DE138" s="118"/>
      <c r="DF138" s="118"/>
      <c r="DG138" s="118"/>
      <c r="DH138" s="118"/>
      <c r="DI138" s="118"/>
      <c r="DJ138" s="118"/>
      <c r="DK138" s="118"/>
      <c r="DL138" s="118"/>
      <c r="DM138" s="118"/>
      <c r="DN138" s="118"/>
      <c r="DO138" s="118"/>
      <c r="DP138" s="118"/>
      <c r="DQ138" s="118"/>
      <c r="DR138" s="118"/>
      <c r="DS138" s="118"/>
      <c r="DT138" s="118"/>
      <c r="DU138" s="19"/>
      <c r="DV138" s="19"/>
      <c r="DW138" s="19"/>
      <c r="DX138" s="19"/>
      <c r="DY138" s="19"/>
      <c r="DZ138" s="19"/>
    </row>
    <row r="139" spans="1:130" ht="12.75" x14ac:dyDescent="0.2">
      <c r="A139" s="647"/>
      <c r="B139" s="648"/>
      <c r="C139" s="53"/>
      <c r="D139" s="53"/>
      <c r="E139" s="53"/>
      <c r="F139" s="53"/>
      <c r="G139" s="53"/>
      <c r="H139" s="635"/>
      <c r="I139" s="53">
        <f t="shared" si="116"/>
        <v>0</v>
      </c>
      <c r="J139" s="635"/>
      <c r="K139" s="53"/>
      <c r="L139" s="53"/>
      <c r="M139" s="635"/>
      <c r="N139" s="635"/>
      <c r="O139" s="635"/>
      <c r="P139" s="635"/>
      <c r="Q139" s="635"/>
      <c r="R139" s="635"/>
      <c r="S139" s="660"/>
      <c r="T139" s="648"/>
      <c r="U139" s="53"/>
      <c r="V139" s="53"/>
      <c r="W139" s="53"/>
      <c r="X139" s="53"/>
      <c r="Y139" s="53"/>
      <c r="Z139" s="635"/>
      <c r="AA139" s="53">
        <f t="shared" si="117"/>
        <v>0</v>
      </c>
      <c r="AB139" s="634"/>
      <c r="AC139" s="53"/>
      <c r="AD139" s="53"/>
      <c r="AE139" s="634"/>
      <c r="AF139" s="635"/>
      <c r="AG139" s="635"/>
      <c r="AH139" s="635"/>
      <c r="AI139" s="634"/>
      <c r="AJ139" s="635"/>
      <c r="AK139" s="659"/>
      <c r="AL139" s="648"/>
      <c r="AM139" s="53"/>
      <c r="AN139" s="53"/>
      <c r="AO139" s="53"/>
      <c r="AP139" s="53"/>
      <c r="AQ139" s="53"/>
      <c r="AR139" s="635"/>
      <c r="AS139" s="85">
        <f t="shared" si="115"/>
        <v>0</v>
      </c>
      <c r="AT139" s="98"/>
      <c r="AU139" s="53"/>
      <c r="AV139" s="56"/>
      <c r="AW139" s="56"/>
      <c r="AX139" s="635"/>
      <c r="AY139" s="635"/>
      <c r="AZ139" s="635"/>
      <c r="BA139" s="56"/>
      <c r="BB139" s="635"/>
      <c r="BC139" s="124"/>
      <c r="BD139" s="121"/>
      <c r="BE139" s="661"/>
      <c r="BF139" s="662"/>
      <c r="BG139" s="662"/>
      <c r="BH139" s="662"/>
      <c r="BI139" s="662"/>
      <c r="BJ139" s="662"/>
      <c r="BK139" s="662"/>
      <c r="BL139" s="662"/>
      <c r="BM139" s="662"/>
      <c r="BN139" s="662"/>
      <c r="BO139" s="662"/>
      <c r="BP139" s="662"/>
      <c r="BQ139" s="662"/>
      <c r="BR139" s="662"/>
      <c r="BS139" s="662"/>
      <c r="BT139" s="662"/>
      <c r="BU139" s="662"/>
      <c r="BV139" s="662"/>
      <c r="BW139" s="118"/>
      <c r="BX139" s="118"/>
      <c r="BY139" s="118"/>
      <c r="BZ139" s="118"/>
      <c r="CA139" s="118"/>
      <c r="CB139" s="118"/>
      <c r="CC139" s="118"/>
      <c r="CD139" s="118"/>
      <c r="CE139" s="118"/>
      <c r="CF139" s="118"/>
      <c r="CG139" s="118"/>
      <c r="CH139" s="118"/>
      <c r="CI139" s="118"/>
      <c r="CJ139" s="118"/>
      <c r="CK139" s="118"/>
      <c r="CL139" s="118"/>
      <c r="CM139" s="118"/>
      <c r="CN139" s="92"/>
      <c r="CO139" s="93"/>
      <c r="CP139" s="93"/>
      <c r="CQ139" s="93"/>
      <c r="CR139" s="93"/>
      <c r="CS139" s="93"/>
      <c r="CT139" s="93"/>
      <c r="CU139" s="93"/>
      <c r="CV139" s="93"/>
      <c r="CW139" s="93"/>
      <c r="CX139" s="93"/>
      <c r="CY139" s="93"/>
      <c r="CZ139" s="93"/>
      <c r="DA139" s="93"/>
      <c r="DB139" s="93"/>
      <c r="DC139" s="94"/>
      <c r="DD139" s="118"/>
      <c r="DE139" s="118"/>
      <c r="DF139" s="118"/>
      <c r="DG139" s="118"/>
      <c r="DH139" s="118"/>
      <c r="DI139" s="118"/>
      <c r="DJ139" s="118"/>
      <c r="DK139" s="118"/>
      <c r="DL139" s="118"/>
      <c r="DM139" s="118"/>
      <c r="DN139" s="118"/>
      <c r="DO139" s="118"/>
      <c r="DP139" s="118"/>
      <c r="DQ139" s="118"/>
      <c r="DR139" s="118"/>
      <c r="DS139" s="118"/>
      <c r="DT139" s="118"/>
      <c r="DU139" s="19"/>
      <c r="DV139" s="19"/>
      <c r="DW139" s="19"/>
      <c r="DX139" s="19"/>
      <c r="DY139" s="19"/>
      <c r="DZ139" s="19"/>
    </row>
    <row r="140" spans="1:130" ht="12.75" x14ac:dyDescent="0.2">
      <c r="A140" s="647"/>
      <c r="B140" s="695">
        <v>46085</v>
      </c>
      <c r="C140" s="23"/>
      <c r="D140" s="23"/>
      <c r="E140" s="23"/>
      <c r="F140" s="23"/>
      <c r="G140" s="23"/>
      <c r="H140" s="688"/>
      <c r="I140" s="23">
        <f t="shared" si="116"/>
        <v>0</v>
      </c>
      <c r="J140" s="691">
        <f>SUM(I140:I143,H140)</f>
        <v>0</v>
      </c>
      <c r="K140" s="23"/>
      <c r="L140" s="23"/>
      <c r="M140" s="688"/>
      <c r="N140" s="688"/>
      <c r="O140" s="712">
        <f>SUM(M140:N143)</f>
        <v>0</v>
      </c>
      <c r="P140" s="688"/>
      <c r="Q140" s="696">
        <f>M140*60</f>
        <v>0</v>
      </c>
      <c r="R140" s="692">
        <f>IF(
   COUNTIF(K140:K143,"SI")&gt;0,
   1.8,
   IF(
      COUNTIF(L140:L143,"SI")&gt;0,
      1.6,
      2
   )
)</f>
        <v>2</v>
      </c>
      <c r="S140" s="693">
        <f>IF(Q140=0,0,J140/Q140)</f>
        <v>0</v>
      </c>
      <c r="T140" s="695">
        <v>46085</v>
      </c>
      <c r="U140" s="23">
        <v>29</v>
      </c>
      <c r="V140" s="23">
        <v>795</v>
      </c>
      <c r="W140" s="23">
        <v>11875</v>
      </c>
      <c r="X140" s="23">
        <v>12006</v>
      </c>
      <c r="Y140" s="23"/>
      <c r="Z140" s="688">
        <v>82</v>
      </c>
      <c r="AA140" s="23">
        <f t="shared" si="117"/>
        <v>131</v>
      </c>
      <c r="AB140" s="691">
        <f>SUM(AA140:AA143,Z140)</f>
        <v>810</v>
      </c>
      <c r="AC140" s="23" t="s">
        <v>51</v>
      </c>
      <c r="AD140" s="23" t="s">
        <v>51</v>
      </c>
      <c r="AE140" s="688">
        <v>7.3</v>
      </c>
      <c r="AF140" s="688">
        <v>1.2</v>
      </c>
      <c r="AG140" s="689">
        <f>SUM(AE140:AF143)</f>
        <v>8.5</v>
      </c>
      <c r="AH140" s="688">
        <v>0</v>
      </c>
      <c r="AI140" s="688">
        <f>AE140*60</f>
        <v>438</v>
      </c>
      <c r="AJ140" s="692">
        <f>IF(
   COUNTIF(AC140:AC143,"SI")&gt;0,
   1.8,
   IF(
      COUNTIF(AD140:AD143,"SI")&gt;0,
      1.6,
      2
   )
)</f>
        <v>1.8</v>
      </c>
      <c r="AK140" s="693">
        <f>AB140/AI140</f>
        <v>1.8493150684931507</v>
      </c>
      <c r="AL140" s="695">
        <v>46085</v>
      </c>
      <c r="AM140" s="23"/>
      <c r="AN140" s="53"/>
      <c r="AO140" s="53"/>
      <c r="AP140" s="53"/>
      <c r="AQ140" s="53"/>
      <c r="AR140" s="690"/>
      <c r="AS140" s="53">
        <f t="shared" si="115"/>
        <v>0</v>
      </c>
      <c r="AT140" s="691">
        <f>SUM(AS140:AS142,AR140)</f>
        <v>0</v>
      </c>
      <c r="AU140" s="690"/>
      <c r="AV140" s="690"/>
      <c r="AW140" s="53"/>
      <c r="AX140" s="690"/>
      <c r="AY140" s="689">
        <f>SUM(AV140:AX143)</f>
        <v>0</v>
      </c>
      <c r="AZ140" s="688">
        <v>0.25</v>
      </c>
      <c r="BA140" s="688">
        <f>AV140*60</f>
        <v>0</v>
      </c>
      <c r="BB140" s="692">
        <f>IF(
   COUNTIF(AU140:AU143,"SI")&gt;0,
   1.8,
   IF(
      COUNTIF(AV140:AV143,"SI")&gt;0,
      1.6,
      2
   )
)</f>
        <v>2</v>
      </c>
      <c r="BC140" s="697">
        <f>IF(BA140=0,0,AT140/BA140)</f>
        <v>0</v>
      </c>
      <c r="BD140" s="120"/>
      <c r="BE140" s="116"/>
      <c r="BF140" s="663"/>
      <c r="BG140" s="662"/>
      <c r="BH140" s="662"/>
      <c r="BI140" s="662"/>
      <c r="BJ140" s="662"/>
      <c r="BK140" s="662"/>
      <c r="BL140" s="662"/>
      <c r="BM140" s="662"/>
      <c r="BN140" s="662"/>
      <c r="BO140" s="662"/>
      <c r="BP140" s="662"/>
      <c r="BQ140" s="662"/>
      <c r="BR140" s="662"/>
      <c r="BS140" s="662"/>
      <c r="BT140" s="662"/>
      <c r="BU140" s="662"/>
      <c r="BV140" s="662"/>
      <c r="BW140" s="118"/>
      <c r="BX140" s="118"/>
      <c r="BY140" s="118"/>
      <c r="BZ140" s="118"/>
      <c r="CA140" s="118"/>
      <c r="CB140" s="118"/>
      <c r="CC140" s="118"/>
      <c r="CD140" s="118"/>
      <c r="CE140" s="118"/>
      <c r="CF140" s="118"/>
      <c r="CG140" s="118"/>
      <c r="CH140" s="118"/>
      <c r="CI140" s="118"/>
      <c r="CJ140" s="118"/>
      <c r="CK140" s="118"/>
      <c r="CL140" s="118"/>
      <c r="CM140" s="118"/>
      <c r="CN140" s="92"/>
      <c r="CO140" s="93"/>
      <c r="CP140" s="93"/>
      <c r="CQ140" s="93"/>
      <c r="CR140" s="93"/>
      <c r="CS140" s="93"/>
      <c r="CT140" s="93"/>
      <c r="CU140" s="93"/>
      <c r="CV140" s="93"/>
      <c r="CW140" s="93"/>
      <c r="CX140" s="93"/>
      <c r="CY140" s="93"/>
      <c r="CZ140" s="93"/>
      <c r="DA140" s="93"/>
      <c r="DB140" s="93"/>
      <c r="DC140" s="94"/>
      <c r="DD140" s="118"/>
      <c r="DE140" s="118"/>
      <c r="DF140" s="118"/>
      <c r="DG140" s="118"/>
      <c r="DH140" s="118"/>
      <c r="DI140" s="118"/>
      <c r="DJ140" s="118"/>
      <c r="DK140" s="118"/>
      <c r="DL140" s="118"/>
      <c r="DM140" s="118"/>
      <c r="DN140" s="118"/>
      <c r="DO140" s="118"/>
      <c r="DP140" s="118"/>
      <c r="DQ140" s="118"/>
      <c r="DR140" s="118"/>
      <c r="DS140" s="118"/>
      <c r="DT140" s="118"/>
      <c r="DU140" s="19"/>
      <c r="DV140" s="19"/>
      <c r="DW140" s="19"/>
      <c r="DX140" s="19"/>
      <c r="DY140" s="19"/>
      <c r="DZ140" s="19"/>
    </row>
    <row r="141" spans="1:130" ht="12.75" x14ac:dyDescent="0.2">
      <c r="A141" s="647"/>
      <c r="B141" s="647"/>
      <c r="C141" s="23"/>
      <c r="D141" s="23"/>
      <c r="E141" s="23"/>
      <c r="F141" s="23"/>
      <c r="G141" s="23"/>
      <c r="H141" s="634"/>
      <c r="I141" s="23">
        <f t="shared" si="116"/>
        <v>0</v>
      </c>
      <c r="J141" s="634"/>
      <c r="K141" s="23"/>
      <c r="L141" s="23"/>
      <c r="M141" s="634"/>
      <c r="N141" s="634"/>
      <c r="O141" s="634"/>
      <c r="P141" s="634"/>
      <c r="Q141" s="634"/>
      <c r="R141" s="634"/>
      <c r="S141" s="659"/>
      <c r="T141" s="647"/>
      <c r="U141" s="23">
        <v>115</v>
      </c>
      <c r="V141" s="23">
        <v>796</v>
      </c>
      <c r="W141" s="23">
        <v>12007</v>
      </c>
      <c r="X141" s="23">
        <v>12503</v>
      </c>
      <c r="Y141" s="23"/>
      <c r="Z141" s="634"/>
      <c r="AA141" s="23">
        <f t="shared" si="117"/>
        <v>496</v>
      </c>
      <c r="AB141" s="634"/>
      <c r="AC141" s="23" t="s">
        <v>51</v>
      </c>
      <c r="AD141" s="23" t="s">
        <v>51</v>
      </c>
      <c r="AE141" s="634"/>
      <c r="AF141" s="634"/>
      <c r="AG141" s="634"/>
      <c r="AH141" s="634"/>
      <c r="AI141" s="634"/>
      <c r="AJ141" s="634"/>
      <c r="AK141" s="659"/>
      <c r="AL141" s="647"/>
      <c r="AM141" s="23"/>
      <c r="AN141" s="53"/>
      <c r="AO141" s="53"/>
      <c r="AP141" s="53"/>
      <c r="AQ141" s="53"/>
      <c r="AR141" s="634"/>
      <c r="AS141" s="53">
        <f t="shared" si="115"/>
        <v>0</v>
      </c>
      <c r="AT141" s="634"/>
      <c r="AU141" s="634"/>
      <c r="AV141" s="634"/>
      <c r="AW141" s="53"/>
      <c r="AX141" s="634"/>
      <c r="AY141" s="634"/>
      <c r="AZ141" s="634"/>
      <c r="BA141" s="634"/>
      <c r="BB141" s="634"/>
      <c r="BC141" s="634"/>
      <c r="BD141" s="120"/>
      <c r="BE141" s="116"/>
      <c r="BF141" s="662"/>
      <c r="BG141" s="662"/>
      <c r="BH141" s="662"/>
      <c r="BI141" s="662"/>
      <c r="BJ141" s="662"/>
      <c r="BK141" s="662"/>
      <c r="BL141" s="662"/>
      <c r="BM141" s="662"/>
      <c r="BN141" s="662"/>
      <c r="BO141" s="662"/>
      <c r="BP141" s="662"/>
      <c r="BQ141" s="662"/>
      <c r="BR141" s="662"/>
      <c r="BS141" s="662"/>
      <c r="BT141" s="662"/>
      <c r="BU141" s="662"/>
      <c r="BV141" s="662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92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  <c r="CY141" s="93"/>
      <c r="CZ141" s="93"/>
      <c r="DA141" s="93"/>
      <c r="DB141" s="93"/>
      <c r="DC141" s="94"/>
      <c r="DD141" s="118"/>
      <c r="DE141" s="118"/>
      <c r="DF141" s="118"/>
      <c r="DG141" s="118"/>
      <c r="DH141" s="118"/>
      <c r="DI141" s="118"/>
      <c r="DJ141" s="118"/>
      <c r="DK141" s="118"/>
      <c r="DL141" s="118"/>
      <c r="DM141" s="118"/>
      <c r="DN141" s="118"/>
      <c r="DO141" s="118"/>
      <c r="DP141" s="118"/>
      <c r="DQ141" s="118"/>
      <c r="DR141" s="118"/>
      <c r="DS141" s="118"/>
      <c r="DT141" s="118"/>
      <c r="DU141" s="19"/>
      <c r="DV141" s="19"/>
      <c r="DW141" s="19"/>
      <c r="DX141" s="19"/>
      <c r="DY141" s="19"/>
      <c r="DZ141" s="19"/>
    </row>
    <row r="142" spans="1:130" ht="12.75" x14ac:dyDescent="0.2">
      <c r="A142" s="647"/>
      <c r="B142" s="647"/>
      <c r="C142" s="23"/>
      <c r="D142" s="23"/>
      <c r="E142" s="23"/>
      <c r="F142" s="23"/>
      <c r="G142" s="23"/>
      <c r="H142" s="634"/>
      <c r="I142" s="23">
        <f t="shared" si="116"/>
        <v>0</v>
      </c>
      <c r="J142" s="634"/>
      <c r="K142" s="23"/>
      <c r="L142" s="23"/>
      <c r="M142" s="634"/>
      <c r="N142" s="634"/>
      <c r="O142" s="634"/>
      <c r="P142" s="634"/>
      <c r="Q142" s="634"/>
      <c r="R142" s="634"/>
      <c r="S142" s="659"/>
      <c r="T142" s="647"/>
      <c r="U142" s="23">
        <v>20</v>
      </c>
      <c r="V142" s="23">
        <v>797</v>
      </c>
      <c r="W142" s="23">
        <v>12504</v>
      </c>
      <c r="X142" s="23">
        <v>12605</v>
      </c>
      <c r="Y142" s="23"/>
      <c r="Z142" s="634"/>
      <c r="AA142" s="23">
        <f t="shared" si="117"/>
        <v>101</v>
      </c>
      <c r="AB142" s="634"/>
      <c r="AC142" s="23" t="s">
        <v>51</v>
      </c>
      <c r="AD142" s="23" t="s">
        <v>51</v>
      </c>
      <c r="AE142" s="634"/>
      <c r="AF142" s="634"/>
      <c r="AG142" s="634"/>
      <c r="AH142" s="634"/>
      <c r="AI142" s="634"/>
      <c r="AJ142" s="634"/>
      <c r="AK142" s="659"/>
      <c r="AL142" s="647"/>
      <c r="AM142" s="23"/>
      <c r="AN142" s="53"/>
      <c r="AO142" s="53"/>
      <c r="AP142" s="53"/>
      <c r="AQ142" s="53"/>
      <c r="AR142" s="634"/>
      <c r="AS142" s="53">
        <f t="shared" si="115"/>
        <v>0</v>
      </c>
      <c r="AT142" s="635"/>
      <c r="AU142" s="635"/>
      <c r="AV142" s="635"/>
      <c r="AW142" s="53"/>
      <c r="AX142" s="634"/>
      <c r="AY142" s="634"/>
      <c r="AZ142" s="634"/>
      <c r="BA142" s="634"/>
      <c r="BB142" s="634"/>
      <c r="BC142" s="634"/>
      <c r="BD142" s="120"/>
      <c r="BE142" s="116"/>
      <c r="BF142" s="662"/>
      <c r="BG142" s="662"/>
      <c r="BH142" s="662"/>
      <c r="BI142" s="662"/>
      <c r="BJ142" s="662"/>
      <c r="BK142" s="662"/>
      <c r="BL142" s="662"/>
      <c r="BM142" s="662"/>
      <c r="BN142" s="662"/>
      <c r="BO142" s="662"/>
      <c r="BP142" s="662"/>
      <c r="BQ142" s="662"/>
      <c r="BR142" s="662"/>
      <c r="BS142" s="662"/>
      <c r="BT142" s="662"/>
      <c r="BU142" s="662"/>
      <c r="BV142" s="662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92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4"/>
      <c r="DD142" s="118"/>
      <c r="DE142" s="118"/>
      <c r="DF142" s="118"/>
      <c r="DG142" s="118"/>
      <c r="DH142" s="118"/>
      <c r="DI142" s="118"/>
      <c r="DJ142" s="118"/>
      <c r="DK142" s="118"/>
      <c r="DL142" s="118"/>
      <c r="DM142" s="118"/>
      <c r="DN142" s="118"/>
      <c r="DO142" s="118"/>
      <c r="DP142" s="118"/>
      <c r="DQ142" s="118"/>
      <c r="DR142" s="118"/>
      <c r="DS142" s="118"/>
      <c r="DT142" s="118"/>
      <c r="DU142" s="19"/>
      <c r="DV142" s="19"/>
      <c r="DW142" s="19"/>
      <c r="DX142" s="19"/>
      <c r="DY142" s="19"/>
      <c r="DZ142" s="19"/>
    </row>
    <row r="143" spans="1:130" ht="12.75" x14ac:dyDescent="0.2">
      <c r="A143" s="647"/>
      <c r="B143" s="648"/>
      <c r="C143" s="23"/>
      <c r="D143" s="23"/>
      <c r="E143" s="23"/>
      <c r="F143" s="23"/>
      <c r="G143" s="23"/>
      <c r="H143" s="635"/>
      <c r="I143" s="23">
        <f t="shared" si="116"/>
        <v>0</v>
      </c>
      <c r="J143" s="635"/>
      <c r="K143" s="23"/>
      <c r="L143" s="23"/>
      <c r="M143" s="635"/>
      <c r="N143" s="635"/>
      <c r="O143" s="635"/>
      <c r="P143" s="635"/>
      <c r="Q143" s="635"/>
      <c r="R143" s="635"/>
      <c r="S143" s="660"/>
      <c r="T143" s="648"/>
      <c r="U143" s="23"/>
      <c r="V143" s="23"/>
      <c r="W143" s="23"/>
      <c r="X143" s="23"/>
      <c r="Y143" s="23"/>
      <c r="Z143" s="635"/>
      <c r="AA143" s="23">
        <f t="shared" si="117"/>
        <v>0</v>
      </c>
      <c r="AB143" s="635"/>
      <c r="AC143" s="23"/>
      <c r="AD143" s="23"/>
      <c r="AE143" s="635"/>
      <c r="AF143" s="635"/>
      <c r="AG143" s="635"/>
      <c r="AH143" s="635"/>
      <c r="AI143" s="634"/>
      <c r="AJ143" s="635"/>
      <c r="AK143" s="659"/>
      <c r="AL143" s="648"/>
      <c r="AM143" s="23"/>
      <c r="AN143" s="53"/>
      <c r="AO143" s="53"/>
      <c r="AP143" s="53"/>
      <c r="AQ143" s="53"/>
      <c r="AR143" s="635"/>
      <c r="AS143" s="53">
        <f t="shared" si="115"/>
        <v>0</v>
      </c>
      <c r="AT143" s="98"/>
      <c r="AU143" s="53"/>
      <c r="AV143" s="56"/>
      <c r="AW143" s="56"/>
      <c r="AX143" s="635"/>
      <c r="AY143" s="635"/>
      <c r="AZ143" s="635"/>
      <c r="BA143" s="635"/>
      <c r="BB143" s="635"/>
      <c r="BC143" s="635"/>
      <c r="BD143" s="120"/>
      <c r="BE143" s="116"/>
      <c r="BF143" s="662"/>
      <c r="BG143" s="662"/>
      <c r="BH143" s="662"/>
      <c r="BI143" s="662"/>
      <c r="BJ143" s="662"/>
      <c r="BK143" s="662"/>
      <c r="BL143" s="662"/>
      <c r="BM143" s="662"/>
      <c r="BN143" s="662"/>
      <c r="BO143" s="662"/>
      <c r="BP143" s="662"/>
      <c r="BQ143" s="662"/>
      <c r="BR143" s="662"/>
      <c r="BS143" s="662"/>
      <c r="BT143" s="662"/>
      <c r="BU143" s="662"/>
      <c r="BV143" s="662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92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4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S143" s="118"/>
      <c r="DT143" s="118"/>
      <c r="DU143" s="19"/>
      <c r="DV143" s="19"/>
      <c r="DW143" s="19"/>
      <c r="DX143" s="19"/>
      <c r="DY143" s="19"/>
      <c r="DZ143" s="19"/>
    </row>
    <row r="144" spans="1:130" ht="12.75" x14ac:dyDescent="0.2">
      <c r="A144" s="647"/>
      <c r="B144" s="694">
        <v>46086</v>
      </c>
      <c r="C144" s="53"/>
      <c r="D144" s="53">
        <v>838</v>
      </c>
      <c r="E144" s="53">
        <v>3715</v>
      </c>
      <c r="F144" s="53">
        <v>3997</v>
      </c>
      <c r="G144" s="91"/>
      <c r="H144" s="696"/>
      <c r="I144" s="53">
        <f t="shared" si="116"/>
        <v>282</v>
      </c>
      <c r="J144" s="691">
        <f>SUM(I144:I147,H144)</f>
        <v>282</v>
      </c>
      <c r="K144" s="53"/>
      <c r="L144" s="53"/>
      <c r="M144" s="690">
        <v>2</v>
      </c>
      <c r="N144" s="687">
        <v>1.5</v>
      </c>
      <c r="O144" s="689">
        <f>SUM(M144:N147)</f>
        <v>3.5</v>
      </c>
      <c r="P144" s="690"/>
      <c r="Q144" s="690">
        <f>M144*60</f>
        <v>120</v>
      </c>
      <c r="R144" s="692">
        <f>IF(
   COUNTIF(K144:K147,"SI")&gt;0,
   1.8,
   IF(
      COUNTIF(L144:L147,"SI")&gt;0,
      1.6,
      2
   )
)</f>
        <v>2</v>
      </c>
      <c r="S144" s="693">
        <f>IF(Q144=0,0,J144/Q144)</f>
        <v>2.35</v>
      </c>
      <c r="T144" s="694">
        <v>46086</v>
      </c>
      <c r="U144" s="53"/>
      <c r="V144" s="53"/>
      <c r="W144" s="53"/>
      <c r="X144" s="53"/>
      <c r="Y144" s="53"/>
      <c r="Z144" s="690"/>
      <c r="AA144" s="53">
        <f t="shared" si="117"/>
        <v>0</v>
      </c>
      <c r="AB144" s="691">
        <f>SUM(AA144:AA147,Z144)</f>
        <v>0</v>
      </c>
      <c r="AC144" s="53"/>
      <c r="AD144" s="53"/>
      <c r="AE144" s="690"/>
      <c r="AF144" s="690">
        <v>0</v>
      </c>
      <c r="AG144" s="689">
        <f>SUM(AE144:AF147)</f>
        <v>0</v>
      </c>
      <c r="AH144" s="690">
        <v>0</v>
      </c>
      <c r="AI144" s="690">
        <f>AE144*60</f>
        <v>0</v>
      </c>
      <c r="AJ144" s="692">
        <f>IF(
   COUNTIF(AC144:AC147,"SI")&gt;0,
   1.8,
   IF(
      COUNTIF(AD144:AD147,"SI")&gt;0,
      1.6,
      2
   )
)</f>
        <v>2</v>
      </c>
      <c r="AK144" s="693">
        <f>IF(AI144=0,0,AB144/AI144)</f>
        <v>0</v>
      </c>
      <c r="AL144" s="694">
        <v>46086</v>
      </c>
      <c r="AM144" s="23">
        <v>11</v>
      </c>
      <c r="AN144" s="23">
        <v>794</v>
      </c>
      <c r="AO144" s="23">
        <v>11455</v>
      </c>
      <c r="AP144" s="23">
        <v>11500</v>
      </c>
      <c r="AQ144" s="53"/>
      <c r="AR144" s="690"/>
      <c r="AS144" s="53">
        <f>AP144-AO144-AQ144+AR144</f>
        <v>45</v>
      </c>
      <c r="AT144" s="691">
        <f>SUM(AS144:AS147)+AR144</f>
        <v>407</v>
      </c>
      <c r="AU144" s="690" t="s">
        <v>51</v>
      </c>
      <c r="AV144" s="690">
        <v>2.75</v>
      </c>
      <c r="AW144" s="53"/>
      <c r="AX144" s="690">
        <v>5.75</v>
      </c>
      <c r="AY144" s="689">
        <f>SUM(AV144:AX147)</f>
        <v>8.5</v>
      </c>
      <c r="AZ144" s="690">
        <v>0.15</v>
      </c>
      <c r="BA144" s="690">
        <f>AV144*60</f>
        <v>165</v>
      </c>
      <c r="BB144" s="692">
        <f>IF(
   COUNTIF(AU144:AU147,"SI")&gt;0,
   1.8,
   IF(
      COUNTIF(AV144:AV147,"SI")&gt;0,
      1.6,
      2
   )
)</f>
        <v>1.8</v>
      </c>
      <c r="BC144" s="698">
        <f>IF(BA144=0,0,AT144/BA144)</f>
        <v>2.4666666666666668</v>
      </c>
      <c r="BD144" s="120"/>
      <c r="BE144" s="116"/>
      <c r="BF144" s="662"/>
      <c r="BG144" s="662"/>
      <c r="BH144" s="662"/>
      <c r="BI144" s="662"/>
      <c r="BJ144" s="662"/>
      <c r="BK144" s="662"/>
      <c r="BL144" s="662"/>
      <c r="BM144" s="662"/>
      <c r="BN144" s="662"/>
      <c r="BO144" s="662"/>
      <c r="BP144" s="662"/>
      <c r="BQ144" s="662"/>
      <c r="BR144" s="662"/>
      <c r="BS144" s="662"/>
      <c r="BT144" s="662"/>
      <c r="BU144" s="662"/>
      <c r="BV144" s="662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92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4"/>
      <c r="DD144" s="118"/>
      <c r="DE144" s="118"/>
      <c r="DF144" s="118"/>
      <c r="DG144" s="118"/>
      <c r="DH144" s="118"/>
      <c r="DI144" s="118"/>
      <c r="DJ144" s="118"/>
      <c r="DK144" s="118"/>
      <c r="DL144" s="118"/>
      <c r="DM144" s="118"/>
      <c r="DN144" s="118"/>
      <c r="DO144" s="118"/>
      <c r="DP144" s="118"/>
      <c r="DQ144" s="118"/>
      <c r="DR144" s="118"/>
      <c r="DS144" s="118"/>
      <c r="DT144" s="118"/>
      <c r="DU144" s="19"/>
      <c r="DV144" s="19"/>
      <c r="DW144" s="19"/>
      <c r="DX144" s="19"/>
      <c r="DY144" s="19"/>
      <c r="DZ144" s="19"/>
    </row>
    <row r="145" spans="1:130" ht="12.75" x14ac:dyDescent="0.2">
      <c r="A145" s="647"/>
      <c r="B145" s="647"/>
      <c r="C145" s="53"/>
      <c r="D145" s="53"/>
      <c r="E145" s="53"/>
      <c r="F145" s="53"/>
      <c r="G145" s="53"/>
      <c r="H145" s="634"/>
      <c r="I145" s="53">
        <f t="shared" si="116"/>
        <v>0</v>
      </c>
      <c r="J145" s="634"/>
      <c r="K145" s="53"/>
      <c r="L145" s="53"/>
      <c r="M145" s="634"/>
      <c r="N145" s="634"/>
      <c r="O145" s="634"/>
      <c r="P145" s="634"/>
      <c r="Q145" s="634"/>
      <c r="R145" s="634"/>
      <c r="S145" s="659"/>
      <c r="T145" s="647"/>
      <c r="U145" s="53"/>
      <c r="V145" s="53"/>
      <c r="W145" s="53"/>
      <c r="X145" s="53"/>
      <c r="Y145" s="53"/>
      <c r="Z145" s="634"/>
      <c r="AA145" s="53">
        <f t="shared" si="117"/>
        <v>0</v>
      </c>
      <c r="AB145" s="634"/>
      <c r="AC145" s="53"/>
      <c r="AD145" s="53"/>
      <c r="AE145" s="634"/>
      <c r="AF145" s="634"/>
      <c r="AG145" s="634"/>
      <c r="AH145" s="634"/>
      <c r="AI145" s="634"/>
      <c r="AJ145" s="634"/>
      <c r="AK145" s="659"/>
      <c r="AL145" s="647"/>
      <c r="AM145" s="23">
        <v>80</v>
      </c>
      <c r="AN145" s="23">
        <v>798</v>
      </c>
      <c r="AO145" s="23">
        <v>13005</v>
      </c>
      <c r="AP145" s="23">
        <v>13372</v>
      </c>
      <c r="AQ145" s="53">
        <v>5</v>
      </c>
      <c r="AR145" s="634"/>
      <c r="AS145" s="53">
        <f t="shared" ref="AS145:AS155" si="120">AP145-AO145-AQ145</f>
        <v>362</v>
      </c>
      <c r="AT145" s="634"/>
      <c r="AU145" s="634"/>
      <c r="AV145" s="634"/>
      <c r="AW145" s="53"/>
      <c r="AX145" s="634"/>
      <c r="AY145" s="634"/>
      <c r="AZ145" s="634"/>
      <c r="BA145" s="634"/>
      <c r="BB145" s="634"/>
      <c r="BC145" s="634"/>
      <c r="BD145" s="120"/>
      <c r="BE145" s="116"/>
      <c r="BF145" s="11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8"/>
      <c r="BS145" s="118"/>
      <c r="BT145" s="118"/>
      <c r="BU145" s="118"/>
      <c r="BV145" s="133"/>
      <c r="BW145" s="118"/>
      <c r="BX145" s="118"/>
      <c r="BY145" s="118"/>
      <c r="BZ145" s="118"/>
      <c r="CA145" s="118"/>
      <c r="CB145" s="118"/>
      <c r="CC145" s="118"/>
      <c r="CD145" s="118"/>
      <c r="CE145" s="118"/>
      <c r="CF145" s="118"/>
      <c r="CG145" s="118"/>
      <c r="CH145" s="118"/>
      <c r="CI145" s="118"/>
      <c r="CJ145" s="118"/>
      <c r="CK145" s="118"/>
      <c r="CL145" s="118"/>
      <c r="CM145" s="118"/>
      <c r="CN145" s="92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4"/>
      <c r="DD145" s="118"/>
      <c r="DE145" s="118"/>
      <c r="DF145" s="118"/>
      <c r="DG145" s="118"/>
      <c r="DH145" s="118"/>
      <c r="DI145" s="118"/>
      <c r="DJ145" s="118"/>
      <c r="DK145" s="118"/>
      <c r="DL145" s="118"/>
      <c r="DM145" s="118"/>
      <c r="DN145" s="118"/>
      <c r="DO145" s="118"/>
      <c r="DP145" s="118"/>
      <c r="DQ145" s="118"/>
      <c r="DR145" s="118"/>
      <c r="DS145" s="118"/>
      <c r="DT145" s="118"/>
      <c r="DU145" s="19"/>
      <c r="DV145" s="19"/>
      <c r="DW145" s="19"/>
      <c r="DX145" s="19"/>
      <c r="DY145" s="19"/>
      <c r="DZ145" s="19"/>
    </row>
    <row r="146" spans="1:130" ht="12.75" x14ac:dyDescent="0.2">
      <c r="A146" s="647"/>
      <c r="B146" s="647"/>
      <c r="C146" s="53"/>
      <c r="D146" s="53"/>
      <c r="E146" s="53"/>
      <c r="F146" s="53"/>
      <c r="G146" s="53"/>
      <c r="H146" s="634"/>
      <c r="I146" s="53">
        <f t="shared" si="116"/>
        <v>0</v>
      </c>
      <c r="J146" s="634"/>
      <c r="K146" s="53"/>
      <c r="L146" s="53"/>
      <c r="M146" s="634"/>
      <c r="N146" s="634"/>
      <c r="O146" s="634"/>
      <c r="P146" s="634"/>
      <c r="Q146" s="634"/>
      <c r="R146" s="634"/>
      <c r="S146" s="659"/>
      <c r="T146" s="647"/>
      <c r="U146" s="53"/>
      <c r="V146" s="53"/>
      <c r="W146" s="53"/>
      <c r="X146" s="53"/>
      <c r="Y146" s="53"/>
      <c r="Z146" s="634"/>
      <c r="AA146" s="53">
        <f t="shared" si="117"/>
        <v>0</v>
      </c>
      <c r="AB146" s="634"/>
      <c r="AC146" s="53"/>
      <c r="AD146" s="53"/>
      <c r="AE146" s="634"/>
      <c r="AF146" s="634"/>
      <c r="AG146" s="634"/>
      <c r="AH146" s="634"/>
      <c r="AI146" s="634"/>
      <c r="AJ146" s="634"/>
      <c r="AK146" s="659"/>
      <c r="AL146" s="647"/>
      <c r="AM146" s="53"/>
      <c r="AN146" s="53"/>
      <c r="AO146" s="53"/>
      <c r="AP146" s="53"/>
      <c r="AQ146" s="53"/>
      <c r="AR146" s="634"/>
      <c r="AS146" s="53">
        <f t="shared" si="120"/>
        <v>0</v>
      </c>
      <c r="AT146" s="634"/>
      <c r="AU146" s="634"/>
      <c r="AV146" s="634"/>
      <c r="AW146" s="53"/>
      <c r="AX146" s="634"/>
      <c r="AY146" s="634"/>
      <c r="AZ146" s="634"/>
      <c r="BA146" s="634"/>
      <c r="BB146" s="634"/>
      <c r="BC146" s="634"/>
      <c r="BD146" s="121"/>
      <c r="BE146" s="119"/>
      <c r="BF146" s="121"/>
      <c r="BG146" s="122"/>
      <c r="BH146" s="122"/>
      <c r="BI146" s="122"/>
      <c r="BJ146" s="121"/>
      <c r="BK146" s="121"/>
      <c r="BL146" s="121"/>
      <c r="BM146" s="121"/>
      <c r="BN146" s="121"/>
      <c r="BO146" s="121"/>
      <c r="BP146" s="121"/>
      <c r="BQ146" s="19"/>
      <c r="BR146" s="19"/>
      <c r="BS146" s="123"/>
      <c r="BT146" s="123"/>
      <c r="BU146" s="121"/>
      <c r="BV146" s="121"/>
      <c r="BW146" s="118"/>
      <c r="BX146" s="118"/>
      <c r="BY146" s="118"/>
      <c r="BZ146" s="118"/>
      <c r="CA146" s="118"/>
      <c r="CB146" s="118"/>
      <c r="CC146" s="118"/>
      <c r="CD146" s="118"/>
      <c r="CE146" s="118"/>
      <c r="CF146" s="118"/>
      <c r="CG146" s="118"/>
      <c r="CH146" s="118"/>
      <c r="CI146" s="118"/>
      <c r="CJ146" s="118"/>
      <c r="CK146" s="118"/>
      <c r="CL146" s="118"/>
      <c r="CM146" s="118"/>
      <c r="CN146" s="92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4"/>
      <c r="DD146" s="118"/>
      <c r="DE146" s="118"/>
      <c r="DF146" s="118"/>
      <c r="DG146" s="118"/>
      <c r="DH146" s="118"/>
      <c r="DI146" s="118"/>
      <c r="DJ146" s="118"/>
      <c r="DK146" s="118"/>
      <c r="DL146" s="118"/>
      <c r="DM146" s="118"/>
      <c r="DN146" s="118"/>
      <c r="DO146" s="118"/>
      <c r="DP146" s="118"/>
      <c r="DQ146" s="118"/>
      <c r="DR146" s="118"/>
      <c r="DS146" s="118"/>
      <c r="DT146" s="118"/>
      <c r="DU146" s="19"/>
      <c r="DV146" s="19"/>
      <c r="DW146" s="19"/>
      <c r="DX146" s="19"/>
      <c r="DY146" s="19"/>
      <c r="DZ146" s="19"/>
    </row>
    <row r="147" spans="1:130" ht="12.75" x14ac:dyDescent="0.2">
      <c r="A147" s="647"/>
      <c r="B147" s="648"/>
      <c r="C147" s="53"/>
      <c r="D147" s="53"/>
      <c r="E147" s="53"/>
      <c r="F147" s="53"/>
      <c r="G147" s="53"/>
      <c r="H147" s="635"/>
      <c r="I147" s="53">
        <f t="shared" si="116"/>
        <v>0</v>
      </c>
      <c r="J147" s="635"/>
      <c r="K147" s="53"/>
      <c r="L147" s="53"/>
      <c r="M147" s="635"/>
      <c r="N147" s="635"/>
      <c r="O147" s="635"/>
      <c r="P147" s="635"/>
      <c r="Q147" s="635"/>
      <c r="R147" s="635"/>
      <c r="S147" s="660"/>
      <c r="T147" s="648"/>
      <c r="U147" s="53"/>
      <c r="V147" s="53"/>
      <c r="W147" s="53"/>
      <c r="X147" s="53"/>
      <c r="Y147" s="53"/>
      <c r="Z147" s="635"/>
      <c r="AA147" s="53">
        <f t="shared" si="117"/>
        <v>0</v>
      </c>
      <c r="AB147" s="635"/>
      <c r="AC147" s="53"/>
      <c r="AD147" s="53"/>
      <c r="AE147" s="635"/>
      <c r="AF147" s="635"/>
      <c r="AG147" s="635"/>
      <c r="AH147" s="635"/>
      <c r="AI147" s="635"/>
      <c r="AJ147" s="635"/>
      <c r="AK147" s="660"/>
      <c r="AL147" s="648"/>
      <c r="AM147" s="53"/>
      <c r="AN147" s="53"/>
      <c r="AO147" s="53"/>
      <c r="AP147" s="53"/>
      <c r="AQ147" s="53"/>
      <c r="AR147" s="635"/>
      <c r="AS147" s="53">
        <f t="shared" si="120"/>
        <v>0</v>
      </c>
      <c r="AT147" s="635"/>
      <c r="AU147" s="635"/>
      <c r="AV147" s="635"/>
      <c r="AW147" s="56"/>
      <c r="AX147" s="635"/>
      <c r="AY147" s="635"/>
      <c r="AZ147" s="635"/>
      <c r="BA147" s="634"/>
      <c r="BB147" s="635"/>
      <c r="BC147" s="635"/>
      <c r="BD147" s="120"/>
      <c r="BE147" s="116"/>
      <c r="BF147" s="117"/>
      <c r="BG147" s="11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9"/>
      <c r="BR147" s="19"/>
      <c r="BS147" s="117"/>
      <c r="BT147" s="117"/>
      <c r="BU147" s="117"/>
      <c r="BV147" s="120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92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94"/>
      <c r="DD147" s="118"/>
      <c r="DE147" s="118"/>
      <c r="DF147" s="118"/>
      <c r="DG147" s="118"/>
      <c r="DH147" s="118"/>
      <c r="DI147" s="118"/>
      <c r="DJ147" s="118"/>
      <c r="DK147" s="118"/>
      <c r="DL147" s="118"/>
      <c r="DM147" s="118"/>
      <c r="DN147" s="118"/>
      <c r="DO147" s="118"/>
      <c r="DP147" s="118"/>
      <c r="DQ147" s="118"/>
      <c r="DR147" s="118"/>
      <c r="DS147" s="118"/>
      <c r="DT147" s="118"/>
      <c r="DU147" s="19"/>
      <c r="DV147" s="19"/>
      <c r="DW147" s="19"/>
      <c r="DX147" s="19"/>
      <c r="DY147" s="19"/>
      <c r="DZ147" s="19"/>
    </row>
    <row r="148" spans="1:130" ht="12.75" x14ac:dyDescent="0.2">
      <c r="A148" s="647"/>
      <c r="B148" s="695">
        <v>46087</v>
      </c>
      <c r="C148" s="23"/>
      <c r="D148" s="23"/>
      <c r="E148" s="23"/>
      <c r="F148" s="23"/>
      <c r="G148" s="23"/>
      <c r="H148" s="688"/>
      <c r="I148" s="23">
        <f t="shared" si="116"/>
        <v>0</v>
      </c>
      <c r="J148" s="691">
        <f>SUM(I148:I151,H148)</f>
        <v>0</v>
      </c>
      <c r="K148" s="23"/>
      <c r="L148" s="23"/>
      <c r="M148" s="690"/>
      <c r="N148" s="690"/>
      <c r="O148" s="689">
        <f>SUM(M148:N151)</f>
        <v>0</v>
      </c>
      <c r="P148" s="688"/>
      <c r="Q148" s="688">
        <f>M140*60</f>
        <v>0</v>
      </c>
      <c r="R148" s="692">
        <f>IF(
   COUNTIF(K148:K151,"SI")&gt;0,
   1.8,
   IF(
      COUNTIF(L148:L151,"SI")&gt;0,
      1.6,
      2
   )
)</f>
        <v>2</v>
      </c>
      <c r="S148" s="693">
        <f>IF(Q148=0,0,J148/Q148)</f>
        <v>0</v>
      </c>
      <c r="T148" s="695">
        <v>46087</v>
      </c>
      <c r="U148" s="23">
        <v>89</v>
      </c>
      <c r="V148" s="23">
        <v>797</v>
      </c>
      <c r="W148" s="23">
        <v>12606</v>
      </c>
      <c r="X148" s="23">
        <v>13004</v>
      </c>
      <c r="Y148" s="23">
        <v>0</v>
      </c>
      <c r="Z148" s="688">
        <v>0</v>
      </c>
      <c r="AA148" s="23">
        <f t="shared" si="117"/>
        <v>398</v>
      </c>
      <c r="AB148" s="691">
        <f>SUM(AA148:AA151,Z148)</f>
        <v>645</v>
      </c>
      <c r="AC148" s="23" t="s">
        <v>51</v>
      </c>
      <c r="AD148" s="23" t="s">
        <v>51</v>
      </c>
      <c r="AE148" s="688">
        <v>5</v>
      </c>
      <c r="AF148" s="688">
        <v>0.5</v>
      </c>
      <c r="AG148" s="689">
        <f>SUM(AE148:AF151)</f>
        <v>5.5</v>
      </c>
      <c r="AH148" s="688">
        <v>0</v>
      </c>
      <c r="AI148" s="688">
        <f>AE148*60</f>
        <v>300</v>
      </c>
      <c r="AJ148" s="692">
        <f>IF(
   COUNTIF(AC148:AC151,"SI")&gt;0,
   1.8,
   IF(
      COUNTIF(AD148:AD151,"SI")&gt;0,
      1.6,
      2
   )
)</f>
        <v>1.8</v>
      </c>
      <c r="AK148" s="693">
        <f>IF(AI148=0,0,AB148/AI148)</f>
        <v>2.15</v>
      </c>
      <c r="AL148" s="695">
        <v>46087</v>
      </c>
      <c r="AM148" s="23">
        <v>35</v>
      </c>
      <c r="AN148" s="23">
        <v>798</v>
      </c>
      <c r="AO148" s="23">
        <v>13373</v>
      </c>
      <c r="AP148" s="22">
        <v>13502</v>
      </c>
      <c r="AQ148" s="23">
        <v>3</v>
      </c>
      <c r="AR148" s="688"/>
      <c r="AS148" s="53">
        <f t="shared" si="120"/>
        <v>126</v>
      </c>
      <c r="AT148" s="691">
        <f>SUM(AS148:AS150)+AR148</f>
        <v>826</v>
      </c>
      <c r="AU148" s="53" t="s">
        <v>51</v>
      </c>
      <c r="AV148" s="688">
        <v>5.7</v>
      </c>
      <c r="AW148" s="23" t="s">
        <v>51</v>
      </c>
      <c r="AX148" s="688">
        <v>3.55</v>
      </c>
      <c r="AY148" s="689">
        <f>SUM(AV148+AV151+AX148)</f>
        <v>10</v>
      </c>
      <c r="AZ148" s="688">
        <v>0.2</v>
      </c>
      <c r="BA148" s="688">
        <f>AV148*60</f>
        <v>342</v>
      </c>
      <c r="BB148" s="696">
        <f>IF(
   COUNTIF(AU148:AU151,"SI")&gt;0,
   1.8,
   IF(
      COUNTIF(AV148:AV151,"SI")&gt;0,
      1.6,
      2
   )
)</f>
        <v>1.8</v>
      </c>
      <c r="BC148" s="697">
        <f>IF(BA148=0,0,AT148/BA148)</f>
        <v>2.4152046783625729</v>
      </c>
      <c r="BD148" s="120"/>
      <c r="BE148" s="668"/>
      <c r="BF148" s="117"/>
      <c r="BG148" s="11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9"/>
      <c r="BR148" s="19"/>
      <c r="BS148" s="117"/>
      <c r="BT148" s="117"/>
      <c r="BU148" s="117"/>
      <c r="BV148" s="120"/>
      <c r="BW148" s="118"/>
      <c r="BX148" s="118"/>
      <c r="BY148" s="118"/>
      <c r="BZ148" s="118"/>
      <c r="CA148" s="118"/>
      <c r="CB148" s="118"/>
      <c r="CC148" s="118"/>
      <c r="CD148" s="118"/>
      <c r="CE148" s="118"/>
      <c r="CF148" s="118"/>
      <c r="CG148" s="118"/>
      <c r="CH148" s="118"/>
      <c r="CI148" s="118"/>
      <c r="CJ148" s="118"/>
      <c r="CK148" s="118"/>
      <c r="CL148" s="118"/>
      <c r="CM148" s="118"/>
      <c r="CN148" s="92"/>
      <c r="CO148" s="93"/>
      <c r="CP148" s="93"/>
      <c r="CQ148" s="93"/>
      <c r="CR148" s="93"/>
      <c r="CS148" s="93"/>
      <c r="CT148" s="93"/>
      <c r="CU148" s="93"/>
      <c r="CV148" s="93"/>
      <c r="CW148" s="93"/>
      <c r="CX148" s="93"/>
      <c r="CY148" s="93"/>
      <c r="CZ148" s="93"/>
      <c r="DA148" s="93"/>
      <c r="DB148" s="93"/>
      <c r="DC148" s="94"/>
      <c r="DD148" s="118"/>
      <c r="DE148" s="118"/>
      <c r="DF148" s="118"/>
      <c r="DG148" s="118"/>
      <c r="DH148" s="118"/>
      <c r="DI148" s="118"/>
      <c r="DJ148" s="118"/>
      <c r="DK148" s="118"/>
      <c r="DL148" s="118"/>
      <c r="DM148" s="118"/>
      <c r="DN148" s="118"/>
      <c r="DO148" s="118"/>
      <c r="DP148" s="118"/>
      <c r="DQ148" s="118"/>
      <c r="DR148" s="118"/>
      <c r="DS148" s="118"/>
      <c r="DT148" s="118"/>
      <c r="DU148" s="19"/>
      <c r="DV148" s="19"/>
      <c r="DW148" s="19"/>
      <c r="DX148" s="19"/>
      <c r="DY148" s="19"/>
      <c r="DZ148" s="19"/>
    </row>
    <row r="149" spans="1:130" ht="12.75" x14ac:dyDescent="0.2">
      <c r="A149" s="647"/>
      <c r="B149" s="647"/>
      <c r="C149" s="23"/>
      <c r="D149" s="23"/>
      <c r="E149" s="23"/>
      <c r="F149" s="23"/>
      <c r="G149" s="23"/>
      <c r="H149" s="634"/>
      <c r="I149" s="23">
        <f t="shared" si="116"/>
        <v>0</v>
      </c>
      <c r="J149" s="634"/>
      <c r="K149" s="23"/>
      <c r="L149" s="23"/>
      <c r="M149" s="634"/>
      <c r="N149" s="634"/>
      <c r="O149" s="634"/>
      <c r="P149" s="634"/>
      <c r="Q149" s="634"/>
      <c r="R149" s="634"/>
      <c r="S149" s="659"/>
      <c r="T149" s="647"/>
      <c r="U149" s="23">
        <v>55</v>
      </c>
      <c r="V149" s="23">
        <v>799</v>
      </c>
      <c r="W149" s="23">
        <v>13503</v>
      </c>
      <c r="X149" s="23">
        <v>13750</v>
      </c>
      <c r="Y149" s="23"/>
      <c r="Z149" s="634"/>
      <c r="AA149" s="23">
        <f t="shared" si="117"/>
        <v>247</v>
      </c>
      <c r="AB149" s="634"/>
      <c r="AC149" s="23" t="s">
        <v>51</v>
      </c>
      <c r="AD149" s="23" t="s">
        <v>51</v>
      </c>
      <c r="AE149" s="634"/>
      <c r="AF149" s="634"/>
      <c r="AG149" s="634"/>
      <c r="AH149" s="634"/>
      <c r="AI149" s="634"/>
      <c r="AJ149" s="634"/>
      <c r="AK149" s="659"/>
      <c r="AL149" s="647"/>
      <c r="AM149" s="23">
        <v>111</v>
      </c>
      <c r="AN149" s="23">
        <v>800</v>
      </c>
      <c r="AO149" s="23">
        <v>14001</v>
      </c>
      <c r="AP149" s="23">
        <v>14501</v>
      </c>
      <c r="AQ149" s="23"/>
      <c r="AR149" s="634"/>
      <c r="AS149" s="23">
        <f t="shared" si="120"/>
        <v>500</v>
      </c>
      <c r="AT149" s="634"/>
      <c r="AU149" s="53" t="s">
        <v>51</v>
      </c>
      <c r="AV149" s="634"/>
      <c r="AW149" s="23" t="s">
        <v>51</v>
      </c>
      <c r="AX149" s="634"/>
      <c r="AY149" s="634"/>
      <c r="AZ149" s="634"/>
      <c r="BA149" s="634"/>
      <c r="BB149" s="634"/>
      <c r="BC149" s="634"/>
      <c r="BD149" s="120"/>
      <c r="BE149" s="662"/>
      <c r="BF149" s="117"/>
      <c r="BG149" s="11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9"/>
      <c r="BR149" s="19"/>
      <c r="BS149" s="117"/>
      <c r="BT149" s="117"/>
      <c r="BU149" s="117"/>
      <c r="BV149" s="117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92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94"/>
      <c r="DD149" s="118"/>
      <c r="DE149" s="118"/>
      <c r="DF149" s="118"/>
      <c r="DG149" s="118"/>
      <c r="DH149" s="118"/>
      <c r="DI149" s="118"/>
      <c r="DJ149" s="118"/>
      <c r="DK149" s="118"/>
      <c r="DL149" s="118"/>
      <c r="DM149" s="118"/>
      <c r="DN149" s="118"/>
      <c r="DO149" s="118"/>
      <c r="DP149" s="118"/>
      <c r="DQ149" s="118"/>
      <c r="DR149" s="118"/>
      <c r="DS149" s="118"/>
      <c r="DT149" s="118"/>
      <c r="DU149" s="19"/>
      <c r="DV149" s="19"/>
      <c r="DW149" s="19"/>
      <c r="DX149" s="19"/>
      <c r="DY149" s="19"/>
      <c r="DZ149" s="19"/>
    </row>
    <row r="150" spans="1:130" ht="12.75" x14ac:dyDescent="0.2">
      <c r="A150" s="647"/>
      <c r="B150" s="647"/>
      <c r="C150" s="23"/>
      <c r="D150" s="23"/>
      <c r="E150" s="23"/>
      <c r="F150" s="23"/>
      <c r="G150" s="23"/>
      <c r="H150" s="634"/>
      <c r="I150" s="23">
        <f t="shared" si="116"/>
        <v>0</v>
      </c>
      <c r="J150" s="634"/>
      <c r="K150" s="23"/>
      <c r="L150" s="23"/>
      <c r="M150" s="634"/>
      <c r="N150" s="634"/>
      <c r="O150" s="634"/>
      <c r="P150" s="634"/>
      <c r="Q150" s="634"/>
      <c r="R150" s="634"/>
      <c r="S150" s="659"/>
      <c r="T150" s="647"/>
      <c r="U150" s="23"/>
      <c r="V150" s="23"/>
      <c r="W150" s="23"/>
      <c r="X150" s="23"/>
      <c r="Y150" s="23"/>
      <c r="Z150" s="634"/>
      <c r="AA150" s="23">
        <f t="shared" si="117"/>
        <v>0</v>
      </c>
      <c r="AB150" s="634"/>
      <c r="AC150" s="23"/>
      <c r="AD150" s="23"/>
      <c r="AE150" s="634"/>
      <c r="AF150" s="634"/>
      <c r="AG150" s="634"/>
      <c r="AH150" s="634"/>
      <c r="AI150" s="634"/>
      <c r="AJ150" s="634"/>
      <c r="AK150" s="659"/>
      <c r="AL150" s="647"/>
      <c r="AM150" s="20"/>
      <c r="AN150" s="22">
        <v>801</v>
      </c>
      <c r="AO150" s="22">
        <v>14502</v>
      </c>
      <c r="AP150" s="22">
        <v>14702</v>
      </c>
      <c r="AQ150" s="20"/>
      <c r="AR150" s="634"/>
      <c r="AS150" s="23">
        <f t="shared" si="120"/>
        <v>200</v>
      </c>
      <c r="AT150" s="634"/>
      <c r="AU150" s="49" t="s">
        <v>51</v>
      </c>
      <c r="AV150" s="635"/>
      <c r="AW150" s="49" t="s">
        <v>51</v>
      </c>
      <c r="AX150" s="634"/>
      <c r="AY150" s="634"/>
      <c r="AZ150" s="634"/>
      <c r="BA150" s="635"/>
      <c r="BB150" s="634"/>
      <c r="BC150" s="635"/>
      <c r="BD150" s="120"/>
      <c r="BE150" s="668"/>
      <c r="BF150" s="117"/>
      <c r="BG150" s="117"/>
      <c r="BH150" s="117"/>
      <c r="BI150" s="117"/>
      <c r="BJ150" s="117"/>
      <c r="BK150" s="117"/>
      <c r="BL150" s="117"/>
      <c r="BM150" s="117"/>
      <c r="BN150" s="117"/>
      <c r="BO150" s="117"/>
      <c r="BP150" s="661"/>
      <c r="BQ150" s="121"/>
      <c r="BR150" s="123"/>
      <c r="BS150" s="661"/>
      <c r="BT150" s="117"/>
      <c r="BU150" s="661"/>
      <c r="BV150" s="661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92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94"/>
      <c r="DD150" s="118"/>
      <c r="DE150" s="118"/>
      <c r="DF150" s="118"/>
      <c r="DG150" s="118"/>
      <c r="DH150" s="118"/>
      <c r="DI150" s="118"/>
      <c r="DJ150" s="118"/>
      <c r="DK150" s="118"/>
      <c r="DL150" s="118"/>
      <c r="DM150" s="118"/>
      <c r="DN150" s="118"/>
      <c r="DO150" s="118"/>
      <c r="DP150" s="118"/>
      <c r="DQ150" s="118"/>
      <c r="DR150" s="118"/>
      <c r="DS150" s="118"/>
      <c r="DT150" s="118"/>
      <c r="DU150" s="19"/>
      <c r="DV150" s="19"/>
      <c r="DW150" s="19"/>
      <c r="DX150" s="19"/>
      <c r="DY150" s="19"/>
      <c r="DZ150" s="19"/>
    </row>
    <row r="151" spans="1:130" ht="12.75" x14ac:dyDescent="0.2">
      <c r="A151" s="647"/>
      <c r="B151" s="648"/>
      <c r="C151" s="102"/>
      <c r="D151" s="102"/>
      <c r="E151" s="102"/>
      <c r="F151" s="102"/>
      <c r="G151" s="102"/>
      <c r="H151" s="635"/>
      <c r="I151" s="23">
        <f t="shared" si="116"/>
        <v>0</v>
      </c>
      <c r="J151" s="635"/>
      <c r="K151" s="102"/>
      <c r="L151" s="102"/>
      <c r="M151" s="635"/>
      <c r="N151" s="635"/>
      <c r="O151" s="635"/>
      <c r="P151" s="635"/>
      <c r="Q151" s="635"/>
      <c r="R151" s="635"/>
      <c r="S151" s="660"/>
      <c r="T151" s="648"/>
      <c r="U151" s="102"/>
      <c r="V151" s="102"/>
      <c r="W151" s="102"/>
      <c r="X151" s="102"/>
      <c r="Y151" s="102"/>
      <c r="Z151" s="635"/>
      <c r="AA151" s="23">
        <f t="shared" si="117"/>
        <v>0</v>
      </c>
      <c r="AB151" s="635"/>
      <c r="AC151" s="102"/>
      <c r="AD151" s="102"/>
      <c r="AE151" s="635"/>
      <c r="AF151" s="635"/>
      <c r="AG151" s="635"/>
      <c r="AH151" s="635"/>
      <c r="AI151" s="635"/>
      <c r="AJ151" s="635"/>
      <c r="AK151" s="660"/>
      <c r="AL151" s="648"/>
      <c r="AM151" s="23">
        <v>10</v>
      </c>
      <c r="AN151" s="23">
        <v>522</v>
      </c>
      <c r="AO151" s="23">
        <v>5888</v>
      </c>
      <c r="AP151" s="23">
        <v>6001</v>
      </c>
      <c r="AQ151" s="23">
        <v>1</v>
      </c>
      <c r="AR151" s="635"/>
      <c r="AS151" s="23">
        <f t="shared" si="120"/>
        <v>112</v>
      </c>
      <c r="AT151" s="98">
        <f>AS151</f>
        <v>112</v>
      </c>
      <c r="AU151" s="53" t="s">
        <v>52</v>
      </c>
      <c r="AV151" s="91">
        <v>0.75</v>
      </c>
      <c r="AW151" s="23" t="s">
        <v>52</v>
      </c>
      <c r="AX151" s="635"/>
      <c r="AY151" s="635"/>
      <c r="AZ151" s="635"/>
      <c r="BA151" s="100">
        <f t="shared" ref="BA151:BA152" si="121">AV151*60</f>
        <v>45</v>
      </c>
      <c r="BB151" s="635"/>
      <c r="BC151" s="95">
        <f t="shared" ref="BC151:BC152" si="122">IF(BA151=0,0,AT151/BA151)</f>
        <v>2.4888888888888889</v>
      </c>
      <c r="BD151" s="120"/>
      <c r="BE151" s="662"/>
      <c r="BF151" s="11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662"/>
      <c r="BQ151" s="117"/>
      <c r="BR151" s="117"/>
      <c r="BS151" s="662"/>
      <c r="BT151" s="117"/>
      <c r="BU151" s="662"/>
      <c r="BV151" s="662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92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4"/>
      <c r="DD151" s="118"/>
      <c r="DE151" s="118"/>
      <c r="DF151" s="118"/>
      <c r="DG151" s="118"/>
      <c r="DH151" s="118"/>
      <c r="DI151" s="118"/>
      <c r="DJ151" s="118"/>
      <c r="DK151" s="118"/>
      <c r="DL151" s="118"/>
      <c r="DM151" s="118"/>
      <c r="DN151" s="118"/>
      <c r="DO151" s="118"/>
      <c r="DP151" s="118"/>
      <c r="DQ151" s="118"/>
      <c r="DR151" s="118"/>
      <c r="DS151" s="118"/>
      <c r="DT151" s="118"/>
      <c r="DU151" s="19"/>
      <c r="DV151" s="19"/>
      <c r="DW151" s="19"/>
      <c r="DX151" s="19"/>
      <c r="DY151" s="19"/>
      <c r="DZ151" s="19"/>
    </row>
    <row r="152" spans="1:130" ht="12.75" x14ac:dyDescent="0.2">
      <c r="A152" s="647"/>
      <c r="B152" s="694">
        <v>46088</v>
      </c>
      <c r="C152" s="55"/>
      <c r="D152" s="55"/>
      <c r="E152" s="55"/>
      <c r="F152" s="55"/>
      <c r="G152" s="55"/>
      <c r="H152" s="687"/>
      <c r="I152" s="53">
        <f t="shared" si="116"/>
        <v>0</v>
      </c>
      <c r="J152" s="691">
        <f>SUM(I152:I155,H152)</f>
        <v>0</v>
      </c>
      <c r="K152" s="55"/>
      <c r="L152" s="55"/>
      <c r="M152" s="687"/>
      <c r="N152" s="690"/>
      <c r="O152" s="689">
        <f>SUM(M152:N155)</f>
        <v>0</v>
      </c>
      <c r="P152" s="687"/>
      <c r="Q152" s="690">
        <f>M152*60</f>
        <v>0</v>
      </c>
      <c r="R152" s="692">
        <f>IF(
   COUNTIF(K152:K155,"SI")&gt;0,
   1.8,
   IF(
      COUNTIF(L152:L155,"SI")&gt;0,
      1.6,
      2
   )
)</f>
        <v>2</v>
      </c>
      <c r="S152" s="693">
        <f>IF(Q152=0,0,J152/Q152)</f>
        <v>0</v>
      </c>
      <c r="T152" s="694">
        <v>46088</v>
      </c>
      <c r="U152" s="52">
        <v>58</v>
      </c>
      <c r="V152" s="52">
        <v>799</v>
      </c>
      <c r="W152" s="52">
        <v>13751</v>
      </c>
      <c r="X152" s="52">
        <v>14000</v>
      </c>
      <c r="Y152" s="52">
        <v>4</v>
      </c>
      <c r="Z152" s="687">
        <v>0</v>
      </c>
      <c r="AA152" s="53">
        <f t="shared" si="117"/>
        <v>245</v>
      </c>
      <c r="AB152" s="691">
        <f>SUM(AA152:AA155,Z152)</f>
        <v>548</v>
      </c>
      <c r="AC152" s="52" t="s">
        <v>51</v>
      </c>
      <c r="AD152" s="52" t="s">
        <v>51</v>
      </c>
      <c r="AE152" s="687">
        <v>4.5</v>
      </c>
      <c r="AF152" s="687">
        <v>0.5</v>
      </c>
      <c r="AG152" s="689">
        <f>SUM(AE152:AF155)</f>
        <v>5</v>
      </c>
      <c r="AH152" s="687">
        <v>0</v>
      </c>
      <c r="AI152" s="690">
        <f>AE152*60</f>
        <v>270</v>
      </c>
      <c r="AJ152" s="692">
        <f>IF(
   COUNTIF(AC152:AC155,"SI")&gt;0,
   1.8,
   IF(
      COUNTIF(AD152:AD155,"SI")&gt;0,
      1.6,
      2
   )
)</f>
        <v>1.8</v>
      </c>
      <c r="AK152" s="693">
        <f>IF(AI152=0,0,AB152/AI152)</f>
        <v>2.0296296296296297</v>
      </c>
      <c r="AL152" s="694">
        <v>46088</v>
      </c>
      <c r="AM152" s="53"/>
      <c r="AN152" s="23"/>
      <c r="AO152" s="52"/>
      <c r="AP152" s="52"/>
      <c r="AQ152" s="55"/>
      <c r="AR152" s="687"/>
      <c r="AS152" s="53">
        <f t="shared" si="120"/>
        <v>0</v>
      </c>
      <c r="AT152" s="691">
        <f>SUM(AS152:AS155,AR152)</f>
        <v>0</v>
      </c>
      <c r="AU152" s="52"/>
      <c r="AV152" s="687"/>
      <c r="AW152" s="52"/>
      <c r="AX152" s="687"/>
      <c r="AY152" s="689">
        <f>SUM(AV152:AX155)</f>
        <v>0</v>
      </c>
      <c r="AZ152" s="687"/>
      <c r="BA152" s="690">
        <f t="shared" si="121"/>
        <v>0</v>
      </c>
      <c r="BB152" s="692">
        <f>IF(
   COUNTIF(AU152:AU155,"SI")&gt;0,
   1.8,
   IF(
      COUNTIF(AV152:AV155,"SI")&gt;0,
      1.6,
      2
   )
)</f>
        <v>2</v>
      </c>
      <c r="BC152" s="697">
        <f t="shared" si="122"/>
        <v>0</v>
      </c>
      <c r="BD152" s="661"/>
      <c r="BE152" s="116"/>
      <c r="BF152" s="117"/>
      <c r="BG152" s="11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117"/>
      <c r="BS152" s="117"/>
      <c r="BT152" s="117"/>
      <c r="BU152" s="120"/>
      <c r="BV152" s="120"/>
      <c r="BW152" s="118"/>
      <c r="BX152" s="118"/>
      <c r="BY152" s="118"/>
      <c r="BZ152" s="118"/>
      <c r="CA152" s="118"/>
      <c r="CB152" s="118"/>
      <c r="CC152" s="118"/>
      <c r="CD152" s="118"/>
      <c r="CE152" s="118"/>
      <c r="CF152" s="118"/>
      <c r="CG152" s="118"/>
      <c r="CH152" s="118"/>
      <c r="CI152" s="118"/>
      <c r="CJ152" s="118"/>
      <c r="CK152" s="118"/>
      <c r="CL152" s="118"/>
      <c r="CM152" s="118"/>
      <c r="CN152" s="92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4"/>
      <c r="DD152" s="118"/>
      <c r="DE152" s="118"/>
      <c r="DF152" s="118"/>
      <c r="DG152" s="118"/>
      <c r="DH152" s="118"/>
      <c r="DI152" s="118"/>
      <c r="DJ152" s="118"/>
      <c r="DK152" s="118"/>
      <c r="DL152" s="118"/>
      <c r="DM152" s="118"/>
      <c r="DN152" s="118"/>
      <c r="DO152" s="118"/>
      <c r="DP152" s="118"/>
      <c r="DQ152" s="118"/>
      <c r="DR152" s="118"/>
      <c r="DS152" s="118"/>
      <c r="DT152" s="118"/>
      <c r="DU152" s="19"/>
      <c r="DV152" s="19"/>
      <c r="DW152" s="19"/>
      <c r="DX152" s="19"/>
      <c r="DY152" s="19"/>
      <c r="DZ152" s="19"/>
    </row>
    <row r="153" spans="1:130" ht="12.75" x14ac:dyDescent="0.2">
      <c r="A153" s="647"/>
      <c r="B153" s="647"/>
      <c r="C153" s="55"/>
      <c r="D153" s="55"/>
      <c r="E153" s="55"/>
      <c r="F153" s="55"/>
      <c r="G153" s="55"/>
      <c r="H153" s="634"/>
      <c r="I153" s="53">
        <f t="shared" si="116"/>
        <v>0</v>
      </c>
      <c r="J153" s="634"/>
      <c r="K153" s="55"/>
      <c r="L153" s="55"/>
      <c r="M153" s="634"/>
      <c r="N153" s="634"/>
      <c r="O153" s="634"/>
      <c r="P153" s="634"/>
      <c r="Q153" s="634"/>
      <c r="R153" s="634"/>
      <c r="S153" s="659"/>
      <c r="T153" s="647"/>
      <c r="U153" s="52">
        <v>47</v>
      </c>
      <c r="V153" s="52">
        <v>802</v>
      </c>
      <c r="W153" s="52">
        <v>15004</v>
      </c>
      <c r="X153" s="52">
        <v>15309</v>
      </c>
      <c r="Y153" s="52">
        <v>2</v>
      </c>
      <c r="Z153" s="634"/>
      <c r="AA153" s="53">
        <f t="shared" si="117"/>
        <v>303</v>
      </c>
      <c r="AB153" s="634"/>
      <c r="AC153" s="52" t="s">
        <v>51</v>
      </c>
      <c r="AD153" s="52" t="s">
        <v>51</v>
      </c>
      <c r="AE153" s="634"/>
      <c r="AF153" s="634"/>
      <c r="AG153" s="634"/>
      <c r="AH153" s="634"/>
      <c r="AI153" s="634"/>
      <c r="AJ153" s="634"/>
      <c r="AK153" s="659"/>
      <c r="AL153" s="647"/>
      <c r="AM153" s="55"/>
      <c r="AN153" s="52"/>
      <c r="AO153" s="52"/>
      <c r="AP153" s="52"/>
      <c r="AQ153" s="52"/>
      <c r="AR153" s="634"/>
      <c r="AS153" s="53">
        <f t="shared" si="120"/>
        <v>0</v>
      </c>
      <c r="AT153" s="634"/>
      <c r="AU153" s="55"/>
      <c r="AV153" s="634"/>
      <c r="AW153" s="55"/>
      <c r="AX153" s="634"/>
      <c r="AY153" s="634"/>
      <c r="AZ153" s="634"/>
      <c r="BA153" s="634"/>
      <c r="BB153" s="634"/>
      <c r="BC153" s="634"/>
      <c r="BD153" s="662"/>
      <c r="BE153" s="668"/>
      <c r="BF153" s="117"/>
      <c r="BG153" s="117"/>
      <c r="BH153" s="117"/>
      <c r="BI153" s="117"/>
      <c r="BJ153" s="117"/>
      <c r="BK153" s="117"/>
      <c r="BL153" s="117"/>
      <c r="BM153" s="117"/>
      <c r="BN153" s="117"/>
      <c r="BO153" s="117"/>
      <c r="BP153" s="661"/>
      <c r="BQ153" s="117"/>
      <c r="BR153" s="117"/>
      <c r="BS153" s="661"/>
      <c r="BT153" s="117"/>
      <c r="BU153" s="661"/>
      <c r="BV153" s="661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92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4"/>
      <c r="DD153" s="118"/>
      <c r="DE153" s="118"/>
      <c r="DF153" s="118"/>
      <c r="DG153" s="118"/>
      <c r="DH153" s="118"/>
      <c r="DI153" s="118"/>
      <c r="DJ153" s="118"/>
      <c r="DK153" s="118"/>
      <c r="DL153" s="118"/>
      <c r="DM153" s="118"/>
      <c r="DN153" s="118"/>
      <c r="DO153" s="118"/>
      <c r="DP153" s="118"/>
      <c r="DQ153" s="118"/>
      <c r="DR153" s="118"/>
      <c r="DS153" s="118"/>
      <c r="DT153" s="118"/>
      <c r="DU153" s="19"/>
      <c r="DV153" s="19"/>
      <c r="DW153" s="19"/>
      <c r="DX153" s="19"/>
      <c r="DY153" s="19"/>
      <c r="DZ153" s="19"/>
    </row>
    <row r="154" spans="1:130" ht="12.75" x14ac:dyDescent="0.2">
      <c r="A154" s="647"/>
      <c r="B154" s="647"/>
      <c r="C154" s="55"/>
      <c r="D154" s="55"/>
      <c r="E154" s="55"/>
      <c r="F154" s="55"/>
      <c r="G154" s="55"/>
      <c r="H154" s="634"/>
      <c r="I154" s="53">
        <f t="shared" si="116"/>
        <v>0</v>
      </c>
      <c r="J154" s="634"/>
      <c r="K154" s="55"/>
      <c r="L154" s="55"/>
      <c r="M154" s="634"/>
      <c r="N154" s="634"/>
      <c r="O154" s="634"/>
      <c r="P154" s="634"/>
      <c r="Q154" s="634"/>
      <c r="R154" s="634"/>
      <c r="S154" s="659"/>
      <c r="T154" s="647"/>
      <c r="U154" s="55"/>
      <c r="V154" s="55"/>
      <c r="W154" s="55"/>
      <c r="X154" s="55"/>
      <c r="Y154" s="55"/>
      <c r="Z154" s="634"/>
      <c r="AA154" s="53">
        <f t="shared" si="117"/>
        <v>0</v>
      </c>
      <c r="AB154" s="634"/>
      <c r="AC154" s="55"/>
      <c r="AD154" s="55"/>
      <c r="AE154" s="634"/>
      <c r="AF154" s="634"/>
      <c r="AG154" s="634"/>
      <c r="AH154" s="634"/>
      <c r="AI154" s="634"/>
      <c r="AJ154" s="634"/>
      <c r="AK154" s="659"/>
      <c r="AL154" s="647"/>
      <c r="AM154" s="55"/>
      <c r="AN154" s="55"/>
      <c r="AO154" s="55"/>
      <c r="AP154" s="55"/>
      <c r="AQ154" s="55"/>
      <c r="AR154" s="634"/>
      <c r="AS154" s="53">
        <f t="shared" si="120"/>
        <v>0</v>
      </c>
      <c r="AT154" s="634"/>
      <c r="AU154" s="55"/>
      <c r="AV154" s="634"/>
      <c r="AW154" s="55"/>
      <c r="AX154" s="634"/>
      <c r="AY154" s="634"/>
      <c r="AZ154" s="634"/>
      <c r="BA154" s="634"/>
      <c r="BB154" s="634"/>
      <c r="BC154" s="634"/>
      <c r="BD154" s="120"/>
      <c r="BE154" s="662"/>
      <c r="BF154" s="117"/>
      <c r="BG154" s="117"/>
      <c r="BH154" s="117"/>
      <c r="BI154" s="117"/>
      <c r="BJ154" s="117"/>
      <c r="BK154" s="117"/>
      <c r="BL154" s="117"/>
      <c r="BM154" s="117"/>
      <c r="BN154" s="117"/>
      <c r="BO154" s="117"/>
      <c r="BP154" s="662"/>
      <c r="BQ154" s="661"/>
      <c r="BR154" s="661"/>
      <c r="BS154" s="662"/>
      <c r="BT154" s="117"/>
      <c r="BU154" s="662"/>
      <c r="BV154" s="662"/>
      <c r="BW154" s="118"/>
      <c r="BX154" s="118"/>
      <c r="BY154" s="118"/>
      <c r="BZ154" s="118"/>
      <c r="CA154" s="118"/>
      <c r="CB154" s="118"/>
      <c r="CC154" s="118"/>
      <c r="CD154" s="118"/>
      <c r="CE154" s="118"/>
      <c r="CF154" s="118"/>
      <c r="CG154" s="118"/>
      <c r="CH154" s="118"/>
      <c r="CI154" s="118"/>
      <c r="CJ154" s="118"/>
      <c r="CK154" s="118"/>
      <c r="CL154" s="118"/>
      <c r="CM154" s="118"/>
      <c r="CN154" s="92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94"/>
      <c r="DD154" s="118"/>
      <c r="DE154" s="118"/>
      <c r="DF154" s="118"/>
      <c r="DG154" s="118"/>
      <c r="DH154" s="118"/>
      <c r="DI154" s="118"/>
      <c r="DJ154" s="118"/>
      <c r="DK154" s="118"/>
      <c r="DL154" s="118"/>
      <c r="DM154" s="118"/>
      <c r="DN154" s="118"/>
      <c r="DO154" s="118"/>
      <c r="DP154" s="118"/>
      <c r="DQ154" s="118"/>
      <c r="DR154" s="118"/>
      <c r="DS154" s="118"/>
      <c r="DT154" s="118"/>
      <c r="DU154" s="19"/>
      <c r="DV154" s="19"/>
      <c r="DW154" s="19"/>
      <c r="DX154" s="19"/>
      <c r="DY154" s="19"/>
      <c r="DZ154" s="19"/>
    </row>
    <row r="155" spans="1:130" ht="12.75" x14ac:dyDescent="0.2">
      <c r="A155" s="648"/>
      <c r="B155" s="648"/>
      <c r="C155" s="55"/>
      <c r="D155" s="55"/>
      <c r="E155" s="55"/>
      <c r="F155" s="55"/>
      <c r="G155" s="55"/>
      <c r="H155" s="635"/>
      <c r="I155" s="53">
        <f t="shared" si="116"/>
        <v>0</v>
      </c>
      <c r="J155" s="635"/>
      <c r="K155" s="55"/>
      <c r="L155" s="55"/>
      <c r="M155" s="635"/>
      <c r="N155" s="635"/>
      <c r="O155" s="635"/>
      <c r="P155" s="635"/>
      <c r="Q155" s="635"/>
      <c r="R155" s="635"/>
      <c r="S155" s="660"/>
      <c r="T155" s="648"/>
      <c r="U155" s="55"/>
      <c r="V155" s="55"/>
      <c r="W155" s="55"/>
      <c r="X155" s="55"/>
      <c r="Y155" s="55"/>
      <c r="Z155" s="635"/>
      <c r="AA155" s="53">
        <f t="shared" si="117"/>
        <v>0</v>
      </c>
      <c r="AB155" s="635"/>
      <c r="AC155" s="55"/>
      <c r="AD155" s="55"/>
      <c r="AE155" s="635"/>
      <c r="AF155" s="635"/>
      <c r="AG155" s="635"/>
      <c r="AH155" s="635"/>
      <c r="AI155" s="635"/>
      <c r="AJ155" s="635"/>
      <c r="AK155" s="660"/>
      <c r="AL155" s="648"/>
      <c r="AM155" s="55"/>
      <c r="AN155" s="55"/>
      <c r="AO155" s="55"/>
      <c r="AP155" s="55"/>
      <c r="AQ155" s="55"/>
      <c r="AR155" s="635"/>
      <c r="AS155" s="53">
        <f t="shared" si="120"/>
        <v>0</v>
      </c>
      <c r="AT155" s="635"/>
      <c r="AU155" s="55"/>
      <c r="AV155" s="635"/>
      <c r="AW155" s="55"/>
      <c r="AX155" s="635"/>
      <c r="AY155" s="635"/>
      <c r="AZ155" s="635"/>
      <c r="BA155" s="635"/>
      <c r="BB155" s="635"/>
      <c r="BC155" s="635"/>
      <c r="BD155" s="663"/>
      <c r="BE155" s="668"/>
      <c r="BF155" s="117"/>
      <c r="BG155" s="117"/>
      <c r="BH155" s="117"/>
      <c r="BI155" s="117"/>
      <c r="BJ155" s="117"/>
      <c r="BK155" s="117"/>
      <c r="BL155" s="118"/>
      <c r="BM155" s="118"/>
      <c r="BN155" s="118"/>
      <c r="BO155" s="118"/>
      <c r="BP155" s="118"/>
      <c r="BQ155" s="662"/>
      <c r="BR155" s="662"/>
      <c r="BS155" s="118"/>
      <c r="BT155" s="118"/>
      <c r="BU155" s="118"/>
      <c r="BV155" s="133"/>
      <c r="BW155" s="118"/>
      <c r="BX155" s="118"/>
      <c r="BY155" s="118"/>
      <c r="BZ155" s="118"/>
      <c r="CA155" s="118"/>
      <c r="CB155" s="118"/>
      <c r="CC155" s="118"/>
      <c r="CD155" s="118"/>
      <c r="CE155" s="118"/>
      <c r="CF155" s="118"/>
      <c r="CG155" s="118"/>
      <c r="CH155" s="118"/>
      <c r="CI155" s="118"/>
      <c r="CJ155" s="118"/>
      <c r="CK155" s="118"/>
      <c r="CL155" s="118"/>
      <c r="CM155" s="118"/>
      <c r="CN155" s="92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94"/>
      <c r="DD155" s="118"/>
      <c r="DE155" s="118"/>
      <c r="DF155" s="118"/>
      <c r="DG155" s="118"/>
      <c r="DH155" s="118"/>
      <c r="DI155" s="118"/>
      <c r="DJ155" s="118"/>
      <c r="DK155" s="118"/>
      <c r="DL155" s="118"/>
      <c r="DM155" s="118"/>
      <c r="DN155" s="118"/>
      <c r="DO155" s="118"/>
      <c r="DP155" s="118"/>
      <c r="DQ155" s="118"/>
      <c r="DR155" s="118"/>
      <c r="DS155" s="118"/>
      <c r="DT155" s="118"/>
      <c r="DU155" s="19"/>
      <c r="DV155" s="19"/>
      <c r="DW155" s="19"/>
      <c r="DX155" s="19"/>
      <c r="DY155" s="19"/>
      <c r="DZ155" s="19"/>
    </row>
    <row r="156" spans="1:130" ht="12.75" x14ac:dyDescent="0.2">
      <c r="A156" s="104"/>
      <c r="B156" s="105" t="s">
        <v>40</v>
      </c>
      <c r="C156" s="58">
        <f>SUM(C131:C155)</f>
        <v>0</v>
      </c>
      <c r="D156" s="57" t="s">
        <v>49</v>
      </c>
      <c r="E156" s="57" t="s">
        <v>49</v>
      </c>
      <c r="F156" s="57" t="s">
        <v>49</v>
      </c>
      <c r="G156" s="58">
        <f t="shared" ref="G156:J156" si="123">SUM(G131:G155)</f>
        <v>0</v>
      </c>
      <c r="H156" s="58">
        <f t="shared" si="123"/>
        <v>0</v>
      </c>
      <c r="I156" s="58">
        <f t="shared" si="123"/>
        <v>282</v>
      </c>
      <c r="J156" s="58">
        <f t="shared" si="123"/>
        <v>282</v>
      </c>
      <c r="K156" s="57" t="s">
        <v>49</v>
      </c>
      <c r="L156" s="57"/>
      <c r="M156" s="58">
        <f>SUM(M131:M155)</f>
        <v>2</v>
      </c>
      <c r="N156" s="58">
        <f>SUM(N131:N151)</f>
        <v>1.5</v>
      </c>
      <c r="O156" s="73">
        <f t="shared" ref="O156:Q156" si="124">SUM(O131:O155)</f>
        <v>3.5</v>
      </c>
      <c r="P156" s="58">
        <f t="shared" si="124"/>
        <v>0</v>
      </c>
      <c r="Q156" s="58">
        <f t="shared" si="124"/>
        <v>120</v>
      </c>
      <c r="R156" s="107"/>
      <c r="S156" s="60">
        <f>AVERAGE(S140:S143)</f>
        <v>0</v>
      </c>
      <c r="T156" s="105" t="s">
        <v>40</v>
      </c>
      <c r="U156" s="58">
        <f>SUM(U131:U155)</f>
        <v>505</v>
      </c>
      <c r="V156" s="57" t="s">
        <v>49</v>
      </c>
      <c r="W156" s="57" t="s">
        <v>49</v>
      </c>
      <c r="X156" s="57" t="s">
        <v>49</v>
      </c>
      <c r="Y156" s="58">
        <f t="shared" ref="Y156:AB156" si="125">SUM(Y131:Y155)</f>
        <v>8</v>
      </c>
      <c r="Z156" s="58">
        <f t="shared" si="125"/>
        <v>82</v>
      </c>
      <c r="AA156" s="58">
        <f t="shared" si="125"/>
        <v>2292</v>
      </c>
      <c r="AB156" s="58">
        <f t="shared" si="125"/>
        <v>2374</v>
      </c>
      <c r="AC156" s="57" t="s">
        <v>49</v>
      </c>
      <c r="AD156" s="57" t="s">
        <v>49</v>
      </c>
      <c r="AE156" s="58">
        <f t="shared" ref="AE156:AI156" si="126">SUM(AE131:AE155)</f>
        <v>21.8</v>
      </c>
      <c r="AF156" s="58">
        <f t="shared" si="126"/>
        <v>3.2</v>
      </c>
      <c r="AG156" s="73">
        <f t="shared" si="126"/>
        <v>25</v>
      </c>
      <c r="AH156" s="58">
        <f t="shared" si="126"/>
        <v>0</v>
      </c>
      <c r="AI156" s="58">
        <f t="shared" si="126"/>
        <v>1308</v>
      </c>
      <c r="AJ156" s="107"/>
      <c r="AK156" s="108">
        <f t="shared" ref="AK156:AK157" si="127">IF(AI156=0,0,AB156/AI156)</f>
        <v>1.8149847094801224</v>
      </c>
      <c r="AL156" s="105" t="s">
        <v>40</v>
      </c>
      <c r="AM156" s="58">
        <f>SUM(AM131:AM155)</f>
        <v>487</v>
      </c>
      <c r="AN156" s="57" t="s">
        <v>49</v>
      </c>
      <c r="AO156" s="57" t="s">
        <v>49</v>
      </c>
      <c r="AP156" s="57" t="s">
        <v>49</v>
      </c>
      <c r="AQ156" s="58">
        <f t="shared" ref="AQ156:AT156" si="128">SUM(AQ131:AQ155)</f>
        <v>44</v>
      </c>
      <c r="AR156" s="58">
        <f t="shared" si="128"/>
        <v>42</v>
      </c>
      <c r="AS156" s="58">
        <f t="shared" si="128"/>
        <v>2361</v>
      </c>
      <c r="AT156" s="58">
        <f t="shared" si="128"/>
        <v>2403</v>
      </c>
      <c r="AU156" s="57" t="s">
        <v>49</v>
      </c>
      <c r="AV156" s="58">
        <f>SUM(AV131:AV155)</f>
        <v>16.45</v>
      </c>
      <c r="AW156" s="58"/>
      <c r="AX156" s="110">
        <f t="shared" ref="AX156:BA156" si="129">SUM(AX131:AX155)</f>
        <v>10.55</v>
      </c>
      <c r="AY156" s="59">
        <f t="shared" si="129"/>
        <v>27</v>
      </c>
      <c r="AZ156" s="110">
        <f t="shared" si="129"/>
        <v>1</v>
      </c>
      <c r="BA156" s="58">
        <f t="shared" si="129"/>
        <v>987</v>
      </c>
      <c r="BB156" s="107"/>
      <c r="BC156" s="126">
        <f t="shared" ref="BC156:BC157" si="130">IF(BA156=0,0,AT156/BA156)</f>
        <v>2.4346504559270516</v>
      </c>
      <c r="BD156" s="662"/>
      <c r="BE156" s="662"/>
      <c r="BF156" s="120"/>
      <c r="BG156" s="120"/>
      <c r="BH156" s="120"/>
      <c r="BI156" s="120"/>
      <c r="BJ156" s="120"/>
      <c r="BK156" s="120"/>
      <c r="BL156" s="118"/>
      <c r="BM156" s="118"/>
      <c r="BN156" s="118"/>
      <c r="BO156" s="118"/>
      <c r="BP156" s="118"/>
      <c r="BQ156" s="117"/>
      <c r="BR156" s="117"/>
      <c r="BS156" s="118"/>
      <c r="BT156" s="118"/>
      <c r="BU156" s="118"/>
      <c r="BV156" s="133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92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94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9"/>
      <c r="DV156" s="19"/>
      <c r="DW156" s="19"/>
      <c r="DX156" s="19"/>
      <c r="DY156" s="19"/>
      <c r="DZ156" s="19"/>
    </row>
    <row r="157" spans="1:130" ht="12.75" x14ac:dyDescent="0.2">
      <c r="A157" s="746" t="s">
        <v>167</v>
      </c>
      <c r="B157" s="674">
        <v>46090</v>
      </c>
      <c r="C157" s="137"/>
      <c r="D157" s="137"/>
      <c r="E157" s="137"/>
      <c r="F157" s="137"/>
      <c r="G157" s="137"/>
      <c r="H157" s="675"/>
      <c r="I157" s="62">
        <f t="shared" ref="I157:I159" si="131">F157-E157-G157</f>
        <v>0</v>
      </c>
      <c r="J157" s="676">
        <f>SUM(I157:I161,H157)</f>
        <v>0</v>
      </c>
      <c r="K157" s="137"/>
      <c r="L157" s="137"/>
      <c r="M157" s="675"/>
      <c r="N157" s="675"/>
      <c r="O157" s="677">
        <f>SUM(M157:N161)</f>
        <v>0</v>
      </c>
      <c r="P157" s="675"/>
      <c r="Q157" s="657">
        <f>M157*60</f>
        <v>0</v>
      </c>
      <c r="R157" s="657">
        <f>IF(
   COUNTIF(K157:K161,"SI")&gt;0,
   1.8,
   IF(
      COUNTIF(L157:L161,"SI")&gt;0,
      1.6,
      2
   )
)</f>
        <v>2</v>
      </c>
      <c r="S157" s="678">
        <f>IF(Q157=0,0,J157/Q157)</f>
        <v>0</v>
      </c>
      <c r="T157" s="674">
        <v>46090</v>
      </c>
      <c r="U157" s="137"/>
      <c r="V157" s="137"/>
      <c r="W157" s="137"/>
      <c r="X157" s="137"/>
      <c r="Y157" s="137"/>
      <c r="Z157" s="675"/>
      <c r="AA157" s="62">
        <f t="shared" ref="AA157:AA159" si="132">X157-W157-Y157</f>
        <v>0</v>
      </c>
      <c r="AB157" s="676">
        <f>SUM(AA157:AA161,Z157)</f>
        <v>0</v>
      </c>
      <c r="AC157" s="137"/>
      <c r="AD157" s="137"/>
      <c r="AE157" s="675"/>
      <c r="AF157" s="675"/>
      <c r="AG157" s="677">
        <f>SUM(AE157:AF161)</f>
        <v>0</v>
      </c>
      <c r="AH157" s="675"/>
      <c r="AI157" s="657">
        <f>AE157*60</f>
        <v>0</v>
      </c>
      <c r="AJ157" s="657">
        <f>IF(
   COUNTIF(AC157:AC161,"SI")&gt;0,
   1.8,
   IF(
      COUNTIF(AD157:AD161,"SI")&gt;0,
      1.6,
      2
   )
)</f>
        <v>2</v>
      </c>
      <c r="AK157" s="678">
        <f t="shared" si="127"/>
        <v>0</v>
      </c>
      <c r="AL157" s="674">
        <v>46090</v>
      </c>
      <c r="AM157" s="24">
        <v>29</v>
      </c>
      <c r="AN157" s="24">
        <v>801</v>
      </c>
      <c r="AO157" s="31">
        <v>14703</v>
      </c>
      <c r="AP157" s="24">
        <v>15003</v>
      </c>
      <c r="AQ157" s="137"/>
      <c r="AR157" s="657"/>
      <c r="AS157" s="62">
        <f t="shared" ref="AS157:AS169" si="133">AP157-AO157-AQ157</f>
        <v>300</v>
      </c>
      <c r="AT157" s="650">
        <f>SUM(AS157:AS161)+AR157</f>
        <v>1258</v>
      </c>
      <c r="AU157" s="49" t="s">
        <v>51</v>
      </c>
      <c r="AV157" s="640">
        <v>8.25</v>
      </c>
      <c r="AW157" s="29" t="s">
        <v>51</v>
      </c>
      <c r="AX157" s="657">
        <v>0.25</v>
      </c>
      <c r="AY157" s="677">
        <f>SUM(AV157:AX161)</f>
        <v>8.5</v>
      </c>
      <c r="AZ157" s="657">
        <v>0.15</v>
      </c>
      <c r="BA157" s="657">
        <f>AV157*60</f>
        <v>495</v>
      </c>
      <c r="BB157" s="657">
        <f>IF(
   COUNTIF(AU157:AU161,"SI")&gt;0,
   1.8,
   IF(
      COUNTIF(AV157:AV161,"SI")&gt;0,
      1.6,
      2
   )
)</f>
        <v>1.8</v>
      </c>
      <c r="BC157" s="672">
        <f t="shared" si="130"/>
        <v>2.5414141414141413</v>
      </c>
      <c r="BD157" s="139"/>
      <c r="BE157" s="140"/>
      <c r="BF157" s="140"/>
      <c r="BG157" s="140"/>
      <c r="BH157" s="140"/>
      <c r="BI157" s="140"/>
      <c r="BJ157" s="140"/>
      <c r="BK157" s="140"/>
      <c r="BL157" s="139"/>
      <c r="BM157" s="140"/>
      <c r="BN157" s="140"/>
      <c r="BO157" s="139"/>
      <c r="BP157" s="139"/>
      <c r="BQ157" s="139"/>
      <c r="BR157" s="139"/>
      <c r="BS157" s="140"/>
      <c r="BT157" s="140"/>
      <c r="BU157" s="139"/>
      <c r="BV157" s="686"/>
      <c r="BW157" s="118"/>
      <c r="BX157" s="118"/>
      <c r="BY157" s="118"/>
      <c r="BZ157" s="118"/>
      <c r="CA157" s="118"/>
      <c r="CB157" s="118"/>
      <c r="CC157" s="118"/>
      <c r="CD157" s="118"/>
      <c r="CE157" s="118"/>
      <c r="CF157" s="118"/>
      <c r="CG157" s="118"/>
      <c r="CH157" s="118"/>
      <c r="CI157" s="118"/>
      <c r="CJ157" s="118"/>
      <c r="CK157" s="118"/>
      <c r="CL157" s="118"/>
      <c r="CM157" s="118"/>
      <c r="CN157" s="92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94"/>
      <c r="DD157" s="118"/>
      <c r="DE157" s="118"/>
      <c r="DF157" s="118"/>
      <c r="DG157" s="118"/>
      <c r="DH157" s="118"/>
      <c r="DI157" s="118"/>
      <c r="DJ157" s="118"/>
      <c r="DK157" s="118"/>
      <c r="DL157" s="118"/>
      <c r="DM157" s="118"/>
      <c r="DN157" s="118"/>
      <c r="DO157" s="118"/>
      <c r="DP157" s="118"/>
      <c r="DQ157" s="118"/>
      <c r="DR157" s="118"/>
      <c r="DS157" s="118"/>
      <c r="DT157" s="118"/>
      <c r="DU157" s="139"/>
      <c r="DV157" s="139"/>
      <c r="DW157" s="139"/>
      <c r="DX157" s="139"/>
      <c r="DY157" s="139"/>
      <c r="DZ157" s="139"/>
    </row>
    <row r="158" spans="1:130" ht="12.75" x14ac:dyDescent="0.2">
      <c r="A158" s="647"/>
      <c r="B158" s="647"/>
      <c r="C158" s="141"/>
      <c r="D158" s="30"/>
      <c r="E158" s="30"/>
      <c r="F158" s="30"/>
      <c r="G158" s="30"/>
      <c r="H158" s="634"/>
      <c r="I158" s="51">
        <f t="shared" si="131"/>
        <v>0</v>
      </c>
      <c r="J158" s="634"/>
      <c r="K158" s="30"/>
      <c r="L158" s="142"/>
      <c r="M158" s="634"/>
      <c r="N158" s="634"/>
      <c r="O158" s="634"/>
      <c r="P158" s="634"/>
      <c r="Q158" s="634"/>
      <c r="R158" s="634"/>
      <c r="S158" s="659"/>
      <c r="T158" s="647"/>
      <c r="U158" s="141"/>
      <c r="V158" s="30"/>
      <c r="W158" s="30"/>
      <c r="X158" s="30"/>
      <c r="Y158" s="30"/>
      <c r="Z158" s="634"/>
      <c r="AA158" s="51">
        <f t="shared" si="132"/>
        <v>0</v>
      </c>
      <c r="AB158" s="634"/>
      <c r="AC158" s="30"/>
      <c r="AD158" s="142"/>
      <c r="AE158" s="634"/>
      <c r="AF158" s="634"/>
      <c r="AG158" s="634"/>
      <c r="AH158" s="634"/>
      <c r="AI158" s="634"/>
      <c r="AJ158" s="634"/>
      <c r="AK158" s="659"/>
      <c r="AL158" s="647"/>
      <c r="AM158" s="28">
        <v>113</v>
      </c>
      <c r="AN158" s="28">
        <v>803</v>
      </c>
      <c r="AO158" s="28">
        <v>15504</v>
      </c>
      <c r="AP158" s="28">
        <v>16003</v>
      </c>
      <c r="AQ158" s="29">
        <v>1</v>
      </c>
      <c r="AR158" s="634"/>
      <c r="AS158" s="51">
        <f t="shared" si="133"/>
        <v>498</v>
      </c>
      <c r="AT158" s="634"/>
      <c r="AU158" s="49" t="s">
        <v>51</v>
      </c>
      <c r="AV158" s="634"/>
      <c r="AW158" s="29" t="s">
        <v>51</v>
      </c>
      <c r="AX158" s="634"/>
      <c r="AY158" s="634"/>
      <c r="AZ158" s="634"/>
      <c r="BA158" s="634"/>
      <c r="BB158" s="634"/>
      <c r="BC158" s="634"/>
      <c r="BD158" s="685"/>
      <c r="BE158" s="143"/>
      <c r="BF158" s="144"/>
      <c r="BG158" s="144"/>
      <c r="BH158" s="144"/>
      <c r="BI158" s="144"/>
      <c r="BJ158" s="144"/>
      <c r="BK158" s="144"/>
      <c r="BL158" s="686"/>
      <c r="BM158" s="144"/>
      <c r="BN158" s="144"/>
      <c r="BO158" s="686"/>
      <c r="BP158" s="686"/>
      <c r="BQ158" s="686"/>
      <c r="BR158" s="686"/>
      <c r="BS158" s="144"/>
      <c r="BT158" s="144"/>
      <c r="BU158" s="145"/>
      <c r="BV158" s="662"/>
      <c r="BW158" s="118"/>
      <c r="BX158" s="118"/>
      <c r="BY158" s="118"/>
      <c r="BZ158" s="118"/>
      <c r="CA158" s="118"/>
      <c r="CB158" s="118"/>
      <c r="CC158" s="118"/>
      <c r="CD158" s="118"/>
      <c r="CE158" s="118"/>
      <c r="CF158" s="118"/>
      <c r="CG158" s="118"/>
      <c r="CH158" s="118"/>
      <c r="CI158" s="118"/>
      <c r="CJ158" s="118"/>
      <c r="CK158" s="118"/>
      <c r="CL158" s="118"/>
      <c r="CM158" s="118"/>
      <c r="CN158" s="92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94"/>
      <c r="DD158" s="118"/>
      <c r="DE158" s="118"/>
      <c r="DF158" s="118"/>
      <c r="DG158" s="118"/>
      <c r="DH158" s="118"/>
      <c r="DI158" s="118"/>
      <c r="DJ158" s="118"/>
      <c r="DK158" s="118"/>
      <c r="DL158" s="118"/>
      <c r="DM158" s="118"/>
      <c r="DN158" s="118"/>
      <c r="DO158" s="118"/>
      <c r="DP158" s="118"/>
      <c r="DQ158" s="118"/>
      <c r="DR158" s="118"/>
      <c r="DS158" s="118"/>
      <c r="DT158" s="118"/>
      <c r="DU158" s="139"/>
      <c r="DV158" s="139"/>
      <c r="DW158" s="139"/>
      <c r="DX158" s="139"/>
      <c r="DY158" s="139"/>
      <c r="DZ158" s="139"/>
    </row>
    <row r="159" spans="1:130" ht="12.75" x14ac:dyDescent="0.2">
      <c r="A159" s="647"/>
      <c r="B159" s="647"/>
      <c r="C159" s="141"/>
      <c r="D159" s="30"/>
      <c r="E159" s="30"/>
      <c r="F159" s="30"/>
      <c r="G159" s="30"/>
      <c r="H159" s="634"/>
      <c r="I159" s="51">
        <f t="shared" si="131"/>
        <v>0</v>
      </c>
      <c r="J159" s="634"/>
      <c r="K159" s="30"/>
      <c r="L159" s="142"/>
      <c r="M159" s="634"/>
      <c r="N159" s="634"/>
      <c r="O159" s="634"/>
      <c r="P159" s="634"/>
      <c r="Q159" s="634"/>
      <c r="R159" s="634"/>
      <c r="S159" s="659"/>
      <c r="T159" s="647"/>
      <c r="U159" s="141"/>
      <c r="V159" s="30"/>
      <c r="W159" s="30"/>
      <c r="X159" s="30"/>
      <c r="Y159" s="30"/>
      <c r="Z159" s="634"/>
      <c r="AA159" s="51">
        <f t="shared" si="132"/>
        <v>0</v>
      </c>
      <c r="AB159" s="634"/>
      <c r="AC159" s="30"/>
      <c r="AD159" s="142"/>
      <c r="AE159" s="634"/>
      <c r="AF159" s="634"/>
      <c r="AG159" s="634"/>
      <c r="AH159" s="634"/>
      <c r="AI159" s="634"/>
      <c r="AJ159" s="634"/>
      <c r="AK159" s="659"/>
      <c r="AL159" s="647"/>
      <c r="AM159" s="28">
        <v>68</v>
      </c>
      <c r="AN159" s="28">
        <v>804</v>
      </c>
      <c r="AO159" s="28">
        <v>16004</v>
      </c>
      <c r="AP159" s="28">
        <v>16308</v>
      </c>
      <c r="AQ159" s="51"/>
      <c r="AR159" s="634"/>
      <c r="AS159" s="51">
        <f t="shared" si="133"/>
        <v>304</v>
      </c>
      <c r="AT159" s="634"/>
      <c r="AU159" s="49" t="s">
        <v>51</v>
      </c>
      <c r="AV159" s="634"/>
      <c r="AW159" s="25" t="s">
        <v>51</v>
      </c>
      <c r="AX159" s="634"/>
      <c r="AY159" s="634"/>
      <c r="AZ159" s="634"/>
      <c r="BA159" s="634"/>
      <c r="BB159" s="634"/>
      <c r="BC159" s="634"/>
      <c r="BD159" s="662"/>
      <c r="BE159" s="143"/>
      <c r="BF159" s="144"/>
      <c r="BG159" s="144"/>
      <c r="BH159" s="144"/>
      <c r="BI159" s="144"/>
      <c r="BJ159" s="144"/>
      <c r="BK159" s="144"/>
      <c r="BL159" s="662"/>
      <c r="BM159" s="144"/>
      <c r="BN159" s="144"/>
      <c r="BO159" s="662"/>
      <c r="BP159" s="662"/>
      <c r="BQ159" s="662"/>
      <c r="BR159" s="662"/>
      <c r="BS159" s="144"/>
      <c r="BT159" s="144"/>
      <c r="BU159" s="144"/>
      <c r="BV159" s="686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92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94"/>
      <c r="DD159" s="118"/>
      <c r="DE159" s="118"/>
      <c r="DF159" s="118"/>
      <c r="DG159" s="118"/>
      <c r="DH159" s="118"/>
      <c r="DI159" s="118"/>
      <c r="DJ159" s="118"/>
      <c r="DK159" s="118"/>
      <c r="DL159" s="118"/>
      <c r="DM159" s="118"/>
      <c r="DN159" s="118"/>
      <c r="DO159" s="118"/>
      <c r="DP159" s="118"/>
      <c r="DQ159" s="118"/>
      <c r="DR159" s="118"/>
      <c r="DS159" s="118"/>
      <c r="DT159" s="118"/>
      <c r="DU159" s="139"/>
      <c r="DV159" s="139"/>
      <c r="DW159" s="139"/>
      <c r="DX159" s="139"/>
      <c r="DY159" s="139"/>
      <c r="DZ159" s="139"/>
    </row>
    <row r="160" spans="1:130" ht="12.75" x14ac:dyDescent="0.2">
      <c r="A160" s="647"/>
      <c r="B160" s="647"/>
      <c r="C160" s="141"/>
      <c r="D160" s="30"/>
      <c r="E160" s="30"/>
      <c r="F160" s="30"/>
      <c r="G160" s="30"/>
      <c r="H160" s="634"/>
      <c r="I160" s="30"/>
      <c r="J160" s="634"/>
      <c r="K160" s="30"/>
      <c r="L160" s="142"/>
      <c r="M160" s="634"/>
      <c r="N160" s="634"/>
      <c r="O160" s="634"/>
      <c r="P160" s="634"/>
      <c r="Q160" s="634"/>
      <c r="R160" s="634"/>
      <c r="S160" s="659"/>
      <c r="T160" s="647"/>
      <c r="U160" s="141"/>
      <c r="V160" s="30"/>
      <c r="W160" s="30"/>
      <c r="X160" s="30"/>
      <c r="Y160" s="30"/>
      <c r="Z160" s="634"/>
      <c r="AA160" s="30"/>
      <c r="AB160" s="634"/>
      <c r="AC160" s="30"/>
      <c r="AD160" s="142"/>
      <c r="AE160" s="634"/>
      <c r="AF160" s="634"/>
      <c r="AG160" s="634"/>
      <c r="AH160" s="634"/>
      <c r="AI160" s="634"/>
      <c r="AJ160" s="634"/>
      <c r="AK160" s="659"/>
      <c r="AL160" s="647"/>
      <c r="AM160" s="141"/>
      <c r="AN160" s="29">
        <v>746</v>
      </c>
      <c r="AO160" s="29">
        <v>2</v>
      </c>
      <c r="AP160" s="29">
        <v>158</v>
      </c>
      <c r="AQ160" s="30"/>
      <c r="AR160" s="634"/>
      <c r="AS160" s="51">
        <f t="shared" si="133"/>
        <v>156</v>
      </c>
      <c r="AT160" s="635"/>
      <c r="AU160" s="49" t="s">
        <v>51</v>
      </c>
      <c r="AV160" s="635"/>
      <c r="AW160" s="25" t="s">
        <v>51</v>
      </c>
      <c r="AX160" s="634"/>
      <c r="AY160" s="634"/>
      <c r="AZ160" s="634"/>
      <c r="BA160" s="634"/>
      <c r="BB160" s="634"/>
      <c r="BC160" s="634"/>
      <c r="BD160" s="685"/>
      <c r="BE160" s="143"/>
      <c r="BF160" s="144"/>
      <c r="BG160" s="144"/>
      <c r="BH160" s="144"/>
      <c r="BI160" s="144"/>
      <c r="BJ160" s="144"/>
      <c r="BK160" s="144"/>
      <c r="BL160" s="686"/>
      <c r="BM160" s="144"/>
      <c r="BN160" s="144"/>
      <c r="BO160" s="686"/>
      <c r="BP160" s="686"/>
      <c r="BQ160" s="686"/>
      <c r="BR160" s="686"/>
      <c r="BS160" s="144"/>
      <c r="BT160" s="144"/>
      <c r="BU160" s="144"/>
      <c r="BV160" s="662"/>
      <c r="BW160" s="118"/>
      <c r="BX160" s="118"/>
      <c r="BY160" s="118"/>
      <c r="BZ160" s="118"/>
      <c r="CA160" s="118"/>
      <c r="CB160" s="118"/>
      <c r="CC160" s="118"/>
      <c r="CD160" s="118"/>
      <c r="CE160" s="118"/>
      <c r="CF160" s="118"/>
      <c r="CG160" s="118"/>
      <c r="CH160" s="118"/>
      <c r="CI160" s="118"/>
      <c r="CJ160" s="118"/>
      <c r="CK160" s="118"/>
      <c r="CL160" s="118"/>
      <c r="CM160" s="118"/>
      <c r="CN160" s="92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94"/>
      <c r="DD160" s="118"/>
      <c r="DE160" s="118"/>
      <c r="DF160" s="118"/>
      <c r="DG160" s="118"/>
      <c r="DH160" s="118"/>
      <c r="DI160" s="118"/>
      <c r="DJ160" s="118"/>
      <c r="DK160" s="118"/>
      <c r="DL160" s="118"/>
      <c r="DM160" s="118"/>
      <c r="DN160" s="118"/>
      <c r="DO160" s="118"/>
      <c r="DP160" s="118"/>
      <c r="DQ160" s="118"/>
      <c r="DR160" s="118"/>
      <c r="DS160" s="118"/>
      <c r="DT160" s="118"/>
      <c r="DU160" s="139"/>
      <c r="DV160" s="139"/>
      <c r="DW160" s="139"/>
      <c r="DX160" s="139"/>
      <c r="DY160" s="139"/>
      <c r="DZ160" s="139"/>
    </row>
    <row r="161" spans="1:130" ht="12.75" x14ac:dyDescent="0.2">
      <c r="A161" s="647"/>
      <c r="B161" s="648"/>
      <c r="C161" s="141"/>
      <c r="D161" s="30"/>
      <c r="E161" s="30"/>
      <c r="F161" s="30"/>
      <c r="G161" s="30"/>
      <c r="H161" s="635"/>
      <c r="I161" s="51">
        <f t="shared" ref="I161:I181" si="134">F161-E161-G161</f>
        <v>0</v>
      </c>
      <c r="J161" s="635"/>
      <c r="K161" s="30"/>
      <c r="L161" s="142"/>
      <c r="M161" s="635"/>
      <c r="N161" s="635"/>
      <c r="O161" s="635"/>
      <c r="P161" s="635"/>
      <c r="Q161" s="635"/>
      <c r="R161" s="635"/>
      <c r="S161" s="660"/>
      <c r="T161" s="648"/>
      <c r="U161" s="141"/>
      <c r="V161" s="30"/>
      <c r="W161" s="30"/>
      <c r="X161" s="30"/>
      <c r="Y161" s="30"/>
      <c r="Z161" s="635"/>
      <c r="AA161" s="51">
        <f t="shared" ref="AA161:AA181" si="135">X161-W161-Y161</f>
        <v>0</v>
      </c>
      <c r="AB161" s="635"/>
      <c r="AC161" s="30"/>
      <c r="AD161" s="142"/>
      <c r="AE161" s="635"/>
      <c r="AF161" s="635"/>
      <c r="AG161" s="635"/>
      <c r="AH161" s="635"/>
      <c r="AI161" s="635"/>
      <c r="AJ161" s="635"/>
      <c r="AK161" s="660"/>
      <c r="AL161" s="648"/>
      <c r="AM161" s="141"/>
      <c r="AN161" s="30"/>
      <c r="AO161" s="30"/>
      <c r="AP161" s="30"/>
      <c r="AQ161" s="30"/>
      <c r="AR161" s="635"/>
      <c r="AS161" s="51">
        <f t="shared" si="133"/>
        <v>0</v>
      </c>
      <c r="AT161" s="146">
        <f>AS161</f>
        <v>0</v>
      </c>
      <c r="AU161" s="30"/>
      <c r="AV161" s="142"/>
      <c r="AW161" s="142"/>
      <c r="AX161" s="635"/>
      <c r="AY161" s="635"/>
      <c r="AZ161" s="635"/>
      <c r="BA161" s="147">
        <f t="shared" ref="BA161:BA162" si="136">AV161*60</f>
        <v>0</v>
      </c>
      <c r="BB161" s="635"/>
      <c r="BC161" s="148">
        <f t="shared" ref="BC161:BC162" si="137">IF(BA161=0,0,AT161/BA161)</f>
        <v>0</v>
      </c>
      <c r="BD161" s="662"/>
      <c r="BE161" s="143"/>
      <c r="BF161" s="144"/>
      <c r="BG161" s="144"/>
      <c r="BH161" s="144"/>
      <c r="BI161" s="144"/>
      <c r="BJ161" s="144"/>
      <c r="BK161" s="144"/>
      <c r="BL161" s="662"/>
      <c r="BM161" s="144"/>
      <c r="BN161" s="144"/>
      <c r="BO161" s="662"/>
      <c r="BP161" s="662"/>
      <c r="BQ161" s="662"/>
      <c r="BR161" s="662"/>
      <c r="BS161" s="144"/>
      <c r="BT161" s="144"/>
      <c r="BU161" s="144"/>
      <c r="BV161" s="686"/>
      <c r="BW161" s="118"/>
      <c r="BX161" s="118"/>
      <c r="BY161" s="118"/>
      <c r="BZ161" s="118"/>
      <c r="CA161" s="118"/>
      <c r="CB161" s="118"/>
      <c r="CC161" s="118"/>
      <c r="CD161" s="118"/>
      <c r="CE161" s="118"/>
      <c r="CF161" s="118"/>
      <c r="CG161" s="118"/>
      <c r="CH161" s="118"/>
      <c r="CI161" s="118"/>
      <c r="CJ161" s="118"/>
      <c r="CK161" s="118"/>
      <c r="CL161" s="118"/>
      <c r="CM161" s="118"/>
      <c r="CN161" s="92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94"/>
      <c r="DD161" s="118"/>
      <c r="DE161" s="118"/>
      <c r="DF161" s="118"/>
      <c r="DG161" s="118"/>
      <c r="DH161" s="118"/>
      <c r="DI161" s="118"/>
      <c r="DJ161" s="118"/>
      <c r="DK161" s="118"/>
      <c r="DL161" s="118"/>
      <c r="DM161" s="118"/>
      <c r="DN161" s="118"/>
      <c r="DO161" s="118"/>
      <c r="DP161" s="118"/>
      <c r="DQ161" s="118"/>
      <c r="DR161" s="118"/>
      <c r="DS161" s="118"/>
      <c r="DT161" s="118"/>
      <c r="DU161" s="139"/>
      <c r="DV161" s="139"/>
      <c r="DW161" s="139"/>
      <c r="DX161" s="139"/>
      <c r="DY161" s="139"/>
      <c r="DZ161" s="139"/>
    </row>
    <row r="162" spans="1:130" ht="12.75" x14ac:dyDescent="0.2">
      <c r="A162" s="647"/>
      <c r="B162" s="646">
        <v>46091</v>
      </c>
      <c r="C162" s="149"/>
      <c r="D162" s="40"/>
      <c r="E162" s="40"/>
      <c r="F162" s="40"/>
      <c r="G162" s="40"/>
      <c r="H162" s="653"/>
      <c r="I162" s="150">
        <f t="shared" si="134"/>
        <v>0</v>
      </c>
      <c r="J162" s="650">
        <f>SUM(I162:I165,H162)</f>
        <v>0</v>
      </c>
      <c r="K162" s="40"/>
      <c r="L162" s="40"/>
      <c r="M162" s="653"/>
      <c r="N162" s="653"/>
      <c r="O162" s="633">
        <f>SUM(M162:N165)</f>
        <v>0</v>
      </c>
      <c r="P162" s="653"/>
      <c r="Q162" s="636">
        <f>M162*60</f>
        <v>0</v>
      </c>
      <c r="R162" s="657">
        <f>IF(
   COUNTIF(K162:K165,"SI")&gt;0,
   1.8,
   IF(
      COUNTIF(L162:L165,"SI")&gt;0,
      1.6,
      2
   )
)</f>
        <v>2</v>
      </c>
      <c r="S162" s="678">
        <f>IF(Q162=0,0,J162/Q162)</f>
        <v>0</v>
      </c>
      <c r="T162" s="646">
        <v>46091</v>
      </c>
      <c r="U162" s="38">
        <v>22</v>
      </c>
      <c r="V162" s="38">
        <v>788</v>
      </c>
      <c r="W162" s="38">
        <v>8406</v>
      </c>
      <c r="X162" s="38">
        <v>8502</v>
      </c>
      <c r="Y162" s="38">
        <v>0</v>
      </c>
      <c r="Z162" s="653">
        <v>0</v>
      </c>
      <c r="AA162" s="150">
        <f t="shared" si="135"/>
        <v>96</v>
      </c>
      <c r="AB162" s="650">
        <f>SUM(AA162:AA165)</f>
        <v>991</v>
      </c>
      <c r="AC162" s="38" t="s">
        <v>51</v>
      </c>
      <c r="AD162" s="38" t="s">
        <v>51</v>
      </c>
      <c r="AE162" s="636">
        <v>8</v>
      </c>
      <c r="AF162" s="636">
        <v>0.5</v>
      </c>
      <c r="AG162" s="633">
        <f>SUM(AE162:AF165)</f>
        <v>8.5</v>
      </c>
      <c r="AH162" s="636">
        <v>0</v>
      </c>
      <c r="AI162" s="636">
        <f>AE162*60</f>
        <v>480</v>
      </c>
      <c r="AJ162" s="657">
        <f>IF(
   COUNTIF(AC162:AC165,"SI")&gt;0,
   1.8,
   IF(
      COUNTIF(AD162:AD165,"SI")&gt;0,
      1.6,
      2
   )
)</f>
        <v>1.8</v>
      </c>
      <c r="AK162" s="658">
        <f>AB162/AI162</f>
        <v>2.0645833333333332</v>
      </c>
      <c r="AL162" s="646">
        <v>46091</v>
      </c>
      <c r="AM162" s="149"/>
      <c r="AN162" s="40"/>
      <c r="AO162" s="40"/>
      <c r="AP162" s="40"/>
      <c r="AQ162" s="40"/>
      <c r="AR162" s="653"/>
      <c r="AS162" s="151">
        <f t="shared" si="133"/>
        <v>0</v>
      </c>
      <c r="AT162" s="650">
        <f>SUM(AS162:AS166)</f>
        <v>0</v>
      </c>
      <c r="AU162" s="653"/>
      <c r="AV162" s="653"/>
      <c r="AW162" s="40"/>
      <c r="AX162" s="653"/>
      <c r="AY162" s="633">
        <f>SUM(AV162:AX165)</f>
        <v>0</v>
      </c>
      <c r="AZ162" s="636">
        <v>0.25</v>
      </c>
      <c r="BA162" s="636">
        <f t="shared" si="136"/>
        <v>0</v>
      </c>
      <c r="BB162" s="657">
        <f>IF(
   COUNTIF(AU162:AU165,"SI")&gt;0,
   1.8,
   IF(
      COUNTIF(AV162:AV165,"SI")&gt;0,
      1.6,
      2
   )
)</f>
        <v>2</v>
      </c>
      <c r="BC162" s="667">
        <f t="shared" si="137"/>
        <v>0</v>
      </c>
      <c r="BD162" s="140"/>
      <c r="BE162" s="143"/>
      <c r="BF162" s="144"/>
      <c r="BG162" s="144"/>
      <c r="BH162" s="144"/>
      <c r="BI162" s="144"/>
      <c r="BJ162" s="144"/>
      <c r="BK162" s="144"/>
      <c r="BL162" s="144"/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662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/>
      <c r="CI162" s="118"/>
      <c r="CJ162" s="118"/>
      <c r="CK162" s="118"/>
      <c r="CL162" s="118"/>
      <c r="CM162" s="118"/>
      <c r="CN162" s="92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94"/>
      <c r="DD162" s="118"/>
      <c r="DE162" s="118"/>
      <c r="DF162" s="118"/>
      <c r="DG162" s="118"/>
      <c r="DH162" s="118"/>
      <c r="DI162" s="118"/>
      <c r="DJ162" s="118"/>
      <c r="DK162" s="118"/>
      <c r="DL162" s="118"/>
      <c r="DM162" s="118"/>
      <c r="DN162" s="118"/>
      <c r="DO162" s="118"/>
      <c r="DP162" s="118"/>
      <c r="DQ162" s="118"/>
      <c r="DR162" s="118"/>
      <c r="DS162" s="118"/>
      <c r="DT162" s="118"/>
      <c r="DU162" s="139"/>
      <c r="DV162" s="139"/>
      <c r="DW162" s="139"/>
      <c r="DX162" s="139"/>
      <c r="DY162" s="139"/>
      <c r="DZ162" s="139"/>
    </row>
    <row r="163" spans="1:130" ht="12.75" x14ac:dyDescent="0.2">
      <c r="A163" s="647"/>
      <c r="B163" s="647"/>
      <c r="C163" s="149"/>
      <c r="D163" s="40"/>
      <c r="E163" s="40"/>
      <c r="F163" s="40"/>
      <c r="G163" s="40"/>
      <c r="H163" s="634"/>
      <c r="I163" s="150">
        <f t="shared" si="134"/>
        <v>0</v>
      </c>
      <c r="J163" s="634"/>
      <c r="K163" s="40"/>
      <c r="L163" s="40"/>
      <c r="M163" s="634"/>
      <c r="N163" s="634"/>
      <c r="O163" s="634"/>
      <c r="P163" s="634"/>
      <c r="Q163" s="634"/>
      <c r="R163" s="634"/>
      <c r="S163" s="659"/>
      <c r="T163" s="647"/>
      <c r="U163" s="31">
        <v>45</v>
      </c>
      <c r="V163" s="31">
        <v>802</v>
      </c>
      <c r="W163" s="31">
        <v>15310</v>
      </c>
      <c r="X163" s="31">
        <v>15500</v>
      </c>
      <c r="Y163" s="31">
        <v>0</v>
      </c>
      <c r="Z163" s="634"/>
      <c r="AA163" s="150">
        <f t="shared" si="135"/>
        <v>190</v>
      </c>
      <c r="AB163" s="634"/>
      <c r="AC163" s="152" t="s">
        <v>51</v>
      </c>
      <c r="AD163" s="31" t="s">
        <v>51</v>
      </c>
      <c r="AE163" s="634"/>
      <c r="AF163" s="634"/>
      <c r="AG163" s="634"/>
      <c r="AH163" s="634"/>
      <c r="AI163" s="634"/>
      <c r="AJ163" s="634"/>
      <c r="AK163" s="659"/>
      <c r="AL163" s="647"/>
      <c r="AM163" s="149"/>
      <c r="AN163" s="40"/>
      <c r="AO163" s="40"/>
      <c r="AP163" s="40"/>
      <c r="AQ163" s="40"/>
      <c r="AR163" s="634"/>
      <c r="AS163" s="151">
        <f t="shared" si="133"/>
        <v>0</v>
      </c>
      <c r="AT163" s="634"/>
      <c r="AU163" s="634"/>
      <c r="AV163" s="634"/>
      <c r="AW163" s="40"/>
      <c r="AX163" s="634"/>
      <c r="AY163" s="634"/>
      <c r="AZ163" s="634"/>
      <c r="BA163" s="634"/>
      <c r="BB163" s="634"/>
      <c r="BC163" s="634"/>
      <c r="BD163" s="140"/>
      <c r="BE163" s="143"/>
      <c r="BF163" s="144"/>
      <c r="BG163" s="144"/>
      <c r="BH163" s="144"/>
      <c r="BI163" s="144"/>
      <c r="BJ163" s="144"/>
      <c r="BK163" s="144"/>
      <c r="BL163" s="144"/>
      <c r="BM163" s="144"/>
      <c r="BN163" s="144"/>
      <c r="BO163" s="144"/>
      <c r="BP163" s="144"/>
      <c r="BQ163" s="144"/>
      <c r="BR163" s="144"/>
      <c r="BS163" s="144"/>
      <c r="BT163" s="144"/>
      <c r="BU163" s="144"/>
      <c r="BV163" s="140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18"/>
      <c r="CK163" s="118"/>
      <c r="CL163" s="118"/>
      <c r="CM163" s="118"/>
      <c r="CN163" s="92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94"/>
      <c r="DD163" s="118"/>
      <c r="DE163" s="118"/>
      <c r="DF163" s="118"/>
      <c r="DG163" s="118"/>
      <c r="DH163" s="118"/>
      <c r="DI163" s="118"/>
      <c r="DJ163" s="118"/>
      <c r="DK163" s="118"/>
      <c r="DL163" s="118"/>
      <c r="DM163" s="118"/>
      <c r="DN163" s="118"/>
      <c r="DO163" s="118"/>
      <c r="DP163" s="118"/>
      <c r="DQ163" s="118"/>
      <c r="DR163" s="118"/>
      <c r="DS163" s="118"/>
      <c r="DT163" s="118"/>
      <c r="DU163" s="139"/>
      <c r="DV163" s="139"/>
      <c r="DW163" s="139"/>
      <c r="DX163" s="139"/>
      <c r="DY163" s="139"/>
      <c r="DZ163" s="139"/>
    </row>
    <row r="164" spans="1:130" ht="12.75" x14ac:dyDescent="0.2">
      <c r="A164" s="647"/>
      <c r="B164" s="647"/>
      <c r="C164" s="149"/>
      <c r="D164" s="40"/>
      <c r="E164" s="40"/>
      <c r="F164" s="40"/>
      <c r="G164" s="40"/>
      <c r="H164" s="634"/>
      <c r="I164" s="150">
        <f t="shared" si="134"/>
        <v>0</v>
      </c>
      <c r="J164" s="634"/>
      <c r="K164" s="40"/>
      <c r="L164" s="40"/>
      <c r="M164" s="634"/>
      <c r="N164" s="634"/>
      <c r="O164" s="634"/>
      <c r="P164" s="634"/>
      <c r="Q164" s="634"/>
      <c r="R164" s="634"/>
      <c r="S164" s="659"/>
      <c r="T164" s="647"/>
      <c r="U164" s="31">
        <v>114</v>
      </c>
      <c r="V164" s="31">
        <v>747</v>
      </c>
      <c r="W164" s="31">
        <v>501</v>
      </c>
      <c r="X164" s="31">
        <v>1000</v>
      </c>
      <c r="Y164" s="31">
        <v>5</v>
      </c>
      <c r="Z164" s="634"/>
      <c r="AA164" s="150">
        <f t="shared" si="135"/>
        <v>494</v>
      </c>
      <c r="AB164" s="634"/>
      <c r="AC164" s="31" t="s">
        <v>51</v>
      </c>
      <c r="AD164" s="31" t="s">
        <v>51</v>
      </c>
      <c r="AE164" s="634"/>
      <c r="AF164" s="634"/>
      <c r="AG164" s="634"/>
      <c r="AH164" s="634"/>
      <c r="AI164" s="634"/>
      <c r="AJ164" s="634"/>
      <c r="AK164" s="659"/>
      <c r="AL164" s="647"/>
      <c r="AM164" s="149"/>
      <c r="AN164" s="40"/>
      <c r="AO164" s="40"/>
      <c r="AP164" s="40"/>
      <c r="AQ164" s="40"/>
      <c r="AR164" s="634"/>
      <c r="AS164" s="151">
        <f t="shared" si="133"/>
        <v>0</v>
      </c>
      <c r="AT164" s="635"/>
      <c r="AU164" s="635"/>
      <c r="AV164" s="635"/>
      <c r="AW164" s="40"/>
      <c r="AX164" s="634"/>
      <c r="AY164" s="634"/>
      <c r="AZ164" s="634"/>
      <c r="BA164" s="634"/>
      <c r="BB164" s="634"/>
      <c r="BC164" s="635"/>
      <c r="BD164" s="140"/>
      <c r="BE164" s="143"/>
      <c r="BF164" s="144"/>
      <c r="BG164" s="144"/>
      <c r="BH164" s="144"/>
      <c r="BI164" s="144"/>
      <c r="BJ164" s="144"/>
      <c r="BK164" s="144"/>
      <c r="BL164" s="144"/>
      <c r="BM164" s="144"/>
      <c r="BN164" s="144"/>
      <c r="BO164" s="144"/>
      <c r="BP164" s="144"/>
      <c r="BQ164" s="144"/>
      <c r="BR164" s="144"/>
      <c r="BS164" s="144"/>
      <c r="BT164" s="144"/>
      <c r="BU164" s="144"/>
      <c r="BV164" s="140"/>
      <c r="BW164" s="118"/>
      <c r="BX164" s="118"/>
      <c r="BY164" s="118"/>
      <c r="BZ164" s="118"/>
      <c r="CA164" s="118"/>
      <c r="CB164" s="118"/>
      <c r="CC164" s="118"/>
      <c r="CD164" s="118"/>
      <c r="CE164" s="118"/>
      <c r="CF164" s="118"/>
      <c r="CG164" s="118"/>
      <c r="CH164" s="118"/>
      <c r="CI164" s="118"/>
      <c r="CJ164" s="118"/>
      <c r="CK164" s="118"/>
      <c r="CL164" s="118"/>
      <c r="CM164" s="118"/>
      <c r="CN164" s="92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94"/>
      <c r="DD164" s="118"/>
      <c r="DE164" s="118"/>
      <c r="DF164" s="118"/>
      <c r="DG164" s="118"/>
      <c r="DH164" s="118"/>
      <c r="DI164" s="118"/>
      <c r="DJ164" s="118"/>
      <c r="DK164" s="118"/>
      <c r="DL164" s="118"/>
      <c r="DM164" s="118"/>
      <c r="DN164" s="118"/>
      <c r="DO164" s="118"/>
      <c r="DP164" s="118"/>
      <c r="DQ164" s="118"/>
      <c r="DR164" s="118"/>
      <c r="DS164" s="118"/>
      <c r="DT164" s="118"/>
      <c r="DU164" s="139"/>
      <c r="DV164" s="139"/>
      <c r="DW164" s="139"/>
      <c r="DX164" s="139"/>
      <c r="DY164" s="139"/>
      <c r="DZ164" s="139"/>
    </row>
    <row r="165" spans="1:130" ht="12.75" x14ac:dyDescent="0.2">
      <c r="A165" s="647"/>
      <c r="B165" s="648"/>
      <c r="C165" s="149"/>
      <c r="D165" s="40"/>
      <c r="E165" s="40"/>
      <c r="F165" s="40"/>
      <c r="G165" s="40"/>
      <c r="H165" s="635"/>
      <c r="I165" s="150">
        <f t="shared" si="134"/>
        <v>0</v>
      </c>
      <c r="J165" s="635"/>
      <c r="K165" s="40"/>
      <c r="L165" s="40"/>
      <c r="M165" s="635"/>
      <c r="N165" s="635"/>
      <c r="O165" s="635"/>
      <c r="P165" s="635"/>
      <c r="Q165" s="635"/>
      <c r="R165" s="635"/>
      <c r="S165" s="660"/>
      <c r="T165" s="648"/>
      <c r="U165" s="31">
        <v>54</v>
      </c>
      <c r="V165" s="31">
        <v>748</v>
      </c>
      <c r="W165" s="31">
        <v>1001</v>
      </c>
      <c r="X165" s="31">
        <v>1213</v>
      </c>
      <c r="Y165" s="31">
        <v>1</v>
      </c>
      <c r="Z165" s="635"/>
      <c r="AA165" s="150">
        <f t="shared" si="135"/>
        <v>211</v>
      </c>
      <c r="AB165" s="634"/>
      <c r="AC165" s="31" t="s">
        <v>51</v>
      </c>
      <c r="AD165" s="31" t="s">
        <v>51</v>
      </c>
      <c r="AE165" s="634"/>
      <c r="AF165" s="635"/>
      <c r="AG165" s="635"/>
      <c r="AH165" s="635"/>
      <c r="AI165" s="634"/>
      <c r="AJ165" s="635"/>
      <c r="AK165" s="659"/>
      <c r="AL165" s="648"/>
      <c r="AM165" s="149"/>
      <c r="AN165" s="40"/>
      <c r="AO165" s="40"/>
      <c r="AP165" s="40"/>
      <c r="AQ165" s="40"/>
      <c r="AR165" s="635"/>
      <c r="AS165" s="151">
        <f t="shared" si="133"/>
        <v>0</v>
      </c>
      <c r="AT165" s="153"/>
      <c r="AU165" s="40"/>
      <c r="AV165" s="154"/>
      <c r="AW165" s="154"/>
      <c r="AX165" s="635"/>
      <c r="AY165" s="635"/>
      <c r="AZ165" s="635"/>
      <c r="BA165" s="154"/>
      <c r="BB165" s="635"/>
      <c r="BC165" s="155"/>
      <c r="BD165" s="140"/>
      <c r="BE165" s="685"/>
      <c r="BF165" s="662"/>
      <c r="BG165" s="662"/>
      <c r="BH165" s="662"/>
      <c r="BI165" s="662"/>
      <c r="BJ165" s="662"/>
      <c r="BK165" s="662"/>
      <c r="BL165" s="662"/>
      <c r="BM165" s="662"/>
      <c r="BN165" s="662"/>
      <c r="BO165" s="662"/>
      <c r="BP165" s="662"/>
      <c r="BQ165" s="662"/>
      <c r="BR165" s="662"/>
      <c r="BS165" s="662"/>
      <c r="BT165" s="662"/>
      <c r="BU165" s="662"/>
      <c r="BV165" s="662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92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94"/>
      <c r="DD165" s="118"/>
      <c r="DE165" s="118"/>
      <c r="DF165" s="118"/>
      <c r="DG165" s="118"/>
      <c r="DH165" s="118"/>
      <c r="DI165" s="118"/>
      <c r="DJ165" s="118"/>
      <c r="DK165" s="118"/>
      <c r="DL165" s="118"/>
      <c r="DM165" s="118"/>
      <c r="DN165" s="118"/>
      <c r="DO165" s="118"/>
      <c r="DP165" s="118"/>
      <c r="DQ165" s="118"/>
      <c r="DR165" s="118"/>
      <c r="DS165" s="118"/>
      <c r="DT165" s="118"/>
      <c r="DU165" s="139"/>
      <c r="DV165" s="139"/>
      <c r="DW165" s="139"/>
      <c r="DX165" s="139"/>
      <c r="DY165" s="139"/>
      <c r="DZ165" s="139"/>
    </row>
    <row r="166" spans="1:130" ht="12.75" x14ac:dyDescent="0.2">
      <c r="A166" s="647"/>
      <c r="B166" s="655">
        <v>46092</v>
      </c>
      <c r="C166" s="29">
        <v>17</v>
      </c>
      <c r="D166" s="29">
        <v>486</v>
      </c>
      <c r="E166" s="29">
        <v>19000</v>
      </c>
      <c r="F166" s="29">
        <v>19289</v>
      </c>
      <c r="G166" s="30"/>
      <c r="H166" s="649"/>
      <c r="I166" s="51">
        <f t="shared" si="134"/>
        <v>289</v>
      </c>
      <c r="J166" s="650">
        <f>SUM(I166:I169,H166)</f>
        <v>289</v>
      </c>
      <c r="K166" s="29" t="s">
        <v>52</v>
      </c>
      <c r="L166" s="29" t="s">
        <v>52</v>
      </c>
      <c r="M166" s="649">
        <v>2.2999999999999998</v>
      </c>
      <c r="N166" s="649">
        <v>2</v>
      </c>
      <c r="O166" s="656">
        <f>SUM(M166:N169)</f>
        <v>4.3</v>
      </c>
      <c r="P166" s="649"/>
      <c r="Q166" s="644">
        <f>M166*60</f>
        <v>138</v>
      </c>
      <c r="R166" s="657">
        <f>IF(
   COUNTIF(K166:K169,"SI")&gt;0,
   1.8,
   IF(
      COUNTIF(L166:L169,"SI")&gt;0,
      1.6,
      2
   )
)</f>
        <v>2</v>
      </c>
      <c r="S166" s="658">
        <f>IF(Q166=0,0,J166/Q166)</f>
        <v>2.0942028985507246</v>
      </c>
      <c r="T166" s="655">
        <v>46092</v>
      </c>
      <c r="U166" s="157"/>
      <c r="V166" s="28">
        <v>748</v>
      </c>
      <c r="W166" s="28">
        <v>1214</v>
      </c>
      <c r="X166" s="28">
        <v>1500</v>
      </c>
      <c r="Y166" s="29">
        <v>0</v>
      </c>
      <c r="Z166" s="640">
        <v>0</v>
      </c>
      <c r="AA166" s="51">
        <f t="shared" si="135"/>
        <v>286</v>
      </c>
      <c r="AB166" s="650">
        <f>SUM(AA166:AA169,Z166)</f>
        <v>1030</v>
      </c>
      <c r="AC166" s="28" t="s">
        <v>169</v>
      </c>
      <c r="AD166" s="28" t="s">
        <v>51</v>
      </c>
      <c r="AE166" s="640">
        <v>8</v>
      </c>
      <c r="AF166" s="640">
        <v>0.5</v>
      </c>
      <c r="AG166" s="633">
        <f>SUM(AE166:AF169)</f>
        <v>8.5</v>
      </c>
      <c r="AH166" s="640">
        <v>0</v>
      </c>
      <c r="AI166" s="640">
        <f>AE166*60</f>
        <v>480</v>
      </c>
      <c r="AJ166" s="657">
        <f>IF(
   COUNTIF(AC166:AC169,"SI")&gt;0,
   1.8,
   IF(
      COUNTIF(AD166:AD169,"SI")&gt;0,
      1.6,
      2
   )
)</f>
        <v>1.8</v>
      </c>
      <c r="AK166" s="679">
        <f>AB166/AI166</f>
        <v>2.1458333333333335</v>
      </c>
      <c r="AL166" s="655">
        <v>46092</v>
      </c>
      <c r="AM166" s="141"/>
      <c r="AN166" s="40"/>
      <c r="AO166" s="40"/>
      <c r="AP166" s="40"/>
      <c r="AQ166" s="40"/>
      <c r="AR166" s="653"/>
      <c r="AS166" s="150">
        <f t="shared" si="133"/>
        <v>0</v>
      </c>
      <c r="AT166" s="650">
        <f>SUM(AS166:AS168,AR166)</f>
        <v>0</v>
      </c>
      <c r="AU166" s="653"/>
      <c r="AV166" s="653"/>
      <c r="AW166" s="40"/>
      <c r="AX166" s="653"/>
      <c r="AY166" s="633">
        <f>SUM(AV166:AX169)</f>
        <v>0</v>
      </c>
      <c r="AZ166" s="640">
        <v>0.25</v>
      </c>
      <c r="BA166" s="640">
        <f>AV166*60</f>
        <v>0</v>
      </c>
      <c r="BB166" s="657">
        <f>IF(
   COUNTIF(AU166:AU169,"SI")&gt;0,
   1.8,
   IF(
      COUNTIF(AV166:AV169,"SI")&gt;0,
      1.6,
      2
   )
)</f>
        <v>2</v>
      </c>
      <c r="BC166" s="666">
        <f>IF(BA166=0,0,AT166/BA166)</f>
        <v>0</v>
      </c>
      <c r="BD166" s="140"/>
      <c r="BE166" s="143"/>
      <c r="BF166" s="686"/>
      <c r="BG166" s="662"/>
      <c r="BH166" s="662"/>
      <c r="BI166" s="662"/>
      <c r="BJ166" s="662"/>
      <c r="BK166" s="662"/>
      <c r="BL166" s="662"/>
      <c r="BM166" s="662"/>
      <c r="BN166" s="662"/>
      <c r="BO166" s="662"/>
      <c r="BP166" s="662"/>
      <c r="BQ166" s="662"/>
      <c r="BR166" s="662"/>
      <c r="BS166" s="662"/>
      <c r="BT166" s="662"/>
      <c r="BU166" s="662"/>
      <c r="BV166" s="662"/>
      <c r="BW166" s="118"/>
      <c r="BX166" s="118"/>
      <c r="BY166" s="118"/>
      <c r="BZ166" s="118"/>
      <c r="CA166" s="118"/>
      <c r="CB166" s="118"/>
      <c r="CC166" s="118"/>
      <c r="CD166" s="118"/>
      <c r="CE166" s="118"/>
      <c r="CF166" s="118"/>
      <c r="CG166" s="118"/>
      <c r="CH166" s="118"/>
      <c r="CI166" s="118"/>
      <c r="CJ166" s="118"/>
      <c r="CK166" s="118"/>
      <c r="CL166" s="118"/>
      <c r="CM166" s="118"/>
      <c r="CN166" s="92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94"/>
      <c r="DD166" s="118"/>
      <c r="DE166" s="118"/>
      <c r="DF166" s="118"/>
      <c r="DG166" s="118"/>
      <c r="DH166" s="118"/>
      <c r="DI166" s="118"/>
      <c r="DJ166" s="118"/>
      <c r="DK166" s="118"/>
      <c r="DL166" s="118"/>
      <c r="DM166" s="118"/>
      <c r="DN166" s="118"/>
      <c r="DO166" s="118"/>
      <c r="DP166" s="118"/>
      <c r="DQ166" s="118"/>
      <c r="DR166" s="118"/>
      <c r="DS166" s="118"/>
      <c r="DT166" s="118"/>
      <c r="DU166" s="139"/>
      <c r="DV166" s="139"/>
      <c r="DW166" s="139"/>
      <c r="DX166" s="139"/>
      <c r="DY166" s="139"/>
      <c r="DZ166" s="139"/>
    </row>
    <row r="167" spans="1:130" ht="12.75" x14ac:dyDescent="0.2">
      <c r="A167" s="647"/>
      <c r="B167" s="647"/>
      <c r="C167" s="141"/>
      <c r="D167" s="30"/>
      <c r="E167" s="30"/>
      <c r="F167" s="30"/>
      <c r="G167" s="30"/>
      <c r="H167" s="634"/>
      <c r="I167" s="51">
        <f t="shared" si="134"/>
        <v>0</v>
      </c>
      <c r="J167" s="634"/>
      <c r="K167" s="30"/>
      <c r="L167" s="30"/>
      <c r="M167" s="634"/>
      <c r="N167" s="634"/>
      <c r="O167" s="634"/>
      <c r="P167" s="634"/>
      <c r="Q167" s="634"/>
      <c r="R167" s="634"/>
      <c r="S167" s="659"/>
      <c r="T167" s="647"/>
      <c r="U167" s="157"/>
      <c r="V167" s="28">
        <v>749</v>
      </c>
      <c r="W167" s="28">
        <v>1501</v>
      </c>
      <c r="X167" s="28">
        <v>2002</v>
      </c>
      <c r="Y167" s="29">
        <v>6</v>
      </c>
      <c r="Z167" s="634"/>
      <c r="AA167" s="51">
        <f t="shared" si="135"/>
        <v>495</v>
      </c>
      <c r="AB167" s="634"/>
      <c r="AC167" s="28" t="s">
        <v>51</v>
      </c>
      <c r="AD167" s="28" t="s">
        <v>51</v>
      </c>
      <c r="AE167" s="634"/>
      <c r="AF167" s="634"/>
      <c r="AG167" s="634"/>
      <c r="AH167" s="634"/>
      <c r="AI167" s="634"/>
      <c r="AJ167" s="634"/>
      <c r="AK167" s="659"/>
      <c r="AL167" s="647"/>
      <c r="AM167" s="141"/>
      <c r="AN167" s="40"/>
      <c r="AO167" s="40"/>
      <c r="AP167" s="40"/>
      <c r="AQ167" s="40"/>
      <c r="AR167" s="634"/>
      <c r="AS167" s="150">
        <f t="shared" si="133"/>
        <v>0</v>
      </c>
      <c r="AT167" s="634"/>
      <c r="AU167" s="634"/>
      <c r="AV167" s="634"/>
      <c r="AW167" s="40"/>
      <c r="AX167" s="634"/>
      <c r="AY167" s="634"/>
      <c r="AZ167" s="634"/>
      <c r="BA167" s="634"/>
      <c r="BB167" s="634"/>
      <c r="BC167" s="634"/>
      <c r="BD167" s="140"/>
      <c r="BE167" s="143"/>
      <c r="BF167" s="662"/>
      <c r="BG167" s="662"/>
      <c r="BH167" s="662"/>
      <c r="BI167" s="662"/>
      <c r="BJ167" s="662"/>
      <c r="BK167" s="662"/>
      <c r="BL167" s="662"/>
      <c r="BM167" s="662"/>
      <c r="BN167" s="662"/>
      <c r="BO167" s="662"/>
      <c r="BP167" s="662"/>
      <c r="BQ167" s="662"/>
      <c r="BR167" s="662"/>
      <c r="BS167" s="662"/>
      <c r="BT167" s="662"/>
      <c r="BU167" s="662"/>
      <c r="BV167" s="662"/>
      <c r="BW167" s="118"/>
      <c r="BX167" s="118"/>
      <c r="BY167" s="118"/>
      <c r="BZ167" s="118"/>
      <c r="CA167" s="118"/>
      <c r="CB167" s="118"/>
      <c r="CC167" s="118"/>
      <c r="CD167" s="118"/>
      <c r="CE167" s="118"/>
      <c r="CF167" s="118"/>
      <c r="CG167" s="118"/>
      <c r="CH167" s="118"/>
      <c r="CI167" s="118"/>
      <c r="CJ167" s="118"/>
      <c r="CK167" s="118"/>
      <c r="CL167" s="118"/>
      <c r="CM167" s="118"/>
      <c r="CN167" s="92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94"/>
      <c r="DD167" s="118"/>
      <c r="DE167" s="118"/>
      <c r="DF167" s="118"/>
      <c r="DG167" s="118"/>
      <c r="DH167" s="118"/>
      <c r="DI167" s="118"/>
      <c r="DJ167" s="118"/>
      <c r="DK167" s="118"/>
      <c r="DL167" s="118"/>
      <c r="DM167" s="118"/>
      <c r="DN167" s="118"/>
      <c r="DO167" s="118"/>
      <c r="DP167" s="118"/>
      <c r="DQ167" s="118"/>
      <c r="DR167" s="118"/>
      <c r="DS167" s="118"/>
      <c r="DT167" s="118"/>
      <c r="DU167" s="139"/>
      <c r="DV167" s="139"/>
      <c r="DW167" s="139"/>
      <c r="DX167" s="139"/>
      <c r="DY167" s="139"/>
      <c r="DZ167" s="139"/>
    </row>
    <row r="168" spans="1:130" ht="12.75" x14ac:dyDescent="0.2">
      <c r="A168" s="647"/>
      <c r="B168" s="647"/>
      <c r="C168" s="141"/>
      <c r="D168" s="158"/>
      <c r="E168" s="158"/>
      <c r="F168" s="158"/>
      <c r="G168" s="158"/>
      <c r="H168" s="634"/>
      <c r="I168" s="159">
        <f t="shared" si="134"/>
        <v>0</v>
      </c>
      <c r="J168" s="634"/>
      <c r="K168" s="30"/>
      <c r="L168" s="30"/>
      <c r="M168" s="634"/>
      <c r="N168" s="634"/>
      <c r="O168" s="634"/>
      <c r="P168" s="634"/>
      <c r="Q168" s="634"/>
      <c r="R168" s="634"/>
      <c r="S168" s="659"/>
      <c r="T168" s="647"/>
      <c r="U168" s="157"/>
      <c r="V168" s="28">
        <v>750</v>
      </c>
      <c r="W168" s="28">
        <v>2003</v>
      </c>
      <c r="X168" s="28">
        <v>2252</v>
      </c>
      <c r="Y168" s="29">
        <v>0</v>
      </c>
      <c r="Z168" s="634"/>
      <c r="AA168" s="51">
        <f t="shared" si="135"/>
        <v>249</v>
      </c>
      <c r="AB168" s="634"/>
      <c r="AC168" s="28" t="s">
        <v>51</v>
      </c>
      <c r="AD168" s="28" t="s">
        <v>51</v>
      </c>
      <c r="AE168" s="634"/>
      <c r="AF168" s="634"/>
      <c r="AG168" s="634"/>
      <c r="AH168" s="634"/>
      <c r="AI168" s="634"/>
      <c r="AJ168" s="634"/>
      <c r="AK168" s="659"/>
      <c r="AL168" s="647"/>
      <c r="AM168" s="141"/>
      <c r="AN168" s="160"/>
      <c r="AO168" s="160"/>
      <c r="AP168" s="160"/>
      <c r="AQ168" s="160"/>
      <c r="AR168" s="634"/>
      <c r="AS168" s="39">
        <f t="shared" si="133"/>
        <v>0</v>
      </c>
      <c r="AT168" s="635"/>
      <c r="AU168" s="635"/>
      <c r="AV168" s="635"/>
      <c r="AW168" s="40"/>
      <c r="AX168" s="634"/>
      <c r="AY168" s="634"/>
      <c r="AZ168" s="634"/>
      <c r="BA168" s="634"/>
      <c r="BB168" s="634"/>
      <c r="BC168" s="634"/>
      <c r="BD168" s="140"/>
      <c r="BE168" s="143"/>
      <c r="BF168" s="662"/>
      <c r="BG168" s="662"/>
      <c r="BH168" s="662"/>
      <c r="BI168" s="662"/>
      <c r="BJ168" s="662"/>
      <c r="BK168" s="662"/>
      <c r="BL168" s="662"/>
      <c r="BM168" s="662"/>
      <c r="BN168" s="662"/>
      <c r="BO168" s="662"/>
      <c r="BP168" s="662"/>
      <c r="BQ168" s="662"/>
      <c r="BR168" s="662"/>
      <c r="BS168" s="662"/>
      <c r="BT168" s="662"/>
      <c r="BU168" s="662"/>
      <c r="BV168" s="662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92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94"/>
      <c r="DD168" s="118"/>
      <c r="DE168" s="118"/>
      <c r="DF168" s="118"/>
      <c r="DG168" s="118"/>
      <c r="DH168" s="118"/>
      <c r="DI168" s="118"/>
      <c r="DJ168" s="118"/>
      <c r="DK168" s="118"/>
      <c r="DL168" s="118"/>
      <c r="DM168" s="118"/>
      <c r="DN168" s="118"/>
      <c r="DO168" s="118"/>
      <c r="DP168" s="118"/>
      <c r="DQ168" s="118"/>
      <c r="DR168" s="118"/>
      <c r="DS168" s="118"/>
      <c r="DT168" s="118"/>
      <c r="DU168" s="139"/>
      <c r="DV168" s="139"/>
      <c r="DW168" s="139"/>
      <c r="DX168" s="139"/>
      <c r="DY168" s="139"/>
      <c r="DZ168" s="139"/>
    </row>
    <row r="169" spans="1:130" ht="12.75" x14ac:dyDescent="0.2">
      <c r="A169" s="647"/>
      <c r="B169" s="648"/>
      <c r="C169" s="141"/>
      <c r="D169" s="158"/>
      <c r="E169" s="158"/>
      <c r="F169" s="158"/>
      <c r="G169" s="158"/>
      <c r="H169" s="635"/>
      <c r="I169" s="159">
        <f t="shared" si="134"/>
        <v>0</v>
      </c>
      <c r="J169" s="635"/>
      <c r="K169" s="30"/>
      <c r="L169" s="30"/>
      <c r="M169" s="635"/>
      <c r="N169" s="635"/>
      <c r="O169" s="635"/>
      <c r="P169" s="635"/>
      <c r="Q169" s="635"/>
      <c r="R169" s="635"/>
      <c r="S169" s="660"/>
      <c r="T169" s="648"/>
      <c r="U169" s="141"/>
      <c r="V169" s="30"/>
      <c r="W169" s="30"/>
      <c r="X169" s="30"/>
      <c r="Y169" s="30"/>
      <c r="Z169" s="635"/>
      <c r="AA169" s="51">
        <f t="shared" si="135"/>
        <v>0</v>
      </c>
      <c r="AB169" s="635"/>
      <c r="AC169" s="30"/>
      <c r="AD169" s="30"/>
      <c r="AE169" s="635"/>
      <c r="AF169" s="635"/>
      <c r="AG169" s="635"/>
      <c r="AH169" s="635"/>
      <c r="AI169" s="634"/>
      <c r="AJ169" s="635"/>
      <c r="AK169" s="659"/>
      <c r="AL169" s="648"/>
      <c r="AM169" s="141"/>
      <c r="AN169" s="160"/>
      <c r="AO169" s="160"/>
      <c r="AP169" s="160"/>
      <c r="AQ169" s="160"/>
      <c r="AR169" s="635"/>
      <c r="AS169" s="39">
        <f t="shared" si="133"/>
        <v>0</v>
      </c>
      <c r="AT169" s="153"/>
      <c r="AU169" s="40"/>
      <c r="AV169" s="154"/>
      <c r="AW169" s="154"/>
      <c r="AX169" s="635"/>
      <c r="AY169" s="635"/>
      <c r="AZ169" s="635"/>
      <c r="BA169" s="635"/>
      <c r="BB169" s="635"/>
      <c r="BC169" s="635"/>
      <c r="BD169" s="140"/>
      <c r="BE169" s="143"/>
      <c r="BF169" s="662"/>
      <c r="BG169" s="662"/>
      <c r="BH169" s="662"/>
      <c r="BI169" s="662"/>
      <c r="BJ169" s="662"/>
      <c r="BK169" s="662"/>
      <c r="BL169" s="662"/>
      <c r="BM169" s="662"/>
      <c r="BN169" s="662"/>
      <c r="BO169" s="662"/>
      <c r="BP169" s="662"/>
      <c r="BQ169" s="662"/>
      <c r="BR169" s="662"/>
      <c r="BS169" s="662"/>
      <c r="BT169" s="662"/>
      <c r="BU169" s="662"/>
      <c r="BV169" s="662"/>
      <c r="BW169" s="118"/>
      <c r="BX169" s="118"/>
      <c r="BY169" s="118"/>
      <c r="BZ169" s="118"/>
      <c r="CA169" s="118"/>
      <c r="CB169" s="118"/>
      <c r="CC169" s="118"/>
      <c r="CD169" s="118"/>
      <c r="CE169" s="118"/>
      <c r="CF169" s="118"/>
      <c r="CG169" s="118"/>
      <c r="CH169" s="118"/>
      <c r="CI169" s="118"/>
      <c r="CJ169" s="118"/>
      <c r="CK169" s="118"/>
      <c r="CL169" s="118"/>
      <c r="CM169" s="118"/>
      <c r="CN169" s="92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94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S169" s="118"/>
      <c r="DT169" s="118"/>
      <c r="DU169" s="139"/>
      <c r="DV169" s="139"/>
      <c r="DW169" s="139"/>
      <c r="DX169" s="139"/>
      <c r="DY169" s="139"/>
      <c r="DZ169" s="139"/>
    </row>
    <row r="170" spans="1:130" ht="12.75" x14ac:dyDescent="0.2">
      <c r="A170" s="647"/>
      <c r="B170" s="646">
        <v>46093</v>
      </c>
      <c r="C170" s="160"/>
      <c r="D170" s="160"/>
      <c r="E170" s="160"/>
      <c r="F170" s="160"/>
      <c r="G170" s="161"/>
      <c r="H170" s="652"/>
      <c r="I170" s="39">
        <f t="shared" si="134"/>
        <v>0</v>
      </c>
      <c r="J170" s="650">
        <f>SUM(I170:I173,H170)</f>
        <v>0</v>
      </c>
      <c r="K170" s="160"/>
      <c r="L170" s="160"/>
      <c r="M170" s="653"/>
      <c r="N170" s="653"/>
      <c r="O170" s="633">
        <f>SUM(M170:N173)</f>
        <v>0</v>
      </c>
      <c r="P170" s="653"/>
      <c r="Q170" s="636">
        <f>M170*60</f>
        <v>0</v>
      </c>
      <c r="R170" s="657">
        <f>IF(
   COUNTIF(K170:K173,"SI")&gt;0,
   1.8,
   IF(
      COUNTIF(L170:L173,"SI")&gt;0,
      1.6,
      2
   )
)</f>
        <v>2</v>
      </c>
      <c r="S170" s="658">
        <f>IF(Q170=0,0,J170/Q170)</f>
        <v>0</v>
      </c>
      <c r="T170" s="646">
        <v>46093</v>
      </c>
      <c r="U170" s="160"/>
      <c r="V170" s="31">
        <v>750</v>
      </c>
      <c r="W170" s="31">
        <v>2252</v>
      </c>
      <c r="X170" s="31">
        <v>2500</v>
      </c>
      <c r="Y170" s="31">
        <v>0</v>
      </c>
      <c r="Z170" s="653">
        <v>0</v>
      </c>
      <c r="AA170" s="39">
        <f t="shared" si="135"/>
        <v>248</v>
      </c>
      <c r="AB170" s="650">
        <f>SUM(AA170:AA173,Z170)</f>
        <v>497</v>
      </c>
      <c r="AC170" s="31" t="s">
        <v>51</v>
      </c>
      <c r="AD170" s="31" t="s">
        <v>51</v>
      </c>
      <c r="AE170" s="653">
        <v>4</v>
      </c>
      <c r="AF170" s="636">
        <v>0</v>
      </c>
      <c r="AG170" s="633">
        <f>SUM(AE170:AF173)</f>
        <v>4</v>
      </c>
      <c r="AH170" s="636">
        <v>0</v>
      </c>
      <c r="AI170" s="636">
        <f>AE170*60</f>
        <v>240</v>
      </c>
      <c r="AJ170" s="657">
        <f>IF(
   COUNTIF(AC170:AC173,"SI")&gt;0,
   1.8,
   IF(
      COUNTIF(AD170:AD173,"SI")&gt;0,
      1.6,
      2
   )
)</f>
        <v>1.8</v>
      </c>
      <c r="AK170" s="658">
        <f>IF(AI170=0,0,AB170/AI170)</f>
        <v>2.0708333333333333</v>
      </c>
      <c r="AL170" s="646">
        <v>46093</v>
      </c>
      <c r="AM170" s="28">
        <v>73</v>
      </c>
      <c r="AN170" s="28">
        <v>746</v>
      </c>
      <c r="AO170" s="28">
        <v>159</v>
      </c>
      <c r="AP170" s="28">
        <v>501</v>
      </c>
      <c r="AQ170" s="31">
        <v>8</v>
      </c>
      <c r="AR170" s="653"/>
      <c r="AS170" s="39">
        <f>AP170-AO170-AQ170+AR170</f>
        <v>334</v>
      </c>
      <c r="AT170" s="650">
        <f>SUM(AS170:AS173)+AR170</f>
        <v>828</v>
      </c>
      <c r="AU170" s="636" t="s">
        <v>51</v>
      </c>
      <c r="AV170" s="636">
        <v>5.5</v>
      </c>
      <c r="AW170" s="31" t="s">
        <v>51</v>
      </c>
      <c r="AX170" s="636"/>
      <c r="AY170" s="633">
        <f>SUM(AV170:AX173)</f>
        <v>5.5</v>
      </c>
      <c r="AZ170" s="636">
        <v>0.25</v>
      </c>
      <c r="BA170" s="636">
        <f>AV170*60</f>
        <v>330</v>
      </c>
      <c r="BB170" s="657">
        <f>IF(
   COUNTIF(AU170:AU173,"SI")&gt;0,
   1.8,
   IF(
      COUNTIF(AV170:AV173,"SI")&gt;0,
      1.6,
      2
   )
)</f>
        <v>1.8</v>
      </c>
      <c r="BC170" s="645">
        <f>IF(BA170=0,0,AT170/BA170)</f>
        <v>2.5090909090909093</v>
      </c>
      <c r="BD170" s="140"/>
      <c r="BE170" s="143"/>
      <c r="BF170" s="662"/>
      <c r="BG170" s="662"/>
      <c r="BH170" s="662"/>
      <c r="BI170" s="662"/>
      <c r="BJ170" s="662"/>
      <c r="BK170" s="662"/>
      <c r="BL170" s="662"/>
      <c r="BM170" s="662"/>
      <c r="BN170" s="662"/>
      <c r="BO170" s="662"/>
      <c r="BP170" s="662"/>
      <c r="BQ170" s="662"/>
      <c r="BR170" s="662"/>
      <c r="BS170" s="662"/>
      <c r="BT170" s="662"/>
      <c r="BU170" s="662"/>
      <c r="BV170" s="662"/>
      <c r="BW170" s="118"/>
      <c r="BX170" s="118"/>
      <c r="BY170" s="118"/>
      <c r="BZ170" s="118"/>
      <c r="CA170" s="118"/>
      <c r="CB170" s="118"/>
      <c r="CC170" s="118"/>
      <c r="CD170" s="118"/>
      <c r="CE170" s="118"/>
      <c r="CF170" s="118"/>
      <c r="CG170" s="118"/>
      <c r="CH170" s="118"/>
      <c r="CI170" s="118"/>
      <c r="CJ170" s="118"/>
      <c r="CK170" s="118"/>
      <c r="CL170" s="118"/>
      <c r="CM170" s="118"/>
      <c r="CN170" s="92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94"/>
      <c r="DD170" s="118"/>
      <c r="DE170" s="118"/>
      <c r="DF170" s="118"/>
      <c r="DG170" s="118"/>
      <c r="DH170" s="118"/>
      <c r="DI170" s="118"/>
      <c r="DJ170" s="118"/>
      <c r="DK170" s="118"/>
      <c r="DL170" s="118"/>
      <c r="DM170" s="118"/>
      <c r="DN170" s="118"/>
      <c r="DO170" s="118"/>
      <c r="DP170" s="118"/>
      <c r="DQ170" s="118"/>
      <c r="DR170" s="118"/>
      <c r="DS170" s="118"/>
      <c r="DT170" s="118"/>
      <c r="DU170" s="139"/>
      <c r="DV170" s="139"/>
      <c r="DW170" s="139"/>
      <c r="DX170" s="139"/>
      <c r="DY170" s="139"/>
      <c r="DZ170" s="139"/>
    </row>
    <row r="171" spans="1:130" ht="12.75" x14ac:dyDescent="0.2">
      <c r="A171" s="647"/>
      <c r="B171" s="647"/>
      <c r="C171" s="149"/>
      <c r="D171" s="40"/>
      <c r="E171" s="40"/>
      <c r="F171" s="40"/>
      <c r="G171" s="40"/>
      <c r="H171" s="634"/>
      <c r="I171" s="150">
        <f t="shared" si="134"/>
        <v>0</v>
      </c>
      <c r="J171" s="634"/>
      <c r="K171" s="40"/>
      <c r="L171" s="40"/>
      <c r="M171" s="634"/>
      <c r="N171" s="634"/>
      <c r="O171" s="634"/>
      <c r="P171" s="634"/>
      <c r="Q171" s="634"/>
      <c r="R171" s="634"/>
      <c r="S171" s="659"/>
      <c r="T171" s="647"/>
      <c r="U171" s="149"/>
      <c r="V171" s="31">
        <v>751</v>
      </c>
      <c r="W171" s="31">
        <v>2501</v>
      </c>
      <c r="X171" s="31">
        <v>2750</v>
      </c>
      <c r="Y171" s="31">
        <v>0</v>
      </c>
      <c r="Z171" s="634"/>
      <c r="AA171" s="150">
        <f t="shared" si="135"/>
        <v>249</v>
      </c>
      <c r="AB171" s="634"/>
      <c r="AC171" s="31" t="s">
        <v>51</v>
      </c>
      <c r="AD171" s="31" t="s">
        <v>51</v>
      </c>
      <c r="AE171" s="634"/>
      <c r="AF171" s="634"/>
      <c r="AG171" s="634"/>
      <c r="AH171" s="634"/>
      <c r="AI171" s="634"/>
      <c r="AJ171" s="634"/>
      <c r="AK171" s="659"/>
      <c r="AL171" s="647"/>
      <c r="AM171" s="28">
        <v>101</v>
      </c>
      <c r="AN171" s="28">
        <v>752</v>
      </c>
      <c r="AO171" s="28">
        <v>3004</v>
      </c>
      <c r="AP171" s="28">
        <v>3500</v>
      </c>
      <c r="AQ171" s="38">
        <v>2</v>
      </c>
      <c r="AR171" s="634"/>
      <c r="AS171" s="150">
        <f t="shared" ref="AS171:AS181" si="138">AP171-AO171-AQ171</f>
        <v>494</v>
      </c>
      <c r="AT171" s="634"/>
      <c r="AU171" s="634"/>
      <c r="AV171" s="634"/>
      <c r="AW171" s="31" t="s">
        <v>51</v>
      </c>
      <c r="AX171" s="634"/>
      <c r="AY171" s="634"/>
      <c r="AZ171" s="634"/>
      <c r="BA171" s="634"/>
      <c r="BB171" s="634"/>
      <c r="BC171" s="634"/>
      <c r="BD171" s="140"/>
      <c r="BE171" s="143"/>
      <c r="BF171" s="144"/>
      <c r="BG171" s="144"/>
      <c r="BH171" s="144"/>
      <c r="BI171" s="144"/>
      <c r="BJ171" s="144"/>
      <c r="BK171" s="144"/>
      <c r="BL171" s="144"/>
      <c r="BM171" s="144"/>
      <c r="BN171" s="144"/>
      <c r="BO171" s="144"/>
      <c r="BP171" s="144"/>
      <c r="BQ171" s="144"/>
      <c r="BR171" s="144"/>
      <c r="BS171" s="144"/>
      <c r="BT171" s="144"/>
      <c r="BU171" s="144"/>
      <c r="BV171" s="140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92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94"/>
      <c r="DD171" s="118"/>
      <c r="DE171" s="118"/>
      <c r="DF171" s="118"/>
      <c r="DG171" s="118"/>
      <c r="DH171" s="118"/>
      <c r="DI171" s="118"/>
      <c r="DJ171" s="118"/>
      <c r="DK171" s="118"/>
      <c r="DL171" s="118"/>
      <c r="DM171" s="118"/>
      <c r="DN171" s="118"/>
      <c r="DO171" s="118"/>
      <c r="DP171" s="118"/>
      <c r="DQ171" s="118"/>
      <c r="DR171" s="118"/>
      <c r="DS171" s="118"/>
      <c r="DT171" s="118"/>
      <c r="DU171" s="139"/>
      <c r="DV171" s="139"/>
      <c r="DW171" s="139"/>
      <c r="DX171" s="139"/>
      <c r="DY171" s="139"/>
      <c r="DZ171" s="139"/>
    </row>
    <row r="172" spans="1:130" ht="12.75" x14ac:dyDescent="0.2">
      <c r="A172" s="647"/>
      <c r="B172" s="647"/>
      <c r="C172" s="149"/>
      <c r="D172" s="40"/>
      <c r="E172" s="40"/>
      <c r="F172" s="40"/>
      <c r="G172" s="40"/>
      <c r="H172" s="634"/>
      <c r="I172" s="150">
        <f t="shared" si="134"/>
        <v>0</v>
      </c>
      <c r="J172" s="634"/>
      <c r="K172" s="40"/>
      <c r="L172" s="40"/>
      <c r="M172" s="634"/>
      <c r="N172" s="634"/>
      <c r="O172" s="634"/>
      <c r="P172" s="634"/>
      <c r="Q172" s="634"/>
      <c r="R172" s="634"/>
      <c r="S172" s="659"/>
      <c r="T172" s="647"/>
      <c r="U172" s="149"/>
      <c r="V172" s="40"/>
      <c r="W172" s="40"/>
      <c r="X172" s="40"/>
      <c r="Y172" s="40"/>
      <c r="Z172" s="634"/>
      <c r="AA172" s="150">
        <f t="shared" si="135"/>
        <v>0</v>
      </c>
      <c r="AB172" s="634"/>
      <c r="AC172" s="40"/>
      <c r="AD172" s="40"/>
      <c r="AE172" s="634"/>
      <c r="AF172" s="634"/>
      <c r="AG172" s="634"/>
      <c r="AH172" s="634"/>
      <c r="AI172" s="634"/>
      <c r="AJ172" s="634"/>
      <c r="AK172" s="659"/>
      <c r="AL172" s="647"/>
      <c r="AM172" s="149"/>
      <c r="AN172" s="40"/>
      <c r="AO172" s="40"/>
      <c r="AP172" s="40"/>
      <c r="AQ172" s="40"/>
      <c r="AR172" s="634"/>
      <c r="AS172" s="150">
        <f t="shared" si="138"/>
        <v>0</v>
      </c>
      <c r="AT172" s="634"/>
      <c r="AU172" s="634"/>
      <c r="AV172" s="634"/>
      <c r="AW172" s="31" t="s">
        <v>51</v>
      </c>
      <c r="AX172" s="634"/>
      <c r="AY172" s="634"/>
      <c r="AZ172" s="634"/>
      <c r="BA172" s="634"/>
      <c r="BB172" s="634"/>
      <c r="BC172" s="634"/>
      <c r="BD172" s="140"/>
      <c r="BE172" s="143"/>
      <c r="BF172" s="144"/>
      <c r="BG172" s="144"/>
      <c r="BH172" s="144"/>
      <c r="BI172" s="144"/>
      <c r="BJ172" s="144"/>
      <c r="BK172" s="144"/>
      <c r="BL172" s="144"/>
      <c r="BM172" s="144"/>
      <c r="BN172" s="144"/>
      <c r="BO172" s="144"/>
      <c r="BP172" s="144"/>
      <c r="BQ172" s="145"/>
      <c r="BR172" s="145"/>
      <c r="BS172" s="144"/>
      <c r="BT172" s="144"/>
      <c r="BU172" s="144"/>
      <c r="BV172" s="140"/>
      <c r="BW172" s="118"/>
      <c r="BX172" s="118"/>
      <c r="BY172" s="118"/>
      <c r="BZ172" s="118"/>
      <c r="CA172" s="118"/>
      <c r="CB172" s="118"/>
      <c r="CC172" s="118"/>
      <c r="CD172" s="118"/>
      <c r="CE172" s="118"/>
      <c r="CF172" s="118"/>
      <c r="CG172" s="118"/>
      <c r="CH172" s="118"/>
      <c r="CI172" s="118"/>
      <c r="CJ172" s="118"/>
      <c r="CK172" s="118"/>
      <c r="CL172" s="118"/>
      <c r="CM172" s="118"/>
      <c r="CN172" s="92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94"/>
      <c r="DD172" s="118"/>
      <c r="DE172" s="118"/>
      <c r="DF172" s="118"/>
      <c r="DG172" s="118"/>
      <c r="DH172" s="118"/>
      <c r="DI172" s="118"/>
      <c r="DJ172" s="118"/>
      <c r="DK172" s="118"/>
      <c r="DL172" s="118"/>
      <c r="DM172" s="118"/>
      <c r="DN172" s="118"/>
      <c r="DO172" s="118"/>
      <c r="DP172" s="118"/>
      <c r="DQ172" s="118"/>
      <c r="DR172" s="118"/>
      <c r="DS172" s="118"/>
      <c r="DT172" s="118"/>
      <c r="DU172" s="139"/>
      <c r="DV172" s="139"/>
      <c r="DW172" s="139"/>
      <c r="DX172" s="139"/>
      <c r="DY172" s="139"/>
      <c r="DZ172" s="139"/>
    </row>
    <row r="173" spans="1:130" ht="12.75" x14ac:dyDescent="0.2">
      <c r="A173" s="647"/>
      <c r="B173" s="648"/>
      <c r="C173" s="149"/>
      <c r="D173" s="40"/>
      <c r="E173" s="40"/>
      <c r="F173" s="40"/>
      <c r="G173" s="40"/>
      <c r="H173" s="635"/>
      <c r="I173" s="150">
        <f t="shared" si="134"/>
        <v>0</v>
      </c>
      <c r="J173" s="635"/>
      <c r="K173" s="40"/>
      <c r="L173" s="40"/>
      <c r="M173" s="635"/>
      <c r="N173" s="635"/>
      <c r="O173" s="635"/>
      <c r="P173" s="635"/>
      <c r="Q173" s="635"/>
      <c r="R173" s="635"/>
      <c r="S173" s="660"/>
      <c r="T173" s="648"/>
      <c r="U173" s="149"/>
      <c r="V173" s="40"/>
      <c r="W173" s="40"/>
      <c r="X173" s="40"/>
      <c r="Y173" s="40"/>
      <c r="Z173" s="635"/>
      <c r="AA173" s="150">
        <f t="shared" si="135"/>
        <v>0</v>
      </c>
      <c r="AB173" s="635"/>
      <c r="AC173" s="40"/>
      <c r="AD173" s="40"/>
      <c r="AE173" s="635"/>
      <c r="AF173" s="635"/>
      <c r="AG173" s="635"/>
      <c r="AH173" s="635"/>
      <c r="AI173" s="635"/>
      <c r="AJ173" s="635"/>
      <c r="AK173" s="660"/>
      <c r="AL173" s="648"/>
      <c r="AM173" s="149"/>
      <c r="AN173" s="40"/>
      <c r="AO173" s="40"/>
      <c r="AP173" s="40"/>
      <c r="AQ173" s="40"/>
      <c r="AR173" s="635"/>
      <c r="AS173" s="150">
        <f t="shared" si="138"/>
        <v>0</v>
      </c>
      <c r="AT173" s="635"/>
      <c r="AU173" s="635"/>
      <c r="AV173" s="635"/>
      <c r="AW173" s="154"/>
      <c r="AX173" s="635"/>
      <c r="AY173" s="635"/>
      <c r="AZ173" s="635"/>
      <c r="BA173" s="634"/>
      <c r="BB173" s="635"/>
      <c r="BC173" s="635"/>
      <c r="BD173" s="140"/>
      <c r="BE173" s="143"/>
      <c r="BF173" s="144"/>
      <c r="BG173" s="144"/>
      <c r="BH173" s="144"/>
      <c r="BI173" s="144"/>
      <c r="BJ173" s="144"/>
      <c r="BK173" s="144"/>
      <c r="BL173" s="144"/>
      <c r="BM173" s="144"/>
      <c r="BN173" s="144"/>
      <c r="BO173" s="144"/>
      <c r="BP173" s="144"/>
      <c r="BQ173" s="145"/>
      <c r="BR173" s="145"/>
      <c r="BS173" s="144"/>
      <c r="BT173" s="144"/>
      <c r="BU173" s="144"/>
      <c r="BV173" s="140"/>
      <c r="BW173" s="118"/>
      <c r="BX173" s="118"/>
      <c r="BY173" s="118"/>
      <c r="BZ173" s="118"/>
      <c r="CA173" s="118"/>
      <c r="CB173" s="118"/>
      <c r="CC173" s="118"/>
      <c r="CD173" s="118"/>
      <c r="CE173" s="118"/>
      <c r="CF173" s="118"/>
      <c r="CG173" s="118"/>
      <c r="CH173" s="118"/>
      <c r="CI173" s="118"/>
      <c r="CJ173" s="118"/>
      <c r="CK173" s="118"/>
      <c r="CL173" s="118"/>
      <c r="CM173" s="118"/>
      <c r="CN173" s="92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94"/>
      <c r="DD173" s="118"/>
      <c r="DE173" s="118"/>
      <c r="DF173" s="118"/>
      <c r="DG173" s="118"/>
      <c r="DH173" s="118"/>
      <c r="DI173" s="118"/>
      <c r="DJ173" s="118"/>
      <c r="DK173" s="118"/>
      <c r="DL173" s="118"/>
      <c r="DM173" s="118"/>
      <c r="DN173" s="118"/>
      <c r="DO173" s="118"/>
      <c r="DP173" s="118"/>
      <c r="DQ173" s="118"/>
      <c r="DR173" s="118"/>
      <c r="DS173" s="118"/>
      <c r="DT173" s="118"/>
      <c r="DU173" s="139"/>
      <c r="DV173" s="139"/>
      <c r="DW173" s="139"/>
      <c r="DX173" s="139"/>
      <c r="DY173" s="139"/>
      <c r="DZ173" s="139"/>
    </row>
    <row r="174" spans="1:130" ht="12.75" x14ac:dyDescent="0.2">
      <c r="A174" s="647"/>
      <c r="B174" s="655">
        <v>46094</v>
      </c>
      <c r="C174" s="141"/>
      <c r="D174" s="30"/>
      <c r="E174" s="30"/>
      <c r="F174" s="30"/>
      <c r="G174" s="30"/>
      <c r="H174" s="649"/>
      <c r="I174" s="51">
        <f t="shared" si="134"/>
        <v>0</v>
      </c>
      <c r="J174" s="650">
        <f>SUM(I174:I177,H174)</f>
        <v>0</v>
      </c>
      <c r="K174" s="30"/>
      <c r="L174" s="30"/>
      <c r="M174" s="653"/>
      <c r="N174" s="653"/>
      <c r="O174" s="633">
        <f>SUM(M174:N177)</f>
        <v>0</v>
      </c>
      <c r="P174" s="649"/>
      <c r="Q174" s="640">
        <f>M166*60</f>
        <v>138</v>
      </c>
      <c r="R174" s="657">
        <f>IF(
   COUNTIF(K174:K177,"SI")&gt;0,
   1.8,
   IF(
      COUNTIF(L174:L177,"SI")&gt;0,
      1.6,
      2
   )
)</f>
        <v>2</v>
      </c>
      <c r="S174" s="658">
        <f>IF(Q174=0,0,J174/Q174)</f>
        <v>0</v>
      </c>
      <c r="T174" s="655">
        <v>46094</v>
      </c>
      <c r="U174" s="157"/>
      <c r="V174" s="28">
        <v>751</v>
      </c>
      <c r="W174" s="28">
        <v>2751</v>
      </c>
      <c r="X174" s="28">
        <v>3002</v>
      </c>
      <c r="Y174" s="28">
        <v>0</v>
      </c>
      <c r="Z174" s="640">
        <v>0</v>
      </c>
      <c r="AA174" s="51">
        <f t="shared" si="135"/>
        <v>251</v>
      </c>
      <c r="AB174" s="650">
        <f>SUM(AA174:AA177,Z174)</f>
        <v>502</v>
      </c>
      <c r="AC174" s="28" t="s">
        <v>51</v>
      </c>
      <c r="AD174" s="28" t="s">
        <v>51</v>
      </c>
      <c r="AE174" s="640">
        <v>4</v>
      </c>
      <c r="AF174" s="640">
        <v>0</v>
      </c>
      <c r="AG174" s="633">
        <f>SUM(AE174:AF177)</f>
        <v>4</v>
      </c>
      <c r="AH174" s="640">
        <v>0</v>
      </c>
      <c r="AI174" s="640">
        <f>AE174*60</f>
        <v>240</v>
      </c>
      <c r="AJ174" s="657">
        <f>IF(
   COUNTIF(AC174:AC177,"SI")&gt;0,
   1.8,
   IF(
      COUNTIF(AD174:AD177,"SI")&gt;0,
      1.6,
      2
   )
)</f>
        <v>1.8</v>
      </c>
      <c r="AK174" s="679">
        <f>IF(AI174=0,0,AB174/AI174)</f>
        <v>2.0916666666666668</v>
      </c>
      <c r="AL174" s="655">
        <v>46094</v>
      </c>
      <c r="AM174" s="28">
        <v>106</v>
      </c>
      <c r="AN174" s="28">
        <v>754</v>
      </c>
      <c r="AO174" s="28">
        <v>4003</v>
      </c>
      <c r="AP174" s="41">
        <v>4500</v>
      </c>
      <c r="AQ174" s="28">
        <v>8</v>
      </c>
      <c r="AR174" s="649">
        <f>SUM(12+77)</f>
        <v>89</v>
      </c>
      <c r="AS174" s="150">
        <f t="shared" si="138"/>
        <v>489</v>
      </c>
      <c r="AT174" s="650">
        <f>SUM(AS174:AS176)+AR174</f>
        <v>784</v>
      </c>
      <c r="AU174" s="38" t="s">
        <v>51</v>
      </c>
      <c r="AV174" s="640">
        <v>5.2</v>
      </c>
      <c r="AW174" s="28" t="s">
        <v>51</v>
      </c>
      <c r="AX174" s="640">
        <v>2.2999999999999998</v>
      </c>
      <c r="AY174" s="633">
        <f>SUM(AV174+AV177+AX174)</f>
        <v>7.5</v>
      </c>
      <c r="AZ174" s="649">
        <v>0.1</v>
      </c>
      <c r="BA174" s="640">
        <f>AV174*60</f>
        <v>312</v>
      </c>
      <c r="BB174" s="644">
        <f>IF(
   COUNTIF(AU174:AU177,"SI")&gt;0,
   1.8,
   IF(
      COUNTIF(AV174:AV177,"SI")&gt;0,
      1.6,
      2
   )
)</f>
        <v>1.8</v>
      </c>
      <c r="BC174" s="645">
        <f>IF(BA174=0,0,AT174/BA174)</f>
        <v>2.5128205128205128</v>
      </c>
      <c r="BD174" s="140"/>
      <c r="BE174" s="685"/>
      <c r="BF174" s="144"/>
      <c r="BG174" s="144"/>
      <c r="BH174" s="144"/>
      <c r="BI174" s="144"/>
      <c r="BJ174" s="144"/>
      <c r="BK174" s="144"/>
      <c r="BL174" s="144"/>
      <c r="BM174" s="144"/>
      <c r="BN174" s="144"/>
      <c r="BO174" s="144"/>
      <c r="BP174" s="144"/>
      <c r="BQ174" s="145"/>
      <c r="BR174" s="145"/>
      <c r="BS174" s="144"/>
      <c r="BT174" s="144"/>
      <c r="BU174" s="144"/>
      <c r="BV174" s="140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92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4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39"/>
      <c r="DV174" s="139"/>
      <c r="DW174" s="139"/>
      <c r="DX174" s="139"/>
      <c r="DY174" s="139"/>
      <c r="DZ174" s="139"/>
    </row>
    <row r="175" spans="1:130" ht="12.75" x14ac:dyDescent="0.2">
      <c r="A175" s="647"/>
      <c r="B175" s="647"/>
      <c r="C175" s="141"/>
      <c r="D175" s="30"/>
      <c r="E175" s="30"/>
      <c r="F175" s="30"/>
      <c r="G175" s="30"/>
      <c r="H175" s="634"/>
      <c r="I175" s="51">
        <f t="shared" si="134"/>
        <v>0</v>
      </c>
      <c r="J175" s="634"/>
      <c r="K175" s="30"/>
      <c r="L175" s="30"/>
      <c r="M175" s="634"/>
      <c r="N175" s="634"/>
      <c r="O175" s="634"/>
      <c r="P175" s="634"/>
      <c r="Q175" s="634"/>
      <c r="R175" s="634"/>
      <c r="S175" s="659"/>
      <c r="T175" s="647"/>
      <c r="U175" s="157"/>
      <c r="V175" s="28">
        <v>753</v>
      </c>
      <c r="W175" s="28">
        <v>3501</v>
      </c>
      <c r="X175" s="28">
        <v>3752</v>
      </c>
      <c r="Y175" s="29">
        <v>0</v>
      </c>
      <c r="Z175" s="634"/>
      <c r="AA175" s="51">
        <f t="shared" si="135"/>
        <v>251</v>
      </c>
      <c r="AB175" s="634"/>
      <c r="AC175" s="28" t="s">
        <v>51</v>
      </c>
      <c r="AD175" s="28" t="s">
        <v>51</v>
      </c>
      <c r="AE175" s="634"/>
      <c r="AF175" s="634"/>
      <c r="AG175" s="634"/>
      <c r="AH175" s="634"/>
      <c r="AI175" s="634"/>
      <c r="AJ175" s="634"/>
      <c r="AK175" s="659"/>
      <c r="AL175" s="647"/>
      <c r="AM175" s="28">
        <v>46</v>
      </c>
      <c r="AN175" s="28">
        <v>755</v>
      </c>
      <c r="AO175" s="28">
        <v>4501</v>
      </c>
      <c r="AP175" s="28">
        <v>4707</v>
      </c>
      <c r="AQ175" s="30"/>
      <c r="AR175" s="634"/>
      <c r="AS175" s="51">
        <f t="shared" si="138"/>
        <v>206</v>
      </c>
      <c r="AT175" s="634"/>
      <c r="AU175" s="150"/>
      <c r="AV175" s="634"/>
      <c r="AW175" s="51"/>
      <c r="AX175" s="634"/>
      <c r="AY175" s="634"/>
      <c r="AZ175" s="634"/>
      <c r="BA175" s="634"/>
      <c r="BB175" s="634"/>
      <c r="BC175" s="634"/>
      <c r="BD175" s="140"/>
      <c r="BE175" s="662"/>
      <c r="BF175" s="144"/>
      <c r="BG175" s="144"/>
      <c r="BH175" s="144"/>
      <c r="BI175" s="144"/>
      <c r="BJ175" s="144"/>
      <c r="BK175" s="144"/>
      <c r="BL175" s="144"/>
      <c r="BM175" s="144"/>
      <c r="BN175" s="144"/>
      <c r="BO175" s="144"/>
      <c r="BP175" s="144"/>
      <c r="BQ175" s="145"/>
      <c r="BR175" s="145"/>
      <c r="BS175" s="144"/>
      <c r="BT175" s="144"/>
      <c r="BU175" s="144"/>
      <c r="BV175" s="140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92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94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8"/>
      <c r="DQ175" s="118"/>
      <c r="DR175" s="118"/>
      <c r="DS175" s="118"/>
      <c r="DT175" s="118"/>
      <c r="DU175" s="139"/>
      <c r="DV175" s="139"/>
      <c r="DW175" s="139"/>
      <c r="DX175" s="139"/>
      <c r="DY175" s="139"/>
      <c r="DZ175" s="139"/>
    </row>
    <row r="176" spans="1:130" ht="12.75" x14ac:dyDescent="0.2">
      <c r="A176" s="647"/>
      <c r="B176" s="647"/>
      <c r="C176" s="141"/>
      <c r="D176" s="30"/>
      <c r="E176" s="30"/>
      <c r="F176" s="30"/>
      <c r="G176" s="30"/>
      <c r="H176" s="634"/>
      <c r="I176" s="51">
        <f t="shared" si="134"/>
        <v>0</v>
      </c>
      <c r="J176" s="634"/>
      <c r="K176" s="30"/>
      <c r="L176" s="30"/>
      <c r="M176" s="634"/>
      <c r="N176" s="634"/>
      <c r="O176" s="634"/>
      <c r="P176" s="634"/>
      <c r="Q176" s="634"/>
      <c r="R176" s="634"/>
      <c r="S176" s="659"/>
      <c r="T176" s="647"/>
      <c r="U176" s="141"/>
      <c r="V176" s="30"/>
      <c r="W176" s="30"/>
      <c r="X176" s="30"/>
      <c r="Y176" s="30"/>
      <c r="Z176" s="634"/>
      <c r="AA176" s="51">
        <f t="shared" si="135"/>
        <v>0</v>
      </c>
      <c r="AB176" s="634"/>
      <c r="AC176" s="30"/>
      <c r="AD176" s="30"/>
      <c r="AE176" s="634"/>
      <c r="AF176" s="634"/>
      <c r="AG176" s="634"/>
      <c r="AH176" s="634"/>
      <c r="AI176" s="634"/>
      <c r="AJ176" s="634"/>
      <c r="AK176" s="659"/>
      <c r="AL176" s="647"/>
      <c r="AM176" s="163"/>
      <c r="AN176" s="48"/>
      <c r="AO176" s="48"/>
      <c r="AP176" s="48"/>
      <c r="AQ176" s="48"/>
      <c r="AR176" s="634"/>
      <c r="AS176" s="51">
        <f t="shared" si="138"/>
        <v>0</v>
      </c>
      <c r="AT176" s="634"/>
      <c r="AU176" s="145"/>
      <c r="AV176" s="635"/>
      <c r="AW176" s="145"/>
      <c r="AX176" s="634"/>
      <c r="AY176" s="634"/>
      <c r="AZ176" s="634"/>
      <c r="BA176" s="635"/>
      <c r="BB176" s="634"/>
      <c r="BC176" s="635"/>
      <c r="BD176" s="140"/>
      <c r="BE176" s="685"/>
      <c r="BF176" s="144"/>
      <c r="BG176" s="144"/>
      <c r="BH176" s="144"/>
      <c r="BI176" s="144"/>
      <c r="BJ176" s="144"/>
      <c r="BK176" s="144"/>
      <c r="BL176" s="144"/>
      <c r="BM176" s="144"/>
      <c r="BN176" s="144"/>
      <c r="BO176" s="144"/>
      <c r="BP176" s="686"/>
      <c r="BQ176" s="144"/>
      <c r="BR176" s="144"/>
      <c r="BS176" s="686"/>
      <c r="BT176" s="144"/>
      <c r="BU176" s="686"/>
      <c r="BV176" s="686"/>
      <c r="BW176" s="118"/>
      <c r="BX176" s="118"/>
      <c r="BY176" s="118"/>
      <c r="BZ176" s="118"/>
      <c r="CA176" s="118"/>
      <c r="CB176" s="118"/>
      <c r="CC176" s="118"/>
      <c r="CD176" s="118"/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92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4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S176" s="118"/>
      <c r="DT176" s="118"/>
      <c r="DU176" s="139"/>
      <c r="DV176" s="139"/>
      <c r="DW176" s="139"/>
      <c r="DX176" s="139"/>
      <c r="DY176" s="139"/>
      <c r="DZ176" s="139"/>
    </row>
    <row r="177" spans="1:130" ht="12.75" x14ac:dyDescent="0.2">
      <c r="A177" s="647"/>
      <c r="B177" s="648"/>
      <c r="C177" s="141"/>
      <c r="D177" s="30"/>
      <c r="E177" s="30"/>
      <c r="F177" s="30"/>
      <c r="G177" s="30"/>
      <c r="H177" s="635"/>
      <c r="I177" s="51">
        <f t="shared" si="134"/>
        <v>0</v>
      </c>
      <c r="J177" s="635"/>
      <c r="K177" s="30"/>
      <c r="L177" s="30"/>
      <c r="M177" s="635"/>
      <c r="N177" s="635"/>
      <c r="O177" s="635"/>
      <c r="P177" s="635"/>
      <c r="Q177" s="635"/>
      <c r="R177" s="635"/>
      <c r="S177" s="660"/>
      <c r="T177" s="648"/>
      <c r="U177" s="141"/>
      <c r="V177" s="30"/>
      <c r="W177" s="30"/>
      <c r="X177" s="30"/>
      <c r="Y177" s="30"/>
      <c r="Z177" s="635"/>
      <c r="AA177" s="51">
        <f t="shared" si="135"/>
        <v>0</v>
      </c>
      <c r="AB177" s="635"/>
      <c r="AC177" s="30"/>
      <c r="AD177" s="30"/>
      <c r="AE177" s="635"/>
      <c r="AF177" s="635"/>
      <c r="AG177" s="635"/>
      <c r="AH177" s="635"/>
      <c r="AI177" s="635"/>
      <c r="AJ177" s="635"/>
      <c r="AK177" s="660"/>
      <c r="AL177" s="648"/>
      <c r="AM177" s="157"/>
      <c r="AN177" s="51"/>
      <c r="AO177" s="51"/>
      <c r="AP177" s="51"/>
      <c r="AQ177" s="51"/>
      <c r="AR177" s="635"/>
      <c r="AS177" s="51">
        <f t="shared" si="138"/>
        <v>0</v>
      </c>
      <c r="AT177" s="164">
        <f>AS177</f>
        <v>0</v>
      </c>
      <c r="AU177" s="150"/>
      <c r="AV177" s="165"/>
      <c r="AW177" s="51"/>
      <c r="AX177" s="635"/>
      <c r="AY177" s="635"/>
      <c r="AZ177" s="635"/>
      <c r="BA177" s="156">
        <f t="shared" ref="BA177:BA178" si="139">AV177*60</f>
        <v>0</v>
      </c>
      <c r="BB177" s="635"/>
      <c r="BC177" s="148">
        <f t="shared" ref="BC177:BC178" si="140">IF(BA177=0,0,AT177/BA177)</f>
        <v>0</v>
      </c>
      <c r="BD177" s="140"/>
      <c r="BE177" s="662"/>
      <c r="BF177" s="144"/>
      <c r="BG177" s="144"/>
      <c r="BH177" s="144"/>
      <c r="BI177" s="144"/>
      <c r="BJ177" s="144"/>
      <c r="BK177" s="144"/>
      <c r="BL177" s="144"/>
      <c r="BM177" s="144"/>
      <c r="BN177" s="144"/>
      <c r="BO177" s="144"/>
      <c r="BP177" s="662"/>
      <c r="BQ177" s="144"/>
      <c r="BR177" s="144"/>
      <c r="BS177" s="662"/>
      <c r="BT177" s="144"/>
      <c r="BU177" s="662"/>
      <c r="BV177" s="662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92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94"/>
      <c r="DD177" s="118"/>
      <c r="DE177" s="118"/>
      <c r="DF177" s="118"/>
      <c r="DG177" s="118"/>
      <c r="DH177" s="118"/>
      <c r="DI177" s="118"/>
      <c r="DJ177" s="118"/>
      <c r="DK177" s="118"/>
      <c r="DL177" s="118"/>
      <c r="DM177" s="118"/>
      <c r="DN177" s="118"/>
      <c r="DO177" s="118"/>
      <c r="DP177" s="118"/>
      <c r="DQ177" s="118"/>
      <c r="DR177" s="118"/>
      <c r="DS177" s="118"/>
      <c r="DT177" s="118"/>
      <c r="DU177" s="139"/>
      <c r="DV177" s="139"/>
      <c r="DW177" s="139"/>
      <c r="DX177" s="139"/>
      <c r="DY177" s="139"/>
      <c r="DZ177" s="139"/>
    </row>
    <row r="178" spans="1:130" ht="12.75" x14ac:dyDescent="0.2">
      <c r="A178" s="647"/>
      <c r="B178" s="646">
        <v>46095</v>
      </c>
      <c r="C178" s="149"/>
      <c r="D178" s="40"/>
      <c r="E178" s="40"/>
      <c r="F178" s="40"/>
      <c r="G178" s="40"/>
      <c r="H178" s="653"/>
      <c r="I178" s="150">
        <f t="shared" si="134"/>
        <v>0</v>
      </c>
      <c r="J178" s="650">
        <f>SUM(I178:I181,H178)</f>
        <v>0</v>
      </c>
      <c r="K178" s="40"/>
      <c r="L178" s="40"/>
      <c r="M178" s="653"/>
      <c r="N178" s="653"/>
      <c r="O178" s="633">
        <f>SUM(M178:N181)</f>
        <v>0</v>
      </c>
      <c r="P178" s="653"/>
      <c r="Q178" s="636">
        <f>M178*60</f>
        <v>0</v>
      </c>
      <c r="R178" s="657">
        <f>IF(
   COUNTIF(K178:K181,"SI")&gt;0,
   1.8,
   IF(
      COUNTIF(L178:L181,"SI")&gt;0,
      1.6,
      2
   )
)</f>
        <v>2</v>
      </c>
      <c r="S178" s="658">
        <f>IF(Q178=0,0,J178/Q178)</f>
        <v>0</v>
      </c>
      <c r="T178" s="646">
        <v>46095</v>
      </c>
      <c r="U178" s="149"/>
      <c r="V178" s="40"/>
      <c r="W178" s="40"/>
      <c r="X178" s="40"/>
      <c r="Y178" s="40"/>
      <c r="Z178" s="653">
        <v>0</v>
      </c>
      <c r="AA178" s="150">
        <f t="shared" si="135"/>
        <v>0</v>
      </c>
      <c r="AB178" s="650">
        <f>SUM(AA178:AA181,Z178)</f>
        <v>0</v>
      </c>
      <c r="AC178" s="40"/>
      <c r="AD178" s="40"/>
      <c r="AE178" s="653"/>
      <c r="AF178" s="653"/>
      <c r="AG178" s="633">
        <f>SUM(AE178:AF181)</f>
        <v>0</v>
      </c>
      <c r="AH178" s="653">
        <v>0</v>
      </c>
      <c r="AI178" s="636">
        <f>AE178*60</f>
        <v>0</v>
      </c>
      <c r="AJ178" s="657">
        <f>IF(
   COUNTIF(AC178:AC181,"SI")&gt;0,
   1.8,
   IF(
      COUNTIF(AD178:AD181,"SI")&gt;0,
      1.6,
      2
   )
)</f>
        <v>2</v>
      </c>
      <c r="AK178" s="679">
        <f>IF(AI178=0,0,AB178/AI178)</f>
        <v>0</v>
      </c>
      <c r="AL178" s="646">
        <v>46095</v>
      </c>
      <c r="AM178" s="31">
        <v>61</v>
      </c>
      <c r="AN178" s="29">
        <v>755</v>
      </c>
      <c r="AO178" s="31">
        <v>4708</v>
      </c>
      <c r="AP178" s="31">
        <v>5000</v>
      </c>
      <c r="AQ178" s="40"/>
      <c r="AR178" s="653"/>
      <c r="AS178" s="150">
        <f t="shared" si="138"/>
        <v>292</v>
      </c>
      <c r="AT178" s="650">
        <f>SUM(AS178:AS181,AR178)</f>
        <v>536</v>
      </c>
      <c r="AU178" s="31" t="s">
        <v>51</v>
      </c>
      <c r="AV178" s="653">
        <v>3.5</v>
      </c>
      <c r="AW178" s="31" t="s">
        <v>51</v>
      </c>
      <c r="AX178" s="653"/>
      <c r="AY178" s="633">
        <f>SUM(AV178:AX181)</f>
        <v>3.5</v>
      </c>
      <c r="AZ178" s="653"/>
      <c r="BA178" s="636">
        <f t="shared" si="139"/>
        <v>210</v>
      </c>
      <c r="BB178" s="657">
        <f>IF(
   COUNTIF(AU178:AU181,"SI")&gt;0,
   1.8,
   IF(
      COUNTIF(AV178:AV181,"SI")&gt;0,
      1.6,
      2
   )
)</f>
        <v>1.8</v>
      </c>
      <c r="BC178" s="666">
        <f t="shared" si="140"/>
        <v>2.5523809523809522</v>
      </c>
      <c r="BD178" s="686"/>
      <c r="BE178" s="143"/>
      <c r="BF178" s="144"/>
      <c r="BG178" s="144"/>
      <c r="BH178" s="144"/>
      <c r="BI178" s="144"/>
      <c r="BJ178" s="144"/>
      <c r="BK178" s="144"/>
      <c r="BL178" s="144"/>
      <c r="BM178" s="144"/>
      <c r="BN178" s="144"/>
      <c r="BO178" s="144"/>
      <c r="BP178" s="144"/>
      <c r="BQ178" s="144"/>
      <c r="BR178" s="144"/>
      <c r="BS178" s="144"/>
      <c r="BT178" s="144"/>
      <c r="BU178" s="144"/>
      <c r="BV178" s="140"/>
      <c r="BW178" s="118"/>
      <c r="BX178" s="118"/>
      <c r="BY178" s="118"/>
      <c r="BZ178" s="118"/>
      <c r="CA178" s="118"/>
      <c r="CB178" s="118"/>
      <c r="CC178" s="118"/>
      <c r="CD178" s="118"/>
      <c r="CE178" s="118"/>
      <c r="CF178" s="118"/>
      <c r="CG178" s="118"/>
      <c r="CH178" s="118"/>
      <c r="CI178" s="118"/>
      <c r="CJ178" s="118"/>
      <c r="CK178" s="118"/>
      <c r="CL178" s="118"/>
      <c r="CM178" s="118"/>
      <c r="CN178" s="92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94"/>
      <c r="DD178" s="118"/>
      <c r="DE178" s="118"/>
      <c r="DF178" s="118"/>
      <c r="DG178" s="118"/>
      <c r="DH178" s="118"/>
      <c r="DI178" s="118"/>
      <c r="DJ178" s="118"/>
      <c r="DK178" s="118"/>
      <c r="DL178" s="118"/>
      <c r="DM178" s="118"/>
      <c r="DN178" s="118"/>
      <c r="DO178" s="118"/>
      <c r="DP178" s="118"/>
      <c r="DQ178" s="118"/>
      <c r="DR178" s="118"/>
      <c r="DS178" s="118"/>
      <c r="DT178" s="118"/>
      <c r="DU178" s="139"/>
      <c r="DV178" s="139"/>
      <c r="DW178" s="139"/>
      <c r="DX178" s="139"/>
      <c r="DY178" s="139"/>
      <c r="DZ178" s="139"/>
    </row>
    <row r="179" spans="1:130" ht="12.75" x14ac:dyDescent="0.2">
      <c r="A179" s="647"/>
      <c r="B179" s="647"/>
      <c r="C179" s="149"/>
      <c r="D179" s="40"/>
      <c r="E179" s="40"/>
      <c r="F179" s="40"/>
      <c r="G179" s="40"/>
      <c r="H179" s="634"/>
      <c r="I179" s="150">
        <f t="shared" si="134"/>
        <v>0</v>
      </c>
      <c r="J179" s="634"/>
      <c r="K179" s="40"/>
      <c r="L179" s="40"/>
      <c r="M179" s="634"/>
      <c r="N179" s="634"/>
      <c r="O179" s="634"/>
      <c r="P179" s="634"/>
      <c r="Q179" s="634"/>
      <c r="R179" s="634"/>
      <c r="S179" s="659"/>
      <c r="T179" s="647"/>
      <c r="U179" s="149"/>
      <c r="V179" s="40"/>
      <c r="W179" s="40"/>
      <c r="X179" s="40"/>
      <c r="Y179" s="40"/>
      <c r="Z179" s="634"/>
      <c r="AA179" s="150">
        <f t="shared" si="135"/>
        <v>0</v>
      </c>
      <c r="AB179" s="634"/>
      <c r="AC179" s="40"/>
      <c r="AD179" s="40"/>
      <c r="AE179" s="634"/>
      <c r="AF179" s="634"/>
      <c r="AG179" s="634"/>
      <c r="AH179" s="634"/>
      <c r="AI179" s="634"/>
      <c r="AJ179" s="634"/>
      <c r="AK179" s="659"/>
      <c r="AL179" s="647"/>
      <c r="AM179" s="31">
        <v>69</v>
      </c>
      <c r="AN179" s="31">
        <v>756</v>
      </c>
      <c r="AO179" s="31">
        <v>5001</v>
      </c>
      <c r="AP179" s="31">
        <v>5256</v>
      </c>
      <c r="AQ179" s="31">
        <v>11</v>
      </c>
      <c r="AR179" s="634"/>
      <c r="AS179" s="150">
        <f t="shared" si="138"/>
        <v>244</v>
      </c>
      <c r="AT179" s="634"/>
      <c r="AU179" s="31" t="s">
        <v>51</v>
      </c>
      <c r="AV179" s="634"/>
      <c r="AW179" s="31" t="s">
        <v>51</v>
      </c>
      <c r="AX179" s="634"/>
      <c r="AY179" s="634"/>
      <c r="AZ179" s="634"/>
      <c r="BA179" s="634"/>
      <c r="BB179" s="634"/>
      <c r="BC179" s="634"/>
      <c r="BD179" s="662"/>
      <c r="BE179" s="685"/>
      <c r="BF179" s="144"/>
      <c r="BG179" s="144"/>
      <c r="BH179" s="144"/>
      <c r="BI179" s="144"/>
      <c r="BJ179" s="144"/>
      <c r="BK179" s="144"/>
      <c r="BL179" s="144"/>
      <c r="BM179" s="144"/>
      <c r="BN179" s="144"/>
      <c r="BO179" s="144"/>
      <c r="BP179" s="686"/>
      <c r="BQ179" s="144"/>
      <c r="BR179" s="144"/>
      <c r="BS179" s="686"/>
      <c r="BT179" s="144"/>
      <c r="BU179" s="686"/>
      <c r="BV179" s="686"/>
      <c r="BW179" s="118"/>
      <c r="BX179" s="118"/>
      <c r="BY179" s="118"/>
      <c r="BZ179" s="118"/>
      <c r="CA179" s="118"/>
      <c r="CB179" s="118"/>
      <c r="CC179" s="118"/>
      <c r="CD179" s="118"/>
      <c r="CE179" s="118"/>
      <c r="CF179" s="118"/>
      <c r="CG179" s="118"/>
      <c r="CH179" s="118"/>
      <c r="CI179" s="118"/>
      <c r="CJ179" s="118"/>
      <c r="CK179" s="118"/>
      <c r="CL179" s="118"/>
      <c r="CM179" s="118"/>
      <c r="CN179" s="92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94"/>
      <c r="DD179" s="118"/>
      <c r="DE179" s="118"/>
      <c r="DF179" s="118"/>
      <c r="DG179" s="118"/>
      <c r="DH179" s="118"/>
      <c r="DI179" s="118"/>
      <c r="DJ179" s="118"/>
      <c r="DK179" s="118"/>
      <c r="DL179" s="118"/>
      <c r="DM179" s="118"/>
      <c r="DN179" s="118"/>
      <c r="DO179" s="118"/>
      <c r="DP179" s="118"/>
      <c r="DQ179" s="118"/>
      <c r="DR179" s="118"/>
      <c r="DS179" s="118"/>
      <c r="DT179" s="118"/>
      <c r="DU179" s="139"/>
      <c r="DV179" s="139"/>
      <c r="DW179" s="139"/>
      <c r="DX179" s="139"/>
      <c r="DY179" s="139"/>
      <c r="DZ179" s="139"/>
    </row>
    <row r="180" spans="1:130" ht="12.75" x14ac:dyDescent="0.2">
      <c r="A180" s="647"/>
      <c r="B180" s="647"/>
      <c r="C180" s="149"/>
      <c r="D180" s="40"/>
      <c r="E180" s="40"/>
      <c r="F180" s="40"/>
      <c r="G180" s="40"/>
      <c r="H180" s="634"/>
      <c r="I180" s="150">
        <f t="shared" si="134"/>
        <v>0</v>
      </c>
      <c r="J180" s="634"/>
      <c r="K180" s="40"/>
      <c r="L180" s="40"/>
      <c r="M180" s="634"/>
      <c r="N180" s="634"/>
      <c r="O180" s="634"/>
      <c r="P180" s="634"/>
      <c r="Q180" s="634"/>
      <c r="R180" s="634"/>
      <c r="S180" s="659"/>
      <c r="T180" s="647"/>
      <c r="U180" s="149"/>
      <c r="V180" s="40"/>
      <c r="W180" s="40"/>
      <c r="X180" s="40"/>
      <c r="Y180" s="40"/>
      <c r="Z180" s="634"/>
      <c r="AA180" s="150">
        <f t="shared" si="135"/>
        <v>0</v>
      </c>
      <c r="AB180" s="634"/>
      <c r="AC180" s="40"/>
      <c r="AD180" s="40"/>
      <c r="AE180" s="634"/>
      <c r="AF180" s="634"/>
      <c r="AG180" s="634"/>
      <c r="AH180" s="634"/>
      <c r="AI180" s="634"/>
      <c r="AJ180" s="634"/>
      <c r="AK180" s="659"/>
      <c r="AL180" s="647"/>
      <c r="AM180" s="149"/>
      <c r="AN180" s="40"/>
      <c r="AO180" s="40"/>
      <c r="AP180" s="40"/>
      <c r="AQ180" s="40"/>
      <c r="AR180" s="634"/>
      <c r="AS180" s="150">
        <f t="shared" si="138"/>
        <v>0</v>
      </c>
      <c r="AT180" s="634"/>
      <c r="AU180" s="40"/>
      <c r="AV180" s="634"/>
      <c r="AW180" s="40"/>
      <c r="AX180" s="634"/>
      <c r="AY180" s="634"/>
      <c r="AZ180" s="634"/>
      <c r="BA180" s="634"/>
      <c r="BB180" s="634"/>
      <c r="BC180" s="634"/>
      <c r="BD180" s="140"/>
      <c r="BE180" s="662"/>
      <c r="BF180" s="144"/>
      <c r="BG180" s="144"/>
      <c r="BH180" s="144"/>
      <c r="BI180" s="144"/>
      <c r="BJ180" s="144"/>
      <c r="BK180" s="144"/>
      <c r="BL180" s="144"/>
      <c r="BM180" s="144"/>
      <c r="BN180" s="144"/>
      <c r="BO180" s="144"/>
      <c r="BP180" s="662"/>
      <c r="BQ180" s="686"/>
      <c r="BR180" s="686"/>
      <c r="BS180" s="662"/>
      <c r="BT180" s="144"/>
      <c r="BU180" s="662"/>
      <c r="BV180" s="662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92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94"/>
      <c r="DD180" s="118"/>
      <c r="DE180" s="118"/>
      <c r="DF180" s="118"/>
      <c r="DG180" s="118"/>
      <c r="DH180" s="118"/>
      <c r="DI180" s="118"/>
      <c r="DJ180" s="118"/>
      <c r="DK180" s="118"/>
      <c r="DL180" s="118"/>
      <c r="DM180" s="118"/>
      <c r="DN180" s="118"/>
      <c r="DO180" s="118"/>
      <c r="DP180" s="118"/>
      <c r="DQ180" s="118"/>
      <c r="DR180" s="118"/>
      <c r="DS180" s="118"/>
      <c r="DT180" s="118"/>
      <c r="DU180" s="139"/>
      <c r="DV180" s="139"/>
      <c r="DW180" s="139"/>
      <c r="DX180" s="139"/>
      <c r="DY180" s="139"/>
      <c r="DZ180" s="139"/>
    </row>
    <row r="181" spans="1:130" ht="12.75" x14ac:dyDescent="0.2">
      <c r="A181" s="648"/>
      <c r="B181" s="648"/>
      <c r="C181" s="149"/>
      <c r="D181" s="40"/>
      <c r="E181" s="40"/>
      <c r="F181" s="40"/>
      <c r="G181" s="40"/>
      <c r="H181" s="635"/>
      <c r="I181" s="150">
        <f t="shared" si="134"/>
        <v>0</v>
      </c>
      <c r="J181" s="635"/>
      <c r="K181" s="40"/>
      <c r="L181" s="40"/>
      <c r="M181" s="635"/>
      <c r="N181" s="635"/>
      <c r="O181" s="635"/>
      <c r="P181" s="635"/>
      <c r="Q181" s="635"/>
      <c r="R181" s="635"/>
      <c r="S181" s="660"/>
      <c r="T181" s="648"/>
      <c r="U181" s="149"/>
      <c r="V181" s="40"/>
      <c r="W181" s="40"/>
      <c r="X181" s="40"/>
      <c r="Y181" s="40"/>
      <c r="Z181" s="635"/>
      <c r="AA181" s="150">
        <f t="shared" si="135"/>
        <v>0</v>
      </c>
      <c r="AB181" s="635"/>
      <c r="AC181" s="40"/>
      <c r="AD181" s="40"/>
      <c r="AE181" s="635"/>
      <c r="AF181" s="635"/>
      <c r="AG181" s="635"/>
      <c r="AH181" s="635"/>
      <c r="AI181" s="635"/>
      <c r="AJ181" s="635"/>
      <c r="AK181" s="660"/>
      <c r="AL181" s="648"/>
      <c r="AM181" s="149"/>
      <c r="AN181" s="40"/>
      <c r="AO181" s="40"/>
      <c r="AP181" s="40"/>
      <c r="AQ181" s="40"/>
      <c r="AR181" s="635"/>
      <c r="AS181" s="150">
        <f t="shared" si="138"/>
        <v>0</v>
      </c>
      <c r="AT181" s="635"/>
      <c r="AU181" s="40"/>
      <c r="AV181" s="635"/>
      <c r="AW181" s="40"/>
      <c r="AX181" s="635"/>
      <c r="AY181" s="635"/>
      <c r="AZ181" s="635"/>
      <c r="BA181" s="635"/>
      <c r="BB181" s="635"/>
      <c r="BC181" s="635"/>
      <c r="BD181" s="686"/>
      <c r="BE181" s="685"/>
      <c r="BF181" s="144"/>
      <c r="BG181" s="144"/>
      <c r="BH181" s="144"/>
      <c r="BI181" s="144"/>
      <c r="BJ181" s="144"/>
      <c r="BK181" s="144"/>
      <c r="BL181" s="144"/>
      <c r="BM181" s="144"/>
      <c r="BN181" s="144"/>
      <c r="BO181" s="144"/>
      <c r="BP181" s="144"/>
      <c r="BQ181" s="662"/>
      <c r="BR181" s="662"/>
      <c r="BS181" s="144"/>
      <c r="BT181" s="144"/>
      <c r="BU181" s="144"/>
      <c r="BV181" s="140"/>
      <c r="BW181" s="118"/>
      <c r="BX181" s="118"/>
      <c r="BY181" s="118"/>
      <c r="BZ181" s="118"/>
      <c r="CA181" s="118"/>
      <c r="CB181" s="118"/>
      <c r="CC181" s="118"/>
      <c r="CD181" s="118"/>
      <c r="CE181" s="118"/>
      <c r="CF181" s="118"/>
      <c r="CG181" s="118"/>
      <c r="CH181" s="118"/>
      <c r="CI181" s="118"/>
      <c r="CJ181" s="118"/>
      <c r="CK181" s="118"/>
      <c r="CL181" s="118"/>
      <c r="CM181" s="118"/>
      <c r="CN181" s="92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4"/>
      <c r="DD181" s="118"/>
      <c r="DE181" s="118"/>
      <c r="DF181" s="118"/>
      <c r="DG181" s="118"/>
      <c r="DH181" s="118"/>
      <c r="DI181" s="118"/>
      <c r="DJ181" s="118"/>
      <c r="DK181" s="118"/>
      <c r="DL181" s="118"/>
      <c r="DM181" s="118"/>
      <c r="DN181" s="118"/>
      <c r="DO181" s="118"/>
      <c r="DP181" s="118"/>
      <c r="DQ181" s="118"/>
      <c r="DR181" s="118"/>
      <c r="DS181" s="118"/>
      <c r="DT181" s="118"/>
      <c r="DU181" s="139"/>
      <c r="DV181" s="139"/>
      <c r="DW181" s="139"/>
      <c r="DX181" s="139"/>
      <c r="DY181" s="139"/>
      <c r="DZ181" s="139"/>
    </row>
    <row r="182" spans="1:130" ht="12.75" x14ac:dyDescent="0.2">
      <c r="A182" s="166"/>
      <c r="B182" s="167" t="s">
        <v>40</v>
      </c>
      <c r="C182" s="168">
        <f>SUM(C157:C181)</f>
        <v>17</v>
      </c>
      <c r="D182" s="168" t="s">
        <v>49</v>
      </c>
      <c r="E182" s="168" t="s">
        <v>49</v>
      </c>
      <c r="F182" s="168" t="s">
        <v>49</v>
      </c>
      <c r="G182" s="168">
        <f t="shared" ref="G182:J182" si="141">SUM(G157:G181)</f>
        <v>0</v>
      </c>
      <c r="H182" s="168">
        <f t="shared" si="141"/>
        <v>0</v>
      </c>
      <c r="I182" s="168">
        <f t="shared" si="141"/>
        <v>289</v>
      </c>
      <c r="J182" s="168">
        <f t="shared" si="141"/>
        <v>289</v>
      </c>
      <c r="K182" s="168" t="s">
        <v>49</v>
      </c>
      <c r="L182" s="168"/>
      <c r="M182" s="168">
        <f>SUM(M157:M181)</f>
        <v>2.2999999999999998</v>
      </c>
      <c r="N182" s="168">
        <f>SUM(N157:N177)</f>
        <v>2</v>
      </c>
      <c r="O182" s="169">
        <f t="shared" ref="O182:Q182" si="142">SUM(O157:O181)</f>
        <v>4.3</v>
      </c>
      <c r="P182" s="168">
        <f t="shared" si="142"/>
        <v>0</v>
      </c>
      <c r="Q182" s="168">
        <f t="shared" si="142"/>
        <v>276</v>
      </c>
      <c r="R182" s="170"/>
      <c r="S182" s="171">
        <f>AVERAGE(S166:S169)</f>
        <v>2.0942028985507246</v>
      </c>
      <c r="T182" s="61" t="s">
        <v>40</v>
      </c>
      <c r="U182" s="168">
        <f>SUM(U157:U181)</f>
        <v>235</v>
      </c>
      <c r="V182" s="168" t="s">
        <v>49</v>
      </c>
      <c r="W182" s="168" t="s">
        <v>49</v>
      </c>
      <c r="X182" s="168" t="s">
        <v>49</v>
      </c>
      <c r="Y182" s="168">
        <f t="shared" ref="Y182:AB182" si="143">SUM(Y157:Y181)</f>
        <v>12</v>
      </c>
      <c r="Z182" s="168">
        <f t="shared" si="143"/>
        <v>0</v>
      </c>
      <c r="AA182" s="168">
        <f t="shared" si="143"/>
        <v>3020</v>
      </c>
      <c r="AB182" s="168">
        <f t="shared" si="143"/>
        <v>3020</v>
      </c>
      <c r="AC182" s="168" t="s">
        <v>49</v>
      </c>
      <c r="AD182" s="168" t="s">
        <v>49</v>
      </c>
      <c r="AE182" s="168">
        <f t="shared" ref="AE182:AI182" si="144">SUM(AE157:AE181)</f>
        <v>24</v>
      </c>
      <c r="AF182" s="168">
        <f t="shared" si="144"/>
        <v>1</v>
      </c>
      <c r="AG182" s="169">
        <f t="shared" si="144"/>
        <v>25</v>
      </c>
      <c r="AH182" s="168">
        <f t="shared" si="144"/>
        <v>0</v>
      </c>
      <c r="AI182" s="168">
        <f t="shared" si="144"/>
        <v>1440</v>
      </c>
      <c r="AJ182" s="170"/>
      <c r="AK182" s="171">
        <f t="shared" ref="AK182:AK183" si="145">IF(AI182=0,0,AB182/AI182)</f>
        <v>2.0972222222222223</v>
      </c>
      <c r="AL182" s="61" t="s">
        <v>40</v>
      </c>
      <c r="AM182" s="168">
        <f>SUM(AM157:AM181)</f>
        <v>666</v>
      </c>
      <c r="AN182" s="168" t="s">
        <v>49</v>
      </c>
      <c r="AO182" s="168" t="s">
        <v>49</v>
      </c>
      <c r="AP182" s="168" t="s">
        <v>49</v>
      </c>
      <c r="AQ182" s="168">
        <f t="shared" ref="AQ182:AT182" si="146">SUM(AQ157:AQ181)</f>
        <v>30</v>
      </c>
      <c r="AR182" s="168">
        <f t="shared" si="146"/>
        <v>89</v>
      </c>
      <c r="AS182" s="168">
        <f t="shared" si="146"/>
        <v>3317</v>
      </c>
      <c r="AT182" s="168">
        <f t="shared" si="146"/>
        <v>3406</v>
      </c>
      <c r="AU182" s="168" t="s">
        <v>49</v>
      </c>
      <c r="AV182" s="168">
        <f>SUM(AV157:AV181)</f>
        <v>22.45</v>
      </c>
      <c r="AW182" s="168"/>
      <c r="AX182" s="172">
        <f t="shared" ref="AX182:BA182" si="147">SUM(AX157:AX181)</f>
        <v>2.5499999999999998</v>
      </c>
      <c r="AY182" s="173">
        <f t="shared" si="147"/>
        <v>25</v>
      </c>
      <c r="AZ182" s="172">
        <f t="shared" si="147"/>
        <v>1</v>
      </c>
      <c r="BA182" s="168">
        <f t="shared" si="147"/>
        <v>1347</v>
      </c>
      <c r="BB182" s="170"/>
      <c r="BC182" s="174">
        <f t="shared" ref="BC182:BC183" si="148">IF(BA182=0,0,AT182/BA182)</f>
        <v>2.528582034149963</v>
      </c>
      <c r="BD182" s="662"/>
      <c r="BE182" s="662"/>
      <c r="BF182" s="144"/>
      <c r="BG182" s="144"/>
      <c r="BH182" s="144"/>
      <c r="BI182" s="144"/>
      <c r="BJ182" s="144"/>
      <c r="BK182" s="144"/>
      <c r="BL182" s="144"/>
      <c r="BM182" s="144"/>
      <c r="BN182" s="144"/>
      <c r="BO182" s="144"/>
      <c r="BP182" s="144"/>
      <c r="BQ182" s="144"/>
      <c r="BR182" s="144"/>
      <c r="BS182" s="144"/>
      <c r="BT182" s="144"/>
      <c r="BU182" s="144"/>
      <c r="BV182" s="140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92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94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S182" s="118"/>
      <c r="DT182" s="118"/>
      <c r="DU182" s="139"/>
      <c r="DV182" s="139"/>
      <c r="DW182" s="139"/>
      <c r="DX182" s="139"/>
      <c r="DY182" s="139"/>
      <c r="DZ182" s="139"/>
    </row>
    <row r="183" spans="1:130" ht="12.75" x14ac:dyDescent="0.2">
      <c r="A183" s="746" t="s">
        <v>175</v>
      </c>
      <c r="B183" s="674">
        <v>46097</v>
      </c>
      <c r="C183" s="175"/>
      <c r="D183" s="137"/>
      <c r="E183" s="137"/>
      <c r="F183" s="137"/>
      <c r="G183" s="137"/>
      <c r="H183" s="675"/>
      <c r="I183" s="62">
        <f t="shared" ref="I183:I185" si="149">F183-E183-G183</f>
        <v>0</v>
      </c>
      <c r="J183" s="676">
        <f>SUM(I183:I187,H183)</f>
        <v>0</v>
      </c>
      <c r="K183" s="175"/>
      <c r="L183" s="175"/>
      <c r="M183" s="675"/>
      <c r="N183" s="675"/>
      <c r="O183" s="677">
        <f>SUM(M183:N187)</f>
        <v>0</v>
      </c>
      <c r="P183" s="675"/>
      <c r="Q183" s="657">
        <f>M183*60</f>
        <v>0</v>
      </c>
      <c r="R183" s="657">
        <f>IF(
   COUNTIF(K183:K187,"SI")&gt;0,
   1.8,
   IF(
      COUNTIF(L183:L187,"SI")&gt;0,
      1.6,
      2
   )
)</f>
        <v>2</v>
      </c>
      <c r="S183" s="678">
        <f>IF(Q183=0,0,J183/Q183)</f>
        <v>0</v>
      </c>
      <c r="T183" s="674">
        <v>46097</v>
      </c>
      <c r="U183" s="175"/>
      <c r="V183" s="175"/>
      <c r="W183" s="175"/>
      <c r="X183" s="175"/>
      <c r="Y183" s="175"/>
      <c r="Z183" s="675"/>
      <c r="AA183" s="151">
        <f t="shared" ref="AA183:AA185" si="150">X183-W183-Y183</f>
        <v>0</v>
      </c>
      <c r="AB183" s="676">
        <f>SUM(AA183:AA187,Z183)</f>
        <v>0</v>
      </c>
      <c r="AC183" s="175"/>
      <c r="AD183" s="175"/>
      <c r="AE183" s="675"/>
      <c r="AF183" s="675"/>
      <c r="AG183" s="677">
        <f>SUM(AE183:AF187)</f>
        <v>0</v>
      </c>
      <c r="AH183" s="675"/>
      <c r="AI183" s="657">
        <f>AE183*60</f>
        <v>0</v>
      </c>
      <c r="AJ183" s="657">
        <f>IF(
   COUNTIF(AC183:AC187,"SI")&gt;0,
   1.8,
   IF(
      COUNTIF(AD183:AD187,"SI")&gt;0,
      1.6,
      2
   )
)</f>
        <v>2</v>
      </c>
      <c r="AK183" s="678">
        <f t="shared" si="145"/>
        <v>0</v>
      </c>
      <c r="AL183" s="674">
        <v>46097</v>
      </c>
      <c r="AM183" s="24">
        <v>55</v>
      </c>
      <c r="AN183" s="31">
        <v>756</v>
      </c>
      <c r="AO183" s="31">
        <v>5257</v>
      </c>
      <c r="AP183" s="24">
        <v>5502</v>
      </c>
      <c r="AQ183" s="137"/>
      <c r="AR183" s="657"/>
      <c r="AS183" s="62">
        <f t="shared" ref="AS183:AS195" si="151">AP183-AO183-AQ183</f>
        <v>245</v>
      </c>
      <c r="AT183" s="650">
        <f>SUM(AS183:AS187)+AR183</f>
        <v>461</v>
      </c>
      <c r="AU183" s="29" t="s">
        <v>51</v>
      </c>
      <c r="AV183" s="640">
        <v>3</v>
      </c>
      <c r="AW183" s="29" t="s">
        <v>51</v>
      </c>
      <c r="AX183" s="657">
        <v>5.5</v>
      </c>
      <c r="AY183" s="633">
        <f>SUM(AV183,AX183)</f>
        <v>8.5</v>
      </c>
      <c r="AZ183" s="657">
        <v>0.1</v>
      </c>
      <c r="BA183" s="657">
        <f>AV183*60</f>
        <v>180</v>
      </c>
      <c r="BB183" s="657">
        <f>IF(
   COUNTIF(AU183:AU187,"SI")&gt;0,
   1.8,
   IF(
      COUNTIF(AV183:AV187,"SI")&gt;0,
      1.6,
      2
   )
)</f>
        <v>1.8</v>
      </c>
      <c r="BC183" s="672">
        <f t="shared" si="148"/>
        <v>2.5611111111111109</v>
      </c>
      <c r="BD183" s="139"/>
      <c r="BE183" s="143"/>
      <c r="BF183" s="140"/>
      <c r="BG183" s="140"/>
      <c r="BH183" s="140"/>
      <c r="BI183" s="140"/>
      <c r="BJ183" s="140"/>
      <c r="BK183" s="140"/>
      <c r="BL183" s="145"/>
      <c r="BM183" s="144"/>
      <c r="BN183" s="144"/>
      <c r="BO183" s="145"/>
      <c r="BP183" s="145"/>
      <c r="BQ183" s="145"/>
      <c r="BR183" s="145"/>
      <c r="BS183" s="144"/>
      <c r="BT183" s="144"/>
      <c r="BU183" s="145"/>
      <c r="BV183" s="686"/>
      <c r="BW183" s="118"/>
      <c r="BX183" s="118"/>
      <c r="BY183" s="118"/>
      <c r="BZ183" s="118"/>
      <c r="CA183" s="118"/>
      <c r="CB183" s="118"/>
      <c r="CC183" s="118"/>
      <c r="CD183" s="118"/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92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94"/>
      <c r="DD183" s="118"/>
      <c r="DE183" s="118"/>
      <c r="DF183" s="118"/>
      <c r="DG183" s="118"/>
      <c r="DH183" s="118"/>
      <c r="DI183" s="118"/>
      <c r="DJ183" s="118"/>
      <c r="DK183" s="118"/>
      <c r="DL183" s="118"/>
      <c r="DM183" s="118"/>
      <c r="DN183" s="118"/>
      <c r="DO183" s="118"/>
      <c r="DP183" s="118"/>
      <c r="DQ183" s="118"/>
      <c r="DR183" s="118"/>
      <c r="DS183" s="118"/>
      <c r="DT183" s="118"/>
      <c r="DU183" s="139"/>
      <c r="DV183" s="139"/>
      <c r="DW183" s="139"/>
      <c r="DX183" s="139"/>
      <c r="DY183" s="139"/>
      <c r="DZ183" s="139"/>
    </row>
    <row r="184" spans="1:130" ht="12.75" x14ac:dyDescent="0.2">
      <c r="A184" s="647"/>
      <c r="B184" s="647"/>
      <c r="C184" s="30"/>
      <c r="D184" s="158"/>
      <c r="E184" s="158"/>
      <c r="F184" s="158"/>
      <c r="G184" s="158"/>
      <c r="H184" s="634"/>
      <c r="I184" s="159">
        <f t="shared" si="149"/>
        <v>0</v>
      </c>
      <c r="J184" s="634"/>
      <c r="K184" s="30"/>
      <c r="L184" s="142"/>
      <c r="M184" s="634"/>
      <c r="N184" s="634"/>
      <c r="O184" s="634"/>
      <c r="P184" s="634"/>
      <c r="Q184" s="634"/>
      <c r="R184" s="634"/>
      <c r="S184" s="659"/>
      <c r="T184" s="647"/>
      <c r="U184" s="30"/>
      <c r="V184" s="30"/>
      <c r="W184" s="30"/>
      <c r="X184" s="30"/>
      <c r="Y184" s="30"/>
      <c r="Z184" s="634"/>
      <c r="AA184" s="51">
        <f t="shared" si="150"/>
        <v>0</v>
      </c>
      <c r="AB184" s="634"/>
      <c r="AC184" s="30"/>
      <c r="AD184" s="142"/>
      <c r="AE184" s="634"/>
      <c r="AF184" s="634"/>
      <c r="AG184" s="634"/>
      <c r="AH184" s="634"/>
      <c r="AI184" s="634"/>
      <c r="AJ184" s="634"/>
      <c r="AK184" s="659"/>
      <c r="AL184" s="647"/>
      <c r="AM184" s="28">
        <v>51</v>
      </c>
      <c r="AN184" s="28">
        <v>757</v>
      </c>
      <c r="AO184" s="28">
        <v>5503</v>
      </c>
      <c r="AP184" s="28">
        <v>5719</v>
      </c>
      <c r="AQ184" s="158"/>
      <c r="AR184" s="634"/>
      <c r="AS184" s="159">
        <f t="shared" si="151"/>
        <v>216</v>
      </c>
      <c r="AT184" s="634"/>
      <c r="AU184" s="29" t="s">
        <v>51</v>
      </c>
      <c r="AV184" s="634"/>
      <c r="AW184" s="29" t="s">
        <v>51</v>
      </c>
      <c r="AX184" s="634"/>
      <c r="AY184" s="634"/>
      <c r="AZ184" s="634"/>
      <c r="BA184" s="634"/>
      <c r="BB184" s="634"/>
      <c r="BC184" s="634"/>
      <c r="BD184" s="685"/>
      <c r="BE184" s="143"/>
      <c r="BF184" s="140"/>
      <c r="BG184" s="140"/>
      <c r="BH184" s="140"/>
      <c r="BI184" s="140"/>
      <c r="BJ184" s="140"/>
      <c r="BK184" s="140"/>
      <c r="BL184" s="686"/>
      <c r="BM184" s="144"/>
      <c r="BN184" s="144"/>
      <c r="BO184" s="686"/>
      <c r="BP184" s="686"/>
      <c r="BQ184" s="686"/>
      <c r="BR184" s="686"/>
      <c r="BS184" s="144"/>
      <c r="BT184" s="144"/>
      <c r="BU184" s="145"/>
      <c r="BV184" s="662"/>
      <c r="BW184" s="118"/>
      <c r="BX184" s="118"/>
      <c r="BY184" s="118"/>
      <c r="BZ184" s="118"/>
      <c r="CA184" s="118"/>
      <c r="CB184" s="118"/>
      <c r="CC184" s="118"/>
      <c r="CD184" s="118"/>
      <c r="CE184" s="118"/>
      <c r="CF184" s="118"/>
      <c r="CG184" s="118"/>
      <c r="CH184" s="118"/>
      <c r="CI184" s="118"/>
      <c r="CJ184" s="118"/>
      <c r="CK184" s="118"/>
      <c r="CL184" s="118"/>
      <c r="CM184" s="118"/>
      <c r="CN184" s="92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94"/>
      <c r="DD184" s="118"/>
      <c r="DE184" s="118"/>
      <c r="DF184" s="118"/>
      <c r="DG184" s="118"/>
      <c r="DH184" s="118"/>
      <c r="DI184" s="118"/>
      <c r="DJ184" s="118"/>
      <c r="DK184" s="118"/>
      <c r="DL184" s="118"/>
      <c r="DM184" s="118"/>
      <c r="DN184" s="118"/>
      <c r="DO184" s="118"/>
      <c r="DP184" s="118"/>
      <c r="DQ184" s="118"/>
      <c r="DR184" s="118"/>
      <c r="DS184" s="118"/>
      <c r="DT184" s="118"/>
      <c r="DU184" s="139"/>
      <c r="DV184" s="139"/>
      <c r="DW184" s="139"/>
      <c r="DX184" s="139"/>
      <c r="DY184" s="139"/>
      <c r="DZ184" s="139"/>
    </row>
    <row r="185" spans="1:130" ht="12.75" x14ac:dyDescent="0.2">
      <c r="A185" s="647"/>
      <c r="B185" s="647"/>
      <c r="C185" s="30"/>
      <c r="D185" s="158"/>
      <c r="E185" s="158"/>
      <c r="F185" s="158"/>
      <c r="G185" s="158"/>
      <c r="H185" s="634"/>
      <c r="I185" s="159">
        <f t="shared" si="149"/>
        <v>0</v>
      </c>
      <c r="J185" s="634"/>
      <c r="K185" s="158"/>
      <c r="L185" s="161"/>
      <c r="M185" s="634"/>
      <c r="N185" s="634"/>
      <c r="O185" s="634"/>
      <c r="P185" s="634"/>
      <c r="Q185" s="634"/>
      <c r="R185" s="634"/>
      <c r="S185" s="659"/>
      <c r="T185" s="647"/>
      <c r="U185" s="30"/>
      <c r="V185" s="158"/>
      <c r="W185" s="30"/>
      <c r="X185" s="30"/>
      <c r="Y185" s="30"/>
      <c r="Z185" s="634"/>
      <c r="AA185" s="159">
        <f t="shared" si="150"/>
        <v>0</v>
      </c>
      <c r="AB185" s="634"/>
      <c r="AC185" s="158"/>
      <c r="AD185" s="161"/>
      <c r="AE185" s="634"/>
      <c r="AF185" s="634"/>
      <c r="AG185" s="634"/>
      <c r="AH185" s="634"/>
      <c r="AI185" s="634"/>
      <c r="AJ185" s="634"/>
      <c r="AK185" s="659"/>
      <c r="AL185" s="647"/>
      <c r="AM185" s="51"/>
      <c r="AN185" s="28"/>
      <c r="AO185" s="28"/>
      <c r="AP185" s="28"/>
      <c r="AQ185" s="159"/>
      <c r="AR185" s="634"/>
      <c r="AS185" s="159">
        <f t="shared" si="151"/>
        <v>0</v>
      </c>
      <c r="AT185" s="634"/>
      <c r="AU185" s="158"/>
      <c r="AV185" s="634"/>
      <c r="AW185" s="161"/>
      <c r="AX185" s="634"/>
      <c r="AY185" s="634"/>
      <c r="AZ185" s="634"/>
      <c r="BA185" s="634"/>
      <c r="BB185" s="634"/>
      <c r="BC185" s="634"/>
      <c r="BD185" s="662"/>
      <c r="BE185" s="140"/>
      <c r="BF185" s="140"/>
      <c r="BG185" s="140"/>
      <c r="BH185" s="140"/>
      <c r="BI185" s="140"/>
      <c r="BJ185" s="140"/>
      <c r="BK185" s="140"/>
      <c r="BL185" s="662"/>
      <c r="BM185" s="140"/>
      <c r="BN185" s="140"/>
      <c r="BO185" s="662"/>
      <c r="BP185" s="662"/>
      <c r="BQ185" s="662"/>
      <c r="BR185" s="662"/>
      <c r="BS185" s="140"/>
      <c r="BT185" s="140"/>
      <c r="BU185" s="140"/>
      <c r="BV185" s="686"/>
      <c r="BW185" s="118"/>
      <c r="BX185" s="118"/>
      <c r="BY185" s="118"/>
      <c r="BZ185" s="118"/>
      <c r="CA185" s="118"/>
      <c r="CB185" s="118"/>
      <c r="CC185" s="118"/>
      <c r="CD185" s="118"/>
      <c r="CE185" s="118"/>
      <c r="CF185" s="118"/>
      <c r="CG185" s="118"/>
      <c r="CH185" s="118"/>
      <c r="CI185" s="118"/>
      <c r="CJ185" s="118"/>
      <c r="CK185" s="118"/>
      <c r="CL185" s="118"/>
      <c r="CM185" s="118"/>
      <c r="CN185" s="92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4"/>
      <c r="DD185" s="118"/>
      <c r="DE185" s="118"/>
      <c r="DF185" s="118"/>
      <c r="DG185" s="118"/>
      <c r="DH185" s="118"/>
      <c r="DI185" s="118"/>
      <c r="DJ185" s="118"/>
      <c r="DK185" s="118"/>
      <c r="DL185" s="118"/>
      <c r="DM185" s="118"/>
      <c r="DN185" s="118"/>
      <c r="DO185" s="118"/>
      <c r="DP185" s="118"/>
      <c r="DQ185" s="118"/>
      <c r="DR185" s="118"/>
      <c r="DS185" s="118"/>
      <c r="DT185" s="118"/>
      <c r="DU185" s="139"/>
      <c r="DV185" s="139"/>
      <c r="DW185" s="139"/>
      <c r="DX185" s="139"/>
      <c r="DY185" s="139"/>
      <c r="DZ185" s="139"/>
    </row>
    <row r="186" spans="1:130" ht="12.75" x14ac:dyDescent="0.2">
      <c r="A186" s="647"/>
      <c r="B186" s="647"/>
      <c r="C186" s="30"/>
      <c r="D186" s="30"/>
      <c r="E186" s="30"/>
      <c r="F186" s="30"/>
      <c r="G186" s="30"/>
      <c r="H186" s="634"/>
      <c r="I186" s="30"/>
      <c r="J186" s="634"/>
      <c r="K186" s="30"/>
      <c r="L186" s="142"/>
      <c r="M186" s="634"/>
      <c r="N186" s="634"/>
      <c r="O186" s="634"/>
      <c r="P186" s="634"/>
      <c r="Q186" s="634"/>
      <c r="R186" s="634"/>
      <c r="S186" s="659"/>
      <c r="T186" s="647"/>
      <c r="U186" s="30"/>
      <c r="V186" s="30"/>
      <c r="W186" s="30"/>
      <c r="X186" s="30"/>
      <c r="Y186" s="30"/>
      <c r="Z186" s="634"/>
      <c r="AA186" s="30"/>
      <c r="AB186" s="634"/>
      <c r="AC186" s="30"/>
      <c r="AD186" s="142"/>
      <c r="AE186" s="634"/>
      <c r="AF186" s="634"/>
      <c r="AG186" s="634"/>
      <c r="AH186" s="634"/>
      <c r="AI186" s="634"/>
      <c r="AJ186" s="634"/>
      <c r="AK186" s="659"/>
      <c r="AL186" s="647"/>
      <c r="AM186" s="30"/>
      <c r="AN186" s="30"/>
      <c r="AO186" s="30"/>
      <c r="AP186" s="30"/>
      <c r="AQ186" s="30"/>
      <c r="AR186" s="634"/>
      <c r="AS186" s="51">
        <f t="shared" si="151"/>
        <v>0</v>
      </c>
      <c r="AT186" s="635"/>
      <c r="AU186" s="30"/>
      <c r="AV186" s="635"/>
      <c r="AW186" s="142"/>
      <c r="AX186" s="634"/>
      <c r="AY186" s="634"/>
      <c r="AZ186" s="634"/>
      <c r="BA186" s="634"/>
      <c r="BB186" s="634"/>
      <c r="BC186" s="634"/>
      <c r="BD186" s="685"/>
      <c r="BE186" s="143"/>
      <c r="BF186" s="144"/>
      <c r="BG186" s="144"/>
      <c r="BH186" s="144"/>
      <c r="BI186" s="144"/>
      <c r="BJ186" s="144"/>
      <c r="BK186" s="144"/>
      <c r="BL186" s="686"/>
      <c r="BM186" s="144"/>
      <c r="BN186" s="144"/>
      <c r="BO186" s="686"/>
      <c r="BP186" s="686"/>
      <c r="BQ186" s="686"/>
      <c r="BR186" s="686"/>
      <c r="BS186" s="144"/>
      <c r="BT186" s="144"/>
      <c r="BU186" s="144"/>
      <c r="BV186" s="662"/>
      <c r="BW186" s="118"/>
      <c r="BX186" s="118"/>
      <c r="BY186" s="118"/>
      <c r="BZ186" s="118"/>
      <c r="CA186" s="118"/>
      <c r="CB186" s="118"/>
      <c r="CC186" s="118"/>
      <c r="CD186" s="118"/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92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4"/>
      <c r="DD186" s="118"/>
      <c r="DE186" s="118"/>
      <c r="DF186" s="118"/>
      <c r="DG186" s="118"/>
      <c r="DH186" s="118"/>
      <c r="DI186" s="118"/>
      <c r="DJ186" s="118"/>
      <c r="DK186" s="118"/>
      <c r="DL186" s="118"/>
      <c r="DM186" s="118"/>
      <c r="DN186" s="118"/>
      <c r="DO186" s="118"/>
      <c r="DP186" s="118"/>
      <c r="DQ186" s="118"/>
      <c r="DR186" s="118"/>
      <c r="DS186" s="118"/>
      <c r="DT186" s="118"/>
      <c r="DU186" s="139"/>
      <c r="DV186" s="139"/>
      <c r="DW186" s="139"/>
      <c r="DX186" s="139"/>
      <c r="DY186" s="139"/>
      <c r="DZ186" s="139"/>
    </row>
    <row r="187" spans="1:130" ht="12.75" x14ac:dyDescent="0.2">
      <c r="A187" s="647"/>
      <c r="B187" s="648"/>
      <c r="C187" s="30"/>
      <c r="D187" s="30"/>
      <c r="E187" s="30"/>
      <c r="F187" s="30"/>
      <c r="G187" s="30"/>
      <c r="H187" s="635"/>
      <c r="I187" s="51">
        <f t="shared" ref="I187:I207" si="152">F187-E187-G187</f>
        <v>0</v>
      </c>
      <c r="J187" s="635"/>
      <c r="K187" s="30"/>
      <c r="L187" s="142"/>
      <c r="M187" s="635"/>
      <c r="N187" s="635"/>
      <c r="O187" s="635"/>
      <c r="P187" s="635"/>
      <c r="Q187" s="635"/>
      <c r="R187" s="635"/>
      <c r="S187" s="660"/>
      <c r="T187" s="648"/>
      <c r="U187" s="30"/>
      <c r="V187" s="30"/>
      <c r="W187" s="30"/>
      <c r="X187" s="30"/>
      <c r="Y187" s="30"/>
      <c r="Z187" s="635"/>
      <c r="AA187" s="51">
        <f t="shared" ref="AA187:AA207" si="153">X187-W187-Y187</f>
        <v>0</v>
      </c>
      <c r="AB187" s="635"/>
      <c r="AC187" s="30"/>
      <c r="AD187" s="142"/>
      <c r="AE187" s="635"/>
      <c r="AF187" s="635"/>
      <c r="AG187" s="635"/>
      <c r="AH187" s="635"/>
      <c r="AI187" s="635"/>
      <c r="AJ187" s="635"/>
      <c r="AK187" s="660"/>
      <c r="AL187" s="648"/>
      <c r="AM187" s="30"/>
      <c r="AN187" s="30"/>
      <c r="AO187" s="30"/>
      <c r="AP187" s="30"/>
      <c r="AQ187" s="30"/>
      <c r="AR187" s="635"/>
      <c r="AS187" s="51">
        <f t="shared" si="151"/>
        <v>0</v>
      </c>
      <c r="AT187" s="146">
        <f>AS187</f>
        <v>0</v>
      </c>
      <c r="AU187" s="30"/>
      <c r="AV187" s="142"/>
      <c r="AW187" s="142"/>
      <c r="AX187" s="635"/>
      <c r="AY187" s="635"/>
      <c r="AZ187" s="635"/>
      <c r="BA187" s="147">
        <f t="shared" ref="BA187:BA188" si="154">AV187*60</f>
        <v>0</v>
      </c>
      <c r="BB187" s="635"/>
      <c r="BC187" s="148">
        <f t="shared" ref="BC187:BC188" si="155">IF(BA187=0,0,AT187/BA187)</f>
        <v>0</v>
      </c>
      <c r="BD187" s="662"/>
      <c r="BE187" s="143"/>
      <c r="BF187" s="144"/>
      <c r="BG187" s="144"/>
      <c r="BH187" s="144"/>
      <c r="BI187" s="144"/>
      <c r="BJ187" s="144"/>
      <c r="BK187" s="144"/>
      <c r="BL187" s="662"/>
      <c r="BM187" s="144"/>
      <c r="BN187" s="144"/>
      <c r="BO187" s="662"/>
      <c r="BP187" s="662"/>
      <c r="BQ187" s="662"/>
      <c r="BR187" s="662"/>
      <c r="BS187" s="144"/>
      <c r="BT187" s="144"/>
      <c r="BU187" s="144"/>
      <c r="BV187" s="686"/>
      <c r="BW187" s="118"/>
      <c r="BX187" s="118"/>
      <c r="BY187" s="118"/>
      <c r="BZ187" s="118"/>
      <c r="CA187" s="118"/>
      <c r="CB187" s="118"/>
      <c r="CC187" s="118"/>
      <c r="CD187" s="118"/>
      <c r="CE187" s="118"/>
      <c r="CF187" s="118"/>
      <c r="CG187" s="118"/>
      <c r="CH187" s="118"/>
      <c r="CI187" s="118"/>
      <c r="CJ187" s="118"/>
      <c r="CK187" s="118"/>
      <c r="CL187" s="118"/>
      <c r="CM187" s="118"/>
      <c r="CN187" s="92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4"/>
      <c r="DD187" s="118"/>
      <c r="DE187" s="118"/>
      <c r="DF187" s="118"/>
      <c r="DG187" s="118"/>
      <c r="DH187" s="118"/>
      <c r="DI187" s="118"/>
      <c r="DJ187" s="118"/>
      <c r="DK187" s="118"/>
      <c r="DL187" s="118"/>
      <c r="DM187" s="118"/>
      <c r="DN187" s="118"/>
      <c r="DO187" s="118"/>
      <c r="DP187" s="118"/>
      <c r="DQ187" s="118"/>
      <c r="DR187" s="118"/>
      <c r="DS187" s="118"/>
      <c r="DT187" s="118"/>
      <c r="DU187" s="139"/>
      <c r="DV187" s="139"/>
      <c r="DW187" s="139"/>
      <c r="DX187" s="139"/>
      <c r="DY187" s="139"/>
      <c r="DZ187" s="139"/>
    </row>
    <row r="188" spans="1:130" ht="12.75" x14ac:dyDescent="0.2">
      <c r="A188" s="647"/>
      <c r="B188" s="646">
        <v>46098</v>
      </c>
      <c r="C188" s="40"/>
      <c r="D188" s="40"/>
      <c r="E188" s="40"/>
      <c r="F188" s="40"/>
      <c r="G188" s="40"/>
      <c r="H188" s="653"/>
      <c r="I188" s="150">
        <f t="shared" si="152"/>
        <v>0</v>
      </c>
      <c r="J188" s="650">
        <f>SUM(I188:I191,H188)</f>
        <v>0</v>
      </c>
      <c r="K188" s="40"/>
      <c r="L188" s="40"/>
      <c r="M188" s="653"/>
      <c r="N188" s="653"/>
      <c r="O188" s="633">
        <f>SUM(M188:N191)</f>
        <v>0</v>
      </c>
      <c r="P188" s="653"/>
      <c r="Q188" s="636">
        <f>M188*60</f>
        <v>0</v>
      </c>
      <c r="R188" s="657">
        <f>IF(
   COUNTIF(K188:K191,"SI")&gt;0,
   1.8,
   IF(
      COUNTIF(L188:L191,"SI")&gt;0,
      1.6,
      2
   )
)</f>
        <v>2</v>
      </c>
      <c r="S188" s="678">
        <f>IF(Q188=0,0,J188/Q188)</f>
        <v>0</v>
      </c>
      <c r="T188" s="646">
        <v>46098</v>
      </c>
      <c r="U188" s="40"/>
      <c r="V188" s="38">
        <v>753</v>
      </c>
      <c r="W188" s="38">
        <v>3753</v>
      </c>
      <c r="X188" s="38">
        <v>4000</v>
      </c>
      <c r="Y188" s="38">
        <v>0</v>
      </c>
      <c r="Z188" s="653"/>
      <c r="AA188" s="150">
        <f t="shared" si="153"/>
        <v>247</v>
      </c>
      <c r="AB188" s="650">
        <f>SUM(AA188:AA189)</f>
        <v>247</v>
      </c>
      <c r="AC188" s="150"/>
      <c r="AD188" s="150"/>
      <c r="AE188" s="636">
        <v>2</v>
      </c>
      <c r="AF188" s="636">
        <v>5.8</v>
      </c>
      <c r="AG188" s="633">
        <f>SUM(AE188:AF191)</f>
        <v>7.8</v>
      </c>
      <c r="AH188" s="636">
        <v>0</v>
      </c>
      <c r="AI188" s="636">
        <f>AE188*60</f>
        <v>120</v>
      </c>
      <c r="AJ188" s="657">
        <f>IF(
   COUNTIF(AC188:AC191,"SI")&gt;0,
   1.8,
   IF(
      COUNTIF(AD188:AD191,"SI")&gt;0,
      1.6,
      2
   )
)</f>
        <v>2</v>
      </c>
      <c r="AK188" s="658">
        <f>SUM(AA188:AA189)/AI188</f>
        <v>2.0583333333333331</v>
      </c>
      <c r="AL188" s="646">
        <v>46098</v>
      </c>
      <c r="AM188" s="40"/>
      <c r="AN188" s="40"/>
      <c r="AO188" s="40"/>
      <c r="AP188" s="40"/>
      <c r="AQ188" s="40"/>
      <c r="AR188" s="653"/>
      <c r="AS188" s="151">
        <f t="shared" si="151"/>
        <v>0</v>
      </c>
      <c r="AT188" s="650">
        <f>SUM(AS188:AS192)</f>
        <v>0</v>
      </c>
      <c r="AU188" s="653"/>
      <c r="AV188" s="653"/>
      <c r="AW188" s="40"/>
      <c r="AX188" s="653"/>
      <c r="AY188" s="633">
        <f>SUM(AV188:AX191)</f>
        <v>0</v>
      </c>
      <c r="AZ188" s="636">
        <v>0.2</v>
      </c>
      <c r="BA188" s="636">
        <f t="shared" si="154"/>
        <v>0</v>
      </c>
      <c r="BB188" s="657">
        <f>IF(
   COUNTIF(AU188:AU191,"SI")&gt;0,
   1.8,
   IF(
      COUNTIF(AV188:AV191,"SI")&gt;0,
      1.6,
      2
   )
)</f>
        <v>2</v>
      </c>
      <c r="BC188" s="667">
        <f t="shared" si="155"/>
        <v>0</v>
      </c>
      <c r="BD188" s="140"/>
      <c r="BE188" s="143"/>
      <c r="BF188" s="144"/>
      <c r="BG188" s="144"/>
      <c r="BH188" s="144"/>
      <c r="BI188" s="144"/>
      <c r="BJ188" s="144"/>
      <c r="BK188" s="144"/>
      <c r="BL188" s="144"/>
      <c r="BM188" s="144"/>
      <c r="BN188" s="144"/>
      <c r="BO188" s="144"/>
      <c r="BP188" s="144"/>
      <c r="BQ188" s="144"/>
      <c r="BR188" s="144"/>
      <c r="BS188" s="144"/>
      <c r="BT188" s="144"/>
      <c r="BU188" s="144"/>
      <c r="BV188" s="662"/>
      <c r="BW188" s="118"/>
      <c r="BX188" s="118"/>
      <c r="BY188" s="118"/>
      <c r="BZ188" s="118"/>
      <c r="CA188" s="118"/>
      <c r="CB188" s="118"/>
      <c r="CC188" s="118"/>
      <c r="CD188" s="118"/>
      <c r="CE188" s="118"/>
      <c r="CF188" s="118"/>
      <c r="CG188" s="118"/>
      <c r="CH188" s="118"/>
      <c r="CI188" s="118"/>
      <c r="CJ188" s="118"/>
      <c r="CK188" s="118"/>
      <c r="CL188" s="118"/>
      <c r="CM188" s="118"/>
      <c r="CN188" s="92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4"/>
      <c r="DD188" s="118"/>
      <c r="DE188" s="118"/>
      <c r="DF188" s="118"/>
      <c r="DG188" s="118"/>
      <c r="DH188" s="118"/>
      <c r="DI188" s="118"/>
      <c r="DJ188" s="118"/>
      <c r="DK188" s="118"/>
      <c r="DL188" s="118"/>
      <c r="DM188" s="118"/>
      <c r="DN188" s="118"/>
      <c r="DO188" s="118"/>
      <c r="DP188" s="118"/>
      <c r="DQ188" s="118"/>
      <c r="DR188" s="118"/>
      <c r="DS188" s="118"/>
      <c r="DT188" s="118"/>
      <c r="DU188" s="139"/>
      <c r="DV188" s="139"/>
      <c r="DW188" s="139"/>
      <c r="DX188" s="139"/>
      <c r="DY188" s="139"/>
      <c r="DZ188" s="139"/>
    </row>
    <row r="189" spans="1:130" ht="12.75" x14ac:dyDescent="0.2">
      <c r="A189" s="647"/>
      <c r="B189" s="647"/>
      <c r="C189" s="40"/>
      <c r="D189" s="40"/>
      <c r="E189" s="40"/>
      <c r="F189" s="40"/>
      <c r="G189" s="40"/>
      <c r="H189" s="634"/>
      <c r="I189" s="150">
        <f t="shared" si="152"/>
        <v>0</v>
      </c>
      <c r="J189" s="634"/>
      <c r="K189" s="40"/>
      <c r="L189" s="40"/>
      <c r="M189" s="634"/>
      <c r="N189" s="634"/>
      <c r="O189" s="634"/>
      <c r="P189" s="634"/>
      <c r="Q189" s="634"/>
      <c r="R189" s="634"/>
      <c r="S189" s="659"/>
      <c r="T189" s="647"/>
      <c r="U189" s="40"/>
      <c r="V189" s="40"/>
      <c r="W189" s="40"/>
      <c r="X189" s="40"/>
      <c r="Y189" s="40"/>
      <c r="Z189" s="634"/>
      <c r="AA189" s="150">
        <f t="shared" si="153"/>
        <v>0</v>
      </c>
      <c r="AB189" s="634"/>
      <c r="AC189" s="145"/>
      <c r="AD189" s="40"/>
      <c r="AE189" s="634"/>
      <c r="AF189" s="634"/>
      <c r="AG189" s="634"/>
      <c r="AH189" s="634"/>
      <c r="AI189" s="634"/>
      <c r="AJ189" s="634"/>
      <c r="AK189" s="659"/>
      <c r="AL189" s="647"/>
      <c r="AM189" s="40"/>
      <c r="AN189" s="40"/>
      <c r="AO189" s="40"/>
      <c r="AP189" s="40"/>
      <c r="AQ189" s="40"/>
      <c r="AR189" s="634"/>
      <c r="AS189" s="151">
        <f t="shared" si="151"/>
        <v>0</v>
      </c>
      <c r="AT189" s="634"/>
      <c r="AU189" s="634"/>
      <c r="AV189" s="634"/>
      <c r="AW189" s="40"/>
      <c r="AX189" s="634"/>
      <c r="AY189" s="634"/>
      <c r="AZ189" s="634"/>
      <c r="BA189" s="634"/>
      <c r="BB189" s="634"/>
      <c r="BC189" s="634"/>
      <c r="BD189" s="140"/>
      <c r="BE189" s="143"/>
      <c r="BF189" s="144"/>
      <c r="BG189" s="144"/>
      <c r="BH189" s="144"/>
      <c r="BI189" s="144"/>
      <c r="BJ189" s="144"/>
      <c r="BK189" s="144"/>
      <c r="BL189" s="144"/>
      <c r="BM189" s="144"/>
      <c r="BN189" s="144"/>
      <c r="BO189" s="144"/>
      <c r="BP189" s="144"/>
      <c r="BQ189" s="144"/>
      <c r="BR189" s="144"/>
      <c r="BS189" s="144"/>
      <c r="BT189" s="144"/>
      <c r="BU189" s="144"/>
      <c r="BV189" s="140"/>
      <c r="BW189" s="118"/>
      <c r="BX189" s="118"/>
      <c r="BY189" s="118"/>
      <c r="BZ189" s="118"/>
      <c r="CA189" s="118"/>
      <c r="CB189" s="118"/>
      <c r="CC189" s="118"/>
      <c r="CD189" s="118"/>
      <c r="CE189" s="118"/>
      <c r="CF189" s="118"/>
      <c r="CG189" s="118"/>
      <c r="CH189" s="118"/>
      <c r="CI189" s="118"/>
      <c r="CJ189" s="118"/>
      <c r="CK189" s="118"/>
      <c r="CL189" s="118"/>
      <c r="CM189" s="118"/>
      <c r="CN189" s="92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4"/>
      <c r="DD189" s="118"/>
      <c r="DE189" s="118"/>
      <c r="DF189" s="118"/>
      <c r="DG189" s="118"/>
      <c r="DH189" s="118"/>
      <c r="DI189" s="118"/>
      <c r="DJ189" s="118"/>
      <c r="DK189" s="118"/>
      <c r="DL189" s="118"/>
      <c r="DM189" s="118"/>
      <c r="DN189" s="118"/>
      <c r="DO189" s="118"/>
      <c r="DP189" s="118"/>
      <c r="DQ189" s="118"/>
      <c r="DR189" s="118"/>
      <c r="DS189" s="118"/>
      <c r="DT189" s="118"/>
      <c r="DU189" s="139"/>
      <c r="DV189" s="139"/>
      <c r="DW189" s="139"/>
      <c r="DX189" s="139"/>
      <c r="DY189" s="139"/>
      <c r="DZ189" s="139"/>
    </row>
    <row r="190" spans="1:130" ht="12.75" x14ac:dyDescent="0.2">
      <c r="A190" s="647"/>
      <c r="B190" s="647"/>
      <c r="C190" s="40"/>
      <c r="D190" s="40"/>
      <c r="E190" s="40"/>
      <c r="F190" s="40"/>
      <c r="G190" s="40"/>
      <c r="H190" s="634"/>
      <c r="I190" s="150">
        <f t="shared" si="152"/>
        <v>0</v>
      </c>
      <c r="J190" s="634"/>
      <c r="K190" s="40"/>
      <c r="L190" s="40"/>
      <c r="M190" s="634"/>
      <c r="N190" s="634"/>
      <c r="O190" s="634"/>
      <c r="P190" s="634"/>
      <c r="Q190" s="634"/>
      <c r="R190" s="634"/>
      <c r="S190" s="659"/>
      <c r="T190" s="647"/>
      <c r="U190" s="40"/>
      <c r="V190" s="40"/>
      <c r="W190" s="40"/>
      <c r="X190" s="40"/>
      <c r="Y190" s="40"/>
      <c r="Z190" s="634"/>
      <c r="AA190" s="150">
        <f t="shared" si="153"/>
        <v>0</v>
      </c>
      <c r="AB190" s="650">
        <f>SUM(AA190:AA191)</f>
        <v>0</v>
      </c>
      <c r="AC190" s="40"/>
      <c r="AD190" s="40"/>
      <c r="AE190" s="653"/>
      <c r="AF190" s="634"/>
      <c r="AG190" s="634"/>
      <c r="AH190" s="634"/>
      <c r="AI190" s="636">
        <f>AE190*60</f>
        <v>0</v>
      </c>
      <c r="AJ190" s="634"/>
      <c r="AK190" s="658" t="e">
        <f>SUM(AA190:AA191)/AI190</f>
        <v>#DIV/0!</v>
      </c>
      <c r="AL190" s="647"/>
      <c r="AM190" s="40"/>
      <c r="AN190" s="40"/>
      <c r="AO190" s="40"/>
      <c r="AP190" s="40"/>
      <c r="AQ190" s="40"/>
      <c r="AR190" s="634"/>
      <c r="AS190" s="151">
        <f t="shared" si="151"/>
        <v>0</v>
      </c>
      <c r="AT190" s="635"/>
      <c r="AU190" s="635"/>
      <c r="AV190" s="635"/>
      <c r="AW190" s="40"/>
      <c r="AX190" s="634"/>
      <c r="AY190" s="634"/>
      <c r="AZ190" s="634"/>
      <c r="BA190" s="634"/>
      <c r="BB190" s="634"/>
      <c r="BC190" s="635"/>
      <c r="BD190" s="140"/>
      <c r="BE190" s="143"/>
      <c r="BF190" s="144"/>
      <c r="BG190" s="144"/>
      <c r="BH190" s="144"/>
      <c r="BI190" s="144"/>
      <c r="BJ190" s="144"/>
      <c r="BK190" s="144"/>
      <c r="BL190" s="144"/>
      <c r="BM190" s="144"/>
      <c r="BN190" s="144"/>
      <c r="BO190" s="144"/>
      <c r="BP190" s="144"/>
      <c r="BQ190" s="144"/>
      <c r="BR190" s="144"/>
      <c r="BS190" s="144"/>
      <c r="BT190" s="144"/>
      <c r="BU190" s="144"/>
      <c r="BV190" s="140"/>
      <c r="BW190" s="118"/>
      <c r="BX190" s="118"/>
      <c r="BY190" s="118"/>
      <c r="BZ190" s="118"/>
      <c r="CA190" s="118"/>
      <c r="CB190" s="118"/>
      <c r="CC190" s="118"/>
      <c r="CD190" s="118"/>
      <c r="CE190" s="118"/>
      <c r="CF190" s="118"/>
      <c r="CG190" s="118"/>
      <c r="CH190" s="118"/>
      <c r="CI190" s="118"/>
      <c r="CJ190" s="118"/>
      <c r="CK190" s="118"/>
      <c r="CL190" s="118"/>
      <c r="CM190" s="118"/>
      <c r="CN190" s="92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4"/>
      <c r="DD190" s="118"/>
      <c r="DE190" s="118"/>
      <c r="DF190" s="118"/>
      <c r="DG190" s="118"/>
      <c r="DH190" s="118"/>
      <c r="DI190" s="118"/>
      <c r="DJ190" s="118"/>
      <c r="DK190" s="118"/>
      <c r="DL190" s="118"/>
      <c r="DM190" s="118"/>
      <c r="DN190" s="118"/>
      <c r="DO190" s="118"/>
      <c r="DP190" s="118"/>
      <c r="DQ190" s="118"/>
      <c r="DR190" s="118"/>
      <c r="DS190" s="118"/>
      <c r="DT190" s="118"/>
      <c r="DU190" s="139"/>
      <c r="DV190" s="139"/>
      <c r="DW190" s="139"/>
      <c r="DX190" s="139"/>
      <c r="DY190" s="139"/>
      <c r="DZ190" s="139"/>
    </row>
    <row r="191" spans="1:130" ht="12.75" x14ac:dyDescent="0.2">
      <c r="A191" s="647"/>
      <c r="B191" s="648"/>
      <c r="C191" s="40"/>
      <c r="D191" s="40"/>
      <c r="E191" s="40"/>
      <c r="F191" s="40"/>
      <c r="G191" s="40"/>
      <c r="H191" s="635"/>
      <c r="I191" s="150">
        <f t="shared" si="152"/>
        <v>0</v>
      </c>
      <c r="J191" s="635"/>
      <c r="K191" s="40"/>
      <c r="L191" s="40"/>
      <c r="M191" s="635"/>
      <c r="N191" s="635"/>
      <c r="O191" s="635"/>
      <c r="P191" s="635"/>
      <c r="Q191" s="635"/>
      <c r="R191" s="635"/>
      <c r="S191" s="660"/>
      <c r="T191" s="648"/>
      <c r="U191" s="40"/>
      <c r="V191" s="40"/>
      <c r="W191" s="40"/>
      <c r="X191" s="40"/>
      <c r="Y191" s="40"/>
      <c r="Z191" s="635"/>
      <c r="AA191" s="150">
        <f t="shared" si="153"/>
        <v>0</v>
      </c>
      <c r="AB191" s="634"/>
      <c r="AC191" s="40"/>
      <c r="AD191" s="40"/>
      <c r="AE191" s="634"/>
      <c r="AF191" s="635"/>
      <c r="AG191" s="635"/>
      <c r="AH191" s="635"/>
      <c r="AI191" s="634"/>
      <c r="AJ191" s="635"/>
      <c r="AK191" s="659"/>
      <c r="AL191" s="648"/>
      <c r="AM191" s="40"/>
      <c r="AN191" s="40"/>
      <c r="AO191" s="40"/>
      <c r="AP191" s="40"/>
      <c r="AQ191" s="40"/>
      <c r="AR191" s="635"/>
      <c r="AS191" s="151">
        <f t="shared" si="151"/>
        <v>0</v>
      </c>
      <c r="AT191" s="153"/>
      <c r="AU191" s="40"/>
      <c r="AV191" s="154"/>
      <c r="AW191" s="154"/>
      <c r="AX191" s="635"/>
      <c r="AY191" s="635"/>
      <c r="AZ191" s="635"/>
      <c r="BA191" s="154"/>
      <c r="BB191" s="635"/>
      <c r="BC191" s="155"/>
      <c r="BD191" s="140"/>
      <c r="BE191" s="685"/>
      <c r="BF191" s="662"/>
      <c r="BG191" s="662"/>
      <c r="BH191" s="662"/>
      <c r="BI191" s="662"/>
      <c r="BJ191" s="662"/>
      <c r="BK191" s="662"/>
      <c r="BL191" s="662"/>
      <c r="BM191" s="662"/>
      <c r="BN191" s="662"/>
      <c r="BO191" s="662"/>
      <c r="BP191" s="662"/>
      <c r="BQ191" s="662"/>
      <c r="BR191" s="662"/>
      <c r="BS191" s="662"/>
      <c r="BT191" s="662"/>
      <c r="BU191" s="662"/>
      <c r="BV191" s="662"/>
      <c r="BW191" s="118"/>
      <c r="BX191" s="118"/>
      <c r="BY191" s="118"/>
      <c r="BZ191" s="118"/>
      <c r="CA191" s="118"/>
      <c r="CB191" s="118"/>
      <c r="CC191" s="118"/>
      <c r="CD191" s="118"/>
      <c r="CE191" s="118"/>
      <c r="CF191" s="118"/>
      <c r="CG191" s="118"/>
      <c r="CH191" s="118"/>
      <c r="CI191" s="118"/>
      <c r="CJ191" s="118"/>
      <c r="CK191" s="118"/>
      <c r="CL191" s="118"/>
      <c r="CM191" s="118"/>
      <c r="CN191" s="92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94"/>
      <c r="DD191" s="118"/>
      <c r="DE191" s="118"/>
      <c r="DF191" s="118"/>
      <c r="DG191" s="118"/>
      <c r="DH191" s="118"/>
      <c r="DI191" s="118"/>
      <c r="DJ191" s="118"/>
      <c r="DK191" s="118"/>
      <c r="DL191" s="118"/>
      <c r="DM191" s="118"/>
      <c r="DN191" s="118"/>
      <c r="DO191" s="118"/>
      <c r="DP191" s="118"/>
      <c r="DQ191" s="118"/>
      <c r="DR191" s="118"/>
      <c r="DS191" s="118"/>
      <c r="DT191" s="118"/>
      <c r="DU191" s="139"/>
      <c r="DV191" s="139"/>
      <c r="DW191" s="139"/>
      <c r="DX191" s="139"/>
      <c r="DY191" s="139"/>
      <c r="DZ191" s="139"/>
    </row>
    <row r="192" spans="1:130" ht="12.75" x14ac:dyDescent="0.2">
      <c r="A192" s="647"/>
      <c r="B192" s="655">
        <v>46099</v>
      </c>
      <c r="C192" s="29">
        <v>63</v>
      </c>
      <c r="D192" s="29">
        <v>759</v>
      </c>
      <c r="E192" s="29">
        <v>6501</v>
      </c>
      <c r="F192" s="29">
        <v>6714</v>
      </c>
      <c r="G192" s="30"/>
      <c r="H192" s="649"/>
      <c r="I192" s="51">
        <f t="shared" si="152"/>
        <v>213</v>
      </c>
      <c r="J192" s="650">
        <f>SUM(I192:I195,H192)</f>
        <v>213</v>
      </c>
      <c r="K192" s="30"/>
      <c r="L192" s="30"/>
      <c r="M192" s="649">
        <v>1.7</v>
      </c>
      <c r="N192" s="649">
        <v>1.5</v>
      </c>
      <c r="O192" s="656">
        <f>SUM(M192:N195)</f>
        <v>3.2</v>
      </c>
      <c r="P192" s="649"/>
      <c r="Q192" s="644">
        <f>M192*60</f>
        <v>102</v>
      </c>
      <c r="R192" s="657">
        <f>IF(
   COUNTIF(K192:K195,"SI")&gt;0,
   1.8,
   IF(
      COUNTIF(L192:L195,"SI")&gt;0,
      1.6,
      2
   )
)</f>
        <v>2</v>
      </c>
      <c r="S192" s="658">
        <f>IF(Q192=0,0,J192/Q192)</f>
        <v>2.0882352941176472</v>
      </c>
      <c r="T192" s="655">
        <v>46099</v>
      </c>
      <c r="U192" s="29">
        <v>49</v>
      </c>
      <c r="V192" s="28">
        <v>758</v>
      </c>
      <c r="W192" s="28">
        <v>6002</v>
      </c>
      <c r="X192" s="28">
        <v>6200</v>
      </c>
      <c r="Y192" s="29">
        <v>0</v>
      </c>
      <c r="Z192" s="640">
        <v>0</v>
      </c>
      <c r="AA192" s="51">
        <f t="shared" si="153"/>
        <v>198</v>
      </c>
      <c r="AB192" s="650">
        <f>SUM(AA192:AA195,Z192)</f>
        <v>198</v>
      </c>
      <c r="AC192" s="28" t="s">
        <v>51</v>
      </c>
      <c r="AD192" s="28" t="s">
        <v>51</v>
      </c>
      <c r="AE192" s="640">
        <v>1.7</v>
      </c>
      <c r="AF192" s="640">
        <v>2</v>
      </c>
      <c r="AG192" s="633">
        <f>SUM(AE192:AF195)</f>
        <v>3.7</v>
      </c>
      <c r="AH192" s="640">
        <v>0</v>
      </c>
      <c r="AI192" s="640">
        <f>AE192*60</f>
        <v>102</v>
      </c>
      <c r="AJ192" s="640">
        <f>IF(
   COUNTIF(AC192:AC195,"SI")&gt;0,
   1.8,
   IF(
      COUNTIF(AD192:AD195,"SI")&gt;0,
      1.6,
      2
   )
)</f>
        <v>1.8</v>
      </c>
      <c r="AK192" s="679">
        <f>AB192/AI192</f>
        <v>1.9411764705882353</v>
      </c>
      <c r="AL192" s="655">
        <v>46099</v>
      </c>
      <c r="AM192" s="30"/>
      <c r="AN192" s="40"/>
      <c r="AO192" s="40"/>
      <c r="AP192" s="40"/>
      <c r="AQ192" s="40"/>
      <c r="AR192" s="653"/>
      <c r="AS192" s="150">
        <f t="shared" si="151"/>
        <v>0</v>
      </c>
      <c r="AT192" s="650">
        <f>SUM(AS192:AS194,AR192)</f>
        <v>0</v>
      </c>
      <c r="AU192" s="653"/>
      <c r="AV192" s="653"/>
      <c r="AW192" s="40"/>
      <c r="AX192" s="653"/>
      <c r="AY192" s="633">
        <f>SUM(AV192:AX195)</f>
        <v>0</v>
      </c>
      <c r="AZ192" s="640">
        <v>0.1</v>
      </c>
      <c r="BA192" s="640">
        <f>AV192*60</f>
        <v>0</v>
      </c>
      <c r="BB192" s="657">
        <f>IF(
   COUNTIF(AU192:AU195,"SI")&gt;0,
   1.8,
   IF(
      COUNTIF(AV192:AV195,"SI")&gt;0,
      1.6,
      2
   )
)</f>
        <v>2</v>
      </c>
      <c r="BC192" s="666">
        <f>IF(BA192=0,0,AT192/BA192)</f>
        <v>0</v>
      </c>
      <c r="BD192" s="140"/>
      <c r="BE192" s="143"/>
      <c r="BF192" s="686"/>
      <c r="BG192" s="662"/>
      <c r="BH192" s="662"/>
      <c r="BI192" s="662"/>
      <c r="BJ192" s="662"/>
      <c r="BK192" s="662"/>
      <c r="BL192" s="662"/>
      <c r="BM192" s="662"/>
      <c r="BN192" s="662"/>
      <c r="BO192" s="662"/>
      <c r="BP192" s="662"/>
      <c r="BQ192" s="662"/>
      <c r="BR192" s="662"/>
      <c r="BS192" s="662"/>
      <c r="BT192" s="662"/>
      <c r="BU192" s="662"/>
      <c r="BV192" s="662"/>
      <c r="BW192" s="118"/>
      <c r="BX192" s="118"/>
      <c r="BY192" s="118"/>
      <c r="BZ192" s="118"/>
      <c r="CA192" s="118"/>
      <c r="CB192" s="118"/>
      <c r="CC192" s="118"/>
      <c r="CD192" s="118"/>
      <c r="CE192" s="118"/>
      <c r="CF192" s="118"/>
      <c r="CG192" s="118"/>
      <c r="CH192" s="118"/>
      <c r="CI192" s="118"/>
      <c r="CJ192" s="118"/>
      <c r="CK192" s="118"/>
      <c r="CL192" s="118"/>
      <c r="CM192" s="118"/>
      <c r="CN192" s="92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4"/>
      <c r="DD192" s="118"/>
      <c r="DE192" s="118"/>
      <c r="DF192" s="118"/>
      <c r="DG192" s="118"/>
      <c r="DH192" s="118"/>
      <c r="DI192" s="118"/>
      <c r="DJ192" s="118"/>
      <c r="DK192" s="118"/>
      <c r="DL192" s="118"/>
      <c r="DM192" s="118"/>
      <c r="DN192" s="118"/>
      <c r="DO192" s="118"/>
      <c r="DP192" s="118"/>
      <c r="DQ192" s="118"/>
      <c r="DR192" s="118"/>
      <c r="DS192" s="118"/>
      <c r="DT192" s="118"/>
      <c r="DU192" s="139"/>
      <c r="DV192" s="139"/>
      <c r="DW192" s="139"/>
      <c r="DX192" s="139"/>
      <c r="DY192" s="139"/>
      <c r="DZ192" s="139"/>
    </row>
    <row r="193" spans="1:130" ht="12.75" x14ac:dyDescent="0.2">
      <c r="A193" s="647"/>
      <c r="B193" s="647"/>
      <c r="C193" s="30"/>
      <c r="D193" s="30"/>
      <c r="E193" s="30"/>
      <c r="F193" s="30"/>
      <c r="G193" s="30"/>
      <c r="H193" s="634"/>
      <c r="I193" s="51">
        <f t="shared" si="152"/>
        <v>0</v>
      </c>
      <c r="J193" s="634"/>
      <c r="K193" s="30"/>
      <c r="L193" s="30"/>
      <c r="M193" s="634"/>
      <c r="N193" s="634"/>
      <c r="O193" s="634"/>
      <c r="P193" s="634"/>
      <c r="Q193" s="634"/>
      <c r="R193" s="634"/>
      <c r="S193" s="659"/>
      <c r="T193" s="647"/>
      <c r="U193" s="30"/>
      <c r="V193" s="51"/>
      <c r="W193" s="51"/>
      <c r="X193" s="51"/>
      <c r="Y193" s="30"/>
      <c r="Z193" s="634"/>
      <c r="AA193" s="51">
        <f t="shared" si="153"/>
        <v>0</v>
      </c>
      <c r="AB193" s="634"/>
      <c r="AC193" s="51"/>
      <c r="AD193" s="51"/>
      <c r="AE193" s="634"/>
      <c r="AF193" s="634"/>
      <c r="AG193" s="634"/>
      <c r="AH193" s="634"/>
      <c r="AI193" s="634"/>
      <c r="AJ193" s="634"/>
      <c r="AK193" s="659"/>
      <c r="AL193" s="647"/>
      <c r="AM193" s="30"/>
      <c r="AN193" s="40"/>
      <c r="AO193" s="40"/>
      <c r="AP193" s="40"/>
      <c r="AQ193" s="40"/>
      <c r="AR193" s="634"/>
      <c r="AS193" s="150">
        <f t="shared" si="151"/>
        <v>0</v>
      </c>
      <c r="AT193" s="634"/>
      <c r="AU193" s="634"/>
      <c r="AV193" s="634"/>
      <c r="AW193" s="40"/>
      <c r="AX193" s="634"/>
      <c r="AY193" s="634"/>
      <c r="AZ193" s="634"/>
      <c r="BA193" s="634"/>
      <c r="BB193" s="634"/>
      <c r="BC193" s="634"/>
      <c r="BD193" s="140"/>
      <c r="BE193" s="143"/>
      <c r="BF193" s="662"/>
      <c r="BG193" s="662"/>
      <c r="BH193" s="662"/>
      <c r="BI193" s="662"/>
      <c r="BJ193" s="662"/>
      <c r="BK193" s="662"/>
      <c r="BL193" s="662"/>
      <c r="BM193" s="662"/>
      <c r="BN193" s="662"/>
      <c r="BO193" s="662"/>
      <c r="BP193" s="662"/>
      <c r="BQ193" s="662"/>
      <c r="BR193" s="662"/>
      <c r="BS193" s="662"/>
      <c r="BT193" s="662"/>
      <c r="BU193" s="662"/>
      <c r="BV193" s="662"/>
      <c r="BW193" s="118"/>
      <c r="BX193" s="118"/>
      <c r="BY193" s="118"/>
      <c r="BZ193" s="118"/>
      <c r="CA193" s="118"/>
      <c r="CB193" s="118"/>
      <c r="CC193" s="118"/>
      <c r="CD193" s="118"/>
      <c r="CE193" s="118"/>
      <c r="CF193" s="118"/>
      <c r="CG193" s="118"/>
      <c r="CH193" s="118"/>
      <c r="CI193" s="118"/>
      <c r="CJ193" s="118"/>
      <c r="CK193" s="118"/>
      <c r="CL193" s="118"/>
      <c r="CM193" s="118"/>
      <c r="CN193" s="92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4"/>
      <c r="DD193" s="118"/>
      <c r="DE193" s="118"/>
      <c r="DF193" s="118"/>
      <c r="DG193" s="118"/>
      <c r="DH193" s="118"/>
      <c r="DI193" s="118"/>
      <c r="DJ193" s="118"/>
      <c r="DK193" s="118"/>
      <c r="DL193" s="118"/>
      <c r="DM193" s="118"/>
      <c r="DN193" s="118"/>
      <c r="DO193" s="118"/>
      <c r="DP193" s="118"/>
      <c r="DQ193" s="118"/>
      <c r="DR193" s="118"/>
      <c r="DS193" s="118"/>
      <c r="DT193" s="118"/>
      <c r="DU193" s="139"/>
      <c r="DV193" s="139"/>
      <c r="DW193" s="139"/>
      <c r="DX193" s="139"/>
      <c r="DY193" s="139"/>
      <c r="DZ193" s="139"/>
    </row>
    <row r="194" spans="1:130" ht="12.75" x14ac:dyDescent="0.2">
      <c r="A194" s="647"/>
      <c r="B194" s="647"/>
      <c r="C194" s="30"/>
      <c r="D194" s="30"/>
      <c r="E194" s="30"/>
      <c r="F194" s="30"/>
      <c r="G194" s="30"/>
      <c r="H194" s="634"/>
      <c r="I194" s="51">
        <f t="shared" si="152"/>
        <v>0</v>
      </c>
      <c r="J194" s="634"/>
      <c r="K194" s="30"/>
      <c r="L194" s="30"/>
      <c r="M194" s="634"/>
      <c r="N194" s="634"/>
      <c r="O194" s="634"/>
      <c r="P194" s="634"/>
      <c r="Q194" s="634"/>
      <c r="R194" s="634"/>
      <c r="S194" s="659"/>
      <c r="T194" s="647"/>
      <c r="U194" s="30"/>
      <c r="V194" s="51"/>
      <c r="W194" s="51"/>
      <c r="X194" s="51"/>
      <c r="Y194" s="30"/>
      <c r="Z194" s="634"/>
      <c r="AA194" s="51">
        <f t="shared" si="153"/>
        <v>0</v>
      </c>
      <c r="AB194" s="634"/>
      <c r="AC194" s="51"/>
      <c r="AD194" s="51"/>
      <c r="AE194" s="634"/>
      <c r="AF194" s="634"/>
      <c r="AG194" s="634"/>
      <c r="AH194" s="634"/>
      <c r="AI194" s="634"/>
      <c r="AJ194" s="634"/>
      <c r="AK194" s="659"/>
      <c r="AL194" s="647"/>
      <c r="AM194" s="30"/>
      <c r="AN194" s="40"/>
      <c r="AO194" s="40"/>
      <c r="AP194" s="40"/>
      <c r="AQ194" s="40"/>
      <c r="AR194" s="634"/>
      <c r="AS194" s="150">
        <f t="shared" si="151"/>
        <v>0</v>
      </c>
      <c r="AT194" s="635"/>
      <c r="AU194" s="635"/>
      <c r="AV194" s="635"/>
      <c r="AW194" s="40"/>
      <c r="AX194" s="634"/>
      <c r="AY194" s="634"/>
      <c r="AZ194" s="634"/>
      <c r="BA194" s="634"/>
      <c r="BB194" s="634"/>
      <c r="BC194" s="634"/>
      <c r="BD194" s="140"/>
      <c r="BE194" s="143"/>
      <c r="BF194" s="662"/>
      <c r="BG194" s="662"/>
      <c r="BH194" s="662"/>
      <c r="BI194" s="662"/>
      <c r="BJ194" s="662"/>
      <c r="BK194" s="662"/>
      <c r="BL194" s="662"/>
      <c r="BM194" s="662"/>
      <c r="BN194" s="662"/>
      <c r="BO194" s="662"/>
      <c r="BP194" s="662"/>
      <c r="BQ194" s="662"/>
      <c r="BR194" s="662"/>
      <c r="BS194" s="662"/>
      <c r="BT194" s="662"/>
      <c r="BU194" s="662"/>
      <c r="BV194" s="662"/>
      <c r="BW194" s="118"/>
      <c r="BX194" s="118"/>
      <c r="BY194" s="118"/>
      <c r="BZ194" s="118"/>
      <c r="CA194" s="118"/>
      <c r="CB194" s="118"/>
      <c r="CC194" s="118"/>
      <c r="CD194" s="118"/>
      <c r="CE194" s="118"/>
      <c r="CF194" s="118"/>
      <c r="CG194" s="118"/>
      <c r="CH194" s="118"/>
      <c r="CI194" s="118"/>
      <c r="CJ194" s="118"/>
      <c r="CK194" s="118"/>
      <c r="CL194" s="118"/>
      <c r="CM194" s="118"/>
      <c r="CN194" s="92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4"/>
      <c r="DD194" s="118"/>
      <c r="DE194" s="118"/>
      <c r="DF194" s="118"/>
      <c r="DG194" s="118"/>
      <c r="DH194" s="118"/>
      <c r="DI194" s="118"/>
      <c r="DJ194" s="118"/>
      <c r="DK194" s="118"/>
      <c r="DL194" s="118"/>
      <c r="DM194" s="118"/>
      <c r="DN194" s="118"/>
      <c r="DO194" s="118"/>
      <c r="DP194" s="118"/>
      <c r="DQ194" s="118"/>
      <c r="DR194" s="118"/>
      <c r="DS194" s="118"/>
      <c r="DT194" s="118"/>
      <c r="DU194" s="139"/>
      <c r="DV194" s="139"/>
      <c r="DW194" s="139"/>
      <c r="DX194" s="139"/>
      <c r="DY194" s="139"/>
      <c r="DZ194" s="139"/>
    </row>
    <row r="195" spans="1:130" ht="12.75" x14ac:dyDescent="0.2">
      <c r="A195" s="647"/>
      <c r="B195" s="648"/>
      <c r="C195" s="30"/>
      <c r="D195" s="30"/>
      <c r="E195" s="30"/>
      <c r="F195" s="30"/>
      <c r="G195" s="30"/>
      <c r="H195" s="635"/>
      <c r="I195" s="51">
        <f t="shared" si="152"/>
        <v>0</v>
      </c>
      <c r="J195" s="635"/>
      <c r="K195" s="30"/>
      <c r="L195" s="30"/>
      <c r="M195" s="635"/>
      <c r="N195" s="635"/>
      <c r="O195" s="635"/>
      <c r="P195" s="635"/>
      <c r="Q195" s="635"/>
      <c r="R195" s="635"/>
      <c r="S195" s="660"/>
      <c r="T195" s="648"/>
      <c r="U195" s="30"/>
      <c r="V195" s="30"/>
      <c r="W195" s="30"/>
      <c r="X195" s="30"/>
      <c r="Y195" s="30"/>
      <c r="Z195" s="635"/>
      <c r="AA195" s="51">
        <f t="shared" si="153"/>
        <v>0</v>
      </c>
      <c r="AB195" s="635"/>
      <c r="AC195" s="30"/>
      <c r="AD195" s="30"/>
      <c r="AE195" s="635"/>
      <c r="AF195" s="635"/>
      <c r="AG195" s="635"/>
      <c r="AH195" s="635"/>
      <c r="AI195" s="634"/>
      <c r="AJ195" s="635"/>
      <c r="AK195" s="659"/>
      <c r="AL195" s="648"/>
      <c r="AM195" s="30"/>
      <c r="AN195" s="40"/>
      <c r="AO195" s="40"/>
      <c r="AP195" s="40"/>
      <c r="AQ195" s="40"/>
      <c r="AR195" s="635"/>
      <c r="AS195" s="150">
        <f t="shared" si="151"/>
        <v>0</v>
      </c>
      <c r="AT195" s="153"/>
      <c r="AU195" s="40"/>
      <c r="AV195" s="154"/>
      <c r="AW195" s="154"/>
      <c r="AX195" s="635"/>
      <c r="AY195" s="635"/>
      <c r="AZ195" s="635"/>
      <c r="BA195" s="635"/>
      <c r="BB195" s="635"/>
      <c r="BC195" s="635"/>
      <c r="BD195" s="140"/>
      <c r="BE195" s="143"/>
      <c r="BF195" s="662"/>
      <c r="BG195" s="662"/>
      <c r="BH195" s="662"/>
      <c r="BI195" s="662"/>
      <c r="BJ195" s="662"/>
      <c r="BK195" s="662"/>
      <c r="BL195" s="662"/>
      <c r="BM195" s="662"/>
      <c r="BN195" s="662"/>
      <c r="BO195" s="662"/>
      <c r="BP195" s="662"/>
      <c r="BQ195" s="662"/>
      <c r="BR195" s="662"/>
      <c r="BS195" s="662"/>
      <c r="BT195" s="662"/>
      <c r="BU195" s="662"/>
      <c r="BV195" s="662"/>
      <c r="BW195" s="118"/>
      <c r="BX195" s="118"/>
      <c r="BY195" s="118"/>
      <c r="BZ195" s="118"/>
      <c r="CA195" s="118"/>
      <c r="CB195" s="118"/>
      <c r="CC195" s="118"/>
      <c r="CD195" s="118"/>
      <c r="CE195" s="118"/>
      <c r="CF195" s="118"/>
      <c r="CG195" s="118"/>
      <c r="CH195" s="118"/>
      <c r="CI195" s="118"/>
      <c r="CJ195" s="118"/>
      <c r="CK195" s="118"/>
      <c r="CL195" s="118"/>
      <c r="CM195" s="118"/>
      <c r="CN195" s="92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4"/>
      <c r="DD195" s="118"/>
      <c r="DE195" s="118"/>
      <c r="DF195" s="118"/>
      <c r="DG195" s="118"/>
      <c r="DH195" s="118"/>
      <c r="DI195" s="118"/>
      <c r="DJ195" s="118"/>
      <c r="DK195" s="118"/>
      <c r="DL195" s="118"/>
      <c r="DM195" s="118"/>
      <c r="DN195" s="118"/>
      <c r="DO195" s="118"/>
      <c r="DP195" s="118"/>
      <c r="DQ195" s="118"/>
      <c r="DR195" s="118"/>
      <c r="DS195" s="118"/>
      <c r="DT195" s="118"/>
      <c r="DU195" s="139"/>
      <c r="DV195" s="139"/>
      <c r="DW195" s="139"/>
      <c r="DX195" s="139"/>
      <c r="DY195" s="139"/>
      <c r="DZ195" s="139"/>
    </row>
    <row r="196" spans="1:130" ht="12.75" x14ac:dyDescent="0.2">
      <c r="A196" s="647"/>
      <c r="B196" s="646">
        <v>46100</v>
      </c>
      <c r="C196" s="40"/>
      <c r="D196" s="40"/>
      <c r="E196" s="40"/>
      <c r="F196" s="40"/>
      <c r="G196" s="142"/>
      <c r="H196" s="652"/>
      <c r="I196" s="150">
        <f t="shared" si="152"/>
        <v>0</v>
      </c>
      <c r="J196" s="650">
        <f>SUM(I196:I199,H196)</f>
        <v>0</v>
      </c>
      <c r="K196" s="40"/>
      <c r="L196" s="40"/>
      <c r="M196" s="653"/>
      <c r="N196" s="653"/>
      <c r="O196" s="633">
        <f>SUM(M196:N199)</f>
        <v>0</v>
      </c>
      <c r="P196" s="653"/>
      <c r="Q196" s="636">
        <f>M196*60</f>
        <v>0</v>
      </c>
      <c r="R196" s="657">
        <f>IF(
   COUNTIF(K196:K199,"SI")&gt;0,
   1.8,
   IF(
      COUNTIF(L196:L199,"SI")&gt;0,
      1.6,
      2
   )
)</f>
        <v>2</v>
      </c>
      <c r="S196" s="658">
        <f>IF(Q196=0,0,J196/Q196)</f>
        <v>0</v>
      </c>
      <c r="T196" s="646">
        <v>46100</v>
      </c>
      <c r="U196" s="40"/>
      <c r="V196" s="31"/>
      <c r="W196" s="40"/>
      <c r="X196" s="40"/>
      <c r="Y196" s="40"/>
      <c r="Z196" s="653"/>
      <c r="AA196" s="150">
        <f t="shared" si="153"/>
        <v>0</v>
      </c>
      <c r="AB196" s="650">
        <f>SUM(AA196:AA199,Z196)</f>
        <v>0</v>
      </c>
      <c r="AC196" s="40"/>
      <c r="AD196" s="40"/>
      <c r="AE196" s="653"/>
      <c r="AF196" s="636"/>
      <c r="AG196" s="633">
        <f>SUM(AE196:AF199)</f>
        <v>0</v>
      </c>
      <c r="AH196" s="636">
        <v>0</v>
      </c>
      <c r="AI196" s="636">
        <f>AE196*60</f>
        <v>0</v>
      </c>
      <c r="AJ196" s="640">
        <f>IF(
   COUNTIF(AC196:AC199,"SI")&gt;0,
   1.8,
   IF(
      COUNTIF(AD196:AD199,"SI")&gt;0,
      1.6,
      2
   )
)</f>
        <v>2</v>
      </c>
      <c r="AK196" s="658">
        <f>IF(AI196=0,0,AB196/AI196)</f>
        <v>0</v>
      </c>
      <c r="AL196" s="646">
        <v>46100</v>
      </c>
      <c r="AM196" s="28">
        <v>66</v>
      </c>
      <c r="AN196" s="28">
        <v>757</v>
      </c>
      <c r="AO196" s="28">
        <v>5720</v>
      </c>
      <c r="AP196" s="28">
        <v>6001</v>
      </c>
      <c r="AQ196" s="40"/>
      <c r="AR196" s="653"/>
      <c r="AS196" s="150">
        <f>AP196-AO196-AQ196+AR196</f>
        <v>281</v>
      </c>
      <c r="AT196" s="650">
        <f>SUM(AS196:AS199)+AR196</f>
        <v>724</v>
      </c>
      <c r="AU196" s="636" t="s">
        <v>51</v>
      </c>
      <c r="AV196" s="636">
        <v>4.75</v>
      </c>
      <c r="AW196" s="31" t="s">
        <v>51</v>
      </c>
      <c r="AX196" s="636">
        <v>4</v>
      </c>
      <c r="AY196" s="633">
        <f>SUM(AV196,AX196)</f>
        <v>8.75</v>
      </c>
      <c r="AZ196" s="636">
        <v>0.1</v>
      </c>
      <c r="BA196" s="636">
        <f>AV196*60</f>
        <v>285</v>
      </c>
      <c r="BB196" s="657">
        <f>IF(
   COUNTIF(AU196:AU199,"SI")&gt;0,
   1.8,
   IF(
      COUNTIF(AV196:AV199,"SI")&gt;0,
      1.6,
      2
   )
)</f>
        <v>1.8</v>
      </c>
      <c r="BC196" s="645">
        <f>IF(BA196=0,0,AT196/BA196)</f>
        <v>2.5403508771929824</v>
      </c>
      <c r="BD196" s="140"/>
      <c r="BE196" s="143"/>
      <c r="BF196" s="662"/>
      <c r="BG196" s="662"/>
      <c r="BH196" s="662"/>
      <c r="BI196" s="662"/>
      <c r="BJ196" s="662"/>
      <c r="BK196" s="662"/>
      <c r="BL196" s="662"/>
      <c r="BM196" s="662"/>
      <c r="BN196" s="662"/>
      <c r="BO196" s="662"/>
      <c r="BP196" s="662"/>
      <c r="BQ196" s="662"/>
      <c r="BR196" s="662"/>
      <c r="BS196" s="662"/>
      <c r="BT196" s="662"/>
      <c r="BU196" s="662"/>
      <c r="BV196" s="662"/>
      <c r="BW196" s="118"/>
      <c r="BX196" s="118"/>
      <c r="BY196" s="118"/>
      <c r="BZ196" s="118"/>
      <c r="CA196" s="118"/>
      <c r="CB196" s="118"/>
      <c r="CC196" s="118"/>
      <c r="CD196" s="118"/>
      <c r="CE196" s="118"/>
      <c r="CF196" s="118"/>
      <c r="CG196" s="118"/>
      <c r="CH196" s="118"/>
      <c r="CI196" s="118"/>
      <c r="CJ196" s="118"/>
      <c r="CK196" s="118"/>
      <c r="CL196" s="118"/>
      <c r="CM196" s="118"/>
      <c r="CN196" s="92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94"/>
      <c r="DD196" s="118"/>
      <c r="DE196" s="118"/>
      <c r="DF196" s="118"/>
      <c r="DG196" s="118"/>
      <c r="DH196" s="118"/>
      <c r="DI196" s="118"/>
      <c r="DJ196" s="118"/>
      <c r="DK196" s="118"/>
      <c r="DL196" s="118"/>
      <c r="DM196" s="118"/>
      <c r="DN196" s="118"/>
      <c r="DO196" s="118"/>
      <c r="DP196" s="118"/>
      <c r="DQ196" s="118"/>
      <c r="DR196" s="118"/>
      <c r="DS196" s="118"/>
      <c r="DT196" s="118"/>
      <c r="DU196" s="139"/>
      <c r="DV196" s="139"/>
      <c r="DW196" s="139"/>
      <c r="DX196" s="139"/>
      <c r="DY196" s="139"/>
      <c r="DZ196" s="139"/>
    </row>
    <row r="197" spans="1:130" ht="12.75" x14ac:dyDescent="0.2">
      <c r="A197" s="647"/>
      <c r="B197" s="647"/>
      <c r="C197" s="40"/>
      <c r="D197" s="40"/>
      <c r="E197" s="40"/>
      <c r="F197" s="40"/>
      <c r="G197" s="40"/>
      <c r="H197" s="634"/>
      <c r="I197" s="150">
        <f t="shared" si="152"/>
        <v>0</v>
      </c>
      <c r="J197" s="634"/>
      <c r="K197" s="40"/>
      <c r="L197" s="40"/>
      <c r="M197" s="634"/>
      <c r="N197" s="634"/>
      <c r="O197" s="634"/>
      <c r="P197" s="634"/>
      <c r="Q197" s="634"/>
      <c r="R197" s="634"/>
      <c r="S197" s="659"/>
      <c r="T197" s="647"/>
      <c r="U197" s="40"/>
      <c r="V197" s="31"/>
      <c r="W197" s="40"/>
      <c r="X197" s="40"/>
      <c r="Y197" s="40"/>
      <c r="Z197" s="634"/>
      <c r="AA197" s="150">
        <f t="shared" si="153"/>
        <v>0</v>
      </c>
      <c r="AB197" s="634"/>
      <c r="AC197" s="40"/>
      <c r="AD197" s="40"/>
      <c r="AE197" s="634"/>
      <c r="AF197" s="634"/>
      <c r="AG197" s="634"/>
      <c r="AH197" s="634"/>
      <c r="AI197" s="634"/>
      <c r="AJ197" s="634"/>
      <c r="AK197" s="659"/>
      <c r="AL197" s="647"/>
      <c r="AM197" s="51"/>
      <c r="AN197" s="28">
        <v>760</v>
      </c>
      <c r="AO197" s="28">
        <v>7002</v>
      </c>
      <c r="AP197" s="28">
        <v>7453</v>
      </c>
      <c r="AQ197" s="38">
        <v>8</v>
      </c>
      <c r="AR197" s="634"/>
      <c r="AS197" s="150">
        <f t="shared" ref="AS197:AS207" si="156">AP197-AO197-AQ197</f>
        <v>443</v>
      </c>
      <c r="AT197" s="634"/>
      <c r="AU197" s="634"/>
      <c r="AV197" s="634"/>
      <c r="AW197" s="31" t="s">
        <v>51</v>
      </c>
      <c r="AX197" s="634"/>
      <c r="AY197" s="634"/>
      <c r="AZ197" s="634"/>
      <c r="BA197" s="634"/>
      <c r="BB197" s="634"/>
      <c r="BC197" s="634"/>
      <c r="BD197" s="140"/>
      <c r="BE197" s="143"/>
      <c r="BF197" s="144"/>
      <c r="BG197" s="144"/>
      <c r="BH197" s="144"/>
      <c r="BI197" s="144"/>
      <c r="BJ197" s="144"/>
      <c r="BK197" s="144"/>
      <c r="BL197" s="144"/>
      <c r="BM197" s="144"/>
      <c r="BN197" s="144"/>
      <c r="BO197" s="144"/>
      <c r="BP197" s="144"/>
      <c r="BQ197" s="144"/>
      <c r="BR197" s="144"/>
      <c r="BS197" s="144"/>
      <c r="BT197" s="144"/>
      <c r="BU197" s="144"/>
      <c r="BV197" s="140"/>
      <c r="BW197" s="118"/>
      <c r="BX197" s="118"/>
      <c r="BY197" s="118"/>
      <c r="BZ197" s="118"/>
      <c r="CA197" s="118"/>
      <c r="CB197" s="118"/>
      <c r="CC197" s="118"/>
      <c r="CD197" s="118"/>
      <c r="CE197" s="118"/>
      <c r="CF197" s="118"/>
      <c r="CG197" s="118"/>
      <c r="CH197" s="118"/>
      <c r="CI197" s="118"/>
      <c r="CJ197" s="118"/>
      <c r="CK197" s="118"/>
      <c r="CL197" s="118"/>
      <c r="CM197" s="118"/>
      <c r="CN197" s="92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94"/>
      <c r="DD197" s="118"/>
      <c r="DE197" s="118"/>
      <c r="DF197" s="118"/>
      <c r="DG197" s="118"/>
      <c r="DH197" s="118"/>
      <c r="DI197" s="118"/>
      <c r="DJ197" s="118"/>
      <c r="DK197" s="118"/>
      <c r="DL197" s="118"/>
      <c r="DM197" s="118"/>
      <c r="DN197" s="118"/>
      <c r="DO197" s="118"/>
      <c r="DP197" s="118"/>
      <c r="DQ197" s="118"/>
      <c r="DR197" s="118"/>
      <c r="DS197" s="118"/>
      <c r="DT197" s="118"/>
      <c r="DU197" s="139"/>
      <c r="DV197" s="139"/>
      <c r="DW197" s="139"/>
      <c r="DX197" s="139"/>
      <c r="DY197" s="139"/>
      <c r="DZ197" s="139"/>
    </row>
    <row r="198" spans="1:130" ht="12.75" x14ac:dyDescent="0.2">
      <c r="A198" s="647"/>
      <c r="B198" s="647"/>
      <c r="C198" s="40"/>
      <c r="D198" s="160"/>
      <c r="E198" s="160"/>
      <c r="F198" s="160"/>
      <c r="G198" s="160"/>
      <c r="H198" s="634"/>
      <c r="I198" s="39">
        <f t="shared" si="152"/>
        <v>0</v>
      </c>
      <c r="J198" s="634"/>
      <c r="K198" s="40"/>
      <c r="L198" s="40"/>
      <c r="M198" s="634"/>
      <c r="N198" s="634"/>
      <c r="O198" s="634"/>
      <c r="P198" s="634"/>
      <c r="Q198" s="634"/>
      <c r="R198" s="634"/>
      <c r="S198" s="659"/>
      <c r="T198" s="647"/>
      <c r="U198" s="40"/>
      <c r="V198" s="31"/>
      <c r="W198" s="40"/>
      <c r="X198" s="40"/>
      <c r="Y198" s="40"/>
      <c r="Z198" s="634"/>
      <c r="AA198" s="150">
        <f t="shared" si="153"/>
        <v>0</v>
      </c>
      <c r="AB198" s="634"/>
      <c r="AC198" s="40"/>
      <c r="AD198" s="40"/>
      <c r="AE198" s="634"/>
      <c r="AF198" s="634"/>
      <c r="AG198" s="634"/>
      <c r="AH198" s="634"/>
      <c r="AI198" s="634"/>
      <c r="AJ198" s="634"/>
      <c r="AK198" s="659"/>
      <c r="AL198" s="647"/>
      <c r="AM198" s="40"/>
      <c r="AN198" s="160"/>
      <c r="AO198" s="160"/>
      <c r="AP198" s="160"/>
      <c r="AQ198" s="160"/>
      <c r="AR198" s="634"/>
      <c r="AS198" s="39">
        <f t="shared" si="156"/>
        <v>0</v>
      </c>
      <c r="AT198" s="634"/>
      <c r="AU198" s="634"/>
      <c r="AV198" s="634"/>
      <c r="AW198" s="40"/>
      <c r="AX198" s="634"/>
      <c r="AY198" s="634"/>
      <c r="AZ198" s="634"/>
      <c r="BA198" s="634"/>
      <c r="BB198" s="634"/>
      <c r="BC198" s="634"/>
      <c r="BD198" s="140"/>
      <c r="BE198" s="143"/>
      <c r="BF198" s="140"/>
      <c r="BG198" s="140"/>
      <c r="BH198" s="140"/>
      <c r="BI198" s="140"/>
      <c r="BJ198" s="140"/>
      <c r="BK198" s="140"/>
      <c r="BL198" s="144"/>
      <c r="BM198" s="144"/>
      <c r="BN198" s="144"/>
      <c r="BO198" s="144"/>
      <c r="BP198" s="144"/>
      <c r="BQ198" s="145"/>
      <c r="BR198" s="145"/>
      <c r="BS198" s="144"/>
      <c r="BT198" s="144"/>
      <c r="BU198" s="144"/>
      <c r="BV198" s="140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92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94"/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39"/>
      <c r="DV198" s="139"/>
      <c r="DW198" s="139"/>
      <c r="DX198" s="139"/>
      <c r="DY198" s="139"/>
      <c r="DZ198" s="139"/>
    </row>
    <row r="199" spans="1:130" ht="12.75" x14ac:dyDescent="0.2">
      <c r="A199" s="647"/>
      <c r="B199" s="648"/>
      <c r="C199" s="40"/>
      <c r="D199" s="160"/>
      <c r="E199" s="160"/>
      <c r="F199" s="160"/>
      <c r="G199" s="160"/>
      <c r="H199" s="635"/>
      <c r="I199" s="39">
        <f t="shared" si="152"/>
        <v>0</v>
      </c>
      <c r="J199" s="635"/>
      <c r="K199" s="40"/>
      <c r="L199" s="40"/>
      <c r="M199" s="635"/>
      <c r="N199" s="635"/>
      <c r="O199" s="635"/>
      <c r="P199" s="635"/>
      <c r="Q199" s="635"/>
      <c r="R199" s="635"/>
      <c r="S199" s="660"/>
      <c r="T199" s="648"/>
      <c r="U199" s="40"/>
      <c r="V199" s="40"/>
      <c r="W199" s="40"/>
      <c r="X199" s="40"/>
      <c r="Y199" s="40"/>
      <c r="Z199" s="635"/>
      <c r="AA199" s="150">
        <f t="shared" si="153"/>
        <v>0</v>
      </c>
      <c r="AB199" s="635"/>
      <c r="AC199" s="40"/>
      <c r="AD199" s="40"/>
      <c r="AE199" s="635"/>
      <c r="AF199" s="635"/>
      <c r="AG199" s="635"/>
      <c r="AH199" s="635"/>
      <c r="AI199" s="635"/>
      <c r="AJ199" s="635"/>
      <c r="AK199" s="660"/>
      <c r="AL199" s="648"/>
      <c r="AM199" s="40"/>
      <c r="AN199" s="160"/>
      <c r="AO199" s="160"/>
      <c r="AP199" s="160"/>
      <c r="AQ199" s="160"/>
      <c r="AR199" s="635"/>
      <c r="AS199" s="39">
        <f t="shared" si="156"/>
        <v>0</v>
      </c>
      <c r="AT199" s="635"/>
      <c r="AU199" s="635"/>
      <c r="AV199" s="635"/>
      <c r="AW199" s="154"/>
      <c r="AX199" s="635"/>
      <c r="AY199" s="635"/>
      <c r="AZ199" s="635"/>
      <c r="BA199" s="634"/>
      <c r="BB199" s="635"/>
      <c r="BC199" s="635"/>
      <c r="BD199" s="140"/>
      <c r="BE199" s="143"/>
      <c r="BF199" s="140"/>
      <c r="BG199" s="140"/>
      <c r="BH199" s="140"/>
      <c r="BI199" s="140"/>
      <c r="BJ199" s="140"/>
      <c r="BK199" s="140"/>
      <c r="BL199" s="144"/>
      <c r="BM199" s="144"/>
      <c r="BN199" s="144"/>
      <c r="BO199" s="144"/>
      <c r="BP199" s="144"/>
      <c r="BQ199" s="145"/>
      <c r="BR199" s="145"/>
      <c r="BS199" s="144"/>
      <c r="BT199" s="144"/>
      <c r="BU199" s="144"/>
      <c r="BV199" s="140"/>
      <c r="BW199" s="118"/>
      <c r="BX199" s="118"/>
      <c r="BY199" s="118"/>
      <c r="BZ199" s="118"/>
      <c r="CA199" s="118"/>
      <c r="CB199" s="118"/>
      <c r="CC199" s="118"/>
      <c r="CD199" s="118"/>
      <c r="CE199" s="118"/>
      <c r="CF199" s="118"/>
      <c r="CG199" s="118"/>
      <c r="CH199" s="118"/>
      <c r="CI199" s="118"/>
      <c r="CJ199" s="118"/>
      <c r="CK199" s="118"/>
      <c r="CL199" s="118"/>
      <c r="CM199" s="118"/>
      <c r="CN199" s="92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94"/>
      <c r="DD199" s="118"/>
      <c r="DE199" s="118"/>
      <c r="DF199" s="118"/>
      <c r="DG199" s="118"/>
      <c r="DH199" s="118"/>
      <c r="DI199" s="118"/>
      <c r="DJ199" s="118"/>
      <c r="DK199" s="118"/>
      <c r="DL199" s="118"/>
      <c r="DM199" s="118"/>
      <c r="DN199" s="118"/>
      <c r="DO199" s="118"/>
      <c r="DP199" s="118"/>
      <c r="DQ199" s="118"/>
      <c r="DR199" s="118"/>
      <c r="DS199" s="118"/>
      <c r="DT199" s="118"/>
      <c r="DU199" s="139"/>
      <c r="DV199" s="139"/>
      <c r="DW199" s="139"/>
      <c r="DX199" s="139"/>
      <c r="DY199" s="139"/>
      <c r="DZ199" s="139"/>
    </row>
    <row r="200" spans="1:130" ht="12.75" x14ac:dyDescent="0.2">
      <c r="A200" s="647"/>
      <c r="B200" s="655">
        <v>46101</v>
      </c>
      <c r="C200" s="29">
        <v>32</v>
      </c>
      <c r="D200" s="29">
        <v>486</v>
      </c>
      <c r="E200" s="29">
        <v>19290</v>
      </c>
      <c r="F200" s="29">
        <v>19500</v>
      </c>
      <c r="G200" s="158"/>
      <c r="H200" s="649"/>
      <c r="I200" s="159">
        <f t="shared" si="152"/>
        <v>210</v>
      </c>
      <c r="J200" s="650">
        <f>SUM(I200:I203,H200)</f>
        <v>210</v>
      </c>
      <c r="K200" s="158"/>
      <c r="L200" s="158"/>
      <c r="M200" s="653">
        <v>1.7</v>
      </c>
      <c r="N200" s="653">
        <v>0.3</v>
      </c>
      <c r="O200" s="633">
        <f>SUM(M200:N203)</f>
        <v>2</v>
      </c>
      <c r="P200" s="649"/>
      <c r="Q200" s="640">
        <f>M200*60</f>
        <v>102</v>
      </c>
      <c r="R200" s="657">
        <f>IF(
   COUNTIF(K200:K203,"SI")&gt;0,
   1.8,
   IF(
      COUNTIF(L200:L203,"SI")&gt;0,
      1.6,
      2
   )
)</f>
        <v>2</v>
      </c>
      <c r="S200" s="658">
        <f>IF(Q200=0,0,J200/Q200)</f>
        <v>2.0588235294117645</v>
      </c>
      <c r="T200" s="655">
        <v>46101</v>
      </c>
      <c r="U200" s="29">
        <v>69</v>
      </c>
      <c r="V200" s="28">
        <v>758</v>
      </c>
      <c r="W200" s="28">
        <v>6201</v>
      </c>
      <c r="X200" s="28">
        <v>6500</v>
      </c>
      <c r="Y200" s="28">
        <v>0</v>
      </c>
      <c r="Z200" s="640">
        <v>0</v>
      </c>
      <c r="AA200" s="159">
        <f t="shared" si="153"/>
        <v>299</v>
      </c>
      <c r="AB200" s="650">
        <f>SUM(AA200:AA203,Z200)</f>
        <v>1093</v>
      </c>
      <c r="AC200" s="28" t="s">
        <v>51</v>
      </c>
      <c r="AD200" s="28" t="s">
        <v>51</v>
      </c>
      <c r="AE200" s="640">
        <v>8</v>
      </c>
      <c r="AF200" s="640">
        <v>0.5</v>
      </c>
      <c r="AG200" s="633">
        <f>SUM(AE200:AF203)</f>
        <v>8.5</v>
      </c>
      <c r="AH200" s="640">
        <v>0</v>
      </c>
      <c r="AI200" s="640">
        <f>AE200*60</f>
        <v>480</v>
      </c>
      <c r="AJ200" s="640">
        <f>IF(
   COUNTIF(AC200:AC203,"SI")&gt;0,
   1.8,
   IF(
      COUNTIF(AD200:AD203,"SI")&gt;0,
      1.6,
      2
   )
)</f>
        <v>1.8</v>
      </c>
      <c r="AK200" s="679">
        <f>IF(AI200=0,0,AB200/AI200)</f>
        <v>2.2770833333333331</v>
      </c>
      <c r="AL200" s="655">
        <v>46101</v>
      </c>
      <c r="AM200" s="51"/>
      <c r="AN200" s="159"/>
      <c r="AO200" s="159"/>
      <c r="AP200" s="176"/>
      <c r="AQ200" s="159"/>
      <c r="AR200" s="649"/>
      <c r="AS200" s="39">
        <f t="shared" si="156"/>
        <v>0</v>
      </c>
      <c r="AT200" s="650">
        <f>SUM(AS200:AS202)+AR200</f>
        <v>0</v>
      </c>
      <c r="AU200" s="39"/>
      <c r="AV200" s="640"/>
      <c r="AW200" s="159"/>
      <c r="AX200" s="640">
        <v>7.75</v>
      </c>
      <c r="AY200" s="633">
        <f>SUM(AV200+AV203+AX200)</f>
        <v>7.75</v>
      </c>
      <c r="AZ200" s="649">
        <v>0.5</v>
      </c>
      <c r="BA200" s="640">
        <f>AV200*60</f>
        <v>0</v>
      </c>
      <c r="BB200" s="644">
        <f>IF(
   COUNTIF(AU200:AU203,"SI")&gt;0,
   1.8,
   IF(
      COUNTIF(AV200:AV203,"SI")&gt;0,
      1.6,
      2
   )
)</f>
        <v>2</v>
      </c>
      <c r="BC200" s="645">
        <f>IF(BA200=0,0,AT200/BA200)</f>
        <v>0</v>
      </c>
      <c r="BD200" s="140"/>
      <c r="BE200" s="685"/>
      <c r="BF200" s="140"/>
      <c r="BG200" s="140"/>
      <c r="BH200" s="140"/>
      <c r="BI200" s="140"/>
      <c r="BJ200" s="140"/>
      <c r="BK200" s="140"/>
      <c r="BL200" s="140"/>
      <c r="BM200" s="140"/>
      <c r="BN200" s="140"/>
      <c r="BO200" s="140"/>
      <c r="BP200" s="140"/>
      <c r="BQ200" s="139"/>
      <c r="BR200" s="139"/>
      <c r="BS200" s="140"/>
      <c r="BT200" s="140"/>
      <c r="BU200" s="140"/>
      <c r="BV200" s="140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92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94"/>
      <c r="DD200" s="118"/>
      <c r="DE200" s="118"/>
      <c r="DF200" s="118"/>
      <c r="DG200" s="118"/>
      <c r="DH200" s="118"/>
      <c r="DI200" s="118"/>
      <c r="DJ200" s="118"/>
      <c r="DK200" s="118"/>
      <c r="DL200" s="118"/>
      <c r="DM200" s="118"/>
      <c r="DN200" s="118"/>
      <c r="DO200" s="118"/>
      <c r="DP200" s="118"/>
      <c r="DQ200" s="118"/>
      <c r="DR200" s="118"/>
      <c r="DS200" s="118"/>
      <c r="DT200" s="118"/>
      <c r="DU200" s="139"/>
      <c r="DV200" s="139"/>
      <c r="DW200" s="139"/>
      <c r="DX200" s="139"/>
      <c r="DY200" s="139"/>
      <c r="DZ200" s="139"/>
    </row>
    <row r="201" spans="1:130" ht="12.75" x14ac:dyDescent="0.2">
      <c r="A201" s="647"/>
      <c r="B201" s="647"/>
      <c r="C201" s="30"/>
      <c r="D201" s="30"/>
      <c r="E201" s="30"/>
      <c r="F201" s="30"/>
      <c r="G201" s="30"/>
      <c r="H201" s="634"/>
      <c r="I201" s="51">
        <f t="shared" si="152"/>
        <v>0</v>
      </c>
      <c r="J201" s="634"/>
      <c r="K201" s="30"/>
      <c r="L201" s="30"/>
      <c r="M201" s="634"/>
      <c r="N201" s="634"/>
      <c r="O201" s="634"/>
      <c r="P201" s="634"/>
      <c r="Q201" s="634"/>
      <c r="R201" s="634"/>
      <c r="S201" s="659"/>
      <c r="T201" s="647"/>
      <c r="U201" s="29">
        <v>112</v>
      </c>
      <c r="V201" s="28">
        <v>761</v>
      </c>
      <c r="W201" s="28">
        <v>7501</v>
      </c>
      <c r="X201" s="28">
        <v>8009</v>
      </c>
      <c r="Y201" s="29">
        <v>7</v>
      </c>
      <c r="Z201" s="634"/>
      <c r="AA201" s="51">
        <f t="shared" si="153"/>
        <v>501</v>
      </c>
      <c r="AB201" s="634"/>
      <c r="AC201" s="28" t="s">
        <v>51</v>
      </c>
      <c r="AD201" s="28" t="s">
        <v>51</v>
      </c>
      <c r="AE201" s="634"/>
      <c r="AF201" s="634"/>
      <c r="AG201" s="634"/>
      <c r="AH201" s="634"/>
      <c r="AI201" s="634"/>
      <c r="AJ201" s="634"/>
      <c r="AK201" s="659"/>
      <c r="AL201" s="647"/>
      <c r="AM201" s="51"/>
      <c r="AN201" s="51"/>
      <c r="AO201" s="51"/>
      <c r="AP201" s="51"/>
      <c r="AQ201" s="30"/>
      <c r="AR201" s="634"/>
      <c r="AS201" s="51">
        <f t="shared" si="156"/>
        <v>0</v>
      </c>
      <c r="AT201" s="634"/>
      <c r="AU201" s="150"/>
      <c r="AV201" s="634"/>
      <c r="AW201" s="51"/>
      <c r="AX201" s="634"/>
      <c r="AY201" s="634"/>
      <c r="AZ201" s="634"/>
      <c r="BA201" s="634"/>
      <c r="BB201" s="634"/>
      <c r="BC201" s="634"/>
      <c r="BD201" s="140"/>
      <c r="BE201" s="662"/>
      <c r="BF201" s="144"/>
      <c r="BG201" s="144"/>
      <c r="BH201" s="144"/>
      <c r="BI201" s="144"/>
      <c r="BJ201" s="144"/>
      <c r="BK201" s="144"/>
      <c r="BL201" s="144"/>
      <c r="BM201" s="144"/>
      <c r="BN201" s="144"/>
      <c r="BO201" s="144"/>
      <c r="BP201" s="144"/>
      <c r="BQ201" s="145"/>
      <c r="BR201" s="145"/>
      <c r="BS201" s="144"/>
      <c r="BT201" s="144"/>
      <c r="BU201" s="144"/>
      <c r="BV201" s="140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92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94"/>
      <c r="DD201" s="118"/>
      <c r="DE201" s="118"/>
      <c r="DF201" s="118"/>
      <c r="DG201" s="118"/>
      <c r="DH201" s="118"/>
      <c r="DI201" s="118"/>
      <c r="DJ201" s="118"/>
      <c r="DK201" s="118"/>
      <c r="DL201" s="118"/>
      <c r="DM201" s="118"/>
      <c r="DN201" s="118"/>
      <c r="DO201" s="118"/>
      <c r="DP201" s="118"/>
      <c r="DQ201" s="118"/>
      <c r="DR201" s="118"/>
      <c r="DS201" s="118"/>
      <c r="DT201" s="118"/>
      <c r="DU201" s="139"/>
      <c r="DV201" s="139"/>
      <c r="DW201" s="139"/>
      <c r="DX201" s="139"/>
      <c r="DY201" s="139"/>
      <c r="DZ201" s="139"/>
    </row>
    <row r="202" spans="1:130" ht="12.75" x14ac:dyDescent="0.2">
      <c r="A202" s="647"/>
      <c r="B202" s="647"/>
      <c r="C202" s="30"/>
      <c r="D202" s="30"/>
      <c r="E202" s="30"/>
      <c r="F202" s="30"/>
      <c r="G202" s="30"/>
      <c r="H202" s="634"/>
      <c r="I202" s="51">
        <f t="shared" si="152"/>
        <v>0</v>
      </c>
      <c r="J202" s="634"/>
      <c r="K202" s="30"/>
      <c r="L202" s="30"/>
      <c r="M202" s="634"/>
      <c r="N202" s="634"/>
      <c r="O202" s="634"/>
      <c r="P202" s="634"/>
      <c r="Q202" s="634"/>
      <c r="R202" s="634"/>
      <c r="S202" s="659"/>
      <c r="T202" s="647"/>
      <c r="U202" s="29">
        <v>79</v>
      </c>
      <c r="V202" s="29">
        <v>762</v>
      </c>
      <c r="W202" s="29">
        <v>8010</v>
      </c>
      <c r="X202" s="29">
        <v>8307</v>
      </c>
      <c r="Y202" s="29">
        <v>4</v>
      </c>
      <c r="Z202" s="634"/>
      <c r="AA202" s="51">
        <f t="shared" si="153"/>
        <v>293</v>
      </c>
      <c r="AB202" s="634"/>
      <c r="AC202" s="29" t="s">
        <v>51</v>
      </c>
      <c r="AD202" s="29" t="s">
        <v>51</v>
      </c>
      <c r="AE202" s="634"/>
      <c r="AF202" s="634"/>
      <c r="AG202" s="634"/>
      <c r="AH202" s="634"/>
      <c r="AI202" s="634"/>
      <c r="AJ202" s="634"/>
      <c r="AK202" s="659"/>
      <c r="AL202" s="647"/>
      <c r="AM202" s="48"/>
      <c r="AN202" s="48"/>
      <c r="AO202" s="48"/>
      <c r="AP202" s="48"/>
      <c r="AQ202" s="48"/>
      <c r="AR202" s="634"/>
      <c r="AS202" s="51">
        <f t="shared" si="156"/>
        <v>0</v>
      </c>
      <c r="AT202" s="634"/>
      <c r="AU202" s="145"/>
      <c r="AV202" s="635"/>
      <c r="AW202" s="145"/>
      <c r="AX202" s="634"/>
      <c r="AY202" s="634"/>
      <c r="AZ202" s="634"/>
      <c r="BA202" s="635"/>
      <c r="BB202" s="634"/>
      <c r="BC202" s="635"/>
      <c r="BD202" s="140"/>
      <c r="BE202" s="685"/>
      <c r="BF202" s="144"/>
      <c r="BG202" s="144"/>
      <c r="BH202" s="144"/>
      <c r="BI202" s="144"/>
      <c r="BJ202" s="144"/>
      <c r="BK202" s="144"/>
      <c r="BL202" s="144"/>
      <c r="BM202" s="144"/>
      <c r="BN202" s="144"/>
      <c r="BO202" s="144"/>
      <c r="BP202" s="686"/>
      <c r="BQ202" s="144"/>
      <c r="BR202" s="144"/>
      <c r="BS202" s="686"/>
      <c r="BT202" s="144"/>
      <c r="BU202" s="686"/>
      <c r="BV202" s="686"/>
      <c r="BW202" s="118"/>
      <c r="BX202" s="118"/>
      <c r="BY202" s="118"/>
      <c r="BZ202" s="118"/>
      <c r="CA202" s="118"/>
      <c r="CB202" s="118"/>
      <c r="CC202" s="118"/>
      <c r="CD202" s="118"/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92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94"/>
      <c r="DD202" s="118"/>
      <c r="DE202" s="118"/>
      <c r="DF202" s="118"/>
      <c r="DG202" s="118"/>
      <c r="DH202" s="118"/>
      <c r="DI202" s="118"/>
      <c r="DJ202" s="118"/>
      <c r="DK202" s="118"/>
      <c r="DL202" s="118"/>
      <c r="DM202" s="118"/>
      <c r="DN202" s="118"/>
      <c r="DO202" s="118"/>
      <c r="DP202" s="118"/>
      <c r="DQ202" s="118"/>
      <c r="DR202" s="118"/>
      <c r="DS202" s="118"/>
      <c r="DT202" s="118"/>
      <c r="DU202" s="139"/>
      <c r="DV202" s="139"/>
      <c r="DW202" s="139"/>
      <c r="DX202" s="139"/>
      <c r="DY202" s="139"/>
      <c r="DZ202" s="139"/>
    </row>
    <row r="203" spans="1:130" ht="12.75" x14ac:dyDescent="0.2">
      <c r="A203" s="647"/>
      <c r="B203" s="648"/>
      <c r="C203" s="30"/>
      <c r="D203" s="30"/>
      <c r="E203" s="30"/>
      <c r="F203" s="30"/>
      <c r="G203" s="30"/>
      <c r="H203" s="635"/>
      <c r="I203" s="51">
        <f t="shared" si="152"/>
        <v>0</v>
      </c>
      <c r="J203" s="635"/>
      <c r="K203" s="30"/>
      <c r="L203" s="30"/>
      <c r="M203" s="635"/>
      <c r="N203" s="635"/>
      <c r="O203" s="635"/>
      <c r="P203" s="635"/>
      <c r="Q203" s="635"/>
      <c r="R203" s="635"/>
      <c r="S203" s="660"/>
      <c r="T203" s="648"/>
      <c r="U203" s="30"/>
      <c r="V203" s="30"/>
      <c r="W203" s="30"/>
      <c r="X203" s="30"/>
      <c r="Y203" s="30"/>
      <c r="Z203" s="635"/>
      <c r="AA203" s="51">
        <f t="shared" si="153"/>
        <v>0</v>
      </c>
      <c r="AB203" s="635"/>
      <c r="AC203" s="30"/>
      <c r="AD203" s="30"/>
      <c r="AE203" s="635"/>
      <c r="AF203" s="635"/>
      <c r="AG203" s="635"/>
      <c r="AH203" s="635"/>
      <c r="AI203" s="635"/>
      <c r="AJ203" s="635"/>
      <c r="AK203" s="660"/>
      <c r="AL203" s="648"/>
      <c r="AM203" s="51"/>
      <c r="AN203" s="51"/>
      <c r="AO203" s="51"/>
      <c r="AP203" s="51"/>
      <c r="AQ203" s="51"/>
      <c r="AR203" s="635"/>
      <c r="AS203" s="51">
        <f t="shared" si="156"/>
        <v>0</v>
      </c>
      <c r="AT203" s="164">
        <f>AS203</f>
        <v>0</v>
      </c>
      <c r="AU203" s="150"/>
      <c r="AV203" s="165"/>
      <c r="AW203" s="51"/>
      <c r="AX203" s="635"/>
      <c r="AY203" s="635"/>
      <c r="AZ203" s="635"/>
      <c r="BA203" s="156">
        <f t="shared" ref="BA203:BA204" si="157">AV203*60</f>
        <v>0</v>
      </c>
      <c r="BB203" s="635"/>
      <c r="BC203" s="148">
        <f t="shared" ref="BC203:BC204" si="158">IF(BA203=0,0,AT203/BA203)</f>
        <v>0</v>
      </c>
      <c r="BD203" s="140"/>
      <c r="BE203" s="662"/>
      <c r="BF203" s="144"/>
      <c r="BG203" s="144"/>
      <c r="BH203" s="144"/>
      <c r="BI203" s="144"/>
      <c r="BJ203" s="144"/>
      <c r="BK203" s="144"/>
      <c r="BL203" s="144"/>
      <c r="BM203" s="144"/>
      <c r="BN203" s="144"/>
      <c r="BO203" s="144"/>
      <c r="BP203" s="662"/>
      <c r="BQ203" s="144"/>
      <c r="BR203" s="144"/>
      <c r="BS203" s="662"/>
      <c r="BT203" s="144"/>
      <c r="BU203" s="662"/>
      <c r="BV203" s="662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92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94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S203" s="118"/>
      <c r="DT203" s="118"/>
      <c r="DU203" s="139"/>
      <c r="DV203" s="139"/>
      <c r="DW203" s="139"/>
      <c r="DX203" s="139"/>
      <c r="DY203" s="139"/>
      <c r="DZ203" s="139"/>
    </row>
    <row r="204" spans="1:130" ht="12.75" x14ac:dyDescent="0.2">
      <c r="A204" s="647"/>
      <c r="B204" s="646">
        <v>46102</v>
      </c>
      <c r="C204" s="40"/>
      <c r="D204" s="40"/>
      <c r="E204" s="40"/>
      <c r="F204" s="40"/>
      <c r="G204" s="40"/>
      <c r="H204" s="653"/>
      <c r="I204" s="150">
        <f t="shared" si="152"/>
        <v>0</v>
      </c>
      <c r="J204" s="650">
        <f>SUM(I204:I207,H204)</f>
        <v>0</v>
      </c>
      <c r="K204" s="40"/>
      <c r="L204" s="40"/>
      <c r="M204" s="653"/>
      <c r="N204" s="653"/>
      <c r="O204" s="633">
        <f>SUM(M204:N207)</f>
        <v>0</v>
      </c>
      <c r="P204" s="653"/>
      <c r="Q204" s="636">
        <f>M204*60</f>
        <v>0</v>
      </c>
      <c r="R204" s="657">
        <f>IF(
   COUNTIF(K204:K207,"SI")&gt;0,
   1.8,
   IF(
      COUNTIF(L204:L207,"SI")&gt;0,
      1.6,
      2
   )
)</f>
        <v>2</v>
      </c>
      <c r="S204" s="658">
        <f>IF(Q204=0,0,J204/Q204)</f>
        <v>0</v>
      </c>
      <c r="T204" s="646">
        <v>46102</v>
      </c>
      <c r="U204" s="40"/>
      <c r="V204" s="31">
        <v>762</v>
      </c>
      <c r="W204" s="31">
        <v>8308</v>
      </c>
      <c r="X204" s="31">
        <v>8501</v>
      </c>
      <c r="Y204" s="31">
        <v>0</v>
      </c>
      <c r="Z204" s="653">
        <v>0</v>
      </c>
      <c r="AA204" s="150">
        <f t="shared" si="153"/>
        <v>193</v>
      </c>
      <c r="AB204" s="650">
        <f>SUM(AA204:AA207,Z204)</f>
        <v>491</v>
      </c>
      <c r="AC204" s="31" t="s">
        <v>51</v>
      </c>
      <c r="AD204" s="31" t="s">
        <v>51</v>
      </c>
      <c r="AE204" s="653">
        <v>4.5</v>
      </c>
      <c r="AF204" s="653">
        <v>0.5</v>
      </c>
      <c r="AG204" s="633">
        <f>SUM(AE204:AF207)</f>
        <v>5</v>
      </c>
      <c r="AH204" s="653">
        <v>0</v>
      </c>
      <c r="AI204" s="636">
        <f>AE204*60</f>
        <v>270</v>
      </c>
      <c r="AJ204" s="644">
        <f>IF(
   COUNTIF(AC204:AC207,"SI")&gt;0,
   1.8,
   IF(
      COUNTIF(AD204:AD207,"SI")&gt;0,
      1.6,
      2
   )
)</f>
        <v>1.8</v>
      </c>
      <c r="AK204" s="679">
        <f>IF(AI204=0,0,AB204/AI204)</f>
        <v>1.8185185185185184</v>
      </c>
      <c r="AL204" s="646">
        <v>46102</v>
      </c>
      <c r="AM204" s="40"/>
      <c r="AN204" s="30"/>
      <c r="AO204" s="40"/>
      <c r="AP204" s="40"/>
      <c r="AQ204" s="40"/>
      <c r="AR204" s="653"/>
      <c r="AS204" s="150">
        <f t="shared" si="156"/>
        <v>0</v>
      </c>
      <c r="AT204" s="650">
        <f>SUM(AS204:AS207,AR204)</f>
        <v>0</v>
      </c>
      <c r="AU204" s="40"/>
      <c r="AV204" s="653"/>
      <c r="AW204" s="40"/>
      <c r="AX204" s="653"/>
      <c r="AY204" s="633">
        <f>SUM(AV204:AX207)</f>
        <v>0</v>
      </c>
      <c r="AZ204" s="653"/>
      <c r="BA204" s="636">
        <f t="shared" si="157"/>
        <v>0</v>
      </c>
      <c r="BB204" s="657">
        <f>IF(
   COUNTIF(AU204:AU207,"SI")&gt;0,
   1.8,
   IF(
      COUNTIF(AV204:AV207,"SI")&gt;0,
      1.6,
      2
   )
)</f>
        <v>2</v>
      </c>
      <c r="BC204" s="666">
        <f t="shared" si="158"/>
        <v>0</v>
      </c>
      <c r="BD204" s="686"/>
      <c r="BE204" s="143"/>
      <c r="BF204" s="144"/>
      <c r="BG204" s="144"/>
      <c r="BH204" s="144"/>
      <c r="BI204" s="144"/>
      <c r="BJ204" s="144"/>
      <c r="BK204" s="144"/>
      <c r="BL204" s="144"/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0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92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94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S204" s="118"/>
      <c r="DT204" s="118"/>
      <c r="DU204" s="139"/>
      <c r="DV204" s="139"/>
      <c r="DW204" s="139"/>
      <c r="DX204" s="139"/>
      <c r="DY204" s="139"/>
      <c r="DZ204" s="139"/>
    </row>
    <row r="205" spans="1:130" ht="12.75" x14ac:dyDescent="0.2">
      <c r="A205" s="647"/>
      <c r="B205" s="647"/>
      <c r="C205" s="40"/>
      <c r="D205" s="40"/>
      <c r="E205" s="40"/>
      <c r="F205" s="40"/>
      <c r="G205" s="40"/>
      <c r="H205" s="634"/>
      <c r="I205" s="150">
        <f t="shared" si="152"/>
        <v>0</v>
      </c>
      <c r="J205" s="634"/>
      <c r="K205" s="40"/>
      <c r="L205" s="40"/>
      <c r="M205" s="634"/>
      <c r="N205" s="634"/>
      <c r="O205" s="634"/>
      <c r="P205" s="634"/>
      <c r="Q205" s="634"/>
      <c r="R205" s="634"/>
      <c r="S205" s="659"/>
      <c r="T205" s="647"/>
      <c r="U205" s="40"/>
      <c r="V205" s="31">
        <v>763</v>
      </c>
      <c r="W205" s="31">
        <v>8502</v>
      </c>
      <c r="X205" s="31">
        <v>8800</v>
      </c>
      <c r="Y205" s="31">
        <v>0</v>
      </c>
      <c r="Z205" s="634"/>
      <c r="AA205" s="150">
        <f t="shared" si="153"/>
        <v>298</v>
      </c>
      <c r="AB205" s="634"/>
      <c r="AC205" s="31" t="s">
        <v>51</v>
      </c>
      <c r="AD205" s="31" t="s">
        <v>51</v>
      </c>
      <c r="AE205" s="634"/>
      <c r="AF205" s="634"/>
      <c r="AG205" s="634"/>
      <c r="AH205" s="634"/>
      <c r="AI205" s="634"/>
      <c r="AJ205" s="634"/>
      <c r="AK205" s="659"/>
      <c r="AL205" s="647"/>
      <c r="AM205" s="40"/>
      <c r="AN205" s="40"/>
      <c r="AO205" s="40"/>
      <c r="AP205" s="40"/>
      <c r="AQ205" s="40"/>
      <c r="AR205" s="634"/>
      <c r="AS205" s="150">
        <f t="shared" si="156"/>
        <v>0</v>
      </c>
      <c r="AT205" s="634"/>
      <c r="AU205" s="40"/>
      <c r="AV205" s="634"/>
      <c r="AW205" s="40"/>
      <c r="AX205" s="634"/>
      <c r="AY205" s="634"/>
      <c r="AZ205" s="634"/>
      <c r="BA205" s="634"/>
      <c r="BB205" s="634"/>
      <c r="BC205" s="634"/>
      <c r="BD205" s="662"/>
      <c r="BE205" s="685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686"/>
      <c r="BQ205" s="144"/>
      <c r="BR205" s="144"/>
      <c r="BS205" s="686"/>
      <c r="BT205" s="144"/>
      <c r="BU205" s="686"/>
      <c r="BV205" s="686"/>
      <c r="BW205" s="118"/>
      <c r="BX205" s="118"/>
      <c r="BY205" s="118"/>
      <c r="BZ205" s="118"/>
      <c r="CA205" s="118"/>
      <c r="CB205" s="118"/>
      <c r="CC205" s="118"/>
      <c r="CD205" s="118"/>
      <c r="CE205" s="118"/>
      <c r="CF205" s="118"/>
      <c r="CG205" s="118"/>
      <c r="CH205" s="118"/>
      <c r="CI205" s="118"/>
      <c r="CJ205" s="118"/>
      <c r="CK205" s="118"/>
      <c r="CL205" s="118"/>
      <c r="CM205" s="118"/>
      <c r="CN205" s="92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94"/>
      <c r="DD205" s="118"/>
      <c r="DE205" s="118"/>
      <c r="DF205" s="118"/>
      <c r="DG205" s="118"/>
      <c r="DH205" s="118"/>
      <c r="DI205" s="118"/>
      <c r="DJ205" s="118"/>
      <c r="DK205" s="118"/>
      <c r="DL205" s="118"/>
      <c r="DM205" s="118"/>
      <c r="DN205" s="118"/>
      <c r="DO205" s="118"/>
      <c r="DP205" s="118"/>
      <c r="DQ205" s="118"/>
      <c r="DR205" s="118"/>
      <c r="DS205" s="118"/>
      <c r="DT205" s="118"/>
      <c r="DU205" s="139"/>
      <c r="DV205" s="139"/>
      <c r="DW205" s="139"/>
      <c r="DX205" s="139"/>
      <c r="DY205" s="139"/>
      <c r="DZ205" s="139"/>
    </row>
    <row r="206" spans="1:130" ht="12.75" x14ac:dyDescent="0.2">
      <c r="A206" s="647"/>
      <c r="B206" s="647"/>
      <c r="C206" s="40"/>
      <c r="D206" s="40"/>
      <c r="E206" s="40"/>
      <c r="F206" s="40"/>
      <c r="G206" s="40"/>
      <c r="H206" s="634"/>
      <c r="I206" s="150">
        <f t="shared" si="152"/>
        <v>0</v>
      </c>
      <c r="J206" s="634"/>
      <c r="K206" s="40"/>
      <c r="L206" s="40"/>
      <c r="M206" s="634"/>
      <c r="N206" s="634"/>
      <c r="O206" s="634"/>
      <c r="P206" s="634"/>
      <c r="Q206" s="634"/>
      <c r="R206" s="634"/>
      <c r="S206" s="659"/>
      <c r="T206" s="647"/>
      <c r="U206" s="40"/>
      <c r="V206" s="40"/>
      <c r="W206" s="40"/>
      <c r="X206" s="40"/>
      <c r="Y206" s="40"/>
      <c r="Z206" s="634"/>
      <c r="AA206" s="150">
        <f t="shared" si="153"/>
        <v>0</v>
      </c>
      <c r="AB206" s="634"/>
      <c r="AC206" s="40"/>
      <c r="AD206" s="40"/>
      <c r="AE206" s="634"/>
      <c r="AF206" s="634"/>
      <c r="AG206" s="634"/>
      <c r="AH206" s="634"/>
      <c r="AI206" s="634"/>
      <c r="AJ206" s="634"/>
      <c r="AK206" s="659"/>
      <c r="AL206" s="647"/>
      <c r="AM206" s="40"/>
      <c r="AN206" s="40"/>
      <c r="AO206" s="40"/>
      <c r="AP206" s="40"/>
      <c r="AQ206" s="40"/>
      <c r="AR206" s="634"/>
      <c r="AS206" s="150">
        <f t="shared" si="156"/>
        <v>0</v>
      </c>
      <c r="AT206" s="634"/>
      <c r="AU206" s="40"/>
      <c r="AV206" s="634"/>
      <c r="AW206" s="40"/>
      <c r="AX206" s="634"/>
      <c r="AY206" s="634"/>
      <c r="AZ206" s="634"/>
      <c r="BA206" s="634"/>
      <c r="BB206" s="634"/>
      <c r="BC206" s="634"/>
      <c r="BD206" s="144"/>
      <c r="BE206" s="662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662"/>
      <c r="BQ206" s="686"/>
      <c r="BR206" s="686"/>
      <c r="BS206" s="662"/>
      <c r="BT206" s="144"/>
      <c r="BU206" s="662"/>
      <c r="BV206" s="662"/>
      <c r="BW206" s="118"/>
      <c r="BX206" s="118"/>
      <c r="BY206" s="118"/>
      <c r="BZ206" s="118"/>
      <c r="CA206" s="118"/>
      <c r="CB206" s="118"/>
      <c r="CC206" s="118"/>
      <c r="CD206" s="118"/>
      <c r="CE206" s="118"/>
      <c r="CF206" s="118"/>
      <c r="CG206" s="118"/>
      <c r="CH206" s="118"/>
      <c r="CI206" s="118"/>
      <c r="CJ206" s="118"/>
      <c r="CK206" s="118"/>
      <c r="CL206" s="118"/>
      <c r="CM206" s="118"/>
      <c r="CN206" s="92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94"/>
      <c r="DD206" s="118"/>
      <c r="DE206" s="118"/>
      <c r="DF206" s="118"/>
      <c r="DG206" s="118"/>
      <c r="DH206" s="118"/>
      <c r="DI206" s="118"/>
      <c r="DJ206" s="118"/>
      <c r="DK206" s="118"/>
      <c r="DL206" s="118"/>
      <c r="DM206" s="118"/>
      <c r="DN206" s="118"/>
      <c r="DO206" s="118"/>
      <c r="DP206" s="118"/>
      <c r="DQ206" s="118"/>
      <c r="DR206" s="118"/>
      <c r="DS206" s="118"/>
      <c r="DT206" s="118"/>
      <c r="DU206" s="139"/>
      <c r="DV206" s="139"/>
      <c r="DW206" s="139"/>
      <c r="DX206" s="139"/>
      <c r="DY206" s="139"/>
      <c r="DZ206" s="139"/>
    </row>
    <row r="207" spans="1:130" ht="12.75" x14ac:dyDescent="0.2">
      <c r="A207" s="648"/>
      <c r="B207" s="648"/>
      <c r="C207" s="40"/>
      <c r="D207" s="40"/>
      <c r="E207" s="40"/>
      <c r="F207" s="40"/>
      <c r="G207" s="40"/>
      <c r="H207" s="635"/>
      <c r="I207" s="150">
        <f t="shared" si="152"/>
        <v>0</v>
      </c>
      <c r="J207" s="635"/>
      <c r="K207" s="40"/>
      <c r="L207" s="40"/>
      <c r="M207" s="635"/>
      <c r="N207" s="635"/>
      <c r="O207" s="635"/>
      <c r="P207" s="635"/>
      <c r="Q207" s="635"/>
      <c r="R207" s="635"/>
      <c r="S207" s="660"/>
      <c r="T207" s="648"/>
      <c r="U207" s="40"/>
      <c r="V207" s="40"/>
      <c r="W207" s="40"/>
      <c r="X207" s="40"/>
      <c r="Y207" s="40"/>
      <c r="Z207" s="635"/>
      <c r="AA207" s="150">
        <f t="shared" si="153"/>
        <v>0</v>
      </c>
      <c r="AB207" s="635"/>
      <c r="AC207" s="40"/>
      <c r="AD207" s="40"/>
      <c r="AE207" s="635"/>
      <c r="AF207" s="635"/>
      <c r="AG207" s="635"/>
      <c r="AH207" s="635"/>
      <c r="AI207" s="635"/>
      <c r="AJ207" s="635"/>
      <c r="AK207" s="660"/>
      <c r="AL207" s="648"/>
      <c r="AM207" s="40"/>
      <c r="AN207" s="40"/>
      <c r="AO207" s="40"/>
      <c r="AP207" s="40"/>
      <c r="AQ207" s="40"/>
      <c r="AR207" s="635"/>
      <c r="AS207" s="150">
        <f t="shared" si="156"/>
        <v>0</v>
      </c>
      <c r="AT207" s="635"/>
      <c r="AU207" s="40"/>
      <c r="AV207" s="635"/>
      <c r="AW207" s="40"/>
      <c r="AX207" s="635"/>
      <c r="AY207" s="635"/>
      <c r="AZ207" s="635"/>
      <c r="BA207" s="635"/>
      <c r="BB207" s="635"/>
      <c r="BC207" s="635"/>
      <c r="BD207" s="686"/>
      <c r="BE207" s="685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662"/>
      <c r="BR207" s="662"/>
      <c r="BS207" s="144"/>
      <c r="BT207" s="144"/>
      <c r="BU207" s="144"/>
      <c r="BV207" s="144"/>
      <c r="BW207" s="118"/>
      <c r="BX207" s="118"/>
      <c r="BY207" s="118"/>
      <c r="BZ207" s="118"/>
      <c r="CA207" s="118"/>
      <c r="CB207" s="118"/>
      <c r="CC207" s="118"/>
      <c r="CD207" s="118"/>
      <c r="CE207" s="118"/>
      <c r="CF207" s="118"/>
      <c r="CG207" s="118"/>
      <c r="CH207" s="118"/>
      <c r="CI207" s="118"/>
      <c r="CJ207" s="118"/>
      <c r="CK207" s="118"/>
      <c r="CL207" s="118"/>
      <c r="CM207" s="118"/>
      <c r="CN207" s="92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94"/>
      <c r="DD207" s="118"/>
      <c r="DE207" s="118"/>
      <c r="DF207" s="118"/>
      <c r="DG207" s="118"/>
      <c r="DH207" s="118"/>
      <c r="DI207" s="118"/>
      <c r="DJ207" s="118"/>
      <c r="DK207" s="118"/>
      <c r="DL207" s="118"/>
      <c r="DM207" s="118"/>
      <c r="DN207" s="118"/>
      <c r="DO207" s="118"/>
      <c r="DP207" s="118"/>
      <c r="DQ207" s="118"/>
      <c r="DR207" s="118"/>
      <c r="DS207" s="118"/>
      <c r="DT207" s="118"/>
      <c r="DU207" s="139"/>
      <c r="DV207" s="139"/>
      <c r="DW207" s="139"/>
      <c r="DX207" s="139"/>
      <c r="DY207" s="139"/>
      <c r="DZ207" s="139"/>
    </row>
    <row r="208" spans="1:130" ht="12.75" x14ac:dyDescent="0.2">
      <c r="A208" s="166"/>
      <c r="B208" s="167" t="s">
        <v>40</v>
      </c>
      <c r="C208" s="168">
        <f>SUM(C183:C207)</f>
        <v>95</v>
      </c>
      <c r="D208" s="168" t="s">
        <v>49</v>
      </c>
      <c r="E208" s="168" t="s">
        <v>49</v>
      </c>
      <c r="F208" s="168" t="s">
        <v>49</v>
      </c>
      <c r="G208" s="168">
        <f t="shared" ref="G208:J208" si="159">SUM(G183:G207)</f>
        <v>0</v>
      </c>
      <c r="H208" s="168">
        <f t="shared" si="159"/>
        <v>0</v>
      </c>
      <c r="I208" s="168">
        <f t="shared" si="159"/>
        <v>423</v>
      </c>
      <c r="J208" s="168">
        <f t="shared" si="159"/>
        <v>423</v>
      </c>
      <c r="K208" s="168" t="s">
        <v>49</v>
      </c>
      <c r="L208" s="168"/>
      <c r="M208" s="168">
        <f>SUM(M183:M207)</f>
        <v>3.4</v>
      </c>
      <c r="N208" s="168">
        <f>SUM(N183:N203)</f>
        <v>1.8</v>
      </c>
      <c r="O208" s="169">
        <f t="shared" ref="O208:Q208" si="160">SUM(O183:O207)</f>
        <v>5.2</v>
      </c>
      <c r="P208" s="168">
        <f t="shared" si="160"/>
        <v>0</v>
      </c>
      <c r="Q208" s="168">
        <f t="shared" si="160"/>
        <v>204</v>
      </c>
      <c r="R208" s="170"/>
      <c r="S208" s="171">
        <f>AVERAGE(S192:S195)</f>
        <v>2.0882352941176472</v>
      </c>
      <c r="T208" s="167" t="s">
        <v>40</v>
      </c>
      <c r="U208" s="168">
        <f>SUM(U183:U207)</f>
        <v>309</v>
      </c>
      <c r="V208" s="168" t="s">
        <v>49</v>
      </c>
      <c r="W208" s="168" t="s">
        <v>49</v>
      </c>
      <c r="X208" s="168" t="s">
        <v>49</v>
      </c>
      <c r="Y208" s="168">
        <f t="shared" ref="Y208:AB208" si="161">SUM(Y183:Y207)</f>
        <v>11</v>
      </c>
      <c r="Z208" s="168">
        <f t="shared" si="161"/>
        <v>0</v>
      </c>
      <c r="AA208" s="177">
        <f t="shared" si="161"/>
        <v>2029</v>
      </c>
      <c r="AB208" s="168">
        <f t="shared" si="161"/>
        <v>2029</v>
      </c>
      <c r="AC208" s="168" t="s">
        <v>49</v>
      </c>
      <c r="AD208" s="168" t="s">
        <v>49</v>
      </c>
      <c r="AE208" s="168">
        <f t="shared" ref="AE208:AI208" si="162">SUM(AE183:AE207)</f>
        <v>16.2</v>
      </c>
      <c r="AF208" s="168">
        <f t="shared" si="162"/>
        <v>8.8000000000000007</v>
      </c>
      <c r="AG208" s="169">
        <f t="shared" si="162"/>
        <v>25</v>
      </c>
      <c r="AH208" s="168">
        <f t="shared" si="162"/>
        <v>0</v>
      </c>
      <c r="AI208" s="168">
        <f t="shared" si="162"/>
        <v>972</v>
      </c>
      <c r="AJ208" s="170"/>
      <c r="AK208" s="171">
        <f t="shared" ref="AK208:AK209" si="163">IF(AI208=0,0,AB208/AI208)</f>
        <v>2.0874485596707819</v>
      </c>
      <c r="AL208" s="167" t="s">
        <v>40</v>
      </c>
      <c r="AM208" s="168">
        <f>SUM(AM183:AM207)</f>
        <v>172</v>
      </c>
      <c r="AN208" s="168" t="s">
        <v>49</v>
      </c>
      <c r="AO208" s="168" t="s">
        <v>49</v>
      </c>
      <c r="AP208" s="168" t="s">
        <v>49</v>
      </c>
      <c r="AQ208" s="168">
        <f t="shared" ref="AQ208:AT208" si="164">SUM(AQ183:AQ207)</f>
        <v>8</v>
      </c>
      <c r="AR208" s="168">
        <f t="shared" si="164"/>
        <v>0</v>
      </c>
      <c r="AS208" s="168">
        <f t="shared" si="164"/>
        <v>1185</v>
      </c>
      <c r="AT208" s="168">
        <f t="shared" si="164"/>
        <v>1185</v>
      </c>
      <c r="AU208" s="168" t="s">
        <v>49</v>
      </c>
      <c r="AV208" s="168">
        <f>SUM(AV183:AV207)</f>
        <v>7.75</v>
      </c>
      <c r="AW208" s="168"/>
      <c r="AX208" s="172">
        <f t="shared" ref="AX208:BA208" si="165">SUM(AX183:AX207)</f>
        <v>17.25</v>
      </c>
      <c r="AY208" s="173">
        <f t="shared" si="165"/>
        <v>25</v>
      </c>
      <c r="AZ208" s="172">
        <f t="shared" si="165"/>
        <v>1</v>
      </c>
      <c r="BA208" s="168">
        <f t="shared" si="165"/>
        <v>465</v>
      </c>
      <c r="BB208" s="170"/>
      <c r="BC208" s="174">
        <f t="shared" ref="BC208:BC209" si="166">IF(BA208=0,0,AT208/BA208)</f>
        <v>2.5483870967741935</v>
      </c>
      <c r="BD208" s="662"/>
      <c r="BE208" s="662"/>
      <c r="BF208" s="144"/>
      <c r="BG208" s="144"/>
      <c r="BH208" s="144"/>
      <c r="BI208" s="144"/>
      <c r="BJ208" s="144"/>
      <c r="BK208" s="144"/>
      <c r="BL208" s="144"/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18"/>
      <c r="BX208" s="118"/>
      <c r="BY208" s="118"/>
      <c r="BZ208" s="118"/>
      <c r="CA208" s="118"/>
      <c r="CB208" s="118"/>
      <c r="CC208" s="118"/>
      <c r="CD208" s="118"/>
      <c r="CE208" s="118"/>
      <c r="CF208" s="118"/>
      <c r="CG208" s="118"/>
      <c r="CH208" s="118"/>
      <c r="CI208" s="118"/>
      <c r="CJ208" s="118"/>
      <c r="CK208" s="118"/>
      <c r="CL208" s="118"/>
      <c r="CM208" s="118"/>
      <c r="CN208" s="92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94"/>
      <c r="DD208" s="118"/>
      <c r="DE208" s="118"/>
      <c r="DF208" s="118"/>
      <c r="DG208" s="118"/>
      <c r="DH208" s="118"/>
      <c r="DI208" s="118"/>
      <c r="DJ208" s="118"/>
      <c r="DK208" s="118"/>
      <c r="DL208" s="118"/>
      <c r="DM208" s="118"/>
      <c r="DN208" s="118"/>
      <c r="DO208" s="118"/>
      <c r="DP208" s="118"/>
      <c r="DQ208" s="118"/>
      <c r="DR208" s="118"/>
      <c r="DS208" s="118"/>
      <c r="DT208" s="118"/>
      <c r="DU208" s="139"/>
      <c r="DV208" s="139"/>
      <c r="DW208" s="139"/>
      <c r="DX208" s="139"/>
      <c r="DY208" s="139"/>
      <c r="DZ208" s="139"/>
    </row>
    <row r="209" spans="1:130" ht="12.75" x14ac:dyDescent="0.2">
      <c r="A209" s="746" t="s">
        <v>180</v>
      </c>
      <c r="B209" s="747">
        <v>46104</v>
      </c>
      <c r="C209" s="175"/>
      <c r="D209" s="137"/>
      <c r="E209" s="137"/>
      <c r="F209" s="137"/>
      <c r="G209" s="137"/>
      <c r="H209" s="675"/>
      <c r="I209" s="62">
        <f t="shared" ref="I209:I211" si="167">F209-E209-G209</f>
        <v>0</v>
      </c>
      <c r="J209" s="676">
        <f>SUM(I209:I213,H209)</f>
        <v>0</v>
      </c>
      <c r="K209" s="175"/>
      <c r="L209" s="175"/>
      <c r="M209" s="675"/>
      <c r="N209" s="675"/>
      <c r="O209" s="677">
        <f>SUM(M209:N213)</f>
        <v>0</v>
      </c>
      <c r="P209" s="675"/>
      <c r="Q209" s="657">
        <f>M209*60</f>
        <v>0</v>
      </c>
      <c r="R209" s="657">
        <f>IF(
   COUNTIF(K209:K213,"SI")&gt;0,
   1.8,
   IF(
      COUNTIF(L209:L213,"SI")&gt;0,
      1.6,
      2
   )
)</f>
        <v>2</v>
      </c>
      <c r="S209" s="678">
        <f>IF(Q209=0,0,J209/Q209)</f>
        <v>0</v>
      </c>
      <c r="T209" s="674">
        <v>46104</v>
      </c>
      <c r="U209" s="175"/>
      <c r="V209" s="26"/>
      <c r="W209" s="175"/>
      <c r="X209" s="175"/>
      <c r="Y209" s="175"/>
      <c r="Z209" s="675"/>
      <c r="AA209" s="151">
        <f t="shared" ref="AA209:AA233" si="168">X209-W209-Y209</f>
        <v>0</v>
      </c>
      <c r="AB209" s="676">
        <f>SUM(AA209:AA213,Z209)</f>
        <v>0</v>
      </c>
      <c r="AC209" s="175"/>
      <c r="AD209" s="175"/>
      <c r="AE209" s="675"/>
      <c r="AF209" s="675"/>
      <c r="AG209" s="677">
        <f>SUM(AE209:AF213)</f>
        <v>0</v>
      </c>
      <c r="AH209" s="675"/>
      <c r="AI209" s="657">
        <f>AE209*60</f>
        <v>0</v>
      </c>
      <c r="AJ209" s="657">
        <f>IF(
   COUNTIF(AC209:AC213,"SI")&gt;0,
   1.8,
   IF(
      COUNTIF(AD209:AD213,"SI")&gt;0,
      1.6,
      2
   )
)</f>
        <v>2</v>
      </c>
      <c r="AK209" s="678">
        <f t="shared" si="163"/>
        <v>0</v>
      </c>
      <c r="AL209" s="674">
        <v>46104</v>
      </c>
      <c r="AM209" s="24">
        <v>11</v>
      </c>
      <c r="AN209" s="31">
        <v>760</v>
      </c>
      <c r="AO209" s="31">
        <v>7454</v>
      </c>
      <c r="AP209" s="24">
        <v>7500</v>
      </c>
      <c r="AQ209" s="137"/>
      <c r="AR209" s="657">
        <v>18</v>
      </c>
      <c r="AS209" s="62">
        <f t="shared" ref="AS209:AS233" si="169">AP209-AO209-AQ209</f>
        <v>46</v>
      </c>
      <c r="AT209" s="650">
        <f>SUM(AS209:AS213)+AR209</f>
        <v>1242</v>
      </c>
      <c r="AU209" s="29"/>
      <c r="AV209" s="640">
        <v>8.1</v>
      </c>
      <c r="AW209" s="29"/>
      <c r="AX209" s="657">
        <v>0.4</v>
      </c>
      <c r="AY209" s="633">
        <f>SUM(AV209,AX209)</f>
        <v>8.5</v>
      </c>
      <c r="AZ209" s="657">
        <v>0.15</v>
      </c>
      <c r="BA209" s="657">
        <f>AV209*60</f>
        <v>486</v>
      </c>
      <c r="BB209" s="657">
        <f>IF(
   COUNTIF(AU209:AU213,"SI")&gt;0,
   1.8,
   IF(
      COUNTIF(AV209:AV213,"SI")&gt;0,
      1.6,
      2
   )
)</f>
        <v>2</v>
      </c>
      <c r="BC209" s="672">
        <f t="shared" si="166"/>
        <v>2.5555555555555554</v>
      </c>
      <c r="BD209" s="118"/>
      <c r="BE209" s="116"/>
      <c r="BF209" s="118"/>
      <c r="BG209" s="118"/>
      <c r="BH209" s="118"/>
      <c r="BI209" s="118"/>
      <c r="BJ209" s="118"/>
      <c r="BK209" s="118"/>
      <c r="BL209" s="118"/>
      <c r="BM209" s="118"/>
      <c r="BN209" s="118"/>
      <c r="BO209" s="118"/>
      <c r="BP209" s="118"/>
      <c r="BQ209" s="118"/>
      <c r="BR209" s="118"/>
      <c r="BS209" s="118"/>
      <c r="BT209" s="118"/>
      <c r="BU209" s="118"/>
      <c r="BV209" s="118"/>
      <c r="BW209" s="118"/>
      <c r="BX209" s="118"/>
      <c r="BY209" s="118"/>
      <c r="BZ209" s="118"/>
      <c r="CA209" s="118"/>
      <c r="CB209" s="118"/>
      <c r="CC209" s="118"/>
      <c r="CD209" s="118"/>
      <c r="CE209" s="118"/>
      <c r="CF209" s="118"/>
      <c r="CG209" s="118"/>
      <c r="CH209" s="118"/>
      <c r="CI209" s="118"/>
      <c r="CJ209" s="118"/>
      <c r="CK209" s="118"/>
      <c r="CL209" s="118"/>
      <c r="CM209" s="118"/>
      <c r="CN209" s="92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4"/>
      <c r="DD209" s="118"/>
      <c r="DE209" s="118"/>
      <c r="DF209" s="118"/>
      <c r="DG209" s="118"/>
      <c r="DH209" s="118"/>
      <c r="DI209" s="118"/>
      <c r="DJ209" s="118"/>
      <c r="DK209" s="118"/>
      <c r="DL209" s="118"/>
      <c r="DM209" s="118"/>
      <c r="DN209" s="118"/>
      <c r="DO209" s="118"/>
      <c r="DP209" s="118"/>
      <c r="DQ209" s="118"/>
      <c r="DR209" s="118"/>
      <c r="DS209" s="118"/>
      <c r="DT209" s="118"/>
      <c r="DU209" s="178"/>
      <c r="DV209" s="178"/>
      <c r="DW209" s="178"/>
      <c r="DX209" s="178"/>
      <c r="DY209" s="178"/>
      <c r="DZ209" s="178"/>
    </row>
    <row r="210" spans="1:130" ht="12.75" x14ac:dyDescent="0.2">
      <c r="A210" s="647"/>
      <c r="B210" s="670"/>
      <c r="C210" s="30"/>
      <c r="D210" s="158"/>
      <c r="E210" s="158"/>
      <c r="F210" s="158"/>
      <c r="G210" s="158"/>
      <c r="H210" s="634"/>
      <c r="I210" s="159">
        <f t="shared" si="167"/>
        <v>0</v>
      </c>
      <c r="J210" s="634"/>
      <c r="K210" s="30"/>
      <c r="L210" s="142"/>
      <c r="M210" s="634"/>
      <c r="N210" s="634"/>
      <c r="O210" s="634"/>
      <c r="P210" s="634"/>
      <c r="Q210" s="634"/>
      <c r="R210" s="634"/>
      <c r="S210" s="659"/>
      <c r="T210" s="647"/>
      <c r="U210" s="30"/>
      <c r="V210" s="30"/>
      <c r="W210" s="30"/>
      <c r="X210" s="30"/>
      <c r="Y210" s="30"/>
      <c r="Z210" s="634"/>
      <c r="AA210" s="51">
        <f t="shared" si="168"/>
        <v>0</v>
      </c>
      <c r="AB210" s="634"/>
      <c r="AC210" s="30"/>
      <c r="AD210" s="142"/>
      <c r="AE210" s="634"/>
      <c r="AF210" s="634"/>
      <c r="AG210" s="634"/>
      <c r="AH210" s="634"/>
      <c r="AI210" s="634"/>
      <c r="AJ210" s="634"/>
      <c r="AK210" s="659"/>
      <c r="AL210" s="647"/>
      <c r="AM210" s="28">
        <v>111</v>
      </c>
      <c r="AN210" s="28">
        <v>764</v>
      </c>
      <c r="AO210" s="28">
        <v>9002</v>
      </c>
      <c r="AP210" s="28">
        <v>9505</v>
      </c>
      <c r="AQ210" s="29">
        <v>2</v>
      </c>
      <c r="AR210" s="634"/>
      <c r="AS210" s="159">
        <f t="shared" si="169"/>
        <v>501</v>
      </c>
      <c r="AT210" s="634"/>
      <c r="AU210" s="29"/>
      <c r="AV210" s="634"/>
      <c r="AW210" s="29"/>
      <c r="AX210" s="634"/>
      <c r="AY210" s="634"/>
      <c r="AZ210" s="634"/>
      <c r="BA210" s="634"/>
      <c r="BB210" s="634"/>
      <c r="BC210" s="634"/>
      <c r="BD210" s="118"/>
      <c r="BE210" s="116"/>
      <c r="BF210" s="118"/>
      <c r="BG210" s="118"/>
      <c r="BH210" s="118"/>
      <c r="BI210" s="118"/>
      <c r="BJ210" s="118"/>
      <c r="BK210" s="118"/>
      <c r="BL210" s="118"/>
      <c r="BM210" s="118"/>
      <c r="BN210" s="118"/>
      <c r="BO210" s="118"/>
      <c r="BP210" s="118"/>
      <c r="BQ210" s="118"/>
      <c r="BR210" s="118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18"/>
      <c r="CE210" s="118"/>
      <c r="CF210" s="118"/>
      <c r="CG210" s="118"/>
      <c r="CH210" s="118"/>
      <c r="CI210" s="118"/>
      <c r="CJ210" s="118"/>
      <c r="CK210" s="118"/>
      <c r="CL210" s="118"/>
      <c r="CM210" s="118"/>
      <c r="CN210" s="92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94"/>
      <c r="DD210" s="118"/>
      <c r="DE210" s="118"/>
      <c r="DF210" s="118"/>
      <c r="DG210" s="118"/>
      <c r="DH210" s="118"/>
      <c r="DI210" s="118"/>
      <c r="DJ210" s="118"/>
      <c r="DK210" s="118"/>
      <c r="DL210" s="118"/>
      <c r="DM210" s="118"/>
      <c r="DN210" s="118"/>
      <c r="DO210" s="118"/>
      <c r="DP210" s="118"/>
      <c r="DQ210" s="118"/>
      <c r="DR210" s="118"/>
      <c r="DS210" s="118"/>
      <c r="DT210" s="118"/>
      <c r="DU210" s="178"/>
      <c r="DV210" s="178"/>
      <c r="DW210" s="178"/>
      <c r="DX210" s="178"/>
      <c r="DY210" s="178"/>
      <c r="DZ210" s="178"/>
    </row>
    <row r="211" spans="1:130" ht="12.75" x14ac:dyDescent="0.2">
      <c r="A211" s="647"/>
      <c r="B211" s="670"/>
      <c r="C211" s="30"/>
      <c r="D211" s="158"/>
      <c r="E211" s="158"/>
      <c r="F211" s="158"/>
      <c r="G211" s="158"/>
      <c r="H211" s="634"/>
      <c r="I211" s="159">
        <f t="shared" si="167"/>
        <v>0</v>
      </c>
      <c r="J211" s="634"/>
      <c r="K211" s="158"/>
      <c r="L211" s="161"/>
      <c r="M211" s="634"/>
      <c r="N211" s="634"/>
      <c r="O211" s="634"/>
      <c r="P211" s="634"/>
      <c r="Q211" s="634"/>
      <c r="R211" s="634"/>
      <c r="S211" s="659"/>
      <c r="T211" s="647"/>
      <c r="U211" s="30"/>
      <c r="V211" s="158"/>
      <c r="W211" s="30"/>
      <c r="X211" s="30"/>
      <c r="Y211" s="30"/>
      <c r="Z211" s="634"/>
      <c r="AA211" s="51">
        <f t="shared" si="168"/>
        <v>0</v>
      </c>
      <c r="AB211" s="634"/>
      <c r="AC211" s="158"/>
      <c r="AD211" s="161"/>
      <c r="AE211" s="634"/>
      <c r="AF211" s="634"/>
      <c r="AG211" s="634"/>
      <c r="AH211" s="634"/>
      <c r="AI211" s="634"/>
      <c r="AJ211" s="634"/>
      <c r="AK211" s="659"/>
      <c r="AL211" s="647"/>
      <c r="AM211" s="28">
        <v>115</v>
      </c>
      <c r="AN211" s="28">
        <v>765</v>
      </c>
      <c r="AO211" s="28">
        <v>9506</v>
      </c>
      <c r="AP211" s="28">
        <v>10001</v>
      </c>
      <c r="AQ211" s="28">
        <v>4</v>
      </c>
      <c r="AR211" s="634"/>
      <c r="AS211" s="159">
        <f t="shared" si="169"/>
        <v>491</v>
      </c>
      <c r="AT211" s="634"/>
      <c r="AU211" s="158"/>
      <c r="AV211" s="634"/>
      <c r="AW211" s="161"/>
      <c r="AX211" s="634"/>
      <c r="AY211" s="634"/>
      <c r="AZ211" s="634"/>
      <c r="BA211" s="634"/>
      <c r="BB211" s="634"/>
      <c r="BC211" s="634"/>
      <c r="BD211" s="663"/>
      <c r="BE211" s="668"/>
      <c r="BF211" s="117"/>
      <c r="BG211" s="117"/>
      <c r="BH211" s="117"/>
      <c r="BI211" s="117"/>
      <c r="BJ211" s="117"/>
      <c r="BK211" s="661"/>
      <c r="BL211" s="118"/>
      <c r="BM211" s="663"/>
      <c r="BN211" s="684"/>
      <c r="BO211" s="179"/>
      <c r="BP211" s="663"/>
      <c r="BQ211" s="663"/>
      <c r="BR211" s="663"/>
      <c r="BS211" s="663"/>
      <c r="BT211" s="118"/>
      <c r="BU211" s="663"/>
      <c r="BV211" s="663"/>
      <c r="BW211" s="118"/>
      <c r="BX211" s="118"/>
      <c r="BY211" s="118"/>
      <c r="BZ211" s="118"/>
      <c r="CA211" s="118"/>
      <c r="CB211" s="118"/>
      <c r="CC211" s="118"/>
      <c r="CD211" s="118"/>
      <c r="CE211" s="118"/>
      <c r="CF211" s="118"/>
      <c r="CG211" s="118"/>
      <c r="CH211" s="118"/>
      <c r="CI211" s="118"/>
      <c r="CJ211" s="118"/>
      <c r="CK211" s="118"/>
      <c r="CL211" s="118"/>
      <c r="CM211" s="118"/>
      <c r="CN211" s="92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94"/>
      <c r="DD211" s="118"/>
      <c r="DE211" s="118"/>
      <c r="DF211" s="118"/>
      <c r="DG211" s="118"/>
      <c r="DH211" s="118"/>
      <c r="DI211" s="118"/>
      <c r="DJ211" s="118"/>
      <c r="DK211" s="118"/>
      <c r="DL211" s="118"/>
      <c r="DM211" s="118"/>
      <c r="DN211" s="118"/>
      <c r="DO211" s="118"/>
      <c r="DP211" s="118"/>
      <c r="DQ211" s="118"/>
      <c r="DR211" s="118"/>
      <c r="DS211" s="118"/>
      <c r="DT211" s="118"/>
      <c r="DU211" s="178"/>
      <c r="DV211" s="178"/>
      <c r="DW211" s="178"/>
      <c r="DX211" s="178"/>
      <c r="DY211" s="178"/>
      <c r="DZ211" s="178"/>
    </row>
    <row r="212" spans="1:130" ht="12.75" x14ac:dyDescent="0.2">
      <c r="A212" s="647"/>
      <c r="B212" s="670"/>
      <c r="C212" s="30"/>
      <c r="D212" s="30"/>
      <c r="E212" s="30"/>
      <c r="F212" s="30"/>
      <c r="G212" s="30"/>
      <c r="H212" s="634"/>
      <c r="I212" s="30"/>
      <c r="J212" s="634"/>
      <c r="K212" s="30"/>
      <c r="L212" s="142"/>
      <c r="M212" s="634"/>
      <c r="N212" s="634"/>
      <c r="O212" s="634"/>
      <c r="P212" s="634"/>
      <c r="Q212" s="634"/>
      <c r="R212" s="634"/>
      <c r="S212" s="659"/>
      <c r="T212" s="647"/>
      <c r="U212" s="30"/>
      <c r="V212" s="30"/>
      <c r="W212" s="30"/>
      <c r="X212" s="30"/>
      <c r="Y212" s="30"/>
      <c r="Z212" s="634"/>
      <c r="AA212" s="51">
        <f t="shared" si="168"/>
        <v>0</v>
      </c>
      <c r="AB212" s="634"/>
      <c r="AC212" s="30"/>
      <c r="AD212" s="142"/>
      <c r="AE212" s="634"/>
      <c r="AF212" s="634"/>
      <c r="AG212" s="634"/>
      <c r="AH212" s="634"/>
      <c r="AI212" s="634"/>
      <c r="AJ212" s="634"/>
      <c r="AK212" s="659"/>
      <c r="AL212" s="647"/>
      <c r="AM212" s="29">
        <v>46</v>
      </c>
      <c r="AN212" s="29">
        <v>766</v>
      </c>
      <c r="AO212" s="29">
        <v>10002</v>
      </c>
      <c r="AP212" s="29">
        <v>10188</v>
      </c>
      <c r="AQ212" s="30"/>
      <c r="AR212" s="634"/>
      <c r="AS212" s="51">
        <f t="shared" si="169"/>
        <v>186</v>
      </c>
      <c r="AT212" s="635"/>
      <c r="AU212" s="30"/>
      <c r="AV212" s="635"/>
      <c r="AW212" s="142"/>
      <c r="AX212" s="634"/>
      <c r="AY212" s="634"/>
      <c r="AZ212" s="634"/>
      <c r="BA212" s="634"/>
      <c r="BB212" s="634"/>
      <c r="BC212" s="634"/>
      <c r="BD212" s="662"/>
      <c r="BE212" s="662"/>
      <c r="BF212" s="117"/>
      <c r="BG212" s="117"/>
      <c r="BH212" s="117"/>
      <c r="BI212" s="117"/>
      <c r="BJ212" s="117"/>
      <c r="BK212" s="662"/>
      <c r="BL212" s="118"/>
      <c r="BM212" s="662"/>
      <c r="BN212" s="662"/>
      <c r="BO212" s="179"/>
      <c r="BP212" s="662"/>
      <c r="BQ212" s="662"/>
      <c r="BR212" s="662"/>
      <c r="BS212" s="662"/>
      <c r="BT212" s="118"/>
      <c r="BU212" s="662"/>
      <c r="BV212" s="662"/>
      <c r="BW212" s="118"/>
      <c r="BX212" s="118"/>
      <c r="BY212" s="118"/>
      <c r="BZ212" s="118"/>
      <c r="CA212" s="118"/>
      <c r="CB212" s="118"/>
      <c r="CC212" s="118"/>
      <c r="CD212" s="118"/>
      <c r="CE212" s="118"/>
      <c r="CF212" s="118"/>
      <c r="CG212" s="118"/>
      <c r="CH212" s="118"/>
      <c r="CI212" s="118"/>
      <c r="CJ212" s="118"/>
      <c r="CK212" s="118"/>
      <c r="CL212" s="118"/>
      <c r="CM212" s="118"/>
      <c r="CN212" s="92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94"/>
      <c r="DD212" s="118"/>
      <c r="DE212" s="118"/>
      <c r="DF212" s="118"/>
      <c r="DG212" s="118"/>
      <c r="DH212" s="118"/>
      <c r="DI212" s="118"/>
      <c r="DJ212" s="118"/>
      <c r="DK212" s="118"/>
      <c r="DL212" s="118"/>
      <c r="DM212" s="118"/>
      <c r="DN212" s="118"/>
      <c r="DO212" s="118"/>
      <c r="DP212" s="118"/>
      <c r="DQ212" s="118"/>
      <c r="DR212" s="118"/>
      <c r="DS212" s="118"/>
      <c r="DT212" s="118"/>
      <c r="DU212" s="178"/>
      <c r="DV212" s="178"/>
      <c r="DW212" s="178"/>
      <c r="DX212" s="178"/>
      <c r="DY212" s="178"/>
      <c r="DZ212" s="178"/>
    </row>
    <row r="213" spans="1:130" ht="12.75" x14ac:dyDescent="0.2">
      <c r="A213" s="647"/>
      <c r="B213" s="671"/>
      <c r="C213" s="30"/>
      <c r="D213" s="30"/>
      <c r="E213" s="30"/>
      <c r="F213" s="30"/>
      <c r="G213" s="30"/>
      <c r="H213" s="635"/>
      <c r="I213" s="51">
        <f t="shared" ref="I213:I233" si="170">F213-E213-G213</f>
        <v>0</v>
      </c>
      <c r="J213" s="635"/>
      <c r="K213" s="30"/>
      <c r="L213" s="142"/>
      <c r="M213" s="635"/>
      <c r="N213" s="635"/>
      <c r="O213" s="635"/>
      <c r="P213" s="635"/>
      <c r="Q213" s="635"/>
      <c r="R213" s="635"/>
      <c r="S213" s="660"/>
      <c r="T213" s="648"/>
      <c r="U213" s="30"/>
      <c r="V213" s="30"/>
      <c r="W213" s="30"/>
      <c r="X213" s="30"/>
      <c r="Y213" s="30"/>
      <c r="Z213" s="635"/>
      <c r="AA213" s="51">
        <f t="shared" si="168"/>
        <v>0</v>
      </c>
      <c r="AB213" s="635"/>
      <c r="AC213" s="30"/>
      <c r="AD213" s="142"/>
      <c r="AE213" s="635"/>
      <c r="AF213" s="635"/>
      <c r="AG213" s="635"/>
      <c r="AH213" s="635"/>
      <c r="AI213" s="635"/>
      <c r="AJ213" s="635"/>
      <c r="AK213" s="660"/>
      <c r="AL213" s="648"/>
      <c r="AM213" s="30"/>
      <c r="AN213" s="30"/>
      <c r="AO213" s="30"/>
      <c r="AP213" s="30"/>
      <c r="AQ213" s="30"/>
      <c r="AR213" s="635"/>
      <c r="AS213" s="51">
        <f t="shared" si="169"/>
        <v>0</v>
      </c>
      <c r="AT213" s="146">
        <f>AS213</f>
        <v>0</v>
      </c>
      <c r="AU213" s="30"/>
      <c r="AV213" s="142"/>
      <c r="AW213" s="142"/>
      <c r="AX213" s="635"/>
      <c r="AY213" s="635"/>
      <c r="AZ213" s="635"/>
      <c r="BA213" s="147">
        <f t="shared" ref="BA213:BA214" si="171">AV213*60</f>
        <v>0</v>
      </c>
      <c r="BB213" s="635"/>
      <c r="BC213" s="148">
        <f t="shared" ref="BC213:BC214" si="172">IF(BA213=0,0,AT213/BA213)</f>
        <v>0</v>
      </c>
      <c r="BD213" s="133"/>
      <c r="BE213" s="662"/>
      <c r="BF213" s="117"/>
      <c r="BG213" s="117"/>
      <c r="BH213" s="117"/>
      <c r="BI213" s="117"/>
      <c r="BJ213" s="117"/>
      <c r="BK213" s="662"/>
      <c r="BL213" s="118"/>
      <c r="BM213" s="662"/>
      <c r="BN213" s="662"/>
      <c r="BO213" s="179"/>
      <c r="BP213" s="662"/>
      <c r="BQ213" s="662"/>
      <c r="BR213" s="662"/>
      <c r="BS213" s="662"/>
      <c r="BT213" s="118"/>
      <c r="BU213" s="662"/>
      <c r="BV213" s="662"/>
      <c r="BW213" s="118"/>
      <c r="BX213" s="118"/>
      <c r="BY213" s="118"/>
      <c r="BZ213" s="118"/>
      <c r="CA213" s="118"/>
      <c r="CB213" s="118"/>
      <c r="CC213" s="118"/>
      <c r="CD213" s="118"/>
      <c r="CE213" s="118"/>
      <c r="CF213" s="118"/>
      <c r="CG213" s="118"/>
      <c r="CH213" s="118"/>
      <c r="CI213" s="118"/>
      <c r="CJ213" s="118"/>
      <c r="CK213" s="118"/>
      <c r="CL213" s="118"/>
      <c r="CM213" s="118"/>
      <c r="CN213" s="92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94"/>
      <c r="DD213" s="118"/>
      <c r="DE213" s="118"/>
      <c r="DF213" s="118"/>
      <c r="DG213" s="118"/>
      <c r="DH213" s="118"/>
      <c r="DI213" s="118"/>
      <c r="DJ213" s="118"/>
      <c r="DK213" s="118"/>
      <c r="DL213" s="118"/>
      <c r="DM213" s="118"/>
      <c r="DN213" s="118"/>
      <c r="DO213" s="118"/>
      <c r="DP213" s="118"/>
      <c r="DQ213" s="118"/>
      <c r="DR213" s="118"/>
      <c r="DS213" s="118"/>
      <c r="DT213" s="118"/>
      <c r="DU213" s="178"/>
      <c r="DV213" s="178"/>
      <c r="DW213" s="178"/>
      <c r="DX213" s="178"/>
      <c r="DY213" s="178"/>
      <c r="DZ213" s="178"/>
    </row>
    <row r="214" spans="1:130" ht="12.75" x14ac:dyDescent="0.2">
      <c r="A214" s="647"/>
      <c r="B214" s="751">
        <v>46105</v>
      </c>
      <c r="C214" s="40"/>
      <c r="D214" s="40"/>
      <c r="E214" s="40"/>
      <c r="F214" s="40"/>
      <c r="G214" s="40"/>
      <c r="H214" s="653"/>
      <c r="I214" s="150">
        <f t="shared" si="170"/>
        <v>0</v>
      </c>
      <c r="J214" s="650">
        <f>SUM(I214:I217,H214)</f>
        <v>0</v>
      </c>
      <c r="K214" s="40"/>
      <c r="L214" s="40"/>
      <c r="M214" s="653"/>
      <c r="N214" s="653">
        <v>6</v>
      </c>
      <c r="O214" s="633">
        <f>SUM(M214:N217)</f>
        <v>6</v>
      </c>
      <c r="P214" s="653"/>
      <c r="Q214" s="636">
        <f>M214*60</f>
        <v>0</v>
      </c>
      <c r="R214" s="657">
        <f>IF(
   COUNTIF(K214:K217,"SI")&gt;0,
   1.8,
   IF(
      COUNTIF(L214:L217,"SI")&gt;0,
      1.6,
      2
   )
)</f>
        <v>2</v>
      </c>
      <c r="S214" s="678">
        <f>IF(Q214=0,0,J214/Q214)</f>
        <v>0</v>
      </c>
      <c r="T214" s="646">
        <v>46105</v>
      </c>
      <c r="U214" s="40"/>
      <c r="V214" s="38">
        <v>763</v>
      </c>
      <c r="W214" s="38">
        <v>8801</v>
      </c>
      <c r="X214" s="38">
        <v>9001</v>
      </c>
      <c r="Y214" s="38">
        <v>0</v>
      </c>
      <c r="Z214" s="653">
        <v>0</v>
      </c>
      <c r="AA214" s="51">
        <f t="shared" si="168"/>
        <v>200</v>
      </c>
      <c r="AB214" s="650">
        <f>SUM(AA214:AA217)</f>
        <v>897</v>
      </c>
      <c r="AC214" s="38" t="s">
        <v>51</v>
      </c>
      <c r="AD214" s="38" t="s">
        <v>51</v>
      </c>
      <c r="AE214" s="636">
        <v>7.5</v>
      </c>
      <c r="AF214" s="636">
        <v>0.5</v>
      </c>
      <c r="AG214" s="633">
        <f>SUM(AE214:AF217)</f>
        <v>8</v>
      </c>
      <c r="AH214" s="636">
        <v>0</v>
      </c>
      <c r="AI214" s="636">
        <f>AE214*60</f>
        <v>450</v>
      </c>
      <c r="AJ214" s="657">
        <f>IF(
   COUNTIF(AC214:AC217,"SI")&gt;0,
   1.8,
   IF(
      COUNTIF(AD214:AD217,"SI")&gt;0,
      1.6,
      2
   )
)</f>
        <v>1.8</v>
      </c>
      <c r="AK214" s="658">
        <f>AB214/AI214</f>
        <v>1.9933333333333334</v>
      </c>
      <c r="AL214" s="646">
        <v>46105</v>
      </c>
      <c r="AM214" s="40"/>
      <c r="AN214" s="40"/>
      <c r="AO214" s="40"/>
      <c r="AP214" s="40"/>
      <c r="AQ214" s="40"/>
      <c r="AR214" s="653"/>
      <c r="AS214" s="151">
        <f t="shared" si="169"/>
        <v>0</v>
      </c>
      <c r="AT214" s="650">
        <f>SUM(AS214:AS218)</f>
        <v>0</v>
      </c>
      <c r="AU214" s="653"/>
      <c r="AV214" s="653"/>
      <c r="AW214" s="40"/>
      <c r="AX214" s="653"/>
      <c r="AY214" s="633">
        <f>SUM(AV214:AX217)</f>
        <v>0</v>
      </c>
      <c r="AZ214" s="636">
        <v>0.25</v>
      </c>
      <c r="BA214" s="636">
        <f t="shared" si="171"/>
        <v>0</v>
      </c>
      <c r="BB214" s="657">
        <f>IF(
   COUNTIF(AU214:AU217,"SI")&gt;0,
   1.8,
   IF(
      COUNTIF(AV214:AV217,"SI")&gt;0,
      1.6,
      2
   )
)</f>
        <v>2</v>
      </c>
      <c r="BC214" s="667">
        <f t="shared" si="172"/>
        <v>0</v>
      </c>
      <c r="BD214" s="663"/>
      <c r="BE214" s="668"/>
      <c r="BF214" s="120"/>
      <c r="BG214" s="120"/>
      <c r="BH214" s="120"/>
      <c r="BI214" s="120"/>
      <c r="BJ214" s="120"/>
      <c r="BK214" s="661"/>
      <c r="BL214" s="118"/>
      <c r="BM214" s="663"/>
      <c r="BN214" s="684"/>
      <c r="BO214" s="122"/>
      <c r="BP214" s="663"/>
      <c r="BQ214" s="663"/>
      <c r="BR214" s="663"/>
      <c r="BS214" s="663"/>
      <c r="BT214" s="118"/>
      <c r="BU214" s="663"/>
      <c r="BV214" s="663"/>
      <c r="BW214" s="118"/>
      <c r="BX214" s="118"/>
      <c r="BY214" s="118"/>
      <c r="BZ214" s="118"/>
      <c r="CA214" s="118"/>
      <c r="CB214" s="118"/>
      <c r="CC214" s="118"/>
      <c r="CD214" s="118"/>
      <c r="CE214" s="118"/>
      <c r="CF214" s="118"/>
      <c r="CG214" s="118"/>
      <c r="CH214" s="118"/>
      <c r="CI214" s="118"/>
      <c r="CJ214" s="118"/>
      <c r="CK214" s="118"/>
      <c r="CL214" s="118"/>
      <c r="CM214" s="118"/>
      <c r="CN214" s="92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94"/>
      <c r="DD214" s="118"/>
      <c r="DE214" s="118"/>
      <c r="DF214" s="118"/>
      <c r="DG214" s="118"/>
      <c r="DH214" s="118"/>
      <c r="DI214" s="118"/>
      <c r="DJ214" s="118"/>
      <c r="DK214" s="118"/>
      <c r="DL214" s="118"/>
      <c r="DM214" s="118"/>
      <c r="DN214" s="118"/>
      <c r="DO214" s="118"/>
      <c r="DP214" s="118"/>
      <c r="DQ214" s="118"/>
      <c r="DR214" s="118"/>
      <c r="DS214" s="118"/>
      <c r="DT214" s="118"/>
      <c r="DU214" s="178"/>
      <c r="DV214" s="178"/>
      <c r="DW214" s="178"/>
      <c r="DX214" s="178"/>
      <c r="DY214" s="178"/>
      <c r="DZ214" s="178"/>
    </row>
    <row r="215" spans="1:130" ht="12.75" x14ac:dyDescent="0.2">
      <c r="A215" s="647"/>
      <c r="B215" s="670"/>
      <c r="C215" s="40"/>
      <c r="D215" s="40"/>
      <c r="E215" s="40"/>
      <c r="F215" s="40"/>
      <c r="G215" s="40"/>
      <c r="H215" s="634"/>
      <c r="I215" s="150">
        <f t="shared" si="170"/>
        <v>0</v>
      </c>
      <c r="J215" s="634"/>
      <c r="K215" s="40"/>
      <c r="L215" s="40"/>
      <c r="M215" s="634"/>
      <c r="N215" s="634"/>
      <c r="O215" s="634"/>
      <c r="P215" s="634"/>
      <c r="Q215" s="634"/>
      <c r="R215" s="634"/>
      <c r="S215" s="659"/>
      <c r="T215" s="647"/>
      <c r="U215" s="40"/>
      <c r="V215" s="31">
        <v>767</v>
      </c>
      <c r="W215" s="31">
        <v>10504</v>
      </c>
      <c r="X215" s="31">
        <v>11000</v>
      </c>
      <c r="Y215" s="31">
        <v>0</v>
      </c>
      <c r="Z215" s="634"/>
      <c r="AA215" s="51">
        <f t="shared" si="168"/>
        <v>496</v>
      </c>
      <c r="AB215" s="634"/>
      <c r="AC215" s="152" t="s">
        <v>51</v>
      </c>
      <c r="AD215" s="31" t="s">
        <v>51</v>
      </c>
      <c r="AE215" s="634"/>
      <c r="AF215" s="634"/>
      <c r="AG215" s="634"/>
      <c r="AH215" s="634"/>
      <c r="AI215" s="634"/>
      <c r="AJ215" s="634"/>
      <c r="AK215" s="659"/>
      <c r="AL215" s="647"/>
      <c r="AM215" s="40"/>
      <c r="AN215" s="40"/>
      <c r="AO215" s="40"/>
      <c r="AP215" s="40"/>
      <c r="AQ215" s="40"/>
      <c r="AR215" s="634"/>
      <c r="AS215" s="151">
        <f t="shared" si="169"/>
        <v>0</v>
      </c>
      <c r="AT215" s="634"/>
      <c r="AU215" s="634"/>
      <c r="AV215" s="634"/>
      <c r="AW215" s="40"/>
      <c r="AX215" s="634"/>
      <c r="AY215" s="634"/>
      <c r="AZ215" s="634"/>
      <c r="BA215" s="634"/>
      <c r="BB215" s="634"/>
      <c r="BC215" s="634"/>
      <c r="BD215" s="662"/>
      <c r="BE215" s="662"/>
      <c r="BF215" s="117"/>
      <c r="BG215" s="117"/>
      <c r="BH215" s="117"/>
      <c r="BI215" s="117"/>
      <c r="BJ215" s="117"/>
      <c r="BK215" s="662"/>
      <c r="BL215" s="118"/>
      <c r="BM215" s="662"/>
      <c r="BN215" s="662"/>
      <c r="BO215" s="122"/>
      <c r="BP215" s="662"/>
      <c r="BQ215" s="662"/>
      <c r="BR215" s="662"/>
      <c r="BS215" s="662"/>
      <c r="BT215" s="118"/>
      <c r="BU215" s="662"/>
      <c r="BV215" s="662"/>
      <c r="BW215" s="118"/>
      <c r="BX215" s="118"/>
      <c r="BY215" s="118"/>
      <c r="BZ215" s="118"/>
      <c r="CA215" s="118"/>
      <c r="CB215" s="118"/>
      <c r="CC215" s="118"/>
      <c r="CD215" s="118"/>
      <c r="CE215" s="118"/>
      <c r="CF215" s="118"/>
      <c r="CG215" s="118"/>
      <c r="CH215" s="118"/>
      <c r="CI215" s="118"/>
      <c r="CJ215" s="118"/>
      <c r="CK215" s="118"/>
      <c r="CL215" s="118"/>
      <c r="CM215" s="118"/>
      <c r="CN215" s="92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94"/>
      <c r="DD215" s="118"/>
      <c r="DE215" s="118"/>
      <c r="DF215" s="118"/>
      <c r="DG215" s="118"/>
      <c r="DH215" s="118"/>
      <c r="DI215" s="118"/>
      <c r="DJ215" s="118"/>
      <c r="DK215" s="118"/>
      <c r="DL215" s="118"/>
      <c r="DM215" s="118"/>
      <c r="DN215" s="118"/>
      <c r="DO215" s="118"/>
      <c r="DP215" s="118"/>
      <c r="DQ215" s="118"/>
      <c r="DR215" s="118"/>
      <c r="DS215" s="118"/>
      <c r="DT215" s="118"/>
      <c r="DU215" s="178"/>
      <c r="DV215" s="178"/>
      <c r="DW215" s="178"/>
      <c r="DX215" s="178"/>
      <c r="DY215" s="178"/>
      <c r="DZ215" s="178"/>
    </row>
    <row r="216" spans="1:130" ht="12.75" x14ac:dyDescent="0.2">
      <c r="A216" s="647"/>
      <c r="B216" s="670"/>
      <c r="C216" s="40"/>
      <c r="D216" s="40"/>
      <c r="E216" s="40"/>
      <c r="F216" s="40"/>
      <c r="G216" s="40"/>
      <c r="H216" s="634"/>
      <c r="I216" s="150">
        <f t="shared" si="170"/>
        <v>0</v>
      </c>
      <c r="J216" s="634"/>
      <c r="K216" s="40"/>
      <c r="L216" s="40"/>
      <c r="M216" s="634"/>
      <c r="N216" s="634"/>
      <c r="O216" s="634"/>
      <c r="P216" s="634"/>
      <c r="Q216" s="634"/>
      <c r="R216" s="634"/>
      <c r="S216" s="659"/>
      <c r="T216" s="647"/>
      <c r="U216" s="40"/>
      <c r="V216" s="31">
        <v>768</v>
      </c>
      <c r="W216" s="31">
        <v>11001</v>
      </c>
      <c r="X216" s="31">
        <v>11202</v>
      </c>
      <c r="Y216" s="31">
        <v>0</v>
      </c>
      <c r="Z216" s="634"/>
      <c r="AA216" s="51">
        <f t="shared" si="168"/>
        <v>201</v>
      </c>
      <c r="AB216" s="634"/>
      <c r="AC216" s="31" t="s">
        <v>51</v>
      </c>
      <c r="AD216" s="31" t="s">
        <v>51</v>
      </c>
      <c r="AE216" s="634"/>
      <c r="AF216" s="634"/>
      <c r="AG216" s="634"/>
      <c r="AH216" s="634"/>
      <c r="AI216" s="634"/>
      <c r="AJ216" s="634"/>
      <c r="AK216" s="659"/>
      <c r="AL216" s="647"/>
      <c r="AM216" s="40"/>
      <c r="AN216" s="40"/>
      <c r="AO216" s="40"/>
      <c r="AP216" s="40"/>
      <c r="AQ216" s="40"/>
      <c r="AR216" s="634"/>
      <c r="AS216" s="151">
        <f t="shared" si="169"/>
        <v>0</v>
      </c>
      <c r="AT216" s="635"/>
      <c r="AU216" s="635"/>
      <c r="AV216" s="635"/>
      <c r="AW216" s="40"/>
      <c r="AX216" s="634"/>
      <c r="AY216" s="634"/>
      <c r="AZ216" s="634"/>
      <c r="BA216" s="634"/>
      <c r="BB216" s="634"/>
      <c r="BC216" s="635"/>
      <c r="BD216" s="121"/>
      <c r="BE216" s="119"/>
      <c r="BF216" s="121"/>
      <c r="BG216" s="121"/>
      <c r="BH216" s="121"/>
      <c r="BI216" s="121"/>
      <c r="BJ216" s="121"/>
      <c r="BK216" s="121"/>
      <c r="BL216" s="121"/>
      <c r="BM216" s="121"/>
      <c r="BN216" s="121"/>
      <c r="BO216" s="121"/>
      <c r="BP216" s="121"/>
      <c r="BQ216" s="121"/>
      <c r="BR216" s="121"/>
      <c r="BS216" s="121"/>
      <c r="BT216" s="121"/>
      <c r="BU216" s="121"/>
      <c r="BV216" s="121"/>
      <c r="BW216" s="118"/>
      <c r="BX216" s="118"/>
      <c r="BY216" s="118"/>
      <c r="BZ216" s="118"/>
      <c r="CA216" s="118"/>
      <c r="CB216" s="118"/>
      <c r="CC216" s="118"/>
      <c r="CD216" s="118"/>
      <c r="CE216" s="118"/>
      <c r="CF216" s="118"/>
      <c r="CG216" s="118"/>
      <c r="CH216" s="118"/>
      <c r="CI216" s="118"/>
      <c r="CJ216" s="118"/>
      <c r="CK216" s="118"/>
      <c r="CL216" s="118"/>
      <c r="CM216" s="118"/>
      <c r="CN216" s="92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94"/>
      <c r="DD216" s="118"/>
      <c r="DE216" s="118"/>
      <c r="DF216" s="118"/>
      <c r="DG216" s="118"/>
      <c r="DH216" s="118"/>
      <c r="DI216" s="118"/>
      <c r="DJ216" s="118"/>
      <c r="DK216" s="118"/>
      <c r="DL216" s="118"/>
      <c r="DM216" s="118"/>
      <c r="DN216" s="118"/>
      <c r="DO216" s="118"/>
      <c r="DP216" s="118"/>
      <c r="DQ216" s="118"/>
      <c r="DR216" s="118"/>
      <c r="DS216" s="118"/>
      <c r="DT216" s="118"/>
      <c r="DU216" s="178"/>
      <c r="DV216" s="178"/>
      <c r="DW216" s="178"/>
      <c r="DX216" s="178"/>
      <c r="DY216" s="178"/>
      <c r="DZ216" s="178"/>
    </row>
    <row r="217" spans="1:130" ht="12.75" x14ac:dyDescent="0.2">
      <c r="A217" s="647"/>
      <c r="B217" s="671"/>
      <c r="C217" s="40"/>
      <c r="D217" s="40"/>
      <c r="E217" s="40"/>
      <c r="F217" s="40"/>
      <c r="G217" s="40"/>
      <c r="H217" s="635"/>
      <c r="I217" s="150">
        <f t="shared" si="170"/>
        <v>0</v>
      </c>
      <c r="J217" s="635"/>
      <c r="K217" s="40"/>
      <c r="L217" s="40"/>
      <c r="M217" s="635"/>
      <c r="N217" s="635"/>
      <c r="O217" s="635"/>
      <c r="P217" s="635"/>
      <c r="Q217" s="635"/>
      <c r="R217" s="635"/>
      <c r="S217" s="660"/>
      <c r="T217" s="648"/>
      <c r="U217" s="40"/>
      <c r="V217" s="40"/>
      <c r="W217" s="40"/>
      <c r="X217" s="40"/>
      <c r="Y217" s="40"/>
      <c r="Z217" s="635"/>
      <c r="AA217" s="51">
        <f t="shared" si="168"/>
        <v>0</v>
      </c>
      <c r="AB217" s="634"/>
      <c r="AC217" s="40"/>
      <c r="AD217" s="40"/>
      <c r="AE217" s="634"/>
      <c r="AF217" s="635"/>
      <c r="AG217" s="635"/>
      <c r="AH217" s="635"/>
      <c r="AI217" s="634"/>
      <c r="AJ217" s="635"/>
      <c r="AK217" s="659"/>
      <c r="AL217" s="648"/>
      <c r="AM217" s="40"/>
      <c r="AN217" s="40"/>
      <c r="AO217" s="40"/>
      <c r="AP217" s="40"/>
      <c r="AQ217" s="40"/>
      <c r="AR217" s="635"/>
      <c r="AS217" s="151">
        <f t="shared" si="169"/>
        <v>0</v>
      </c>
      <c r="AT217" s="153"/>
      <c r="AU217" s="40"/>
      <c r="AV217" s="154"/>
      <c r="AW217" s="154"/>
      <c r="AX217" s="635"/>
      <c r="AY217" s="635"/>
      <c r="AZ217" s="635"/>
      <c r="BA217" s="154"/>
      <c r="BB217" s="635"/>
      <c r="BC217" s="155"/>
      <c r="BD217" s="133"/>
      <c r="BE217" s="668"/>
      <c r="BF217" s="118"/>
      <c r="BG217" s="118"/>
      <c r="BH217" s="118"/>
      <c r="BI217" s="118"/>
      <c r="BJ217" s="118"/>
      <c r="BK217" s="663"/>
      <c r="BL217" s="118"/>
      <c r="BM217" s="663"/>
      <c r="BN217" s="684"/>
      <c r="BO217" s="122"/>
      <c r="BP217" s="663"/>
      <c r="BQ217" s="663"/>
      <c r="BR217" s="663"/>
      <c r="BS217" s="663"/>
      <c r="BT217" s="118"/>
      <c r="BU217" s="663"/>
      <c r="BV217" s="663"/>
      <c r="BW217" s="118"/>
      <c r="BX217" s="118"/>
      <c r="BY217" s="118"/>
      <c r="BZ217" s="118"/>
      <c r="CA217" s="118"/>
      <c r="CB217" s="118"/>
      <c r="CC217" s="118"/>
      <c r="CD217" s="118"/>
      <c r="CE217" s="118"/>
      <c r="CF217" s="118"/>
      <c r="CG217" s="118"/>
      <c r="CH217" s="118"/>
      <c r="CI217" s="118"/>
      <c r="CJ217" s="118"/>
      <c r="CK217" s="118"/>
      <c r="CL217" s="118"/>
      <c r="CM217" s="118"/>
      <c r="CN217" s="92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94"/>
      <c r="DD217" s="118"/>
      <c r="DE217" s="118"/>
      <c r="DF217" s="118"/>
      <c r="DG217" s="118"/>
      <c r="DH217" s="118"/>
      <c r="DI217" s="118"/>
      <c r="DJ217" s="118"/>
      <c r="DK217" s="118"/>
      <c r="DL217" s="118"/>
      <c r="DM217" s="118"/>
      <c r="DN217" s="118"/>
      <c r="DO217" s="118"/>
      <c r="DP217" s="118"/>
      <c r="DQ217" s="118"/>
      <c r="DR217" s="118"/>
      <c r="DS217" s="118"/>
      <c r="DT217" s="118"/>
      <c r="DU217" s="19"/>
      <c r="DV217" s="19"/>
      <c r="DW217" s="19"/>
      <c r="DX217" s="19"/>
      <c r="DY217" s="19"/>
      <c r="DZ217" s="19"/>
    </row>
    <row r="218" spans="1:130" ht="12.75" x14ac:dyDescent="0.2">
      <c r="A218" s="647"/>
      <c r="B218" s="752">
        <v>46106</v>
      </c>
      <c r="C218" s="29"/>
      <c r="D218" s="29"/>
      <c r="E218" s="29"/>
      <c r="F218" s="29"/>
      <c r="G218" s="30"/>
      <c r="H218" s="649"/>
      <c r="I218" s="51">
        <f t="shared" si="170"/>
        <v>0</v>
      </c>
      <c r="J218" s="650">
        <f>SUM(I218:I221,H218)</f>
        <v>0</v>
      </c>
      <c r="K218" s="30"/>
      <c r="L218" s="30"/>
      <c r="M218" s="649"/>
      <c r="N218" s="649"/>
      <c r="O218" s="656">
        <f>SUM(M218:N221)</f>
        <v>0</v>
      </c>
      <c r="P218" s="649"/>
      <c r="Q218" s="644">
        <f>M218*60</f>
        <v>0</v>
      </c>
      <c r="R218" s="657">
        <f>IF(
   COUNTIF(K218:K221,"SI")&gt;0,
   1.8,
   IF(
      COUNTIF(L218:L221,"SI")&gt;0,
      1.6,
      2
   )
)</f>
        <v>2</v>
      </c>
      <c r="S218" s="658">
        <f>IF(Q218=0,0,J218/Q218)</f>
        <v>0</v>
      </c>
      <c r="T218" s="655">
        <v>46106</v>
      </c>
      <c r="U218" s="30"/>
      <c r="V218" s="28">
        <v>768</v>
      </c>
      <c r="W218" s="28">
        <v>11203</v>
      </c>
      <c r="X218" s="28">
        <v>11502</v>
      </c>
      <c r="Y218" s="29">
        <v>0</v>
      </c>
      <c r="Z218" s="640">
        <v>0</v>
      </c>
      <c r="AA218" s="51">
        <f t="shared" si="168"/>
        <v>299</v>
      </c>
      <c r="AB218" s="650">
        <f>SUM(AA218:AA221,Z218)</f>
        <v>916</v>
      </c>
      <c r="AC218" s="28"/>
      <c r="AD218" s="28"/>
      <c r="AE218" s="640">
        <v>7.5</v>
      </c>
      <c r="AF218" s="640">
        <v>0.5</v>
      </c>
      <c r="AG218" s="633">
        <f>SUM(AE218:AF221)</f>
        <v>8</v>
      </c>
      <c r="AH218" s="640">
        <v>0</v>
      </c>
      <c r="AI218" s="640">
        <f>AE218*60</f>
        <v>450</v>
      </c>
      <c r="AJ218" s="657">
        <f>IF(
   COUNTIF(AC218:AC221,"SI")&gt;0,
   1.8,
   IF(
      COUNTIF(AD218:AD221,"SI")&gt;0,
      1.6,
      2
   )
)</f>
        <v>2</v>
      </c>
      <c r="AK218" s="679">
        <f>AB218/AI218</f>
        <v>2.0355555555555553</v>
      </c>
      <c r="AL218" s="655">
        <v>46106</v>
      </c>
      <c r="AM218" s="30"/>
      <c r="AN218" s="40"/>
      <c r="AO218" s="40"/>
      <c r="AP218" s="40"/>
      <c r="AQ218" s="40"/>
      <c r="AR218" s="653"/>
      <c r="AS218" s="150">
        <f t="shared" si="169"/>
        <v>0</v>
      </c>
      <c r="AT218" s="650">
        <f>SUM(AS218:AS220,AR218)</f>
        <v>0</v>
      </c>
      <c r="AU218" s="653"/>
      <c r="AV218" s="653"/>
      <c r="AW218" s="40"/>
      <c r="AX218" s="653">
        <v>4.5</v>
      </c>
      <c r="AY218" s="633">
        <f>SUM(AV218:AX221)</f>
        <v>4.5</v>
      </c>
      <c r="AZ218" s="640">
        <v>0.25</v>
      </c>
      <c r="BA218" s="640">
        <f>AV218*60</f>
        <v>0</v>
      </c>
      <c r="BB218" s="657">
        <f>IF(
   COUNTIF(AU218:AU221,"SI")&gt;0,
   1.8,
   IF(
      COUNTIF(AV218:AV221,"SI")&gt;0,
      1.6,
      2
   )
)</f>
        <v>2</v>
      </c>
      <c r="BC218" s="666">
        <f>IF(BA218=0,0,AT218/BA218)</f>
        <v>0</v>
      </c>
      <c r="BD218" s="663"/>
      <c r="BE218" s="662"/>
      <c r="BF218" s="118"/>
      <c r="BG218" s="118"/>
      <c r="BH218" s="118"/>
      <c r="BI218" s="118"/>
      <c r="BJ218" s="118"/>
      <c r="BK218" s="662"/>
      <c r="BL218" s="118"/>
      <c r="BM218" s="662"/>
      <c r="BN218" s="662"/>
      <c r="BO218" s="122"/>
      <c r="BP218" s="662"/>
      <c r="BQ218" s="662"/>
      <c r="BR218" s="662"/>
      <c r="BS218" s="662"/>
      <c r="BT218" s="118"/>
      <c r="BU218" s="662"/>
      <c r="BV218" s="662"/>
      <c r="BW218" s="118"/>
      <c r="BX218" s="118"/>
      <c r="BY218" s="118"/>
      <c r="BZ218" s="118"/>
      <c r="CA218" s="118"/>
      <c r="CB218" s="118"/>
      <c r="CC218" s="118"/>
      <c r="CD218" s="118"/>
      <c r="CE218" s="118"/>
      <c r="CF218" s="118"/>
      <c r="CG218" s="118"/>
      <c r="CH218" s="118"/>
      <c r="CI218" s="118"/>
      <c r="CJ218" s="118"/>
      <c r="CK218" s="118"/>
      <c r="CL218" s="118"/>
      <c r="CM218" s="118"/>
      <c r="CN218" s="92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94"/>
      <c r="DD218" s="118"/>
      <c r="DE218" s="118"/>
      <c r="DF218" s="118"/>
      <c r="DG218" s="118"/>
      <c r="DH218" s="118"/>
      <c r="DI218" s="118"/>
      <c r="DJ218" s="118"/>
      <c r="DK218" s="118"/>
      <c r="DL218" s="118"/>
      <c r="DM218" s="118"/>
      <c r="DN218" s="118"/>
      <c r="DO218" s="118"/>
      <c r="DP218" s="118"/>
      <c r="DQ218" s="118"/>
      <c r="DR218" s="118"/>
      <c r="DS218" s="118"/>
      <c r="DT218" s="118"/>
      <c r="DU218" s="19"/>
      <c r="DV218" s="19"/>
      <c r="DW218" s="19"/>
      <c r="DX218" s="19"/>
      <c r="DY218" s="19"/>
      <c r="DZ218" s="19"/>
    </row>
    <row r="219" spans="1:130" ht="15.75" customHeight="1" x14ac:dyDescent="0.2">
      <c r="A219" s="647"/>
      <c r="B219" s="670"/>
      <c r="C219" s="30"/>
      <c r="D219" s="30"/>
      <c r="E219" s="30"/>
      <c r="F219" s="30"/>
      <c r="G219" s="30"/>
      <c r="H219" s="634"/>
      <c r="I219" s="51">
        <f t="shared" si="170"/>
        <v>0</v>
      </c>
      <c r="J219" s="634"/>
      <c r="K219" s="30"/>
      <c r="L219" s="30"/>
      <c r="M219" s="634"/>
      <c r="N219" s="634"/>
      <c r="O219" s="634"/>
      <c r="P219" s="634"/>
      <c r="Q219" s="634"/>
      <c r="R219" s="634"/>
      <c r="S219" s="659"/>
      <c r="T219" s="647"/>
      <c r="U219" s="30"/>
      <c r="V219" s="28">
        <v>769</v>
      </c>
      <c r="W219" s="28">
        <v>11503</v>
      </c>
      <c r="X219" s="28">
        <v>12004</v>
      </c>
      <c r="Y219" s="29">
        <v>0</v>
      </c>
      <c r="Z219" s="634"/>
      <c r="AA219" s="51">
        <f t="shared" si="168"/>
        <v>501</v>
      </c>
      <c r="AB219" s="634"/>
      <c r="AC219" s="51"/>
      <c r="AD219" s="51"/>
      <c r="AE219" s="634"/>
      <c r="AF219" s="634"/>
      <c r="AG219" s="634"/>
      <c r="AH219" s="634"/>
      <c r="AI219" s="634"/>
      <c r="AJ219" s="634"/>
      <c r="AK219" s="659"/>
      <c r="AL219" s="647"/>
      <c r="AM219" s="30"/>
      <c r="AN219" s="40"/>
      <c r="AO219" s="40"/>
      <c r="AP219" s="40"/>
      <c r="AQ219" s="40"/>
      <c r="AR219" s="634"/>
      <c r="AS219" s="150">
        <f t="shared" si="169"/>
        <v>0</v>
      </c>
      <c r="AT219" s="634"/>
      <c r="AU219" s="634"/>
      <c r="AV219" s="634"/>
      <c r="AW219" s="40"/>
      <c r="AX219" s="634"/>
      <c r="AY219" s="634"/>
      <c r="AZ219" s="634"/>
      <c r="BA219" s="634"/>
      <c r="BB219" s="634"/>
      <c r="BC219" s="634"/>
      <c r="BD219" s="662"/>
      <c r="BE219" s="662"/>
      <c r="BF219" s="118"/>
      <c r="BG219" s="118"/>
      <c r="BH219" s="118"/>
      <c r="BI219" s="118"/>
      <c r="BJ219" s="118"/>
      <c r="BK219" s="662"/>
      <c r="BL219" s="118"/>
      <c r="BM219" s="662"/>
      <c r="BN219" s="662"/>
      <c r="BO219" s="122"/>
      <c r="BP219" s="662"/>
      <c r="BQ219" s="662"/>
      <c r="BR219" s="662"/>
      <c r="BS219" s="662"/>
      <c r="BT219" s="118"/>
      <c r="BU219" s="662"/>
      <c r="BV219" s="662"/>
      <c r="BW219" s="118"/>
      <c r="BX219" s="118"/>
      <c r="BY219" s="118"/>
      <c r="BZ219" s="118"/>
      <c r="CA219" s="118"/>
      <c r="CB219" s="118"/>
      <c r="CC219" s="118"/>
      <c r="CD219" s="118"/>
      <c r="CE219" s="118"/>
      <c r="CF219" s="118"/>
      <c r="CG219" s="118"/>
      <c r="CH219" s="118"/>
      <c r="CI219" s="118"/>
      <c r="CJ219" s="118"/>
      <c r="CK219" s="118"/>
      <c r="CL219" s="118"/>
      <c r="CM219" s="118"/>
      <c r="CN219" s="92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94"/>
      <c r="DD219" s="118"/>
      <c r="DE219" s="118"/>
      <c r="DF219" s="118"/>
      <c r="DG219" s="118"/>
      <c r="DH219" s="118"/>
      <c r="DI219" s="118"/>
      <c r="DJ219" s="118"/>
      <c r="DK219" s="118"/>
      <c r="DL219" s="118"/>
      <c r="DM219" s="118"/>
      <c r="DN219" s="118"/>
      <c r="DO219" s="118"/>
      <c r="DP219" s="118"/>
      <c r="DQ219" s="118"/>
      <c r="DR219" s="118"/>
      <c r="DS219" s="118"/>
      <c r="DT219" s="118"/>
      <c r="DU219" s="19"/>
      <c r="DV219" s="19"/>
      <c r="DW219" s="19"/>
      <c r="DX219" s="19"/>
      <c r="DY219" s="19"/>
      <c r="DZ219" s="19"/>
    </row>
    <row r="220" spans="1:130" ht="12.75" x14ac:dyDescent="0.2">
      <c r="A220" s="647"/>
      <c r="B220" s="670"/>
      <c r="C220" s="30"/>
      <c r="D220" s="30"/>
      <c r="E220" s="30"/>
      <c r="F220" s="30"/>
      <c r="G220" s="30"/>
      <c r="H220" s="634"/>
      <c r="I220" s="51">
        <f t="shared" si="170"/>
        <v>0</v>
      </c>
      <c r="J220" s="634"/>
      <c r="K220" s="30"/>
      <c r="L220" s="30"/>
      <c r="M220" s="634"/>
      <c r="N220" s="634"/>
      <c r="O220" s="634"/>
      <c r="P220" s="634"/>
      <c r="Q220" s="634"/>
      <c r="R220" s="634"/>
      <c r="S220" s="659"/>
      <c r="T220" s="647"/>
      <c r="U220" s="30"/>
      <c r="V220" s="28">
        <v>770</v>
      </c>
      <c r="W220" s="28">
        <v>12005</v>
      </c>
      <c r="X220" s="28">
        <v>12121</v>
      </c>
      <c r="Y220" s="29">
        <v>0</v>
      </c>
      <c r="Z220" s="634"/>
      <c r="AA220" s="51">
        <f t="shared" si="168"/>
        <v>116</v>
      </c>
      <c r="AB220" s="634"/>
      <c r="AC220" s="51"/>
      <c r="AD220" s="51"/>
      <c r="AE220" s="634"/>
      <c r="AF220" s="634"/>
      <c r="AG220" s="634"/>
      <c r="AH220" s="634"/>
      <c r="AI220" s="634"/>
      <c r="AJ220" s="634"/>
      <c r="AK220" s="659"/>
      <c r="AL220" s="647"/>
      <c r="AM220" s="30"/>
      <c r="AN220" s="40"/>
      <c r="AO220" s="40"/>
      <c r="AP220" s="40"/>
      <c r="AQ220" s="40"/>
      <c r="AR220" s="634"/>
      <c r="AS220" s="150">
        <f t="shared" si="169"/>
        <v>0</v>
      </c>
      <c r="AT220" s="635"/>
      <c r="AU220" s="635"/>
      <c r="AV220" s="635"/>
      <c r="AW220" s="40"/>
      <c r="AX220" s="634"/>
      <c r="AY220" s="634"/>
      <c r="AZ220" s="634"/>
      <c r="BA220" s="634"/>
      <c r="BB220" s="634"/>
      <c r="BC220" s="634"/>
      <c r="BD220" s="133"/>
      <c r="BE220" s="662"/>
      <c r="BF220" s="118"/>
      <c r="BG220" s="118"/>
      <c r="BH220" s="118"/>
      <c r="BI220" s="118"/>
      <c r="BJ220" s="118"/>
      <c r="BK220" s="662"/>
      <c r="BL220" s="118"/>
      <c r="BM220" s="662"/>
      <c r="BN220" s="662"/>
      <c r="BO220" s="122"/>
      <c r="BP220" s="662"/>
      <c r="BQ220" s="662"/>
      <c r="BR220" s="662"/>
      <c r="BS220" s="662"/>
      <c r="BT220" s="118"/>
      <c r="BU220" s="662"/>
      <c r="BV220" s="662"/>
      <c r="BW220" s="118"/>
      <c r="BX220" s="118"/>
      <c r="BY220" s="118"/>
      <c r="BZ220" s="118"/>
      <c r="CA220" s="118"/>
      <c r="CB220" s="118"/>
      <c r="CC220" s="118"/>
      <c r="CD220" s="118"/>
      <c r="CE220" s="118"/>
      <c r="CF220" s="118"/>
      <c r="CG220" s="118"/>
      <c r="CH220" s="118"/>
      <c r="CI220" s="118"/>
      <c r="CJ220" s="118"/>
      <c r="CK220" s="118"/>
      <c r="CL220" s="118"/>
      <c r="CM220" s="118"/>
      <c r="CN220" s="92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94"/>
      <c r="DD220" s="118"/>
      <c r="DE220" s="118"/>
      <c r="DF220" s="118"/>
      <c r="DG220" s="118"/>
      <c r="DH220" s="118"/>
      <c r="DI220" s="118"/>
      <c r="DJ220" s="118"/>
      <c r="DK220" s="118"/>
      <c r="DL220" s="118"/>
      <c r="DM220" s="118"/>
      <c r="DN220" s="118"/>
      <c r="DO220" s="118"/>
      <c r="DP220" s="118"/>
      <c r="DQ220" s="118"/>
      <c r="DR220" s="118"/>
      <c r="DS220" s="118"/>
      <c r="DT220" s="118"/>
      <c r="DU220" s="19"/>
      <c r="DV220" s="19"/>
      <c r="DW220" s="19"/>
      <c r="DX220" s="19"/>
      <c r="DY220" s="19"/>
      <c r="DZ220" s="19"/>
    </row>
    <row r="221" spans="1:130" ht="12.75" x14ac:dyDescent="0.2">
      <c r="A221" s="647"/>
      <c r="B221" s="671"/>
      <c r="C221" s="30"/>
      <c r="D221" s="30"/>
      <c r="E221" s="30"/>
      <c r="F221" s="30"/>
      <c r="G221" s="30"/>
      <c r="H221" s="635"/>
      <c r="I221" s="51">
        <f t="shared" si="170"/>
        <v>0</v>
      </c>
      <c r="J221" s="635"/>
      <c r="K221" s="30"/>
      <c r="L221" s="30"/>
      <c r="M221" s="635"/>
      <c r="N221" s="635"/>
      <c r="O221" s="635"/>
      <c r="P221" s="635"/>
      <c r="Q221" s="635"/>
      <c r="R221" s="635"/>
      <c r="S221" s="660"/>
      <c r="T221" s="648"/>
      <c r="U221" s="30"/>
      <c r="V221" s="30"/>
      <c r="W221" s="30"/>
      <c r="X221" s="30"/>
      <c r="Y221" s="30"/>
      <c r="Z221" s="635"/>
      <c r="AA221" s="51">
        <f t="shared" si="168"/>
        <v>0</v>
      </c>
      <c r="AB221" s="635"/>
      <c r="AC221" s="30"/>
      <c r="AD221" s="30"/>
      <c r="AE221" s="635"/>
      <c r="AF221" s="635"/>
      <c r="AG221" s="635"/>
      <c r="AH221" s="635"/>
      <c r="AI221" s="634"/>
      <c r="AJ221" s="635"/>
      <c r="AK221" s="659"/>
      <c r="AL221" s="648"/>
      <c r="AM221" s="30"/>
      <c r="AN221" s="40"/>
      <c r="AO221" s="40"/>
      <c r="AP221" s="40"/>
      <c r="AQ221" s="40"/>
      <c r="AR221" s="635"/>
      <c r="AS221" s="150">
        <f t="shared" si="169"/>
        <v>0</v>
      </c>
      <c r="AT221" s="153"/>
      <c r="AU221" s="40"/>
      <c r="AV221" s="154"/>
      <c r="AW221" s="154"/>
      <c r="AX221" s="635"/>
      <c r="AY221" s="635"/>
      <c r="AZ221" s="635"/>
      <c r="BA221" s="635"/>
      <c r="BB221" s="635"/>
      <c r="BC221" s="635"/>
      <c r="BD221" s="663"/>
      <c r="BE221" s="668"/>
      <c r="BF221" s="118"/>
      <c r="BG221" s="118"/>
      <c r="BH221" s="118"/>
      <c r="BI221" s="118"/>
      <c r="BJ221" s="118"/>
      <c r="BK221" s="663"/>
      <c r="BL221" s="118"/>
      <c r="BM221" s="663"/>
      <c r="BN221" s="684"/>
      <c r="BO221" s="179"/>
      <c r="BP221" s="663"/>
      <c r="BQ221" s="663"/>
      <c r="BR221" s="663"/>
      <c r="BS221" s="663"/>
      <c r="BT221" s="118"/>
      <c r="BU221" s="663"/>
      <c r="BV221" s="663"/>
      <c r="BW221" s="118"/>
      <c r="BX221" s="118"/>
      <c r="BY221" s="118"/>
      <c r="BZ221" s="118"/>
      <c r="CA221" s="118"/>
      <c r="CB221" s="118"/>
      <c r="CC221" s="118"/>
      <c r="CD221" s="118"/>
      <c r="CE221" s="118"/>
      <c r="CF221" s="118"/>
      <c r="CG221" s="118"/>
      <c r="CH221" s="118"/>
      <c r="CI221" s="118"/>
      <c r="CJ221" s="118"/>
      <c r="CK221" s="118"/>
      <c r="CL221" s="118"/>
      <c r="CM221" s="118"/>
      <c r="CN221" s="92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94"/>
      <c r="DD221" s="118"/>
      <c r="DE221" s="118"/>
      <c r="DF221" s="118"/>
      <c r="DG221" s="118"/>
      <c r="DH221" s="118"/>
      <c r="DI221" s="118"/>
      <c r="DJ221" s="118"/>
      <c r="DK221" s="118"/>
      <c r="DL221" s="118"/>
      <c r="DM221" s="118"/>
      <c r="DN221" s="118"/>
      <c r="DO221" s="118"/>
      <c r="DP221" s="118"/>
      <c r="DQ221" s="118"/>
      <c r="DR221" s="118"/>
      <c r="DS221" s="118"/>
      <c r="DT221" s="118"/>
      <c r="DU221" s="19"/>
      <c r="DV221" s="19"/>
      <c r="DW221" s="19"/>
      <c r="DX221" s="19"/>
      <c r="DY221" s="19"/>
      <c r="DZ221" s="19"/>
    </row>
    <row r="222" spans="1:130" ht="12.75" x14ac:dyDescent="0.2">
      <c r="A222" s="647"/>
      <c r="B222" s="751">
        <v>46107</v>
      </c>
      <c r="C222" s="40"/>
      <c r="D222" s="40"/>
      <c r="E222" s="40"/>
      <c r="F222" s="40"/>
      <c r="G222" s="142"/>
      <c r="H222" s="652"/>
      <c r="I222" s="150">
        <f t="shared" si="170"/>
        <v>0</v>
      </c>
      <c r="J222" s="650">
        <f>SUM(I222:I225,H222)</f>
        <v>0</v>
      </c>
      <c r="K222" s="40"/>
      <c r="L222" s="40"/>
      <c r="M222" s="653">
        <v>0</v>
      </c>
      <c r="N222" s="653"/>
      <c r="O222" s="633">
        <f>SUM(M222:N225)</f>
        <v>0</v>
      </c>
      <c r="P222" s="653"/>
      <c r="Q222" s="636">
        <f>M222*60</f>
        <v>0</v>
      </c>
      <c r="R222" s="657">
        <f>IF(
   COUNTIF(K222:K225,"SI")&gt;0,
   1.8,
   IF(
      COUNTIF(L222:L225,"SI")&gt;0,
      1.6,
      2
   )
)</f>
        <v>2</v>
      </c>
      <c r="S222" s="658">
        <f>IF(Q222=0,0,J222/Q222)</f>
        <v>0</v>
      </c>
      <c r="T222" s="646">
        <v>46107</v>
      </c>
      <c r="U222" s="40"/>
      <c r="V222" s="31"/>
      <c r="W222" s="40"/>
      <c r="X222" s="40"/>
      <c r="Y222" s="40"/>
      <c r="Z222" s="653"/>
      <c r="AA222" s="51">
        <f t="shared" si="168"/>
        <v>0</v>
      </c>
      <c r="AB222" s="650">
        <f>SUM(AA222:AA225,Z222)</f>
        <v>0</v>
      </c>
      <c r="AC222" s="40"/>
      <c r="AD222" s="40"/>
      <c r="AE222" s="653"/>
      <c r="AF222" s="636"/>
      <c r="AG222" s="633">
        <f>SUM(AE222:AF225)</f>
        <v>0</v>
      </c>
      <c r="AH222" s="636">
        <v>0</v>
      </c>
      <c r="AI222" s="636">
        <f>AE222*60</f>
        <v>0</v>
      </c>
      <c r="AJ222" s="657">
        <f>IF(
   COUNTIF(AC222:AC225,"SI")&gt;0,
   1.8,
   IF(
      COUNTIF(AD222:AD225,"SI")&gt;0,
      1.6,
      2
   )
)</f>
        <v>2</v>
      </c>
      <c r="AK222" s="658">
        <f>IF(AI222=0,0,AB222/AI222)</f>
        <v>0</v>
      </c>
      <c r="AL222" s="655">
        <v>46108</v>
      </c>
      <c r="AM222" s="28">
        <v>75</v>
      </c>
      <c r="AN222" s="28">
        <v>766</v>
      </c>
      <c r="AO222" s="28">
        <v>10189</v>
      </c>
      <c r="AP222" s="41">
        <v>10503</v>
      </c>
      <c r="AQ222" s="159"/>
      <c r="AR222" s="649"/>
      <c r="AS222" s="39">
        <f t="shared" si="169"/>
        <v>314</v>
      </c>
      <c r="AT222" s="650">
        <f>SUM(AS222:AS225)+AR222</f>
        <v>1153</v>
      </c>
      <c r="AU222" s="39"/>
      <c r="AV222" s="640">
        <v>7.5</v>
      </c>
      <c r="AW222" s="159"/>
      <c r="AX222" s="640">
        <v>1.25</v>
      </c>
      <c r="AY222" s="633">
        <f>SUM(AV222,AX222)</f>
        <v>8.75</v>
      </c>
      <c r="AZ222" s="636">
        <v>0.15</v>
      </c>
      <c r="BA222" s="636">
        <f>AV222*60</f>
        <v>450</v>
      </c>
      <c r="BB222" s="657">
        <f>IF(
   COUNTIF(AU222:AU225,"SI")&gt;0,
   1.8,
   IF(
      COUNTIF(AV222:AV225,"SI")&gt;0,
      1.6,
      2
   )
)</f>
        <v>2</v>
      </c>
      <c r="BC222" s="645">
        <f>IF(BA222=0,0,AT222/BA222)</f>
        <v>2.5622222222222222</v>
      </c>
      <c r="BD222" s="662"/>
      <c r="BE222" s="662"/>
      <c r="BF222" s="118"/>
      <c r="BG222" s="118"/>
      <c r="BH222" s="118"/>
      <c r="BI222" s="118"/>
      <c r="BJ222" s="118"/>
      <c r="BK222" s="662"/>
      <c r="BL222" s="118"/>
      <c r="BM222" s="662"/>
      <c r="BN222" s="662"/>
      <c r="BO222" s="179"/>
      <c r="BP222" s="662"/>
      <c r="BQ222" s="662"/>
      <c r="BR222" s="662"/>
      <c r="BS222" s="662"/>
      <c r="BT222" s="118"/>
      <c r="BU222" s="662"/>
      <c r="BV222" s="662"/>
      <c r="BW222" s="118"/>
      <c r="BX222" s="118"/>
      <c r="BY222" s="118"/>
      <c r="BZ222" s="118"/>
      <c r="CA222" s="118"/>
      <c r="CB222" s="118"/>
      <c r="CC222" s="118"/>
      <c r="CD222" s="118"/>
      <c r="CE222" s="118"/>
      <c r="CF222" s="118"/>
      <c r="CG222" s="118"/>
      <c r="CH222" s="118"/>
      <c r="CI222" s="118"/>
      <c r="CJ222" s="118"/>
      <c r="CK222" s="118"/>
      <c r="CL222" s="118"/>
      <c r="CM222" s="118"/>
      <c r="CN222" s="92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94"/>
      <c r="DD222" s="118"/>
      <c r="DE222" s="118"/>
      <c r="DF222" s="118"/>
      <c r="DG222" s="118"/>
      <c r="DH222" s="118"/>
      <c r="DI222" s="118"/>
      <c r="DJ222" s="118"/>
      <c r="DK222" s="118"/>
      <c r="DL222" s="118"/>
      <c r="DM222" s="118"/>
      <c r="DN222" s="118"/>
      <c r="DO222" s="118"/>
      <c r="DP222" s="118"/>
      <c r="DQ222" s="118"/>
      <c r="DR222" s="118"/>
      <c r="DS222" s="118"/>
      <c r="DT222" s="118"/>
      <c r="DU222" s="19"/>
      <c r="DV222" s="19"/>
      <c r="DW222" s="19"/>
      <c r="DX222" s="19"/>
      <c r="DY222" s="19"/>
      <c r="DZ222" s="19"/>
    </row>
    <row r="223" spans="1:130" ht="12.75" x14ac:dyDescent="0.2">
      <c r="A223" s="647"/>
      <c r="B223" s="670"/>
      <c r="C223" s="40"/>
      <c r="D223" s="40"/>
      <c r="E223" s="40"/>
      <c r="F223" s="40"/>
      <c r="G223" s="40"/>
      <c r="H223" s="634"/>
      <c r="I223" s="150">
        <f t="shared" si="170"/>
        <v>0</v>
      </c>
      <c r="J223" s="634"/>
      <c r="K223" s="40"/>
      <c r="L223" s="40"/>
      <c r="M223" s="634"/>
      <c r="N223" s="634"/>
      <c r="O223" s="634"/>
      <c r="P223" s="634"/>
      <c r="Q223" s="634"/>
      <c r="R223" s="634"/>
      <c r="S223" s="659"/>
      <c r="T223" s="647"/>
      <c r="U223" s="40"/>
      <c r="V223" s="31"/>
      <c r="W223" s="40"/>
      <c r="X223" s="40"/>
      <c r="Y223" s="40"/>
      <c r="Z223" s="634"/>
      <c r="AA223" s="51">
        <f t="shared" si="168"/>
        <v>0</v>
      </c>
      <c r="AB223" s="634"/>
      <c r="AC223" s="40"/>
      <c r="AD223" s="40"/>
      <c r="AE223" s="634"/>
      <c r="AF223" s="634"/>
      <c r="AG223" s="634"/>
      <c r="AH223" s="634"/>
      <c r="AI223" s="634"/>
      <c r="AJ223" s="634"/>
      <c r="AK223" s="659"/>
      <c r="AL223" s="647"/>
      <c r="AM223" s="28">
        <v>26</v>
      </c>
      <c r="AN223" s="28">
        <v>771</v>
      </c>
      <c r="AO223" s="28">
        <v>12504</v>
      </c>
      <c r="AP223" s="28">
        <v>12628</v>
      </c>
      <c r="AQ223" s="30"/>
      <c r="AR223" s="634"/>
      <c r="AS223" s="51">
        <f t="shared" si="169"/>
        <v>124</v>
      </c>
      <c r="AT223" s="634"/>
      <c r="AU223" s="150"/>
      <c r="AV223" s="634"/>
      <c r="AW223" s="51"/>
      <c r="AX223" s="634"/>
      <c r="AY223" s="634"/>
      <c r="AZ223" s="634"/>
      <c r="BA223" s="634"/>
      <c r="BB223" s="634"/>
      <c r="BC223" s="634"/>
      <c r="BD223" s="662"/>
      <c r="BE223" s="662"/>
      <c r="BF223" s="118"/>
      <c r="BG223" s="118"/>
      <c r="BH223" s="118"/>
      <c r="BI223" s="118"/>
      <c r="BJ223" s="118"/>
      <c r="BK223" s="662"/>
      <c r="BL223" s="118"/>
      <c r="BM223" s="662"/>
      <c r="BN223" s="662"/>
      <c r="BO223" s="179"/>
      <c r="BP223" s="662"/>
      <c r="BQ223" s="662"/>
      <c r="BR223" s="662"/>
      <c r="BS223" s="662"/>
      <c r="BT223" s="118"/>
      <c r="BU223" s="662"/>
      <c r="BV223" s="662"/>
      <c r="BW223" s="118"/>
      <c r="BX223" s="118"/>
      <c r="BY223" s="118"/>
      <c r="BZ223" s="118"/>
      <c r="CA223" s="118"/>
      <c r="CB223" s="118"/>
      <c r="CC223" s="118"/>
      <c r="CD223" s="118"/>
      <c r="CE223" s="118"/>
      <c r="CF223" s="118"/>
      <c r="CG223" s="118"/>
      <c r="CH223" s="118"/>
      <c r="CI223" s="118"/>
      <c r="CJ223" s="118"/>
      <c r="CK223" s="118"/>
      <c r="CL223" s="118"/>
      <c r="CM223" s="118"/>
      <c r="CN223" s="92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94"/>
      <c r="DD223" s="118"/>
      <c r="DE223" s="118"/>
      <c r="DF223" s="118"/>
      <c r="DG223" s="118"/>
      <c r="DH223" s="118"/>
      <c r="DI223" s="118"/>
      <c r="DJ223" s="118"/>
      <c r="DK223" s="118"/>
      <c r="DL223" s="118"/>
      <c r="DM223" s="118"/>
      <c r="DN223" s="118"/>
      <c r="DO223" s="118"/>
      <c r="DP223" s="118"/>
      <c r="DQ223" s="118"/>
      <c r="DR223" s="118"/>
      <c r="DS223" s="118"/>
      <c r="DT223" s="118"/>
      <c r="DU223" s="19"/>
      <c r="DV223" s="19"/>
      <c r="DW223" s="19"/>
      <c r="DX223" s="19"/>
      <c r="DY223" s="19"/>
      <c r="DZ223" s="19"/>
    </row>
    <row r="224" spans="1:130" ht="12.75" x14ac:dyDescent="0.2">
      <c r="A224" s="647"/>
      <c r="B224" s="670"/>
      <c r="C224" s="40"/>
      <c r="D224" s="160"/>
      <c r="E224" s="160"/>
      <c r="F224" s="160"/>
      <c r="G224" s="160"/>
      <c r="H224" s="634"/>
      <c r="I224" s="39">
        <f t="shared" si="170"/>
        <v>0</v>
      </c>
      <c r="J224" s="634"/>
      <c r="K224" s="40"/>
      <c r="L224" s="40"/>
      <c r="M224" s="634"/>
      <c r="N224" s="634"/>
      <c r="O224" s="634"/>
      <c r="P224" s="634"/>
      <c r="Q224" s="634"/>
      <c r="R224" s="634"/>
      <c r="S224" s="659"/>
      <c r="T224" s="647"/>
      <c r="U224" s="40"/>
      <c r="V224" s="31"/>
      <c r="W224" s="40"/>
      <c r="X224" s="40"/>
      <c r="Y224" s="40"/>
      <c r="Z224" s="634"/>
      <c r="AA224" s="51">
        <f t="shared" si="168"/>
        <v>0</v>
      </c>
      <c r="AB224" s="634"/>
      <c r="AC224" s="40"/>
      <c r="AD224" s="40"/>
      <c r="AE224" s="634"/>
      <c r="AF224" s="634"/>
      <c r="AG224" s="634"/>
      <c r="AH224" s="634"/>
      <c r="AI224" s="634"/>
      <c r="AJ224" s="634"/>
      <c r="AK224" s="659"/>
      <c r="AL224" s="647"/>
      <c r="AM224" s="41">
        <v>117</v>
      </c>
      <c r="AN224" s="41">
        <v>727</v>
      </c>
      <c r="AO224" s="41">
        <v>1</v>
      </c>
      <c r="AP224" s="41">
        <v>505</v>
      </c>
      <c r="AQ224" s="48"/>
      <c r="AR224" s="634"/>
      <c r="AS224" s="51">
        <f t="shared" si="169"/>
        <v>504</v>
      </c>
      <c r="AT224" s="634"/>
      <c r="AU224" s="145"/>
      <c r="AV224" s="634"/>
      <c r="AW224" s="145"/>
      <c r="AX224" s="634"/>
      <c r="AY224" s="634"/>
      <c r="AZ224" s="634"/>
      <c r="BA224" s="634"/>
      <c r="BB224" s="634"/>
      <c r="BC224" s="634"/>
      <c r="BD224" s="118"/>
      <c r="BE224" s="668"/>
      <c r="BF224" s="663"/>
      <c r="BG224" s="662"/>
      <c r="BH224" s="662"/>
      <c r="BI224" s="662"/>
      <c r="BJ224" s="662"/>
      <c r="BK224" s="662"/>
      <c r="BL224" s="662"/>
      <c r="BM224" s="662"/>
      <c r="BN224" s="662"/>
      <c r="BO224" s="662"/>
      <c r="BP224" s="662"/>
      <c r="BQ224" s="662"/>
      <c r="BR224" s="662"/>
      <c r="BS224" s="662"/>
      <c r="BT224" s="662"/>
      <c r="BU224" s="662"/>
      <c r="BV224" s="662"/>
      <c r="BW224" s="118"/>
      <c r="BX224" s="118"/>
      <c r="BY224" s="118"/>
      <c r="BZ224" s="118"/>
      <c r="CA224" s="118"/>
      <c r="CB224" s="118"/>
      <c r="CC224" s="118"/>
      <c r="CD224" s="118"/>
      <c r="CE224" s="118"/>
      <c r="CF224" s="118"/>
      <c r="CG224" s="118"/>
      <c r="CH224" s="118"/>
      <c r="CI224" s="118"/>
      <c r="CJ224" s="118"/>
      <c r="CK224" s="118"/>
      <c r="CL224" s="118"/>
      <c r="CM224" s="118"/>
      <c r="CN224" s="92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94"/>
      <c r="DD224" s="118"/>
      <c r="DE224" s="118"/>
      <c r="DF224" s="118"/>
      <c r="DG224" s="118"/>
      <c r="DH224" s="118"/>
      <c r="DI224" s="118"/>
      <c r="DJ224" s="118"/>
      <c r="DK224" s="118"/>
      <c r="DL224" s="118"/>
      <c r="DM224" s="118"/>
      <c r="DN224" s="118"/>
      <c r="DO224" s="118"/>
      <c r="DP224" s="118"/>
      <c r="DQ224" s="118"/>
      <c r="DR224" s="118"/>
      <c r="DS224" s="118"/>
      <c r="DT224" s="118"/>
      <c r="DU224" s="19"/>
      <c r="DV224" s="19"/>
      <c r="DW224" s="19"/>
      <c r="DX224" s="19"/>
      <c r="DY224" s="19"/>
      <c r="DZ224" s="19"/>
    </row>
    <row r="225" spans="1:130" ht="12.75" x14ac:dyDescent="0.2">
      <c r="A225" s="647"/>
      <c r="B225" s="671"/>
      <c r="C225" s="40"/>
      <c r="D225" s="160"/>
      <c r="E225" s="160"/>
      <c r="F225" s="160"/>
      <c r="G225" s="160"/>
      <c r="H225" s="635"/>
      <c r="I225" s="39">
        <f t="shared" si="170"/>
        <v>0</v>
      </c>
      <c r="J225" s="635"/>
      <c r="K225" s="40"/>
      <c r="L225" s="40"/>
      <c r="M225" s="635"/>
      <c r="N225" s="635"/>
      <c r="O225" s="635"/>
      <c r="P225" s="635"/>
      <c r="Q225" s="635"/>
      <c r="R225" s="635"/>
      <c r="S225" s="660"/>
      <c r="T225" s="648"/>
      <c r="U225" s="40"/>
      <c r="V225" s="40"/>
      <c r="W225" s="40"/>
      <c r="X225" s="40"/>
      <c r="Y225" s="40"/>
      <c r="Z225" s="635"/>
      <c r="AA225" s="51">
        <f t="shared" si="168"/>
        <v>0</v>
      </c>
      <c r="AB225" s="635"/>
      <c r="AC225" s="40"/>
      <c r="AD225" s="40"/>
      <c r="AE225" s="635"/>
      <c r="AF225" s="635"/>
      <c r="AG225" s="635"/>
      <c r="AH225" s="635"/>
      <c r="AI225" s="635"/>
      <c r="AJ225" s="635"/>
      <c r="AK225" s="660"/>
      <c r="AL225" s="648"/>
      <c r="AM225" s="28">
        <v>54</v>
      </c>
      <c r="AN225" s="28">
        <v>728</v>
      </c>
      <c r="AO225" s="28">
        <v>506</v>
      </c>
      <c r="AP225" s="28">
        <v>717</v>
      </c>
      <c r="AQ225" s="51"/>
      <c r="AR225" s="635"/>
      <c r="AS225" s="51">
        <f t="shared" si="169"/>
        <v>211</v>
      </c>
      <c r="AT225" s="635"/>
      <c r="AU225" s="150"/>
      <c r="AV225" s="635"/>
      <c r="AW225" s="51"/>
      <c r="AX225" s="635"/>
      <c r="AY225" s="635"/>
      <c r="AZ225" s="635"/>
      <c r="BA225" s="634"/>
      <c r="BB225" s="635"/>
      <c r="BC225" s="635"/>
      <c r="BD225" s="118"/>
      <c r="BE225" s="662"/>
      <c r="BF225" s="662"/>
      <c r="BG225" s="662"/>
      <c r="BH225" s="662"/>
      <c r="BI225" s="662"/>
      <c r="BJ225" s="662"/>
      <c r="BK225" s="662"/>
      <c r="BL225" s="662"/>
      <c r="BM225" s="662"/>
      <c r="BN225" s="662"/>
      <c r="BO225" s="662"/>
      <c r="BP225" s="662"/>
      <c r="BQ225" s="662"/>
      <c r="BR225" s="662"/>
      <c r="BS225" s="662"/>
      <c r="BT225" s="662"/>
      <c r="BU225" s="662"/>
      <c r="BV225" s="662"/>
      <c r="BW225" s="118"/>
      <c r="BX225" s="118"/>
      <c r="BY225" s="118"/>
      <c r="BZ225" s="118"/>
      <c r="CA225" s="118"/>
      <c r="CB225" s="118"/>
      <c r="CC225" s="118"/>
      <c r="CD225" s="118"/>
      <c r="CE225" s="118"/>
      <c r="CF225" s="118"/>
      <c r="CG225" s="118"/>
      <c r="CH225" s="118"/>
      <c r="CI225" s="118"/>
      <c r="CJ225" s="118"/>
      <c r="CK225" s="118"/>
      <c r="CL225" s="118"/>
      <c r="CM225" s="118"/>
      <c r="CN225" s="92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94"/>
      <c r="DD225" s="118"/>
      <c r="DE225" s="118"/>
      <c r="DF225" s="118"/>
      <c r="DG225" s="118"/>
      <c r="DH225" s="118"/>
      <c r="DI225" s="118"/>
      <c r="DJ225" s="118"/>
      <c r="DK225" s="118"/>
      <c r="DL225" s="118"/>
      <c r="DM225" s="118"/>
      <c r="DN225" s="118"/>
      <c r="DO225" s="118"/>
      <c r="DP225" s="118"/>
      <c r="DQ225" s="118"/>
      <c r="DR225" s="118"/>
      <c r="DS225" s="118"/>
      <c r="DT225" s="118"/>
      <c r="DU225" s="19"/>
      <c r="DV225" s="19"/>
      <c r="DW225" s="19"/>
      <c r="DX225" s="19"/>
      <c r="DY225" s="19"/>
      <c r="DZ225" s="19"/>
    </row>
    <row r="226" spans="1:130" ht="12.75" x14ac:dyDescent="0.2">
      <c r="A226" s="647"/>
      <c r="B226" s="752">
        <v>46108</v>
      </c>
      <c r="C226" s="29">
        <v>72</v>
      </c>
      <c r="D226" s="29">
        <v>759</v>
      </c>
      <c r="E226" s="29">
        <v>6714</v>
      </c>
      <c r="F226" s="29">
        <v>7000</v>
      </c>
      <c r="G226" s="158"/>
      <c r="H226" s="649"/>
      <c r="I226" s="159">
        <f t="shared" si="170"/>
        <v>286</v>
      </c>
      <c r="J226" s="650">
        <f>SUM(I226:I229,H226)</f>
        <v>386</v>
      </c>
      <c r="K226" s="158"/>
      <c r="L226" s="158"/>
      <c r="M226" s="653">
        <v>3</v>
      </c>
      <c r="N226" s="653"/>
      <c r="O226" s="633">
        <f>SUM(M226:N229)</f>
        <v>3</v>
      </c>
      <c r="P226" s="649"/>
      <c r="Q226" s="640">
        <f>M226*60</f>
        <v>180</v>
      </c>
      <c r="R226" s="657">
        <f>IF(
   COUNTIF(K226:K229,"SI")&gt;0,
   1.8,
   IF(
      COUNTIF(L226:L229,"SI")&gt;0,
      1.6,
      2
   )
)</f>
        <v>2</v>
      </c>
      <c r="S226" s="658">
        <f>IF(Q226=0,0,J226/Q226)</f>
        <v>2.1444444444444444</v>
      </c>
      <c r="T226" s="655">
        <v>46108</v>
      </c>
      <c r="U226" s="30"/>
      <c r="V226" s="28">
        <v>770</v>
      </c>
      <c r="W226" s="28">
        <v>12122</v>
      </c>
      <c r="X226" s="28">
        <v>12500</v>
      </c>
      <c r="Y226" s="28">
        <v>1</v>
      </c>
      <c r="Z226" s="640">
        <v>0</v>
      </c>
      <c r="AA226" s="51">
        <f t="shared" si="168"/>
        <v>377</v>
      </c>
      <c r="AB226" s="650">
        <f>SUM(AA226:AA229,Z226)</f>
        <v>502</v>
      </c>
      <c r="AC226" s="28"/>
      <c r="AD226" s="28"/>
      <c r="AE226" s="640">
        <v>3.8</v>
      </c>
      <c r="AF226" s="640">
        <v>1.2</v>
      </c>
      <c r="AG226" s="633">
        <f>SUM(AE226:AF229)</f>
        <v>5</v>
      </c>
      <c r="AH226" s="640">
        <v>0</v>
      </c>
      <c r="AI226" s="640">
        <f>AE226*60</f>
        <v>228</v>
      </c>
      <c r="AJ226" s="657">
        <f>IF(
   COUNTIF(AC226:AC229,"SI")&gt;0,
   1.8,
   IF(
      COUNTIF(AD226:AD229,"SI")&gt;0,
      1.6,
      2
   )
)</f>
        <v>2</v>
      </c>
      <c r="AK226" s="679">
        <f>IF(AI226=0,0,AB226/AI226)</f>
        <v>2.2017543859649122</v>
      </c>
      <c r="AL226" s="655">
        <v>46108</v>
      </c>
      <c r="AM226" s="28"/>
      <c r="AN226" s="28"/>
      <c r="AO226" s="28"/>
      <c r="AP226" s="41"/>
      <c r="AQ226" s="159"/>
      <c r="AR226" s="649"/>
      <c r="AS226" s="39">
        <f t="shared" si="169"/>
        <v>0</v>
      </c>
      <c r="AT226" s="650">
        <f>SUM(AS226:AS229)+AR226</f>
        <v>0</v>
      </c>
      <c r="AU226" s="39"/>
      <c r="AV226" s="640"/>
      <c r="AW226" s="159"/>
      <c r="AX226" s="640">
        <v>7.25</v>
      </c>
      <c r="AY226" s="633">
        <f>SUM(AV226+AV229+AX226)</f>
        <v>7.25</v>
      </c>
      <c r="AZ226" s="649">
        <v>0.2</v>
      </c>
      <c r="BA226" s="640">
        <f>AV226*60</f>
        <v>0</v>
      </c>
      <c r="BB226" s="644">
        <f>IF(
   COUNTIF(AU226:AU229,"SI")&gt;0,
   1.8,
   IF(
      COUNTIF(AV226:AV229,"SI")&gt;0,
      1.6,
      2
   )
)</f>
        <v>2</v>
      </c>
      <c r="BC226" s="645">
        <f>IF(BA226=0,0,AT226/BA226)</f>
        <v>0</v>
      </c>
      <c r="BD226" s="118"/>
      <c r="BE226" s="668"/>
      <c r="BF226" s="663"/>
      <c r="BG226" s="662"/>
      <c r="BH226" s="662"/>
      <c r="BI226" s="662"/>
      <c r="BJ226" s="662"/>
      <c r="BK226" s="662"/>
      <c r="BL226" s="662"/>
      <c r="BM226" s="662"/>
      <c r="BN226" s="662"/>
      <c r="BO226" s="662"/>
      <c r="BP226" s="662"/>
      <c r="BQ226" s="662"/>
      <c r="BR226" s="662"/>
      <c r="BS226" s="662"/>
      <c r="BT226" s="662"/>
      <c r="BU226" s="662"/>
      <c r="BV226" s="662"/>
      <c r="BW226" s="118"/>
      <c r="BX226" s="118"/>
      <c r="BY226" s="118"/>
      <c r="BZ226" s="118"/>
      <c r="CA226" s="118"/>
      <c r="CB226" s="118"/>
      <c r="CC226" s="118"/>
      <c r="CD226" s="118"/>
      <c r="CE226" s="118"/>
      <c r="CF226" s="118"/>
      <c r="CG226" s="118"/>
      <c r="CH226" s="118"/>
      <c r="CI226" s="118"/>
      <c r="CJ226" s="118"/>
      <c r="CK226" s="118"/>
      <c r="CL226" s="118"/>
      <c r="CM226" s="118"/>
      <c r="CN226" s="92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94"/>
      <c r="DD226" s="118"/>
      <c r="DE226" s="118"/>
      <c r="DF226" s="118"/>
      <c r="DG226" s="118"/>
      <c r="DH226" s="118"/>
      <c r="DI226" s="118"/>
      <c r="DJ226" s="118"/>
      <c r="DK226" s="118"/>
      <c r="DL226" s="118"/>
      <c r="DM226" s="118"/>
      <c r="DN226" s="118"/>
      <c r="DO226" s="118"/>
      <c r="DP226" s="118"/>
      <c r="DQ226" s="118"/>
      <c r="DR226" s="118"/>
      <c r="DS226" s="118"/>
      <c r="DT226" s="118"/>
      <c r="DU226" s="19"/>
      <c r="DV226" s="19"/>
      <c r="DW226" s="19"/>
      <c r="DX226" s="19"/>
      <c r="DY226" s="19"/>
      <c r="DZ226" s="19"/>
    </row>
    <row r="227" spans="1:130" ht="12.75" x14ac:dyDescent="0.2">
      <c r="A227" s="647"/>
      <c r="B227" s="670"/>
      <c r="C227" s="29">
        <v>10</v>
      </c>
      <c r="D227" s="30"/>
      <c r="E227" s="29">
        <v>18500</v>
      </c>
      <c r="F227" s="29">
        <v>18600</v>
      </c>
      <c r="G227" s="30"/>
      <c r="H227" s="634"/>
      <c r="I227" s="51">
        <f t="shared" si="170"/>
        <v>100</v>
      </c>
      <c r="J227" s="634"/>
      <c r="K227" s="30"/>
      <c r="L227" s="30"/>
      <c r="M227" s="634"/>
      <c r="N227" s="634"/>
      <c r="O227" s="634"/>
      <c r="P227" s="634"/>
      <c r="Q227" s="634"/>
      <c r="R227" s="634"/>
      <c r="S227" s="659"/>
      <c r="T227" s="647"/>
      <c r="U227" s="30"/>
      <c r="V227" s="28">
        <v>730</v>
      </c>
      <c r="W227" s="28">
        <v>1502</v>
      </c>
      <c r="X227" s="28">
        <v>1627</v>
      </c>
      <c r="Y227" s="29">
        <v>0</v>
      </c>
      <c r="Z227" s="634"/>
      <c r="AA227" s="51">
        <f t="shared" si="168"/>
        <v>125</v>
      </c>
      <c r="AB227" s="634"/>
      <c r="AC227" s="28"/>
      <c r="AD227" s="28"/>
      <c r="AE227" s="634"/>
      <c r="AF227" s="634"/>
      <c r="AG227" s="634"/>
      <c r="AH227" s="634"/>
      <c r="AI227" s="634"/>
      <c r="AJ227" s="634"/>
      <c r="AK227" s="659"/>
      <c r="AL227" s="647"/>
      <c r="AM227" s="28"/>
      <c r="AN227" s="28"/>
      <c r="AO227" s="28"/>
      <c r="AP227" s="28"/>
      <c r="AQ227" s="30"/>
      <c r="AR227" s="634"/>
      <c r="AS227" s="51">
        <f t="shared" si="169"/>
        <v>0</v>
      </c>
      <c r="AT227" s="634"/>
      <c r="AU227" s="150"/>
      <c r="AV227" s="634"/>
      <c r="AW227" s="51"/>
      <c r="AX227" s="634"/>
      <c r="AY227" s="634"/>
      <c r="AZ227" s="634"/>
      <c r="BA227" s="634"/>
      <c r="BB227" s="634"/>
      <c r="BC227" s="634"/>
      <c r="BD227" s="118"/>
      <c r="BE227" s="662"/>
      <c r="BF227" s="662"/>
      <c r="BG227" s="662"/>
      <c r="BH227" s="662"/>
      <c r="BI227" s="662"/>
      <c r="BJ227" s="662"/>
      <c r="BK227" s="662"/>
      <c r="BL227" s="662"/>
      <c r="BM227" s="662"/>
      <c r="BN227" s="662"/>
      <c r="BO227" s="662"/>
      <c r="BP227" s="662"/>
      <c r="BQ227" s="662"/>
      <c r="BR227" s="662"/>
      <c r="BS227" s="662"/>
      <c r="BT227" s="662"/>
      <c r="BU227" s="662"/>
      <c r="BV227" s="662"/>
      <c r="BW227" s="118"/>
      <c r="BX227" s="118"/>
      <c r="BY227" s="118"/>
      <c r="BZ227" s="118"/>
      <c r="CA227" s="118"/>
      <c r="CB227" s="118"/>
      <c r="CC227" s="118"/>
      <c r="CD227" s="118"/>
      <c r="CE227" s="118"/>
      <c r="CF227" s="118"/>
      <c r="CG227" s="118"/>
      <c r="CH227" s="118"/>
      <c r="CI227" s="118"/>
      <c r="CJ227" s="118"/>
      <c r="CK227" s="118"/>
      <c r="CL227" s="118"/>
      <c r="CM227" s="118"/>
      <c r="CN227" s="92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94"/>
      <c r="DD227" s="118"/>
      <c r="DE227" s="118"/>
      <c r="DF227" s="118"/>
      <c r="DG227" s="118"/>
      <c r="DH227" s="118"/>
      <c r="DI227" s="118"/>
      <c r="DJ227" s="118"/>
      <c r="DK227" s="118"/>
      <c r="DL227" s="118"/>
      <c r="DM227" s="118"/>
      <c r="DN227" s="118"/>
      <c r="DO227" s="118"/>
      <c r="DP227" s="118"/>
      <c r="DQ227" s="118"/>
      <c r="DR227" s="118"/>
      <c r="DS227" s="118"/>
      <c r="DT227" s="118"/>
      <c r="DU227" s="19"/>
      <c r="DV227" s="19"/>
      <c r="DW227" s="19"/>
      <c r="DX227" s="19"/>
      <c r="DY227" s="19"/>
      <c r="DZ227" s="19"/>
    </row>
    <row r="228" spans="1:130" ht="12.75" x14ac:dyDescent="0.2">
      <c r="A228" s="647"/>
      <c r="B228" s="670"/>
      <c r="C228" s="30"/>
      <c r="D228" s="30"/>
      <c r="E228" s="30"/>
      <c r="F228" s="30"/>
      <c r="G228" s="30"/>
      <c r="H228" s="634"/>
      <c r="I228" s="51">
        <f t="shared" si="170"/>
        <v>0</v>
      </c>
      <c r="J228" s="634"/>
      <c r="K228" s="30"/>
      <c r="L228" s="30"/>
      <c r="M228" s="634"/>
      <c r="N228" s="634"/>
      <c r="O228" s="634"/>
      <c r="P228" s="634"/>
      <c r="Q228" s="634"/>
      <c r="R228" s="634"/>
      <c r="S228" s="659"/>
      <c r="T228" s="647"/>
      <c r="U228" s="30"/>
      <c r="V228" s="29"/>
      <c r="W228" s="29"/>
      <c r="X228" s="29"/>
      <c r="Y228" s="29"/>
      <c r="Z228" s="634"/>
      <c r="AA228" s="51">
        <f t="shared" si="168"/>
        <v>0</v>
      </c>
      <c r="AB228" s="634"/>
      <c r="AC228" s="29"/>
      <c r="AD228" s="29"/>
      <c r="AE228" s="634"/>
      <c r="AF228" s="634"/>
      <c r="AG228" s="634"/>
      <c r="AH228" s="634"/>
      <c r="AI228" s="634"/>
      <c r="AJ228" s="634"/>
      <c r="AK228" s="659"/>
      <c r="AL228" s="647"/>
      <c r="AM228" s="41"/>
      <c r="AN228" s="41"/>
      <c r="AO228" s="41"/>
      <c r="AP228" s="41"/>
      <c r="AQ228" s="48"/>
      <c r="AR228" s="634"/>
      <c r="AS228" s="51">
        <f t="shared" si="169"/>
        <v>0</v>
      </c>
      <c r="AT228" s="634"/>
      <c r="AU228" s="145"/>
      <c r="AV228" s="634"/>
      <c r="AW228" s="145"/>
      <c r="AX228" s="634"/>
      <c r="AY228" s="634"/>
      <c r="AZ228" s="634"/>
      <c r="BA228" s="634"/>
      <c r="BB228" s="634"/>
      <c r="BC228" s="634"/>
      <c r="BD228" s="118"/>
      <c r="BE228" s="662"/>
      <c r="BF228" s="662"/>
      <c r="BG228" s="662"/>
      <c r="BH228" s="662"/>
      <c r="BI228" s="662"/>
      <c r="BJ228" s="662"/>
      <c r="BK228" s="662"/>
      <c r="BL228" s="662"/>
      <c r="BM228" s="662"/>
      <c r="BN228" s="662"/>
      <c r="BO228" s="662"/>
      <c r="BP228" s="662"/>
      <c r="BQ228" s="662"/>
      <c r="BR228" s="662"/>
      <c r="BS228" s="662"/>
      <c r="BT228" s="662"/>
      <c r="BU228" s="662"/>
      <c r="BV228" s="662"/>
      <c r="BW228" s="118"/>
      <c r="BX228" s="118"/>
      <c r="BY228" s="118"/>
      <c r="BZ228" s="118"/>
      <c r="CA228" s="118"/>
      <c r="CB228" s="118"/>
      <c r="CC228" s="118"/>
      <c r="CD228" s="118"/>
      <c r="CE228" s="118"/>
      <c r="CF228" s="118"/>
      <c r="CG228" s="118"/>
      <c r="CH228" s="118"/>
      <c r="CI228" s="118"/>
      <c r="CJ228" s="118"/>
      <c r="CK228" s="118"/>
      <c r="CL228" s="118"/>
      <c r="CM228" s="118"/>
      <c r="CN228" s="92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94"/>
      <c r="DD228" s="118"/>
      <c r="DE228" s="118"/>
      <c r="DF228" s="118"/>
      <c r="DG228" s="118"/>
      <c r="DH228" s="118"/>
      <c r="DI228" s="118"/>
      <c r="DJ228" s="118"/>
      <c r="DK228" s="118"/>
      <c r="DL228" s="118"/>
      <c r="DM228" s="118"/>
      <c r="DN228" s="118"/>
      <c r="DO228" s="118"/>
      <c r="DP228" s="118"/>
      <c r="DQ228" s="118"/>
      <c r="DR228" s="118"/>
      <c r="DS228" s="118"/>
      <c r="DT228" s="118"/>
      <c r="DU228" s="19"/>
      <c r="DV228" s="19"/>
      <c r="DW228" s="19"/>
      <c r="DX228" s="19"/>
      <c r="DY228" s="19"/>
      <c r="DZ228" s="19"/>
    </row>
    <row r="229" spans="1:130" ht="12.75" x14ac:dyDescent="0.2">
      <c r="A229" s="647"/>
      <c r="B229" s="671"/>
      <c r="C229" s="30"/>
      <c r="D229" s="30"/>
      <c r="E229" s="30"/>
      <c r="F229" s="30"/>
      <c r="G229" s="30"/>
      <c r="H229" s="635"/>
      <c r="I229" s="51">
        <f t="shared" si="170"/>
        <v>0</v>
      </c>
      <c r="J229" s="635"/>
      <c r="K229" s="30"/>
      <c r="L229" s="30"/>
      <c r="M229" s="635"/>
      <c r="N229" s="635"/>
      <c r="O229" s="635"/>
      <c r="P229" s="635"/>
      <c r="Q229" s="635"/>
      <c r="R229" s="635"/>
      <c r="S229" s="660"/>
      <c r="T229" s="648"/>
      <c r="U229" s="30"/>
      <c r="V229" s="30"/>
      <c r="W229" s="30"/>
      <c r="X229" s="30"/>
      <c r="Y229" s="30"/>
      <c r="Z229" s="635"/>
      <c r="AA229" s="51">
        <f t="shared" si="168"/>
        <v>0</v>
      </c>
      <c r="AB229" s="635"/>
      <c r="AC229" s="30"/>
      <c r="AD229" s="30"/>
      <c r="AE229" s="635"/>
      <c r="AF229" s="635"/>
      <c r="AG229" s="635"/>
      <c r="AH229" s="635"/>
      <c r="AI229" s="635"/>
      <c r="AJ229" s="635"/>
      <c r="AK229" s="660"/>
      <c r="AL229" s="648"/>
      <c r="AM229" s="51"/>
      <c r="AN229" s="28"/>
      <c r="AO229" s="28"/>
      <c r="AP229" s="28"/>
      <c r="AQ229" s="51"/>
      <c r="AR229" s="635"/>
      <c r="AS229" s="51">
        <f t="shared" si="169"/>
        <v>0</v>
      </c>
      <c r="AT229" s="635"/>
      <c r="AU229" s="150"/>
      <c r="AV229" s="635"/>
      <c r="AW229" s="51"/>
      <c r="AX229" s="635"/>
      <c r="AY229" s="635"/>
      <c r="AZ229" s="635"/>
      <c r="BA229" s="635"/>
      <c r="BB229" s="635"/>
      <c r="BC229" s="635"/>
      <c r="BD229" s="663"/>
      <c r="BE229" s="668"/>
      <c r="BF229" s="117"/>
      <c r="BG229" s="117"/>
      <c r="BH229" s="117"/>
      <c r="BI229" s="117"/>
      <c r="BJ229" s="117"/>
      <c r="BK229" s="661"/>
      <c r="BL229" s="118"/>
      <c r="BM229" s="663"/>
      <c r="BN229" s="684"/>
      <c r="BO229" s="179"/>
      <c r="BP229" s="663"/>
      <c r="BQ229" s="663"/>
      <c r="BR229" s="663"/>
      <c r="BS229" s="663"/>
      <c r="BT229" s="118"/>
      <c r="BU229" s="663"/>
      <c r="BV229" s="663"/>
      <c r="BW229" s="118"/>
      <c r="BX229" s="118"/>
      <c r="BY229" s="118"/>
      <c r="BZ229" s="118"/>
      <c r="CA229" s="118"/>
      <c r="CB229" s="118"/>
      <c r="CC229" s="118"/>
      <c r="CD229" s="118"/>
      <c r="CE229" s="118"/>
      <c r="CF229" s="118"/>
      <c r="CG229" s="118"/>
      <c r="CH229" s="118"/>
      <c r="CI229" s="118"/>
      <c r="CJ229" s="118"/>
      <c r="CK229" s="118"/>
      <c r="CL229" s="118"/>
      <c r="CM229" s="118"/>
      <c r="CN229" s="92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94"/>
      <c r="DD229" s="118"/>
      <c r="DE229" s="118"/>
      <c r="DF229" s="118"/>
      <c r="DG229" s="118"/>
      <c r="DH229" s="118"/>
      <c r="DI229" s="118"/>
      <c r="DJ229" s="118"/>
      <c r="DK229" s="118"/>
      <c r="DL229" s="118"/>
      <c r="DM229" s="118"/>
      <c r="DN229" s="118"/>
      <c r="DO229" s="118"/>
      <c r="DP229" s="118"/>
      <c r="DQ229" s="118"/>
      <c r="DR229" s="118"/>
      <c r="DS229" s="118"/>
      <c r="DT229" s="118"/>
      <c r="DU229" s="19"/>
      <c r="DV229" s="19"/>
      <c r="DW229" s="19"/>
      <c r="DX229" s="19"/>
      <c r="DY229" s="19"/>
      <c r="DZ229" s="19"/>
    </row>
    <row r="230" spans="1:130" ht="12.75" x14ac:dyDescent="0.2">
      <c r="A230" s="647"/>
      <c r="B230" s="751">
        <v>46109</v>
      </c>
      <c r="C230" s="40"/>
      <c r="D230" s="40"/>
      <c r="E230" s="40"/>
      <c r="F230" s="40"/>
      <c r="G230" s="40"/>
      <c r="H230" s="653"/>
      <c r="I230" s="150">
        <f t="shared" si="170"/>
        <v>0</v>
      </c>
      <c r="J230" s="650">
        <f>SUM(I230:I233,H230)</f>
        <v>0</v>
      </c>
      <c r="K230" s="40"/>
      <c r="L230" s="40"/>
      <c r="M230" s="653"/>
      <c r="N230" s="653"/>
      <c r="O230" s="633">
        <f>SUM(M230:N233)</f>
        <v>0</v>
      </c>
      <c r="P230" s="653"/>
      <c r="Q230" s="636">
        <f>M230*60</f>
        <v>0</v>
      </c>
      <c r="R230" s="657">
        <f>IF(
   COUNTIF(K230:K233,"SI")&gt;0,
   1.8,
   IF(
      COUNTIF(L230:L233,"SI")&gt;0,
      1.6,
      2
   )
)</f>
        <v>2</v>
      </c>
      <c r="S230" s="658">
        <f>IF(Q230=0,0,J230/Q230)</f>
        <v>0</v>
      </c>
      <c r="T230" s="646">
        <v>46109</v>
      </c>
      <c r="U230" s="40"/>
      <c r="V230" s="31">
        <v>730</v>
      </c>
      <c r="W230" s="31">
        <v>1628</v>
      </c>
      <c r="X230" s="31">
        <v>2000</v>
      </c>
      <c r="Y230" s="31">
        <v>0</v>
      </c>
      <c r="Z230" s="653">
        <v>1</v>
      </c>
      <c r="AA230" s="51">
        <f t="shared" si="168"/>
        <v>372</v>
      </c>
      <c r="AB230" s="650">
        <f>SUM(AA230:AA233,Z230)</f>
        <v>373</v>
      </c>
      <c r="AC230" s="31" t="s">
        <v>51</v>
      </c>
      <c r="AD230" s="31" t="s">
        <v>51</v>
      </c>
      <c r="AE230" s="653">
        <v>3.1</v>
      </c>
      <c r="AF230" s="653">
        <v>0.9</v>
      </c>
      <c r="AG230" s="633">
        <f>SUM(AE230:AF233)</f>
        <v>4</v>
      </c>
      <c r="AH230" s="653">
        <v>0</v>
      </c>
      <c r="AI230" s="636">
        <f>AE230*60</f>
        <v>186</v>
      </c>
      <c r="AJ230" s="657">
        <f>IF(
   COUNTIF(AC230:AC233,"SI")&gt;0,
   1.8,
   IF(
      COUNTIF(AD230:AD233,"SI")&gt;0,
      1.6,
      2
   )
)</f>
        <v>1.8</v>
      </c>
      <c r="AK230" s="679">
        <f>IF(AI230=0,0,AB230/AI230)</f>
        <v>2.0053763440860215</v>
      </c>
      <c r="AL230" s="646">
        <v>46109</v>
      </c>
      <c r="AM230" s="40"/>
      <c r="AN230" s="30"/>
      <c r="AO230" s="40"/>
      <c r="AP230" s="40"/>
      <c r="AQ230" s="40"/>
      <c r="AR230" s="653"/>
      <c r="AS230" s="150">
        <f t="shared" si="169"/>
        <v>0</v>
      </c>
      <c r="AT230" s="650">
        <f>SUM(AS230:AS233,AR230)</f>
        <v>0</v>
      </c>
      <c r="AU230" s="40"/>
      <c r="AV230" s="653"/>
      <c r="AW230" s="40"/>
      <c r="AX230" s="653"/>
      <c r="AY230" s="633">
        <f>SUM(AV230:AX233)</f>
        <v>0</v>
      </c>
      <c r="AZ230" s="653"/>
      <c r="BA230" s="636">
        <f>AV230*60</f>
        <v>0</v>
      </c>
      <c r="BB230" s="657">
        <f>IF(
   COUNTIF(AU230:AU233,"SI")&gt;0,
   1.8,
   IF(
      COUNTIF(AV230:AV233,"SI")&gt;0,
      1.6,
      2
   )
)</f>
        <v>2</v>
      </c>
      <c r="BC230" s="666">
        <f>IF(BA230=0,0,AT230/BA230)</f>
        <v>0</v>
      </c>
      <c r="BD230" s="662"/>
      <c r="BE230" s="662"/>
      <c r="BF230" s="117"/>
      <c r="BG230" s="117"/>
      <c r="BH230" s="117"/>
      <c r="BI230" s="117"/>
      <c r="BJ230" s="117"/>
      <c r="BK230" s="662"/>
      <c r="BL230" s="118"/>
      <c r="BM230" s="662"/>
      <c r="BN230" s="662"/>
      <c r="BO230" s="179"/>
      <c r="BP230" s="662"/>
      <c r="BQ230" s="662"/>
      <c r="BR230" s="662"/>
      <c r="BS230" s="662"/>
      <c r="BT230" s="118"/>
      <c r="BU230" s="662"/>
      <c r="BV230" s="662"/>
      <c r="BW230" s="118"/>
      <c r="BX230" s="118"/>
      <c r="BY230" s="118"/>
      <c r="BZ230" s="118"/>
      <c r="CA230" s="118"/>
      <c r="CB230" s="118"/>
      <c r="CC230" s="118"/>
      <c r="CD230" s="118"/>
      <c r="CE230" s="118"/>
      <c r="CF230" s="118"/>
      <c r="CG230" s="118"/>
      <c r="CH230" s="118"/>
      <c r="CI230" s="118"/>
      <c r="CJ230" s="118"/>
      <c r="CK230" s="118"/>
      <c r="CL230" s="118"/>
      <c r="CM230" s="118"/>
      <c r="CN230" s="92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94"/>
      <c r="DD230" s="118"/>
      <c r="DE230" s="118"/>
      <c r="DF230" s="118"/>
      <c r="DG230" s="118"/>
      <c r="DH230" s="118"/>
      <c r="DI230" s="118"/>
      <c r="DJ230" s="118"/>
      <c r="DK230" s="118"/>
      <c r="DL230" s="118"/>
      <c r="DM230" s="118"/>
      <c r="DN230" s="118"/>
      <c r="DO230" s="118"/>
      <c r="DP230" s="118"/>
      <c r="DQ230" s="118"/>
      <c r="DR230" s="118"/>
      <c r="DS230" s="118"/>
      <c r="DT230" s="118"/>
      <c r="DU230" s="19"/>
      <c r="DV230" s="19"/>
      <c r="DW230" s="19"/>
      <c r="DX230" s="19"/>
      <c r="DY230" s="19"/>
      <c r="DZ230" s="19"/>
    </row>
    <row r="231" spans="1:130" ht="12.75" x14ac:dyDescent="0.2">
      <c r="A231" s="647"/>
      <c r="B231" s="670"/>
      <c r="C231" s="40"/>
      <c r="D231" s="40"/>
      <c r="E231" s="40"/>
      <c r="F231" s="40"/>
      <c r="G231" s="40"/>
      <c r="H231" s="634"/>
      <c r="I231" s="150">
        <f t="shared" si="170"/>
        <v>0</v>
      </c>
      <c r="J231" s="634"/>
      <c r="K231" s="40"/>
      <c r="L231" s="40"/>
      <c r="M231" s="634"/>
      <c r="N231" s="634"/>
      <c r="O231" s="634"/>
      <c r="P231" s="634"/>
      <c r="Q231" s="634"/>
      <c r="R231" s="634"/>
      <c r="S231" s="659"/>
      <c r="T231" s="647"/>
      <c r="U231" s="40"/>
      <c r="V231" s="31"/>
      <c r="W231" s="31"/>
      <c r="X231" s="31"/>
      <c r="Y231" s="40"/>
      <c r="Z231" s="634"/>
      <c r="AA231" s="51">
        <f t="shared" si="168"/>
        <v>0</v>
      </c>
      <c r="AB231" s="634"/>
      <c r="AC231" s="40"/>
      <c r="AD231" s="40"/>
      <c r="AE231" s="634"/>
      <c r="AF231" s="634"/>
      <c r="AG231" s="634"/>
      <c r="AH231" s="634"/>
      <c r="AI231" s="634"/>
      <c r="AJ231" s="634"/>
      <c r="AK231" s="659"/>
      <c r="AL231" s="647"/>
      <c r="AM231" s="40"/>
      <c r="AN231" s="40"/>
      <c r="AO231" s="40"/>
      <c r="AP231" s="40"/>
      <c r="AQ231" s="40"/>
      <c r="AR231" s="634"/>
      <c r="AS231" s="150">
        <f t="shared" si="169"/>
        <v>0</v>
      </c>
      <c r="AT231" s="634"/>
      <c r="AU231" s="40"/>
      <c r="AV231" s="634"/>
      <c r="AW231" s="40"/>
      <c r="AX231" s="634"/>
      <c r="AY231" s="634"/>
      <c r="AZ231" s="634"/>
      <c r="BA231" s="634"/>
      <c r="BB231" s="634"/>
      <c r="BC231" s="634"/>
      <c r="BD231" s="133"/>
      <c r="BE231" s="662"/>
      <c r="BF231" s="117"/>
      <c r="BG231" s="117"/>
      <c r="BH231" s="117"/>
      <c r="BI231" s="117"/>
      <c r="BJ231" s="117"/>
      <c r="BK231" s="662"/>
      <c r="BL231" s="118"/>
      <c r="BM231" s="662"/>
      <c r="BN231" s="662"/>
      <c r="BO231" s="179"/>
      <c r="BP231" s="662"/>
      <c r="BQ231" s="662"/>
      <c r="BR231" s="662"/>
      <c r="BS231" s="662"/>
      <c r="BT231" s="118"/>
      <c r="BU231" s="662"/>
      <c r="BV231" s="662"/>
      <c r="BW231" s="118"/>
      <c r="BX231" s="118"/>
      <c r="BY231" s="118"/>
      <c r="BZ231" s="118"/>
      <c r="CA231" s="118"/>
      <c r="CB231" s="118"/>
      <c r="CC231" s="118"/>
      <c r="CD231" s="118"/>
      <c r="CE231" s="118"/>
      <c r="CF231" s="118"/>
      <c r="CG231" s="118"/>
      <c r="CH231" s="118"/>
      <c r="CI231" s="118"/>
      <c r="CJ231" s="118"/>
      <c r="CK231" s="118"/>
      <c r="CL231" s="118"/>
      <c r="CM231" s="118"/>
      <c r="CN231" s="92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94"/>
      <c r="DD231" s="118"/>
      <c r="DE231" s="118"/>
      <c r="DF231" s="118"/>
      <c r="DG231" s="118"/>
      <c r="DH231" s="118"/>
      <c r="DI231" s="118"/>
      <c r="DJ231" s="118"/>
      <c r="DK231" s="118"/>
      <c r="DL231" s="118"/>
      <c r="DM231" s="118"/>
      <c r="DN231" s="118"/>
      <c r="DO231" s="118"/>
      <c r="DP231" s="118"/>
      <c r="DQ231" s="118"/>
      <c r="DR231" s="118"/>
      <c r="DS231" s="118"/>
      <c r="DT231" s="118"/>
      <c r="DU231" s="19"/>
      <c r="DV231" s="19"/>
      <c r="DW231" s="19"/>
      <c r="DX231" s="19"/>
      <c r="DY231" s="19"/>
      <c r="DZ231" s="19"/>
    </row>
    <row r="232" spans="1:130" ht="12.75" x14ac:dyDescent="0.2">
      <c r="A232" s="647"/>
      <c r="B232" s="670"/>
      <c r="C232" s="40"/>
      <c r="D232" s="40"/>
      <c r="E232" s="40"/>
      <c r="F232" s="40"/>
      <c r="G232" s="40"/>
      <c r="H232" s="634"/>
      <c r="I232" s="150">
        <f t="shared" si="170"/>
        <v>0</v>
      </c>
      <c r="J232" s="634"/>
      <c r="K232" s="40"/>
      <c r="L232" s="40"/>
      <c r="M232" s="634"/>
      <c r="N232" s="634"/>
      <c r="O232" s="634"/>
      <c r="P232" s="634"/>
      <c r="Q232" s="634"/>
      <c r="R232" s="634"/>
      <c r="S232" s="659"/>
      <c r="T232" s="647"/>
      <c r="U232" s="40"/>
      <c r="V232" s="40"/>
      <c r="W232" s="40"/>
      <c r="X232" s="40"/>
      <c r="Y232" s="40"/>
      <c r="Z232" s="634"/>
      <c r="AA232" s="51">
        <f t="shared" si="168"/>
        <v>0</v>
      </c>
      <c r="AB232" s="634"/>
      <c r="AC232" s="40"/>
      <c r="AD232" s="40"/>
      <c r="AE232" s="634"/>
      <c r="AF232" s="634"/>
      <c r="AG232" s="634"/>
      <c r="AH232" s="634"/>
      <c r="AI232" s="634"/>
      <c r="AJ232" s="634"/>
      <c r="AK232" s="659"/>
      <c r="AL232" s="647"/>
      <c r="AM232" s="40"/>
      <c r="AN232" s="40"/>
      <c r="AO232" s="40"/>
      <c r="AP232" s="40"/>
      <c r="AQ232" s="40"/>
      <c r="AR232" s="634"/>
      <c r="AS232" s="150">
        <f t="shared" si="169"/>
        <v>0</v>
      </c>
      <c r="AT232" s="634"/>
      <c r="AU232" s="40"/>
      <c r="AV232" s="634"/>
      <c r="AW232" s="40"/>
      <c r="AX232" s="634"/>
      <c r="AY232" s="634"/>
      <c r="AZ232" s="634"/>
      <c r="BA232" s="634"/>
      <c r="BB232" s="634"/>
      <c r="BC232" s="634"/>
      <c r="BD232" s="133"/>
      <c r="BE232" s="668"/>
      <c r="BF232" s="120"/>
      <c r="BG232" s="120"/>
      <c r="BH232" s="120"/>
      <c r="BI232" s="120"/>
      <c r="BJ232" s="120"/>
      <c r="BK232" s="661"/>
      <c r="BL232" s="118"/>
      <c r="BM232" s="663"/>
      <c r="BN232" s="684"/>
      <c r="BO232" s="179"/>
      <c r="BP232" s="663"/>
      <c r="BQ232" s="663"/>
      <c r="BR232" s="663"/>
      <c r="BS232" s="663"/>
      <c r="BT232" s="118"/>
      <c r="BU232" s="663"/>
      <c r="BV232" s="663"/>
      <c r="BW232" s="118"/>
      <c r="BX232" s="118"/>
      <c r="BY232" s="118"/>
      <c r="BZ232" s="118"/>
      <c r="CA232" s="118"/>
      <c r="CB232" s="118"/>
      <c r="CC232" s="118"/>
      <c r="CD232" s="118"/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92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94"/>
      <c r="DD232" s="118"/>
      <c r="DE232" s="118"/>
      <c r="DF232" s="118"/>
      <c r="DG232" s="118"/>
      <c r="DH232" s="118"/>
      <c r="DI232" s="118"/>
      <c r="DJ232" s="118"/>
      <c r="DK232" s="118"/>
      <c r="DL232" s="118"/>
      <c r="DM232" s="118"/>
      <c r="DN232" s="118"/>
      <c r="DO232" s="118"/>
      <c r="DP232" s="118"/>
      <c r="DQ232" s="118"/>
      <c r="DR232" s="118"/>
      <c r="DS232" s="118"/>
      <c r="DT232" s="118"/>
      <c r="DU232" s="19"/>
      <c r="DV232" s="19"/>
      <c r="DW232" s="19"/>
      <c r="DX232" s="19"/>
      <c r="DY232" s="19"/>
      <c r="DZ232" s="19"/>
    </row>
    <row r="233" spans="1:130" ht="12.75" x14ac:dyDescent="0.2">
      <c r="A233" s="648"/>
      <c r="B233" s="671"/>
      <c r="C233" s="40"/>
      <c r="D233" s="40"/>
      <c r="E233" s="40"/>
      <c r="F233" s="40"/>
      <c r="G233" s="40"/>
      <c r="H233" s="635"/>
      <c r="I233" s="150">
        <f t="shared" si="170"/>
        <v>0</v>
      </c>
      <c r="J233" s="635"/>
      <c r="K233" s="40"/>
      <c r="L233" s="40"/>
      <c r="M233" s="635"/>
      <c r="N233" s="635"/>
      <c r="O233" s="635"/>
      <c r="P233" s="635"/>
      <c r="Q233" s="635"/>
      <c r="R233" s="635"/>
      <c r="S233" s="660"/>
      <c r="T233" s="648"/>
      <c r="U233" s="40"/>
      <c r="V233" s="40"/>
      <c r="W233" s="40"/>
      <c r="X233" s="40"/>
      <c r="Y233" s="40"/>
      <c r="Z233" s="635"/>
      <c r="AA233" s="51">
        <f t="shared" si="168"/>
        <v>0</v>
      </c>
      <c r="AB233" s="635"/>
      <c r="AC233" s="40"/>
      <c r="AD233" s="40"/>
      <c r="AE233" s="635"/>
      <c r="AF233" s="635"/>
      <c r="AG233" s="635"/>
      <c r="AH233" s="635"/>
      <c r="AI233" s="635"/>
      <c r="AJ233" s="635"/>
      <c r="AK233" s="660"/>
      <c r="AL233" s="648"/>
      <c r="AM233" s="40"/>
      <c r="AN233" s="40"/>
      <c r="AO233" s="40"/>
      <c r="AP233" s="40"/>
      <c r="AQ233" s="40"/>
      <c r="AR233" s="635"/>
      <c r="AS233" s="150">
        <f t="shared" si="169"/>
        <v>0</v>
      </c>
      <c r="AT233" s="635"/>
      <c r="AU233" s="40"/>
      <c r="AV233" s="635"/>
      <c r="AW233" s="40"/>
      <c r="AX233" s="635"/>
      <c r="AY233" s="635"/>
      <c r="AZ233" s="635"/>
      <c r="BA233" s="635"/>
      <c r="BB233" s="635"/>
      <c r="BC233" s="635"/>
      <c r="BD233" s="663"/>
      <c r="BE233" s="662"/>
      <c r="BF233" s="120"/>
      <c r="BG233" s="120"/>
      <c r="BH233" s="120"/>
      <c r="BI233" s="120"/>
      <c r="BJ233" s="120"/>
      <c r="BK233" s="662"/>
      <c r="BL233" s="118"/>
      <c r="BM233" s="662"/>
      <c r="BN233" s="662"/>
      <c r="BO233" s="179"/>
      <c r="BP233" s="662"/>
      <c r="BQ233" s="662"/>
      <c r="BR233" s="662"/>
      <c r="BS233" s="662"/>
      <c r="BT233" s="118"/>
      <c r="BU233" s="662"/>
      <c r="BV233" s="662"/>
      <c r="BW233" s="118"/>
      <c r="BX233" s="118"/>
      <c r="BY233" s="118"/>
      <c r="BZ233" s="118"/>
      <c r="CA233" s="118"/>
      <c r="CB233" s="118"/>
      <c r="CC233" s="118"/>
      <c r="CD233" s="118"/>
      <c r="CE233" s="118"/>
      <c r="CF233" s="118"/>
      <c r="CG233" s="118"/>
      <c r="CH233" s="118"/>
      <c r="CI233" s="118"/>
      <c r="CJ233" s="118"/>
      <c r="CK233" s="118"/>
      <c r="CL233" s="118"/>
      <c r="CM233" s="118"/>
      <c r="CN233" s="92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94"/>
      <c r="DD233" s="118"/>
      <c r="DE233" s="118"/>
      <c r="DF233" s="118"/>
      <c r="DG233" s="118"/>
      <c r="DH233" s="118"/>
      <c r="DI233" s="118"/>
      <c r="DJ233" s="118"/>
      <c r="DK233" s="118"/>
      <c r="DL233" s="118"/>
      <c r="DM233" s="118"/>
      <c r="DN233" s="118"/>
      <c r="DO233" s="118"/>
      <c r="DP233" s="118"/>
      <c r="DQ233" s="118"/>
      <c r="DR233" s="118"/>
      <c r="DS233" s="118"/>
      <c r="DT233" s="118"/>
      <c r="DU233" s="19"/>
      <c r="DV233" s="19"/>
      <c r="DW233" s="19"/>
      <c r="DX233" s="19"/>
      <c r="DY233" s="19"/>
      <c r="DZ233" s="19"/>
    </row>
    <row r="234" spans="1:130" ht="12.75" x14ac:dyDescent="0.2">
      <c r="A234" s="166"/>
      <c r="B234" s="167" t="s">
        <v>40</v>
      </c>
      <c r="C234" s="168">
        <f>SUM(C209:C233)</f>
        <v>82</v>
      </c>
      <c r="D234" s="168" t="s">
        <v>49</v>
      </c>
      <c r="E234" s="168" t="s">
        <v>49</v>
      </c>
      <c r="F234" s="168" t="s">
        <v>49</v>
      </c>
      <c r="G234" s="168">
        <f t="shared" ref="G234:J234" si="173">SUM(G209:G233)</f>
        <v>0</v>
      </c>
      <c r="H234" s="168">
        <f t="shared" si="173"/>
        <v>0</v>
      </c>
      <c r="I234" s="168">
        <f t="shared" si="173"/>
        <v>386</v>
      </c>
      <c r="J234" s="168">
        <f t="shared" si="173"/>
        <v>386</v>
      </c>
      <c r="K234" s="168" t="s">
        <v>49</v>
      </c>
      <c r="L234" s="168"/>
      <c r="M234" s="168">
        <f>SUM(M209:M233)</f>
        <v>3</v>
      </c>
      <c r="N234" s="168">
        <f>SUM(N209:N229)</f>
        <v>6</v>
      </c>
      <c r="O234" s="169">
        <f t="shared" ref="O234:Q234" si="174">SUM(O209:O233)</f>
        <v>9</v>
      </c>
      <c r="P234" s="168">
        <f t="shared" si="174"/>
        <v>0</v>
      </c>
      <c r="Q234" s="168">
        <f t="shared" si="174"/>
        <v>180</v>
      </c>
      <c r="R234" s="170"/>
      <c r="S234" s="171">
        <f>AVERAGE(S218:S221)</f>
        <v>0</v>
      </c>
      <c r="T234" s="167" t="s">
        <v>40</v>
      </c>
      <c r="U234" s="168">
        <f>SUM(U209:U233)</f>
        <v>0</v>
      </c>
      <c r="V234" s="168" t="s">
        <v>49</v>
      </c>
      <c r="W234" s="168" t="s">
        <v>49</v>
      </c>
      <c r="X234" s="168" t="s">
        <v>49</v>
      </c>
      <c r="Y234" s="168">
        <f t="shared" ref="Y234:AB234" si="175">SUM(Y209:Y233)</f>
        <v>1</v>
      </c>
      <c r="Z234" s="168">
        <f t="shared" si="175"/>
        <v>1</v>
      </c>
      <c r="AA234" s="168">
        <f t="shared" si="175"/>
        <v>2687</v>
      </c>
      <c r="AB234" s="168">
        <f t="shared" si="175"/>
        <v>2688</v>
      </c>
      <c r="AC234" s="168" t="s">
        <v>49</v>
      </c>
      <c r="AD234" s="168" t="s">
        <v>49</v>
      </c>
      <c r="AE234" s="168">
        <f t="shared" ref="AE234:AI234" si="176">SUM(AE209:AE233)</f>
        <v>21.900000000000002</v>
      </c>
      <c r="AF234" s="168">
        <f t="shared" si="176"/>
        <v>3.1</v>
      </c>
      <c r="AG234" s="169">
        <f t="shared" si="176"/>
        <v>25</v>
      </c>
      <c r="AH234" s="168">
        <f t="shared" si="176"/>
        <v>0</v>
      </c>
      <c r="AI234" s="168">
        <f t="shared" si="176"/>
        <v>1314</v>
      </c>
      <c r="AJ234" s="170"/>
      <c r="AK234" s="171">
        <f t="shared" ref="AK234:AK235" si="177">IF(AI234=0,0,AB234/AI234)</f>
        <v>2.0456621004566209</v>
      </c>
      <c r="AL234" s="167" t="s">
        <v>40</v>
      </c>
      <c r="AM234" s="168">
        <f>SUM(AM209:AM233)</f>
        <v>555</v>
      </c>
      <c r="AN234" s="168" t="s">
        <v>49</v>
      </c>
      <c r="AO234" s="168" t="s">
        <v>49</v>
      </c>
      <c r="AP234" s="168" t="s">
        <v>49</v>
      </c>
      <c r="AQ234" s="168">
        <f t="shared" ref="AQ234:AT234" si="178">SUM(AQ209:AQ233)</f>
        <v>6</v>
      </c>
      <c r="AR234" s="168">
        <f t="shared" si="178"/>
        <v>18</v>
      </c>
      <c r="AS234" s="168">
        <f t="shared" si="178"/>
        <v>2377</v>
      </c>
      <c r="AT234" s="168">
        <f t="shared" si="178"/>
        <v>2395</v>
      </c>
      <c r="AU234" s="168" t="s">
        <v>49</v>
      </c>
      <c r="AV234" s="168">
        <f>SUM(AV209:AV233)</f>
        <v>15.6</v>
      </c>
      <c r="AW234" s="168"/>
      <c r="AX234" s="172">
        <f t="shared" ref="AX234:BA234" si="179">SUM(AX209:AX233)</f>
        <v>13.4</v>
      </c>
      <c r="AY234" s="173">
        <f t="shared" si="179"/>
        <v>29</v>
      </c>
      <c r="AZ234" s="172">
        <f t="shared" si="179"/>
        <v>1</v>
      </c>
      <c r="BA234" s="168">
        <f t="shared" si="179"/>
        <v>936</v>
      </c>
      <c r="BB234" s="170"/>
      <c r="BC234" s="174">
        <f t="shared" ref="BC234:BC235" si="180">IF(BA234=0,0,AT234/BA234)</f>
        <v>2.5587606837606836</v>
      </c>
      <c r="BD234" s="662"/>
      <c r="BE234" s="662"/>
      <c r="BF234" s="120"/>
      <c r="BG234" s="120"/>
      <c r="BH234" s="120"/>
      <c r="BI234" s="120"/>
      <c r="BJ234" s="120"/>
      <c r="BK234" s="662"/>
      <c r="BL234" s="118"/>
      <c r="BM234" s="662"/>
      <c r="BN234" s="662"/>
      <c r="BO234" s="179"/>
      <c r="BP234" s="662"/>
      <c r="BQ234" s="662"/>
      <c r="BR234" s="662"/>
      <c r="BS234" s="662"/>
      <c r="BT234" s="118"/>
      <c r="BU234" s="662"/>
      <c r="BV234" s="662"/>
      <c r="BW234" s="118"/>
      <c r="BX234" s="118"/>
      <c r="BY234" s="118"/>
      <c r="BZ234" s="118"/>
      <c r="CA234" s="118"/>
      <c r="CB234" s="118"/>
      <c r="CC234" s="118"/>
      <c r="CD234" s="118"/>
      <c r="CE234" s="118"/>
      <c r="CF234" s="118"/>
      <c r="CG234" s="118"/>
      <c r="CH234" s="118"/>
      <c r="CI234" s="118"/>
      <c r="CJ234" s="118"/>
      <c r="CK234" s="118"/>
      <c r="CL234" s="118"/>
      <c r="CM234" s="118"/>
      <c r="CN234" s="92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94"/>
      <c r="DD234" s="118"/>
      <c r="DE234" s="118"/>
      <c r="DF234" s="118"/>
      <c r="DG234" s="118"/>
      <c r="DH234" s="118"/>
      <c r="DI234" s="118"/>
      <c r="DJ234" s="118"/>
      <c r="DK234" s="118"/>
      <c r="DL234" s="118"/>
      <c r="DM234" s="118"/>
      <c r="DN234" s="118"/>
      <c r="DO234" s="118"/>
      <c r="DP234" s="118"/>
      <c r="DQ234" s="118"/>
      <c r="DR234" s="118"/>
      <c r="DS234" s="118"/>
      <c r="DT234" s="118"/>
      <c r="DU234" s="19"/>
      <c r="DV234" s="19"/>
      <c r="DW234" s="19"/>
      <c r="DX234" s="19"/>
      <c r="DY234" s="19"/>
      <c r="DZ234" s="19"/>
    </row>
    <row r="235" spans="1:130" ht="12.75" x14ac:dyDescent="0.2">
      <c r="A235" s="746" t="s">
        <v>185</v>
      </c>
      <c r="B235" s="747">
        <v>46111</v>
      </c>
      <c r="C235" s="175"/>
      <c r="D235" s="137"/>
      <c r="E235" s="137"/>
      <c r="F235" s="137"/>
      <c r="G235" s="137"/>
      <c r="H235" s="675"/>
      <c r="I235" s="62">
        <f t="shared" ref="I235:I237" si="181">F235-E235-G235</f>
        <v>0</v>
      </c>
      <c r="J235" s="676">
        <f>SUM(I235:I239,H235)</f>
        <v>0</v>
      </c>
      <c r="K235" s="175"/>
      <c r="L235" s="175"/>
      <c r="M235" s="675"/>
      <c r="N235" s="675"/>
      <c r="O235" s="677">
        <f>SUM(M235:N239)</f>
        <v>0</v>
      </c>
      <c r="P235" s="675"/>
      <c r="Q235" s="657">
        <f>M235*60</f>
        <v>0</v>
      </c>
      <c r="R235" s="657">
        <f>IF(
   COUNTIF(K235:K239,"SI")&gt;0,
   1.8,
   IF(
      COUNTIF(L235:L239,"SI")&gt;0,
      1.6,
      2
   )
)</f>
        <v>2</v>
      </c>
      <c r="S235" s="678">
        <f>IF(Q235=0,0,J235/Q235)</f>
        <v>0</v>
      </c>
      <c r="T235" s="674">
        <v>46111</v>
      </c>
      <c r="U235" s="175"/>
      <c r="V235" s="26"/>
      <c r="W235" s="175"/>
      <c r="X235" s="175"/>
      <c r="Y235" s="175"/>
      <c r="Z235" s="675"/>
      <c r="AA235" s="151">
        <f t="shared" ref="AA235:AA259" si="182">X235-W235-Y235</f>
        <v>0</v>
      </c>
      <c r="AB235" s="676">
        <f>SUM(AA235:AA239,Z235)</f>
        <v>0</v>
      </c>
      <c r="AC235" s="175"/>
      <c r="AD235" s="175"/>
      <c r="AE235" s="675"/>
      <c r="AF235" s="675"/>
      <c r="AG235" s="677">
        <f>SUM(AE235:AF239)</f>
        <v>0</v>
      </c>
      <c r="AH235" s="675"/>
      <c r="AI235" s="657">
        <f>AE235*60</f>
        <v>0</v>
      </c>
      <c r="AJ235" s="657">
        <f>IF(
   COUNTIF(AC235:AC239,"SI")&gt;0,
   1.8,
   IF(
      COUNTIF(AD235:AD239,"SI")&gt;0,
      1.6,
      2
   )
)</f>
        <v>2</v>
      </c>
      <c r="AK235" s="678">
        <f t="shared" si="177"/>
        <v>0</v>
      </c>
      <c r="AL235" s="674">
        <v>46111</v>
      </c>
      <c r="AM235" s="24">
        <v>70</v>
      </c>
      <c r="AN235" s="31">
        <v>728</v>
      </c>
      <c r="AO235" s="31">
        <v>718</v>
      </c>
      <c r="AP235" s="24">
        <v>1003</v>
      </c>
      <c r="AQ235" s="26">
        <v>1</v>
      </c>
      <c r="AR235" s="657">
        <v>52</v>
      </c>
      <c r="AS235" s="62">
        <f t="shared" ref="AS235:AS259" si="183">AP235-AO235-AQ235</f>
        <v>284</v>
      </c>
      <c r="AT235" s="650">
        <f>SUM(AS235:AS239)+AR235</f>
        <v>1096</v>
      </c>
      <c r="AU235" s="29"/>
      <c r="AV235" s="640">
        <v>7.25</v>
      </c>
      <c r="AW235" s="29"/>
      <c r="AX235" s="657">
        <v>0.75</v>
      </c>
      <c r="AY235" s="633">
        <f>SUM(AV235,AX235)</f>
        <v>8</v>
      </c>
      <c r="AZ235" s="657">
        <v>0.15</v>
      </c>
      <c r="BA235" s="657">
        <f>AV235*60</f>
        <v>435</v>
      </c>
      <c r="BB235" s="657">
        <f>IF(
   COUNTIF(AU235:AU239,"SI")&gt;0,
   1.8,
   IF(
      COUNTIF(AV235:AV239,"SI")&gt;0,
      1.6,
      2
   )
)</f>
        <v>2</v>
      </c>
      <c r="BC235" s="672">
        <f t="shared" si="180"/>
        <v>2.5195402298850573</v>
      </c>
      <c r="BD235" s="121"/>
      <c r="BE235" s="119"/>
      <c r="BF235" s="121"/>
      <c r="BG235" s="121"/>
      <c r="BH235" s="121"/>
      <c r="BI235" s="121"/>
      <c r="BJ235" s="121"/>
      <c r="BK235" s="121"/>
      <c r="BL235" s="121"/>
      <c r="BM235" s="121"/>
      <c r="BN235" s="121"/>
      <c r="BO235" s="121"/>
      <c r="BP235" s="121"/>
      <c r="BQ235" s="121"/>
      <c r="BR235" s="121"/>
      <c r="BS235" s="121"/>
      <c r="BT235" s="121"/>
      <c r="BU235" s="121"/>
      <c r="BV235" s="121"/>
      <c r="BW235" s="118"/>
      <c r="BX235" s="118"/>
      <c r="BY235" s="118"/>
      <c r="BZ235" s="118"/>
      <c r="CA235" s="118"/>
      <c r="CB235" s="118"/>
      <c r="CC235" s="118"/>
      <c r="CD235" s="118"/>
      <c r="CE235" s="118"/>
      <c r="CF235" s="118"/>
      <c r="CG235" s="118"/>
      <c r="CH235" s="118"/>
      <c r="CI235" s="118"/>
      <c r="CJ235" s="118"/>
      <c r="CK235" s="118"/>
      <c r="CL235" s="118"/>
      <c r="CM235" s="118"/>
      <c r="CN235" s="92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94"/>
      <c r="DD235" s="118"/>
      <c r="DE235" s="118"/>
      <c r="DF235" s="118"/>
      <c r="DG235" s="118"/>
      <c r="DH235" s="118"/>
      <c r="DI235" s="118"/>
      <c r="DJ235" s="118"/>
      <c r="DK235" s="118"/>
      <c r="DL235" s="118"/>
      <c r="DM235" s="118"/>
      <c r="DN235" s="118"/>
      <c r="DO235" s="118"/>
      <c r="DP235" s="118"/>
      <c r="DQ235" s="118"/>
      <c r="DR235" s="118"/>
      <c r="DS235" s="118"/>
      <c r="DT235" s="118"/>
      <c r="DU235" s="19"/>
      <c r="DV235" s="19"/>
      <c r="DW235" s="19"/>
      <c r="DX235" s="19"/>
      <c r="DY235" s="19"/>
      <c r="DZ235" s="19"/>
    </row>
    <row r="236" spans="1:130" ht="12.75" x14ac:dyDescent="0.2">
      <c r="A236" s="647"/>
      <c r="B236" s="670"/>
      <c r="C236" s="30"/>
      <c r="D236" s="158"/>
      <c r="E236" s="158"/>
      <c r="F236" s="158"/>
      <c r="G236" s="158"/>
      <c r="H236" s="634"/>
      <c r="I236" s="159">
        <f t="shared" si="181"/>
        <v>0</v>
      </c>
      <c r="J236" s="634"/>
      <c r="K236" s="30"/>
      <c r="L236" s="142"/>
      <c r="M236" s="634"/>
      <c r="N236" s="634"/>
      <c r="O236" s="634"/>
      <c r="P236" s="634"/>
      <c r="Q236" s="634"/>
      <c r="R236" s="634"/>
      <c r="S236" s="659"/>
      <c r="T236" s="647"/>
      <c r="U236" s="30"/>
      <c r="V236" s="30"/>
      <c r="W236" s="30"/>
      <c r="X236" s="30"/>
      <c r="Y236" s="30"/>
      <c r="Z236" s="634"/>
      <c r="AA236" s="51">
        <f t="shared" si="182"/>
        <v>0</v>
      </c>
      <c r="AB236" s="634"/>
      <c r="AC236" s="30"/>
      <c r="AD236" s="142"/>
      <c r="AE236" s="634"/>
      <c r="AF236" s="634"/>
      <c r="AG236" s="634"/>
      <c r="AH236" s="634"/>
      <c r="AI236" s="634"/>
      <c r="AJ236" s="634"/>
      <c r="AK236" s="659"/>
      <c r="AL236" s="647"/>
      <c r="AM236" s="28">
        <v>114</v>
      </c>
      <c r="AN236" s="28">
        <v>729</v>
      </c>
      <c r="AO236" s="28">
        <v>1004</v>
      </c>
      <c r="AP236" s="28">
        <v>1501</v>
      </c>
      <c r="AQ236" s="29">
        <v>3</v>
      </c>
      <c r="AR236" s="634"/>
      <c r="AS236" s="159">
        <f t="shared" si="183"/>
        <v>494</v>
      </c>
      <c r="AT236" s="634"/>
      <c r="AU236" s="29"/>
      <c r="AV236" s="634"/>
      <c r="AW236" s="29"/>
      <c r="AX236" s="634"/>
      <c r="AY236" s="634"/>
      <c r="AZ236" s="634"/>
      <c r="BA236" s="634"/>
      <c r="BB236" s="634"/>
      <c r="BC236" s="634"/>
      <c r="BD236" s="663"/>
      <c r="BE236" s="668"/>
      <c r="BF236" s="118"/>
      <c r="BG236" s="118"/>
      <c r="BH236" s="118"/>
      <c r="BI236" s="118"/>
      <c r="BJ236" s="118"/>
      <c r="BK236" s="663"/>
      <c r="BL236" s="118"/>
      <c r="BM236" s="663"/>
      <c r="BN236" s="663"/>
      <c r="BO236" s="118"/>
      <c r="BP236" s="663"/>
      <c r="BQ236" s="663"/>
      <c r="BR236" s="663"/>
      <c r="BS236" s="663"/>
      <c r="BT236" s="118"/>
      <c r="BU236" s="663"/>
      <c r="BV236" s="663"/>
      <c r="BW236" s="118"/>
      <c r="BX236" s="118"/>
      <c r="BY236" s="118"/>
      <c r="BZ236" s="118"/>
      <c r="CA236" s="118"/>
      <c r="CB236" s="118"/>
      <c r="CC236" s="118"/>
      <c r="CD236" s="118"/>
      <c r="CE236" s="118"/>
      <c r="CF236" s="118"/>
      <c r="CG236" s="118"/>
      <c r="CH236" s="118"/>
      <c r="CI236" s="118"/>
      <c r="CJ236" s="118"/>
      <c r="CK236" s="118"/>
      <c r="CL236" s="118"/>
      <c r="CM236" s="118"/>
      <c r="CN236" s="92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94"/>
      <c r="DD236" s="118"/>
      <c r="DE236" s="118"/>
      <c r="DF236" s="118"/>
      <c r="DG236" s="118"/>
      <c r="DH236" s="118"/>
      <c r="DI236" s="118"/>
      <c r="DJ236" s="118"/>
      <c r="DK236" s="118"/>
      <c r="DL236" s="118"/>
      <c r="DM236" s="118"/>
      <c r="DN236" s="118"/>
      <c r="DO236" s="118"/>
      <c r="DP236" s="118"/>
      <c r="DQ236" s="118"/>
      <c r="DR236" s="118"/>
      <c r="DS236" s="118"/>
      <c r="DT236" s="118"/>
      <c r="DU236" s="19"/>
      <c r="DV236" s="19"/>
      <c r="DW236" s="19"/>
      <c r="DX236" s="19"/>
      <c r="DY236" s="19"/>
      <c r="DZ236" s="19"/>
    </row>
    <row r="237" spans="1:130" ht="12.75" x14ac:dyDescent="0.2">
      <c r="A237" s="647"/>
      <c r="B237" s="670"/>
      <c r="C237" s="30"/>
      <c r="D237" s="158"/>
      <c r="E237" s="158"/>
      <c r="F237" s="158"/>
      <c r="G237" s="158"/>
      <c r="H237" s="634"/>
      <c r="I237" s="159">
        <f t="shared" si="181"/>
        <v>0</v>
      </c>
      <c r="J237" s="634"/>
      <c r="K237" s="158"/>
      <c r="L237" s="161"/>
      <c r="M237" s="634"/>
      <c r="N237" s="634"/>
      <c r="O237" s="634"/>
      <c r="P237" s="634"/>
      <c r="Q237" s="634"/>
      <c r="R237" s="634"/>
      <c r="S237" s="659"/>
      <c r="T237" s="647"/>
      <c r="U237" s="30"/>
      <c r="V237" s="158"/>
      <c r="W237" s="30"/>
      <c r="X237" s="30"/>
      <c r="Y237" s="30"/>
      <c r="Z237" s="634"/>
      <c r="AA237" s="51">
        <f t="shared" si="182"/>
        <v>0</v>
      </c>
      <c r="AB237" s="634"/>
      <c r="AC237" s="158"/>
      <c r="AD237" s="161"/>
      <c r="AE237" s="634"/>
      <c r="AF237" s="634"/>
      <c r="AG237" s="634"/>
      <c r="AH237" s="634"/>
      <c r="AI237" s="634"/>
      <c r="AJ237" s="634"/>
      <c r="AK237" s="659"/>
      <c r="AL237" s="647"/>
      <c r="AM237" s="28">
        <v>59</v>
      </c>
      <c r="AN237" s="28">
        <v>731</v>
      </c>
      <c r="AO237" s="28">
        <v>2001</v>
      </c>
      <c r="AP237" s="28">
        <v>2270</v>
      </c>
      <c r="AQ237" s="28">
        <v>3</v>
      </c>
      <c r="AR237" s="634"/>
      <c r="AS237" s="159">
        <f t="shared" si="183"/>
        <v>266</v>
      </c>
      <c r="AT237" s="634"/>
      <c r="AU237" s="158"/>
      <c r="AV237" s="634"/>
      <c r="AW237" s="161"/>
      <c r="AX237" s="634"/>
      <c r="AY237" s="634"/>
      <c r="AZ237" s="634"/>
      <c r="BA237" s="634"/>
      <c r="BB237" s="634"/>
      <c r="BC237" s="634"/>
      <c r="BD237" s="662"/>
      <c r="BE237" s="662"/>
      <c r="BF237" s="118"/>
      <c r="BG237" s="118"/>
      <c r="BH237" s="118"/>
      <c r="BI237" s="118"/>
      <c r="BJ237" s="118"/>
      <c r="BK237" s="662"/>
      <c r="BL237" s="118"/>
      <c r="BM237" s="662"/>
      <c r="BN237" s="662"/>
      <c r="BO237" s="118"/>
      <c r="BP237" s="662"/>
      <c r="BQ237" s="662"/>
      <c r="BR237" s="662"/>
      <c r="BS237" s="662"/>
      <c r="BT237" s="118"/>
      <c r="BU237" s="662"/>
      <c r="BV237" s="662"/>
      <c r="BW237" s="118"/>
      <c r="BX237" s="118"/>
      <c r="BY237" s="118"/>
      <c r="BZ237" s="118"/>
      <c r="CA237" s="118"/>
      <c r="CB237" s="118"/>
      <c r="CC237" s="118"/>
      <c r="CD237" s="118"/>
      <c r="CE237" s="118"/>
      <c r="CF237" s="118"/>
      <c r="CG237" s="118"/>
      <c r="CH237" s="118"/>
      <c r="CI237" s="118"/>
      <c r="CJ237" s="118"/>
      <c r="CK237" s="118"/>
      <c r="CL237" s="118"/>
      <c r="CM237" s="118"/>
      <c r="CN237" s="92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94"/>
      <c r="DD237" s="118"/>
      <c r="DE237" s="118"/>
      <c r="DF237" s="118"/>
      <c r="DG237" s="118"/>
      <c r="DH237" s="118"/>
      <c r="DI237" s="118"/>
      <c r="DJ237" s="118"/>
      <c r="DK237" s="118"/>
      <c r="DL237" s="118"/>
      <c r="DM237" s="118"/>
      <c r="DN237" s="118"/>
      <c r="DO237" s="118"/>
      <c r="DP237" s="118"/>
      <c r="DQ237" s="118"/>
      <c r="DR237" s="118"/>
      <c r="DS237" s="118"/>
      <c r="DT237" s="118"/>
      <c r="DU237" s="19"/>
      <c r="DV237" s="19"/>
      <c r="DW237" s="19"/>
      <c r="DX237" s="19"/>
      <c r="DY237" s="19"/>
      <c r="DZ237" s="19"/>
    </row>
    <row r="238" spans="1:130" ht="12.75" x14ac:dyDescent="0.2">
      <c r="A238" s="647"/>
      <c r="B238" s="670"/>
      <c r="C238" s="30"/>
      <c r="D238" s="30"/>
      <c r="E238" s="30"/>
      <c r="F238" s="30"/>
      <c r="G238" s="30"/>
      <c r="H238" s="634"/>
      <c r="I238" s="30"/>
      <c r="J238" s="634"/>
      <c r="K238" s="30"/>
      <c r="L238" s="142"/>
      <c r="M238" s="634"/>
      <c r="N238" s="634"/>
      <c r="O238" s="634"/>
      <c r="P238" s="634"/>
      <c r="Q238" s="634"/>
      <c r="R238" s="634"/>
      <c r="S238" s="659"/>
      <c r="T238" s="647"/>
      <c r="U238" s="30"/>
      <c r="V238" s="30"/>
      <c r="W238" s="30"/>
      <c r="X238" s="30"/>
      <c r="Y238" s="30"/>
      <c r="Z238" s="634"/>
      <c r="AA238" s="51">
        <f t="shared" si="182"/>
        <v>0</v>
      </c>
      <c r="AB238" s="634"/>
      <c r="AC238" s="30"/>
      <c r="AD238" s="142"/>
      <c r="AE238" s="634"/>
      <c r="AF238" s="634"/>
      <c r="AG238" s="634"/>
      <c r="AH238" s="634"/>
      <c r="AI238" s="634"/>
      <c r="AJ238" s="634"/>
      <c r="AK238" s="659"/>
      <c r="AL238" s="647"/>
      <c r="AM238" s="29"/>
      <c r="AN238" s="29"/>
      <c r="AO238" s="29"/>
      <c r="AP238" s="29"/>
      <c r="AQ238" s="30"/>
      <c r="AR238" s="634"/>
      <c r="AS238" s="51">
        <f t="shared" si="183"/>
        <v>0</v>
      </c>
      <c r="AT238" s="635"/>
      <c r="AU238" s="30"/>
      <c r="AV238" s="635"/>
      <c r="AW238" s="142"/>
      <c r="AX238" s="634"/>
      <c r="AY238" s="634"/>
      <c r="AZ238" s="634"/>
      <c r="BA238" s="634"/>
      <c r="BB238" s="634"/>
      <c r="BC238" s="634"/>
      <c r="BD238" s="662"/>
      <c r="BE238" s="662"/>
      <c r="BF238" s="118"/>
      <c r="BG238" s="118"/>
      <c r="BH238" s="118"/>
      <c r="BI238" s="118"/>
      <c r="BJ238" s="118"/>
      <c r="BK238" s="662"/>
      <c r="BL238" s="118"/>
      <c r="BM238" s="662"/>
      <c r="BN238" s="662"/>
      <c r="BO238" s="118"/>
      <c r="BP238" s="662"/>
      <c r="BQ238" s="662"/>
      <c r="BR238" s="662"/>
      <c r="BS238" s="662"/>
      <c r="BT238" s="118"/>
      <c r="BU238" s="662"/>
      <c r="BV238" s="662"/>
      <c r="BW238" s="118"/>
      <c r="BX238" s="118"/>
      <c r="BY238" s="118"/>
      <c r="BZ238" s="118"/>
      <c r="CA238" s="118"/>
      <c r="CB238" s="118"/>
      <c r="CC238" s="118"/>
      <c r="CD238" s="118"/>
      <c r="CE238" s="118"/>
      <c r="CF238" s="118"/>
      <c r="CG238" s="118"/>
      <c r="CH238" s="118"/>
      <c r="CI238" s="118"/>
      <c r="CJ238" s="118"/>
      <c r="CK238" s="118"/>
      <c r="CL238" s="118"/>
      <c r="CM238" s="118"/>
      <c r="CN238" s="92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94"/>
      <c r="DD238" s="118"/>
      <c r="DE238" s="118"/>
      <c r="DF238" s="118"/>
      <c r="DG238" s="118"/>
      <c r="DH238" s="118"/>
      <c r="DI238" s="118"/>
      <c r="DJ238" s="118"/>
      <c r="DK238" s="118"/>
      <c r="DL238" s="118"/>
      <c r="DM238" s="118"/>
      <c r="DN238" s="118"/>
      <c r="DO238" s="118"/>
      <c r="DP238" s="118"/>
      <c r="DQ238" s="118"/>
      <c r="DR238" s="118"/>
      <c r="DS238" s="118"/>
      <c r="DT238" s="118"/>
      <c r="DU238" s="19"/>
      <c r="DV238" s="19"/>
      <c r="DW238" s="19"/>
      <c r="DX238" s="19"/>
      <c r="DY238" s="19"/>
      <c r="DZ238" s="19"/>
    </row>
    <row r="239" spans="1:130" ht="12.75" x14ac:dyDescent="0.2">
      <c r="A239" s="647"/>
      <c r="B239" s="671"/>
      <c r="C239" s="30"/>
      <c r="D239" s="30"/>
      <c r="E239" s="30"/>
      <c r="F239" s="30"/>
      <c r="G239" s="30"/>
      <c r="H239" s="635"/>
      <c r="I239" s="51">
        <f t="shared" ref="I239:I259" si="184">F239-E239-G239</f>
        <v>0</v>
      </c>
      <c r="J239" s="635"/>
      <c r="K239" s="30"/>
      <c r="L239" s="142"/>
      <c r="M239" s="635"/>
      <c r="N239" s="635"/>
      <c r="O239" s="635"/>
      <c r="P239" s="635"/>
      <c r="Q239" s="635"/>
      <c r="R239" s="635"/>
      <c r="S239" s="660"/>
      <c r="T239" s="648"/>
      <c r="U239" s="30"/>
      <c r="V239" s="30"/>
      <c r="W239" s="30"/>
      <c r="X239" s="30"/>
      <c r="Y239" s="30"/>
      <c r="Z239" s="635"/>
      <c r="AA239" s="51">
        <f t="shared" si="182"/>
        <v>0</v>
      </c>
      <c r="AB239" s="635"/>
      <c r="AC239" s="30"/>
      <c r="AD239" s="142"/>
      <c r="AE239" s="635"/>
      <c r="AF239" s="635"/>
      <c r="AG239" s="635"/>
      <c r="AH239" s="635"/>
      <c r="AI239" s="635"/>
      <c r="AJ239" s="635"/>
      <c r="AK239" s="660"/>
      <c r="AL239" s="648"/>
      <c r="AM239" s="30"/>
      <c r="AN239" s="30"/>
      <c r="AO239" s="30"/>
      <c r="AP239" s="30"/>
      <c r="AQ239" s="30"/>
      <c r="AR239" s="635"/>
      <c r="AS239" s="51">
        <f t="shared" si="183"/>
        <v>0</v>
      </c>
      <c r="AT239" s="146">
        <f>AS239</f>
        <v>0</v>
      </c>
      <c r="AU239" s="30"/>
      <c r="AV239" s="142"/>
      <c r="AW239" s="142"/>
      <c r="AX239" s="635"/>
      <c r="AY239" s="635"/>
      <c r="AZ239" s="635"/>
      <c r="BA239" s="147">
        <f t="shared" ref="BA239:BA240" si="185">AV239*60</f>
        <v>0</v>
      </c>
      <c r="BB239" s="635"/>
      <c r="BC239" s="148">
        <f t="shared" ref="BC239:BC240" si="186">IF(BA239=0,0,AT239/BA239)</f>
        <v>0</v>
      </c>
      <c r="BD239" s="133"/>
      <c r="BE239" s="662"/>
      <c r="BF239" s="118"/>
      <c r="BG239" s="118"/>
      <c r="BH239" s="118"/>
      <c r="BI239" s="118"/>
      <c r="BJ239" s="118"/>
      <c r="BK239" s="662"/>
      <c r="BL239" s="118"/>
      <c r="BM239" s="662"/>
      <c r="BN239" s="662"/>
      <c r="BO239" s="118"/>
      <c r="BP239" s="662"/>
      <c r="BQ239" s="662"/>
      <c r="BR239" s="662"/>
      <c r="BS239" s="662"/>
      <c r="BT239" s="118"/>
      <c r="BU239" s="662"/>
      <c r="BV239" s="662"/>
      <c r="BW239" s="118"/>
      <c r="BX239" s="118"/>
      <c r="BY239" s="118"/>
      <c r="BZ239" s="118"/>
      <c r="CA239" s="118"/>
      <c r="CB239" s="118"/>
      <c r="CC239" s="118"/>
      <c r="CD239" s="118"/>
      <c r="CE239" s="118"/>
      <c r="CF239" s="118"/>
      <c r="CG239" s="118"/>
      <c r="CH239" s="118"/>
      <c r="CI239" s="118"/>
      <c r="CJ239" s="118"/>
      <c r="CK239" s="118"/>
      <c r="CL239" s="118"/>
      <c r="CM239" s="118"/>
      <c r="CN239" s="92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94"/>
      <c r="DD239" s="118"/>
      <c r="DE239" s="118"/>
      <c r="DF239" s="118"/>
      <c r="DG239" s="118"/>
      <c r="DH239" s="118"/>
      <c r="DI239" s="118"/>
      <c r="DJ239" s="118"/>
      <c r="DK239" s="118"/>
      <c r="DL239" s="118"/>
      <c r="DM239" s="118"/>
      <c r="DN239" s="118"/>
      <c r="DO239" s="118"/>
      <c r="DP239" s="118"/>
      <c r="DQ239" s="118"/>
      <c r="DR239" s="118"/>
      <c r="DS239" s="118"/>
      <c r="DT239" s="118"/>
      <c r="DU239" s="19"/>
      <c r="DV239" s="19"/>
      <c r="DW239" s="19"/>
      <c r="DX239" s="19"/>
      <c r="DY239" s="19"/>
      <c r="DZ239" s="19"/>
    </row>
    <row r="240" spans="1:130" ht="12.75" x14ac:dyDescent="0.2">
      <c r="A240" s="647"/>
      <c r="B240" s="751">
        <v>46112</v>
      </c>
      <c r="C240" s="40"/>
      <c r="D240" s="40"/>
      <c r="E240" s="40"/>
      <c r="F240" s="40"/>
      <c r="G240" s="40"/>
      <c r="H240" s="653"/>
      <c r="I240" s="150">
        <f t="shared" si="184"/>
        <v>0</v>
      </c>
      <c r="J240" s="650">
        <f>SUM(I240:I243,H240)</f>
        <v>0</v>
      </c>
      <c r="K240" s="40"/>
      <c r="L240" s="40"/>
      <c r="M240" s="653"/>
      <c r="N240" s="653">
        <v>6</v>
      </c>
      <c r="O240" s="633">
        <f>SUM(M240:N243)</f>
        <v>6</v>
      </c>
      <c r="P240" s="653"/>
      <c r="Q240" s="636">
        <f>M240*60</f>
        <v>0</v>
      </c>
      <c r="R240" s="657">
        <f>IF(
   COUNTIF(K240:K243,"SI")&gt;0,
   1.8,
   IF(
      COUNTIF(L240:L243,"SI")&gt;0,
      1.6,
      2
   )
)</f>
        <v>2</v>
      </c>
      <c r="S240" s="678">
        <f>IF(Q240=0,0,J240/Q240)</f>
        <v>0</v>
      </c>
      <c r="T240" s="646">
        <v>46112</v>
      </c>
      <c r="U240" s="40"/>
      <c r="V240" s="38">
        <v>732</v>
      </c>
      <c r="W240" s="38">
        <v>2504</v>
      </c>
      <c r="X240" s="38">
        <v>3001</v>
      </c>
      <c r="Y240" s="38">
        <v>0</v>
      </c>
      <c r="Z240" s="653">
        <v>94</v>
      </c>
      <c r="AA240" s="51">
        <f t="shared" si="182"/>
        <v>497</v>
      </c>
      <c r="AB240" s="650">
        <f>SUM(AA240:AA243)+Z240</f>
        <v>992</v>
      </c>
      <c r="AC240" s="38" t="s">
        <v>51</v>
      </c>
      <c r="AD240" s="38" t="s">
        <v>51</v>
      </c>
      <c r="AE240" s="636">
        <v>8.5</v>
      </c>
      <c r="AF240" s="636">
        <v>0.5</v>
      </c>
      <c r="AG240" s="633">
        <f>SUM(AE240:AF243)</f>
        <v>9</v>
      </c>
      <c r="AH240" s="636">
        <v>0</v>
      </c>
      <c r="AI240" s="636">
        <f>AE240*60</f>
        <v>510</v>
      </c>
      <c r="AJ240" s="657">
        <f>IF(
   COUNTIF(AC240:AC243,"SI")&gt;0,
   1.8,
   IF(
      COUNTIF(AD240:AD243,"SI")&gt;0,
      1.6,
      2
   )
)</f>
        <v>1.8</v>
      </c>
      <c r="AK240" s="658">
        <f>AB240/AI240</f>
        <v>1.9450980392156862</v>
      </c>
      <c r="AL240" s="646">
        <v>46112</v>
      </c>
      <c r="AM240" s="40"/>
      <c r="AN240" s="40"/>
      <c r="AO240" s="40"/>
      <c r="AP240" s="40"/>
      <c r="AQ240" s="40"/>
      <c r="AR240" s="653"/>
      <c r="AS240" s="151">
        <f t="shared" si="183"/>
        <v>0</v>
      </c>
      <c r="AT240" s="650">
        <f>SUM(AS240:AS244)</f>
        <v>230</v>
      </c>
      <c r="AU240" s="653"/>
      <c r="AV240" s="653"/>
      <c r="AW240" s="40"/>
      <c r="AX240" s="653"/>
      <c r="AY240" s="633">
        <f>SUM(AV240:AX243)</f>
        <v>0</v>
      </c>
      <c r="AZ240" s="636">
        <v>0.25</v>
      </c>
      <c r="BA240" s="636">
        <f t="shared" si="185"/>
        <v>0</v>
      </c>
      <c r="BB240" s="657">
        <f>IF(
   COUNTIF(AU240:AU243,"SI")&gt;0,
   1.8,
   IF(
      COUNTIF(AV240:AV243,"SI")&gt;0,
      1.6,
      2
   )
)</f>
        <v>2</v>
      </c>
      <c r="BC240" s="667">
        <f t="shared" si="186"/>
        <v>0</v>
      </c>
      <c r="BD240" s="663"/>
      <c r="BE240" s="668"/>
      <c r="BF240" s="118"/>
      <c r="BG240" s="118"/>
      <c r="BH240" s="118"/>
      <c r="BI240" s="118"/>
      <c r="BJ240" s="118"/>
      <c r="BK240" s="663"/>
      <c r="BL240" s="118"/>
      <c r="BM240" s="663"/>
      <c r="BN240" s="663"/>
      <c r="BO240" s="118"/>
      <c r="BP240" s="663"/>
      <c r="BQ240" s="663"/>
      <c r="BR240" s="663"/>
      <c r="BS240" s="663"/>
      <c r="BT240" s="118"/>
      <c r="BU240" s="663"/>
      <c r="BV240" s="663"/>
      <c r="BW240" s="118"/>
      <c r="BX240" s="118"/>
      <c r="BY240" s="118"/>
      <c r="BZ240" s="118"/>
      <c r="CA240" s="118"/>
      <c r="CB240" s="118"/>
      <c r="CC240" s="118"/>
      <c r="CD240" s="118"/>
      <c r="CE240" s="118"/>
      <c r="CF240" s="118"/>
      <c r="CG240" s="118"/>
      <c r="CH240" s="118"/>
      <c r="CI240" s="118"/>
      <c r="CJ240" s="118"/>
      <c r="CK240" s="118"/>
      <c r="CL240" s="118"/>
      <c r="CM240" s="118"/>
      <c r="CN240" s="92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94"/>
      <c r="DD240" s="118"/>
      <c r="DE240" s="118"/>
      <c r="DF240" s="118"/>
      <c r="DG240" s="118"/>
      <c r="DH240" s="118"/>
      <c r="DI240" s="118"/>
      <c r="DJ240" s="118"/>
      <c r="DK240" s="118"/>
      <c r="DL240" s="118"/>
      <c r="DM240" s="118"/>
      <c r="DN240" s="118"/>
      <c r="DO240" s="118"/>
      <c r="DP240" s="118"/>
      <c r="DQ240" s="118"/>
      <c r="DR240" s="118"/>
      <c r="DS240" s="118"/>
      <c r="DT240" s="118"/>
      <c r="DU240" s="19"/>
      <c r="DV240" s="19"/>
      <c r="DW240" s="19"/>
      <c r="DX240" s="19"/>
      <c r="DY240" s="19"/>
      <c r="DZ240" s="19"/>
    </row>
    <row r="241" spans="1:130" ht="12.75" x14ac:dyDescent="0.2">
      <c r="A241" s="647"/>
      <c r="B241" s="670"/>
      <c r="C241" s="40"/>
      <c r="D241" s="40"/>
      <c r="E241" s="40"/>
      <c r="F241" s="40"/>
      <c r="G241" s="40"/>
      <c r="H241" s="634"/>
      <c r="I241" s="150">
        <f t="shared" si="184"/>
        <v>0</v>
      </c>
      <c r="J241" s="634"/>
      <c r="K241" s="40"/>
      <c r="L241" s="40"/>
      <c r="M241" s="634"/>
      <c r="N241" s="634"/>
      <c r="O241" s="634"/>
      <c r="P241" s="634"/>
      <c r="Q241" s="634"/>
      <c r="R241" s="634"/>
      <c r="S241" s="659"/>
      <c r="T241" s="647"/>
      <c r="U241" s="40"/>
      <c r="V241" s="31">
        <v>733</v>
      </c>
      <c r="W241" s="31">
        <v>3002</v>
      </c>
      <c r="X241" s="31">
        <v>3403</v>
      </c>
      <c r="Y241" s="31">
        <v>0</v>
      </c>
      <c r="Z241" s="634"/>
      <c r="AA241" s="51">
        <f t="shared" si="182"/>
        <v>401</v>
      </c>
      <c r="AB241" s="634"/>
      <c r="AC241" s="152" t="s">
        <v>51</v>
      </c>
      <c r="AD241" s="31" t="s">
        <v>51</v>
      </c>
      <c r="AE241" s="634"/>
      <c r="AF241" s="634"/>
      <c r="AG241" s="634"/>
      <c r="AH241" s="634"/>
      <c r="AI241" s="634"/>
      <c r="AJ241" s="634"/>
      <c r="AK241" s="659"/>
      <c r="AL241" s="647"/>
      <c r="AM241" s="40"/>
      <c r="AN241" s="40"/>
      <c r="AO241" s="40"/>
      <c r="AP241" s="40"/>
      <c r="AQ241" s="40"/>
      <c r="AR241" s="634"/>
      <c r="AS241" s="151">
        <f t="shared" si="183"/>
        <v>0</v>
      </c>
      <c r="AT241" s="634"/>
      <c r="AU241" s="634"/>
      <c r="AV241" s="634"/>
      <c r="AW241" s="40"/>
      <c r="AX241" s="634"/>
      <c r="AY241" s="634"/>
      <c r="AZ241" s="634"/>
      <c r="BA241" s="634"/>
      <c r="BB241" s="634"/>
      <c r="BC241" s="634"/>
      <c r="BD241" s="662"/>
      <c r="BE241" s="662"/>
      <c r="BF241" s="118"/>
      <c r="BG241" s="118"/>
      <c r="BH241" s="118"/>
      <c r="BI241" s="118"/>
      <c r="BJ241" s="118"/>
      <c r="BK241" s="662"/>
      <c r="BL241" s="118"/>
      <c r="BM241" s="662"/>
      <c r="BN241" s="662"/>
      <c r="BO241" s="118"/>
      <c r="BP241" s="662"/>
      <c r="BQ241" s="662"/>
      <c r="BR241" s="662"/>
      <c r="BS241" s="662"/>
      <c r="BT241" s="118"/>
      <c r="BU241" s="662"/>
      <c r="BV241" s="662"/>
      <c r="BW241" s="118"/>
      <c r="BX241" s="118"/>
      <c r="BY241" s="118"/>
      <c r="BZ241" s="118"/>
      <c r="CA241" s="118"/>
      <c r="CB241" s="118"/>
      <c r="CC241" s="118"/>
      <c r="CD241" s="118"/>
      <c r="CE241" s="118"/>
      <c r="CF241" s="118"/>
      <c r="CG241" s="118"/>
      <c r="CH241" s="118"/>
      <c r="CI241" s="118"/>
      <c r="CJ241" s="118"/>
      <c r="CK241" s="118"/>
      <c r="CL241" s="118"/>
      <c r="CM241" s="118"/>
      <c r="CN241" s="92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94"/>
      <c r="DD241" s="118"/>
      <c r="DE241" s="118"/>
      <c r="DF241" s="118"/>
      <c r="DG241" s="118"/>
      <c r="DH241" s="118"/>
      <c r="DI241" s="118"/>
      <c r="DJ241" s="118"/>
      <c r="DK241" s="118"/>
      <c r="DL241" s="118"/>
      <c r="DM241" s="118"/>
      <c r="DN241" s="118"/>
      <c r="DO241" s="118"/>
      <c r="DP241" s="118"/>
      <c r="DQ241" s="118"/>
      <c r="DR241" s="118"/>
      <c r="DS241" s="118"/>
      <c r="DT241" s="118"/>
      <c r="DU241" s="19"/>
      <c r="DV241" s="19"/>
      <c r="DW241" s="19"/>
      <c r="DX241" s="19"/>
      <c r="DY241" s="19"/>
      <c r="DZ241" s="19"/>
    </row>
    <row r="242" spans="1:130" ht="12.75" x14ac:dyDescent="0.2">
      <c r="A242" s="647"/>
      <c r="B242" s="670"/>
      <c r="C242" s="40"/>
      <c r="D242" s="40"/>
      <c r="E242" s="40"/>
      <c r="F242" s="40"/>
      <c r="G242" s="40"/>
      <c r="H242" s="634"/>
      <c r="I242" s="150">
        <f t="shared" si="184"/>
        <v>0</v>
      </c>
      <c r="J242" s="634"/>
      <c r="K242" s="40"/>
      <c r="L242" s="40"/>
      <c r="M242" s="634"/>
      <c r="N242" s="634"/>
      <c r="O242" s="634"/>
      <c r="P242" s="634"/>
      <c r="Q242" s="634"/>
      <c r="R242" s="634"/>
      <c r="S242" s="659"/>
      <c r="T242" s="647"/>
      <c r="U242" s="40"/>
      <c r="V242" s="31"/>
      <c r="W242" s="31"/>
      <c r="X242" s="31"/>
      <c r="Y242" s="31"/>
      <c r="Z242" s="634"/>
      <c r="AA242" s="51">
        <f t="shared" si="182"/>
        <v>0</v>
      </c>
      <c r="AB242" s="634"/>
      <c r="AC242" s="31"/>
      <c r="AD242" s="31"/>
      <c r="AE242" s="634"/>
      <c r="AF242" s="634"/>
      <c r="AG242" s="634"/>
      <c r="AH242" s="634"/>
      <c r="AI242" s="634"/>
      <c r="AJ242" s="634"/>
      <c r="AK242" s="659"/>
      <c r="AL242" s="647"/>
      <c r="AM242" s="40"/>
      <c r="AN242" s="40"/>
      <c r="AO242" s="40"/>
      <c r="AP242" s="40"/>
      <c r="AQ242" s="40"/>
      <c r="AR242" s="634"/>
      <c r="AS242" s="151">
        <f t="shared" si="183"/>
        <v>0</v>
      </c>
      <c r="AT242" s="635"/>
      <c r="AU242" s="635"/>
      <c r="AV242" s="635"/>
      <c r="AW242" s="40"/>
      <c r="AX242" s="634"/>
      <c r="AY242" s="634"/>
      <c r="AZ242" s="634"/>
      <c r="BA242" s="634"/>
      <c r="BB242" s="634"/>
      <c r="BC242" s="635"/>
      <c r="BD242" s="662"/>
      <c r="BE242" s="662"/>
      <c r="BF242" s="118"/>
      <c r="BG242" s="118"/>
      <c r="BH242" s="118"/>
      <c r="BI242" s="118"/>
      <c r="BJ242" s="118"/>
      <c r="BK242" s="662"/>
      <c r="BL242" s="118"/>
      <c r="BM242" s="662"/>
      <c r="BN242" s="662"/>
      <c r="BO242" s="118"/>
      <c r="BP242" s="662"/>
      <c r="BQ242" s="662"/>
      <c r="BR242" s="662"/>
      <c r="BS242" s="662"/>
      <c r="BT242" s="118"/>
      <c r="BU242" s="662"/>
      <c r="BV242" s="662"/>
      <c r="BW242" s="118"/>
      <c r="BX242" s="118"/>
      <c r="BY242" s="118"/>
      <c r="BZ242" s="118"/>
      <c r="CA242" s="118"/>
      <c r="CB242" s="118"/>
      <c r="CC242" s="118"/>
      <c r="CD242" s="118"/>
      <c r="CE242" s="118"/>
      <c r="CF242" s="118"/>
      <c r="CG242" s="118"/>
      <c r="CH242" s="118"/>
      <c r="CI242" s="118"/>
      <c r="CJ242" s="118"/>
      <c r="CK242" s="118"/>
      <c r="CL242" s="118"/>
      <c r="CM242" s="118"/>
      <c r="CN242" s="92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94"/>
      <c r="DD242" s="118"/>
      <c r="DE242" s="118"/>
      <c r="DF242" s="118"/>
      <c r="DG242" s="118"/>
      <c r="DH242" s="118"/>
      <c r="DI242" s="118"/>
      <c r="DJ242" s="118"/>
      <c r="DK242" s="118"/>
      <c r="DL242" s="118"/>
      <c r="DM242" s="118"/>
      <c r="DN242" s="118"/>
      <c r="DO242" s="118"/>
      <c r="DP242" s="118"/>
      <c r="DQ242" s="118"/>
      <c r="DR242" s="118"/>
      <c r="DS242" s="118"/>
      <c r="DT242" s="118"/>
      <c r="DU242" s="19"/>
      <c r="DV242" s="19"/>
      <c r="DW242" s="19"/>
      <c r="DX242" s="19"/>
      <c r="DY242" s="19"/>
      <c r="DZ242" s="19"/>
    </row>
    <row r="243" spans="1:130" ht="12.75" x14ac:dyDescent="0.2">
      <c r="A243" s="647"/>
      <c r="B243" s="671"/>
      <c r="C243" s="40"/>
      <c r="D243" s="40"/>
      <c r="E243" s="40"/>
      <c r="F243" s="40"/>
      <c r="G243" s="40"/>
      <c r="H243" s="635"/>
      <c r="I243" s="150">
        <f t="shared" si="184"/>
        <v>0</v>
      </c>
      <c r="J243" s="635"/>
      <c r="K243" s="40"/>
      <c r="L243" s="40"/>
      <c r="M243" s="635"/>
      <c r="N243" s="635"/>
      <c r="O243" s="635"/>
      <c r="P243" s="635"/>
      <c r="Q243" s="635"/>
      <c r="R243" s="635"/>
      <c r="S243" s="660"/>
      <c r="T243" s="648"/>
      <c r="U243" s="40"/>
      <c r="V243" s="40"/>
      <c r="W243" s="40"/>
      <c r="X243" s="40"/>
      <c r="Y243" s="40"/>
      <c r="Z243" s="635"/>
      <c r="AA243" s="51">
        <f t="shared" si="182"/>
        <v>0</v>
      </c>
      <c r="AB243" s="634"/>
      <c r="AC243" s="40"/>
      <c r="AD243" s="40"/>
      <c r="AE243" s="634"/>
      <c r="AF243" s="635"/>
      <c r="AG243" s="635"/>
      <c r="AH243" s="635"/>
      <c r="AI243" s="634"/>
      <c r="AJ243" s="635"/>
      <c r="AK243" s="659"/>
      <c r="AL243" s="648"/>
      <c r="AM243" s="40"/>
      <c r="AN243" s="40"/>
      <c r="AO243" s="40"/>
      <c r="AP243" s="40"/>
      <c r="AQ243" s="40"/>
      <c r="AR243" s="635"/>
      <c r="AS243" s="151">
        <f t="shared" si="183"/>
        <v>0</v>
      </c>
      <c r="AT243" s="153"/>
      <c r="AU243" s="40"/>
      <c r="AV243" s="154"/>
      <c r="AW243" s="154"/>
      <c r="AX243" s="635"/>
      <c r="AY243" s="635"/>
      <c r="AZ243" s="635"/>
      <c r="BA243" s="154"/>
      <c r="BB243" s="635"/>
      <c r="BC243" s="155"/>
      <c r="BD243" s="663"/>
      <c r="BE243" s="668"/>
      <c r="BF243" s="118"/>
      <c r="BG243" s="118"/>
      <c r="BH243" s="118"/>
      <c r="BI243" s="118"/>
      <c r="BJ243" s="118"/>
      <c r="BK243" s="663"/>
      <c r="BL243" s="118"/>
      <c r="BM243" s="663"/>
      <c r="BN243" s="663"/>
      <c r="BO243" s="118"/>
      <c r="BP243" s="663"/>
      <c r="BQ243" s="663"/>
      <c r="BR243" s="663"/>
      <c r="BS243" s="663"/>
      <c r="BT243" s="118"/>
      <c r="BU243" s="663"/>
      <c r="BV243" s="663"/>
      <c r="BW243" s="118"/>
      <c r="BX243" s="118"/>
      <c r="BY243" s="118"/>
      <c r="BZ243" s="118"/>
      <c r="CA243" s="118"/>
      <c r="CB243" s="118"/>
      <c r="CC243" s="118"/>
      <c r="CD243" s="118"/>
      <c r="CE243" s="118"/>
      <c r="CF243" s="118"/>
      <c r="CG243" s="118"/>
      <c r="CH243" s="118"/>
      <c r="CI243" s="118"/>
      <c r="CJ243" s="118"/>
      <c r="CK243" s="118"/>
      <c r="CL243" s="118"/>
      <c r="CM243" s="118"/>
      <c r="CN243" s="92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94"/>
      <c r="DD243" s="118"/>
      <c r="DE243" s="118"/>
      <c r="DF243" s="118"/>
      <c r="DG243" s="118"/>
      <c r="DH243" s="118"/>
      <c r="DI243" s="118"/>
      <c r="DJ243" s="118"/>
      <c r="DK243" s="118"/>
      <c r="DL243" s="118"/>
      <c r="DM243" s="118"/>
      <c r="DN243" s="118"/>
      <c r="DO243" s="118"/>
      <c r="DP243" s="118"/>
      <c r="DQ243" s="118"/>
      <c r="DR243" s="118"/>
      <c r="DS243" s="118"/>
      <c r="DT243" s="118"/>
      <c r="DU243" s="19"/>
      <c r="DV243" s="19"/>
      <c r="DW243" s="19"/>
      <c r="DX243" s="19"/>
      <c r="DY243" s="19"/>
      <c r="DZ243" s="19"/>
    </row>
    <row r="244" spans="1:130" ht="12.75" x14ac:dyDescent="0.2">
      <c r="A244" s="647"/>
      <c r="B244" s="752">
        <v>46113</v>
      </c>
      <c r="C244" s="29"/>
      <c r="D244" s="29"/>
      <c r="E244" s="29"/>
      <c r="F244" s="29"/>
      <c r="G244" s="30"/>
      <c r="H244" s="649"/>
      <c r="I244" s="51">
        <f t="shared" si="184"/>
        <v>0</v>
      </c>
      <c r="J244" s="650">
        <f>SUM(I244:I247,H244)</f>
        <v>0</v>
      </c>
      <c r="K244" s="30"/>
      <c r="L244" s="30"/>
      <c r="M244" s="649"/>
      <c r="N244" s="649"/>
      <c r="O244" s="656">
        <f>SUM(M244:N247)</f>
        <v>0</v>
      </c>
      <c r="P244" s="649"/>
      <c r="Q244" s="644">
        <f>M244*60</f>
        <v>0</v>
      </c>
      <c r="R244" s="657">
        <f>IF(
   COUNTIF(K244:K247,"SI")&gt;0,
   1.8,
   IF(
      COUNTIF(L244:L247,"SI")&gt;0,
      1.6,
      2
   )
)</f>
        <v>2</v>
      </c>
      <c r="S244" s="658">
        <f>IF(Q244=0,0,J244/Q244)</f>
        <v>0</v>
      </c>
      <c r="T244" s="655">
        <v>46113</v>
      </c>
      <c r="U244" s="30"/>
      <c r="V244" s="28">
        <v>733</v>
      </c>
      <c r="W244" s="28">
        <v>3404</v>
      </c>
      <c r="X244" s="28">
        <v>3500</v>
      </c>
      <c r="Y244" s="29">
        <v>0</v>
      </c>
      <c r="Z244" s="640">
        <v>13</v>
      </c>
      <c r="AA244" s="51">
        <f t="shared" si="182"/>
        <v>96</v>
      </c>
      <c r="AB244" s="650">
        <f>SUM(AA244:AA247,Z244)</f>
        <v>647</v>
      </c>
      <c r="AC244" s="28" t="s">
        <v>51</v>
      </c>
      <c r="AD244" s="28" t="s">
        <v>51</v>
      </c>
      <c r="AE244" s="640">
        <v>5.5</v>
      </c>
      <c r="AF244" s="640">
        <v>0.5</v>
      </c>
      <c r="AG244" s="633">
        <f>SUM(AE244:AF247)</f>
        <v>6</v>
      </c>
      <c r="AH244" s="640">
        <v>0</v>
      </c>
      <c r="AI244" s="640">
        <f>AE244*60</f>
        <v>330</v>
      </c>
      <c r="AJ244" s="657">
        <f>IF(
   COUNTIF(AC244:AC247,"SI")&gt;0,
   1.8,
   IF(
      COUNTIF(AD244:AD247,"SI")&gt;0,
      1.6,
      2
   )
)</f>
        <v>1.8</v>
      </c>
      <c r="AK244" s="679">
        <f>AB244/AI244</f>
        <v>1.9606060606060607</v>
      </c>
      <c r="AL244" s="655">
        <v>46113</v>
      </c>
      <c r="AM244" s="29">
        <v>55</v>
      </c>
      <c r="AN244" s="31">
        <v>731</v>
      </c>
      <c r="AO244" s="31">
        <v>2271</v>
      </c>
      <c r="AP244" s="31">
        <v>2503</v>
      </c>
      <c r="AQ244" s="31">
        <v>2</v>
      </c>
      <c r="AR244" s="653"/>
      <c r="AS244" s="150">
        <f t="shared" si="183"/>
        <v>230</v>
      </c>
      <c r="AT244" s="650">
        <f>SUM(AS244:AS246,AR244)</f>
        <v>620</v>
      </c>
      <c r="AU244" s="653"/>
      <c r="AV244" s="653">
        <v>4.5</v>
      </c>
      <c r="AW244" s="40"/>
      <c r="AX244" s="653">
        <v>2</v>
      </c>
      <c r="AY244" s="633">
        <f>SUM(AV244:AX247)</f>
        <v>6.5</v>
      </c>
      <c r="AZ244" s="640">
        <v>0.1</v>
      </c>
      <c r="BA244" s="640">
        <f>AV244*60</f>
        <v>270</v>
      </c>
      <c r="BB244" s="657">
        <f>IF(
   COUNTIF(AU244:AU247,"SI")&gt;0,
   1.8,
   IF(
      COUNTIF(AV244:AV247,"SI")&gt;0,
      1.6,
      2
   )
)</f>
        <v>2</v>
      </c>
      <c r="BC244" s="666">
        <f>IF(BA244=0,0,AT244/BA244)</f>
        <v>2.2962962962962963</v>
      </c>
      <c r="BD244" s="662"/>
      <c r="BE244" s="662"/>
      <c r="BF244" s="118"/>
      <c r="BG244" s="118"/>
      <c r="BH244" s="118"/>
      <c r="BI244" s="118"/>
      <c r="BJ244" s="118"/>
      <c r="BK244" s="662"/>
      <c r="BL244" s="118"/>
      <c r="BM244" s="662"/>
      <c r="BN244" s="662"/>
      <c r="BO244" s="118"/>
      <c r="BP244" s="662"/>
      <c r="BQ244" s="662"/>
      <c r="BR244" s="662"/>
      <c r="BS244" s="662"/>
      <c r="BT244" s="118"/>
      <c r="BU244" s="662"/>
      <c r="BV244" s="662"/>
      <c r="BW244" s="118"/>
      <c r="BX244" s="118"/>
      <c r="BY244" s="118"/>
      <c r="BZ244" s="118"/>
      <c r="CA244" s="118"/>
      <c r="CB244" s="118"/>
      <c r="CC244" s="118"/>
      <c r="CD244" s="118"/>
      <c r="CE244" s="118"/>
      <c r="CF244" s="118"/>
      <c r="CG244" s="118"/>
      <c r="CH244" s="118"/>
      <c r="CI244" s="118"/>
      <c r="CJ244" s="118"/>
      <c r="CK244" s="118"/>
      <c r="CL244" s="118"/>
      <c r="CM244" s="118"/>
      <c r="CN244" s="92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94"/>
      <c r="DD244" s="118"/>
      <c r="DE244" s="118"/>
      <c r="DF244" s="118"/>
      <c r="DG244" s="118"/>
      <c r="DH244" s="118"/>
      <c r="DI244" s="118"/>
      <c r="DJ244" s="118"/>
      <c r="DK244" s="118"/>
      <c r="DL244" s="118"/>
      <c r="DM244" s="118"/>
      <c r="DN244" s="118"/>
      <c r="DO244" s="118"/>
      <c r="DP244" s="118"/>
      <c r="DQ244" s="118"/>
      <c r="DR244" s="118"/>
      <c r="DS244" s="118"/>
      <c r="DT244" s="118"/>
      <c r="DU244" s="19"/>
      <c r="DV244" s="19"/>
      <c r="DW244" s="19"/>
      <c r="DX244" s="19"/>
      <c r="DY244" s="19"/>
      <c r="DZ244" s="19"/>
    </row>
    <row r="245" spans="1:130" ht="12.75" x14ac:dyDescent="0.2">
      <c r="A245" s="647"/>
      <c r="B245" s="670"/>
      <c r="C245" s="30"/>
      <c r="D245" s="30"/>
      <c r="E245" s="30"/>
      <c r="F245" s="30"/>
      <c r="G245" s="30"/>
      <c r="H245" s="634"/>
      <c r="I245" s="51">
        <f t="shared" si="184"/>
        <v>0</v>
      </c>
      <c r="J245" s="634"/>
      <c r="K245" s="30"/>
      <c r="L245" s="30"/>
      <c r="M245" s="634"/>
      <c r="N245" s="634"/>
      <c r="O245" s="634"/>
      <c r="P245" s="634"/>
      <c r="Q245" s="634"/>
      <c r="R245" s="634"/>
      <c r="S245" s="659"/>
      <c r="T245" s="647"/>
      <c r="U245" s="30"/>
      <c r="V245" s="28">
        <v>734</v>
      </c>
      <c r="W245" s="28">
        <v>3501</v>
      </c>
      <c r="X245" s="28">
        <v>3750</v>
      </c>
      <c r="Y245" s="29">
        <v>0</v>
      </c>
      <c r="Z245" s="634"/>
      <c r="AA245" s="51">
        <f t="shared" si="182"/>
        <v>249</v>
      </c>
      <c r="AB245" s="634"/>
      <c r="AC245" s="28" t="s">
        <v>51</v>
      </c>
      <c r="AD245" s="28" t="s">
        <v>51</v>
      </c>
      <c r="AE245" s="634"/>
      <c r="AF245" s="634"/>
      <c r="AG245" s="634"/>
      <c r="AH245" s="634"/>
      <c r="AI245" s="634"/>
      <c r="AJ245" s="634"/>
      <c r="AK245" s="659"/>
      <c r="AL245" s="647"/>
      <c r="AM245" s="29">
        <v>100</v>
      </c>
      <c r="AN245" s="31">
        <v>735</v>
      </c>
      <c r="AO245" s="31">
        <v>4002</v>
      </c>
      <c r="AP245" s="31">
        <v>4402</v>
      </c>
      <c r="AQ245" s="31">
        <v>10</v>
      </c>
      <c r="AR245" s="634"/>
      <c r="AS245" s="150">
        <f t="shared" si="183"/>
        <v>390</v>
      </c>
      <c r="AT245" s="634"/>
      <c r="AU245" s="634"/>
      <c r="AV245" s="634"/>
      <c r="AW245" s="40"/>
      <c r="AX245" s="634"/>
      <c r="AY245" s="634"/>
      <c r="AZ245" s="634"/>
      <c r="BA245" s="634"/>
      <c r="BB245" s="634"/>
      <c r="BC245" s="634"/>
      <c r="BD245" s="663"/>
      <c r="BE245" s="668"/>
      <c r="BF245" s="118"/>
      <c r="BG245" s="118"/>
      <c r="BH245" s="118"/>
      <c r="BI245" s="118"/>
      <c r="BJ245" s="118"/>
      <c r="BK245" s="663"/>
      <c r="BL245" s="118"/>
      <c r="BM245" s="663"/>
      <c r="BN245" s="663"/>
      <c r="BO245" s="118"/>
      <c r="BP245" s="663"/>
      <c r="BQ245" s="663"/>
      <c r="BR245" s="663"/>
      <c r="BS245" s="663"/>
      <c r="BT245" s="118"/>
      <c r="BU245" s="663"/>
      <c r="BV245" s="663"/>
      <c r="BW245" s="118"/>
      <c r="BX245" s="118"/>
      <c r="BY245" s="118"/>
      <c r="BZ245" s="118"/>
      <c r="CA245" s="118"/>
      <c r="CB245" s="118"/>
      <c r="CC245" s="118"/>
      <c r="CD245" s="118"/>
      <c r="CE245" s="118"/>
      <c r="CF245" s="118"/>
      <c r="CG245" s="118"/>
      <c r="CH245" s="118"/>
      <c r="CI245" s="118"/>
      <c r="CJ245" s="118"/>
      <c r="CK245" s="118"/>
      <c r="CL245" s="118"/>
      <c r="CM245" s="118"/>
      <c r="CN245" s="92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94"/>
      <c r="DD245" s="118"/>
      <c r="DE245" s="118"/>
      <c r="DF245" s="118"/>
      <c r="DG245" s="118"/>
      <c r="DH245" s="118"/>
      <c r="DI245" s="118"/>
      <c r="DJ245" s="118"/>
      <c r="DK245" s="118"/>
      <c r="DL245" s="118"/>
      <c r="DM245" s="118"/>
      <c r="DN245" s="118"/>
      <c r="DO245" s="118"/>
      <c r="DP245" s="118"/>
      <c r="DQ245" s="118"/>
      <c r="DR245" s="118"/>
      <c r="DS245" s="118"/>
      <c r="DT245" s="118"/>
      <c r="DU245" s="19"/>
      <c r="DV245" s="19"/>
      <c r="DW245" s="19"/>
      <c r="DX245" s="19"/>
      <c r="DY245" s="19"/>
      <c r="DZ245" s="19"/>
    </row>
    <row r="246" spans="1:130" ht="12.75" x14ac:dyDescent="0.2">
      <c r="A246" s="647"/>
      <c r="B246" s="670"/>
      <c r="C246" s="30"/>
      <c r="D246" s="30"/>
      <c r="E246" s="30"/>
      <c r="F246" s="30"/>
      <c r="G246" s="30"/>
      <c r="H246" s="634"/>
      <c r="I246" s="51">
        <f t="shared" si="184"/>
        <v>0</v>
      </c>
      <c r="J246" s="634"/>
      <c r="K246" s="30"/>
      <c r="L246" s="30"/>
      <c r="M246" s="634"/>
      <c r="N246" s="634"/>
      <c r="O246" s="634"/>
      <c r="P246" s="634"/>
      <c r="Q246" s="634"/>
      <c r="R246" s="634"/>
      <c r="S246" s="659"/>
      <c r="T246" s="647"/>
      <c r="U246" s="30"/>
      <c r="V246" s="28">
        <v>736</v>
      </c>
      <c r="W246" s="28">
        <v>4501</v>
      </c>
      <c r="X246" s="28">
        <v>4800</v>
      </c>
      <c r="Y246" s="29">
        <v>10</v>
      </c>
      <c r="Z246" s="634"/>
      <c r="AA246" s="51">
        <f t="shared" si="182"/>
        <v>289</v>
      </c>
      <c r="AB246" s="634"/>
      <c r="AC246" s="51"/>
      <c r="AD246" s="51"/>
      <c r="AE246" s="634"/>
      <c r="AF246" s="634"/>
      <c r="AG246" s="634"/>
      <c r="AH246" s="634"/>
      <c r="AI246" s="634"/>
      <c r="AJ246" s="634"/>
      <c r="AK246" s="659"/>
      <c r="AL246" s="647"/>
      <c r="AM246" s="30"/>
      <c r="AN246" s="40"/>
      <c r="AO246" s="40"/>
      <c r="AP246" s="40"/>
      <c r="AQ246" s="40"/>
      <c r="AR246" s="634"/>
      <c r="AS246" s="150">
        <f t="shared" si="183"/>
        <v>0</v>
      </c>
      <c r="AT246" s="635"/>
      <c r="AU246" s="635"/>
      <c r="AV246" s="635"/>
      <c r="AW246" s="40"/>
      <c r="AX246" s="634"/>
      <c r="AY246" s="634"/>
      <c r="AZ246" s="634"/>
      <c r="BA246" s="634"/>
      <c r="BB246" s="634"/>
      <c r="BC246" s="634"/>
      <c r="BD246" s="662"/>
      <c r="BE246" s="662"/>
      <c r="BF246" s="118"/>
      <c r="BG246" s="118"/>
      <c r="BH246" s="118"/>
      <c r="BI246" s="118"/>
      <c r="BJ246" s="118"/>
      <c r="BK246" s="662"/>
      <c r="BL246" s="118"/>
      <c r="BM246" s="662"/>
      <c r="BN246" s="662"/>
      <c r="BO246" s="118"/>
      <c r="BP246" s="662"/>
      <c r="BQ246" s="662"/>
      <c r="BR246" s="662"/>
      <c r="BS246" s="662"/>
      <c r="BT246" s="118"/>
      <c r="BU246" s="662"/>
      <c r="BV246" s="662"/>
      <c r="BW246" s="118"/>
      <c r="BX246" s="118"/>
      <c r="BY246" s="118"/>
      <c r="BZ246" s="118"/>
      <c r="CA246" s="118"/>
      <c r="CB246" s="118"/>
      <c r="CC246" s="118"/>
      <c r="CD246" s="118"/>
      <c r="CE246" s="118"/>
      <c r="CF246" s="118"/>
      <c r="CG246" s="118"/>
      <c r="CH246" s="118"/>
      <c r="CI246" s="118"/>
      <c r="CJ246" s="118"/>
      <c r="CK246" s="118"/>
      <c r="CL246" s="118"/>
      <c r="CM246" s="118"/>
      <c r="CN246" s="92"/>
      <c r="CO246" s="93"/>
      <c r="CP246" s="93"/>
      <c r="CQ246" s="93"/>
      <c r="CR246" s="93"/>
      <c r="CS246" s="93"/>
      <c r="CT246" s="93"/>
      <c r="CU246" s="93"/>
      <c r="CV246" s="93"/>
      <c r="CW246" s="93"/>
      <c r="CX246" s="93"/>
      <c r="CY246" s="93"/>
      <c r="CZ246" s="93"/>
      <c r="DA246" s="93"/>
      <c r="DB246" s="93"/>
      <c r="DC246" s="94"/>
      <c r="DD246" s="118"/>
      <c r="DE246" s="118"/>
      <c r="DF246" s="118"/>
      <c r="DG246" s="118"/>
      <c r="DH246" s="118"/>
      <c r="DI246" s="118"/>
      <c r="DJ246" s="118"/>
      <c r="DK246" s="118"/>
      <c r="DL246" s="118"/>
      <c r="DM246" s="118"/>
      <c r="DN246" s="118"/>
      <c r="DO246" s="118"/>
      <c r="DP246" s="118"/>
      <c r="DQ246" s="118"/>
      <c r="DR246" s="118"/>
      <c r="DS246" s="118"/>
      <c r="DT246" s="118"/>
      <c r="DU246" s="19"/>
      <c r="DV246" s="19"/>
      <c r="DW246" s="19"/>
      <c r="DX246" s="19"/>
      <c r="DY246" s="19"/>
      <c r="DZ246" s="19"/>
    </row>
    <row r="247" spans="1:130" ht="12.75" x14ac:dyDescent="0.2">
      <c r="A247" s="647"/>
      <c r="B247" s="671"/>
      <c r="C247" s="30"/>
      <c r="D247" s="30"/>
      <c r="E247" s="30"/>
      <c r="F247" s="30"/>
      <c r="G247" s="30"/>
      <c r="H247" s="635"/>
      <c r="I247" s="51">
        <f t="shared" si="184"/>
        <v>0</v>
      </c>
      <c r="J247" s="635"/>
      <c r="K247" s="30"/>
      <c r="L247" s="30"/>
      <c r="M247" s="635"/>
      <c r="N247" s="635"/>
      <c r="O247" s="635"/>
      <c r="P247" s="635"/>
      <c r="Q247" s="635"/>
      <c r="R247" s="635"/>
      <c r="S247" s="660"/>
      <c r="T247" s="648"/>
      <c r="U247" s="30"/>
      <c r="V247" s="30"/>
      <c r="W247" s="30"/>
      <c r="X247" s="30"/>
      <c r="Y247" s="30"/>
      <c r="Z247" s="635"/>
      <c r="AA247" s="51">
        <f t="shared" si="182"/>
        <v>0</v>
      </c>
      <c r="AB247" s="635"/>
      <c r="AC247" s="30"/>
      <c r="AD247" s="30"/>
      <c r="AE247" s="635"/>
      <c r="AF247" s="635"/>
      <c r="AG247" s="635"/>
      <c r="AH247" s="635"/>
      <c r="AI247" s="634"/>
      <c r="AJ247" s="635"/>
      <c r="AK247" s="659"/>
      <c r="AL247" s="648"/>
      <c r="AM247" s="30"/>
      <c r="AN247" s="40"/>
      <c r="AO247" s="40"/>
      <c r="AP247" s="40"/>
      <c r="AQ247" s="40"/>
      <c r="AR247" s="635"/>
      <c r="AS247" s="150">
        <f t="shared" si="183"/>
        <v>0</v>
      </c>
      <c r="AT247" s="153"/>
      <c r="AU247" s="40"/>
      <c r="AV247" s="154"/>
      <c r="AW247" s="154"/>
      <c r="AX247" s="635"/>
      <c r="AY247" s="635"/>
      <c r="AZ247" s="635"/>
      <c r="BA247" s="635"/>
      <c r="BB247" s="635"/>
      <c r="BC247" s="635"/>
      <c r="BD247" s="662"/>
      <c r="BE247" s="662"/>
      <c r="BF247" s="118"/>
      <c r="BG247" s="118"/>
      <c r="BH247" s="118"/>
      <c r="BI247" s="118"/>
      <c r="BJ247" s="118"/>
      <c r="BK247" s="662"/>
      <c r="BL247" s="118"/>
      <c r="BM247" s="662"/>
      <c r="BN247" s="662"/>
      <c r="BO247" s="118"/>
      <c r="BP247" s="662"/>
      <c r="BQ247" s="662"/>
      <c r="BR247" s="662"/>
      <c r="BS247" s="662"/>
      <c r="BT247" s="118"/>
      <c r="BU247" s="662"/>
      <c r="BV247" s="662"/>
      <c r="BW247" s="118"/>
      <c r="BX247" s="118"/>
      <c r="BY247" s="118"/>
      <c r="BZ247" s="118"/>
      <c r="CA247" s="118"/>
      <c r="CB247" s="118"/>
      <c r="CC247" s="118"/>
      <c r="CD247" s="118"/>
      <c r="CE247" s="118"/>
      <c r="CF247" s="118"/>
      <c r="CG247" s="118"/>
      <c r="CH247" s="118"/>
      <c r="CI247" s="118"/>
      <c r="CJ247" s="118"/>
      <c r="CK247" s="118"/>
      <c r="CL247" s="118"/>
      <c r="CM247" s="118"/>
      <c r="CN247" s="92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94"/>
      <c r="DD247" s="118"/>
      <c r="DE247" s="118"/>
      <c r="DF247" s="118"/>
      <c r="DG247" s="118"/>
      <c r="DH247" s="118"/>
      <c r="DI247" s="118"/>
      <c r="DJ247" s="118"/>
      <c r="DK247" s="118"/>
      <c r="DL247" s="118"/>
      <c r="DM247" s="118"/>
      <c r="DN247" s="118"/>
      <c r="DO247" s="118"/>
      <c r="DP247" s="118"/>
      <c r="DQ247" s="118"/>
      <c r="DR247" s="118"/>
      <c r="DS247" s="118"/>
      <c r="DT247" s="118"/>
      <c r="DU247" s="19"/>
      <c r="DV247" s="19"/>
      <c r="DW247" s="19"/>
      <c r="DX247" s="19"/>
      <c r="DY247" s="19"/>
      <c r="DZ247" s="19"/>
    </row>
    <row r="248" spans="1:130" ht="12.75" x14ac:dyDescent="0.2">
      <c r="A248" s="647"/>
      <c r="B248" s="751">
        <v>46114</v>
      </c>
      <c r="C248" s="40"/>
      <c r="D248" s="40"/>
      <c r="E248" s="40"/>
      <c r="F248" s="40"/>
      <c r="G248" s="142"/>
      <c r="H248" s="652"/>
      <c r="I248" s="150">
        <f t="shared" si="184"/>
        <v>0</v>
      </c>
      <c r="J248" s="650">
        <f>SUM(I248:I251,H248)</f>
        <v>0</v>
      </c>
      <c r="K248" s="40"/>
      <c r="L248" s="40"/>
      <c r="M248" s="653">
        <v>0</v>
      </c>
      <c r="N248" s="653"/>
      <c r="O248" s="633">
        <f>SUM(M248:N251)</f>
        <v>0</v>
      </c>
      <c r="P248" s="653"/>
      <c r="Q248" s="636">
        <f>M248*60</f>
        <v>0</v>
      </c>
      <c r="R248" s="657">
        <f>IF(
   COUNTIF(K248:K251,"SI")&gt;0,
   1.8,
   IF(
      COUNTIF(L248:L251,"SI")&gt;0,
      1.6,
      2
   )
)</f>
        <v>2</v>
      </c>
      <c r="S248" s="658">
        <f>IF(Q248=0,0,J248/Q248)</f>
        <v>0</v>
      </c>
      <c r="T248" s="646">
        <v>46114</v>
      </c>
      <c r="U248" s="40"/>
      <c r="V248" s="31"/>
      <c r="W248" s="40"/>
      <c r="X248" s="40"/>
      <c r="Y248" s="40"/>
      <c r="Z248" s="653"/>
      <c r="AA248" s="51">
        <f t="shared" si="182"/>
        <v>0</v>
      </c>
      <c r="AB248" s="650">
        <f>SUM(AA248:AA251,Z248)</f>
        <v>0</v>
      </c>
      <c r="AC248" s="40"/>
      <c r="AD248" s="40"/>
      <c r="AE248" s="653"/>
      <c r="AF248" s="636"/>
      <c r="AG248" s="633">
        <f>SUM(AE248:AF251)</f>
        <v>0</v>
      </c>
      <c r="AH248" s="636">
        <v>0</v>
      </c>
      <c r="AI248" s="636">
        <f>AE248*60</f>
        <v>0</v>
      </c>
      <c r="AJ248" s="657">
        <f>IF(
   COUNTIF(AC248:AC251,"SI")&gt;0,
   1.8,
   IF(
      COUNTIF(AD248:AD251,"SI")&gt;0,
      1.6,
      2
   )
)</f>
        <v>2</v>
      </c>
      <c r="AK248" s="658">
        <f>IF(AI248=0,0,AB248/AI248)</f>
        <v>0</v>
      </c>
      <c r="AL248" s="646">
        <v>46114</v>
      </c>
      <c r="AM248" s="28"/>
      <c r="AN248" s="28"/>
      <c r="AO248" s="28"/>
      <c r="AP248" s="41"/>
      <c r="AQ248" s="159"/>
      <c r="AR248" s="649"/>
      <c r="AS248" s="39">
        <f t="shared" si="183"/>
        <v>0</v>
      </c>
      <c r="AT248" s="650">
        <f>SUM(AS248:AS251)+AR248</f>
        <v>0</v>
      </c>
      <c r="AU248" s="39"/>
      <c r="AV248" s="640"/>
      <c r="AW248" s="159"/>
      <c r="AX248" s="640"/>
      <c r="AY248" s="633">
        <f>SUM(AV248,AX248)</f>
        <v>0</v>
      </c>
      <c r="AZ248" s="636"/>
      <c r="BA248" s="636">
        <f>AV248*60</f>
        <v>0</v>
      </c>
      <c r="BB248" s="657">
        <f>IF(
   COUNTIF(AU248:AU251,"SI")&gt;0,
   1.8,
   IF(
      COUNTIF(AV248:AV251,"SI")&gt;0,
      1.6,
      2
   )
)</f>
        <v>2</v>
      </c>
      <c r="BC248" s="645">
        <f>IF(BA248=0,0,AT248/BA248)</f>
        <v>0</v>
      </c>
      <c r="BD248" s="663"/>
      <c r="BE248" s="668"/>
      <c r="BF248" s="117"/>
      <c r="BG248" s="117"/>
      <c r="BH248" s="117"/>
      <c r="BI248" s="117"/>
      <c r="BJ248" s="117"/>
      <c r="BK248" s="661"/>
      <c r="BL248" s="118"/>
      <c r="BM248" s="663"/>
      <c r="BN248" s="663"/>
      <c r="BO248" s="118"/>
      <c r="BP248" s="663"/>
      <c r="BQ248" s="663"/>
      <c r="BR248" s="663"/>
      <c r="BS248" s="663"/>
      <c r="BT248" s="118"/>
      <c r="BU248" s="663"/>
      <c r="BV248" s="663"/>
      <c r="BW248" s="118"/>
      <c r="BX248" s="118"/>
      <c r="BY248" s="118"/>
      <c r="BZ248" s="118"/>
      <c r="CA248" s="118"/>
      <c r="CB248" s="118"/>
      <c r="CC248" s="118"/>
      <c r="CD248" s="118"/>
      <c r="CE248" s="118"/>
      <c r="CF248" s="118"/>
      <c r="CG248" s="118"/>
      <c r="CH248" s="118"/>
      <c r="CI248" s="118"/>
      <c r="CJ248" s="118"/>
      <c r="CK248" s="118"/>
      <c r="CL248" s="118"/>
      <c r="CM248" s="118"/>
      <c r="CN248" s="92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94"/>
      <c r="DD248" s="118"/>
      <c r="DE248" s="118"/>
      <c r="DF248" s="118"/>
      <c r="DG248" s="118"/>
      <c r="DH248" s="118"/>
      <c r="DI248" s="118"/>
      <c r="DJ248" s="118"/>
      <c r="DK248" s="118"/>
      <c r="DL248" s="118"/>
      <c r="DM248" s="118"/>
      <c r="DN248" s="118"/>
      <c r="DO248" s="118"/>
      <c r="DP248" s="118"/>
      <c r="DQ248" s="118"/>
      <c r="DR248" s="118"/>
      <c r="DS248" s="118"/>
      <c r="DT248" s="118"/>
      <c r="DU248" s="19"/>
      <c r="DV248" s="19"/>
      <c r="DW248" s="19"/>
      <c r="DX248" s="19"/>
      <c r="DY248" s="19"/>
      <c r="DZ248" s="19"/>
    </row>
    <row r="249" spans="1:130" ht="12.75" x14ac:dyDescent="0.2">
      <c r="A249" s="647"/>
      <c r="B249" s="670"/>
      <c r="C249" s="40"/>
      <c r="D249" s="40"/>
      <c r="E249" s="40"/>
      <c r="F249" s="40"/>
      <c r="G249" s="40"/>
      <c r="H249" s="634"/>
      <c r="I249" s="150">
        <f t="shared" si="184"/>
        <v>0</v>
      </c>
      <c r="J249" s="634"/>
      <c r="K249" s="40"/>
      <c r="L249" s="40"/>
      <c r="M249" s="634"/>
      <c r="N249" s="634"/>
      <c r="O249" s="634"/>
      <c r="P249" s="634"/>
      <c r="Q249" s="634"/>
      <c r="R249" s="634"/>
      <c r="S249" s="659"/>
      <c r="T249" s="647"/>
      <c r="U249" s="40"/>
      <c r="V249" s="31"/>
      <c r="W249" s="40"/>
      <c r="X249" s="40"/>
      <c r="Y249" s="40"/>
      <c r="Z249" s="634"/>
      <c r="AA249" s="51">
        <f t="shared" si="182"/>
        <v>0</v>
      </c>
      <c r="AB249" s="634"/>
      <c r="AC249" s="40"/>
      <c r="AD249" s="40"/>
      <c r="AE249" s="634"/>
      <c r="AF249" s="634"/>
      <c r="AG249" s="634"/>
      <c r="AH249" s="634"/>
      <c r="AI249" s="634"/>
      <c r="AJ249" s="634"/>
      <c r="AK249" s="659"/>
      <c r="AL249" s="647"/>
      <c r="AM249" s="28"/>
      <c r="AN249" s="28"/>
      <c r="AO249" s="28"/>
      <c r="AP249" s="28"/>
      <c r="AQ249" s="30"/>
      <c r="AR249" s="634"/>
      <c r="AS249" s="51">
        <f t="shared" si="183"/>
        <v>0</v>
      </c>
      <c r="AT249" s="634"/>
      <c r="AU249" s="150"/>
      <c r="AV249" s="634"/>
      <c r="AW249" s="51"/>
      <c r="AX249" s="634"/>
      <c r="AY249" s="634"/>
      <c r="AZ249" s="634"/>
      <c r="BA249" s="634"/>
      <c r="BB249" s="634"/>
      <c r="BC249" s="634"/>
      <c r="BD249" s="662"/>
      <c r="BE249" s="662"/>
      <c r="BF249" s="117"/>
      <c r="BG249" s="117"/>
      <c r="BH249" s="117"/>
      <c r="BI249" s="117"/>
      <c r="BJ249" s="117"/>
      <c r="BK249" s="662"/>
      <c r="BL249" s="118"/>
      <c r="BM249" s="662"/>
      <c r="BN249" s="662"/>
      <c r="BO249" s="118"/>
      <c r="BP249" s="662"/>
      <c r="BQ249" s="662"/>
      <c r="BR249" s="662"/>
      <c r="BS249" s="662"/>
      <c r="BT249" s="118"/>
      <c r="BU249" s="662"/>
      <c r="BV249" s="662"/>
      <c r="BW249" s="118"/>
      <c r="BX249" s="118"/>
      <c r="BY249" s="118"/>
      <c r="BZ249" s="118"/>
      <c r="CA249" s="118"/>
      <c r="CB249" s="118"/>
      <c r="CC249" s="118"/>
      <c r="CD249" s="118"/>
      <c r="CE249" s="118"/>
      <c r="CF249" s="118"/>
      <c r="CG249" s="118"/>
      <c r="CH249" s="118"/>
      <c r="CI249" s="118"/>
      <c r="CJ249" s="118"/>
      <c r="CK249" s="118"/>
      <c r="CL249" s="118"/>
      <c r="CM249" s="118"/>
      <c r="CN249" s="92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94"/>
      <c r="DD249" s="118"/>
      <c r="DE249" s="118"/>
      <c r="DF249" s="118"/>
      <c r="DG249" s="118"/>
      <c r="DH249" s="118"/>
      <c r="DI249" s="118"/>
      <c r="DJ249" s="118"/>
      <c r="DK249" s="118"/>
      <c r="DL249" s="118"/>
      <c r="DM249" s="118"/>
      <c r="DN249" s="118"/>
      <c r="DO249" s="118"/>
      <c r="DP249" s="118"/>
      <c r="DQ249" s="118"/>
      <c r="DR249" s="118"/>
      <c r="DS249" s="118"/>
      <c r="DT249" s="118"/>
      <c r="DU249" s="19"/>
      <c r="DV249" s="19"/>
      <c r="DW249" s="19"/>
      <c r="DX249" s="19"/>
      <c r="DY249" s="19"/>
      <c r="DZ249" s="19"/>
    </row>
    <row r="250" spans="1:130" ht="12.75" x14ac:dyDescent="0.2">
      <c r="A250" s="647"/>
      <c r="B250" s="670"/>
      <c r="C250" s="40"/>
      <c r="D250" s="160"/>
      <c r="E250" s="160"/>
      <c r="F250" s="160"/>
      <c r="G250" s="160"/>
      <c r="H250" s="634"/>
      <c r="I250" s="39">
        <f t="shared" si="184"/>
        <v>0</v>
      </c>
      <c r="J250" s="634"/>
      <c r="K250" s="40"/>
      <c r="L250" s="40"/>
      <c r="M250" s="634"/>
      <c r="N250" s="634"/>
      <c r="O250" s="634"/>
      <c r="P250" s="634"/>
      <c r="Q250" s="634"/>
      <c r="R250" s="634"/>
      <c r="S250" s="659"/>
      <c r="T250" s="647"/>
      <c r="U250" s="40"/>
      <c r="V250" s="31"/>
      <c r="W250" s="40"/>
      <c r="X250" s="40"/>
      <c r="Y250" s="40"/>
      <c r="Z250" s="634"/>
      <c r="AA250" s="51">
        <f t="shared" si="182"/>
        <v>0</v>
      </c>
      <c r="AB250" s="634"/>
      <c r="AC250" s="40"/>
      <c r="AD250" s="40"/>
      <c r="AE250" s="634"/>
      <c r="AF250" s="634"/>
      <c r="AG250" s="634"/>
      <c r="AH250" s="634"/>
      <c r="AI250" s="634"/>
      <c r="AJ250" s="634"/>
      <c r="AK250" s="659"/>
      <c r="AL250" s="647"/>
      <c r="AM250" s="41"/>
      <c r="AN250" s="41"/>
      <c r="AO250" s="41"/>
      <c r="AP250" s="41"/>
      <c r="AQ250" s="48"/>
      <c r="AR250" s="634"/>
      <c r="AS250" s="51">
        <f t="shared" si="183"/>
        <v>0</v>
      </c>
      <c r="AT250" s="634"/>
      <c r="AU250" s="145"/>
      <c r="AV250" s="634"/>
      <c r="AW250" s="145"/>
      <c r="AX250" s="634"/>
      <c r="AY250" s="634"/>
      <c r="AZ250" s="634"/>
      <c r="BA250" s="634"/>
      <c r="BB250" s="634"/>
      <c r="BC250" s="634"/>
      <c r="BD250" s="662"/>
      <c r="BE250" s="662"/>
      <c r="BF250" s="117"/>
      <c r="BG250" s="117"/>
      <c r="BH250" s="117"/>
      <c r="BI250" s="117"/>
      <c r="BJ250" s="117"/>
      <c r="BK250" s="662"/>
      <c r="BL250" s="118"/>
      <c r="BM250" s="662"/>
      <c r="BN250" s="662"/>
      <c r="BO250" s="118"/>
      <c r="BP250" s="662"/>
      <c r="BQ250" s="662"/>
      <c r="BR250" s="662"/>
      <c r="BS250" s="662"/>
      <c r="BT250" s="118"/>
      <c r="BU250" s="662"/>
      <c r="BV250" s="662"/>
      <c r="BW250" s="118"/>
      <c r="BX250" s="118"/>
      <c r="BY250" s="118"/>
      <c r="BZ250" s="118"/>
      <c r="CA250" s="118"/>
      <c r="CB250" s="118"/>
      <c r="CC250" s="118"/>
      <c r="CD250" s="118"/>
      <c r="CE250" s="118"/>
      <c r="CF250" s="118"/>
      <c r="CG250" s="118"/>
      <c r="CH250" s="118"/>
      <c r="CI250" s="118"/>
      <c r="CJ250" s="118"/>
      <c r="CK250" s="118"/>
      <c r="CL250" s="118"/>
      <c r="CM250" s="118"/>
      <c r="CN250" s="92"/>
      <c r="CO250" s="93"/>
      <c r="CP250" s="93"/>
      <c r="CQ250" s="93"/>
      <c r="CR250" s="93"/>
      <c r="CS250" s="93"/>
      <c r="CT250" s="93"/>
      <c r="CU250" s="93"/>
      <c r="CV250" s="93"/>
      <c r="CW250" s="93"/>
      <c r="CX250" s="93"/>
      <c r="CY250" s="93"/>
      <c r="CZ250" s="93"/>
      <c r="DA250" s="93"/>
      <c r="DB250" s="93"/>
      <c r="DC250" s="94"/>
      <c r="DD250" s="118"/>
      <c r="DE250" s="118"/>
      <c r="DF250" s="118"/>
      <c r="DG250" s="118"/>
      <c r="DH250" s="118"/>
      <c r="DI250" s="118"/>
      <c r="DJ250" s="118"/>
      <c r="DK250" s="118"/>
      <c r="DL250" s="118"/>
      <c r="DM250" s="118"/>
      <c r="DN250" s="118"/>
      <c r="DO250" s="118"/>
      <c r="DP250" s="118"/>
      <c r="DQ250" s="118"/>
      <c r="DR250" s="118"/>
      <c r="DS250" s="118"/>
      <c r="DT250" s="118"/>
      <c r="DU250" s="19"/>
      <c r="DV250" s="19"/>
      <c r="DW250" s="19"/>
      <c r="DX250" s="19"/>
      <c r="DY250" s="19"/>
      <c r="DZ250" s="19"/>
    </row>
    <row r="251" spans="1:130" ht="12.75" x14ac:dyDescent="0.2">
      <c r="A251" s="647"/>
      <c r="B251" s="671"/>
      <c r="C251" s="40"/>
      <c r="D251" s="160"/>
      <c r="E251" s="160"/>
      <c r="F251" s="160"/>
      <c r="G251" s="160"/>
      <c r="H251" s="635"/>
      <c r="I251" s="39">
        <f t="shared" si="184"/>
        <v>0</v>
      </c>
      <c r="J251" s="635"/>
      <c r="K251" s="40"/>
      <c r="L251" s="40"/>
      <c r="M251" s="635"/>
      <c r="N251" s="635"/>
      <c r="O251" s="635"/>
      <c r="P251" s="635"/>
      <c r="Q251" s="635"/>
      <c r="R251" s="635"/>
      <c r="S251" s="660"/>
      <c r="T251" s="648"/>
      <c r="U251" s="40"/>
      <c r="V251" s="40"/>
      <c r="W251" s="40"/>
      <c r="X251" s="40"/>
      <c r="Y251" s="40"/>
      <c r="Z251" s="635"/>
      <c r="AA251" s="51">
        <f t="shared" si="182"/>
        <v>0</v>
      </c>
      <c r="AB251" s="635"/>
      <c r="AC251" s="40"/>
      <c r="AD251" s="40"/>
      <c r="AE251" s="635"/>
      <c r="AF251" s="635"/>
      <c r="AG251" s="635"/>
      <c r="AH251" s="635"/>
      <c r="AI251" s="635"/>
      <c r="AJ251" s="635"/>
      <c r="AK251" s="660"/>
      <c r="AL251" s="648"/>
      <c r="AM251" s="51"/>
      <c r="AN251" s="28"/>
      <c r="AO251" s="28"/>
      <c r="AP251" s="28"/>
      <c r="AQ251" s="51"/>
      <c r="AR251" s="635"/>
      <c r="AS251" s="51">
        <f t="shared" si="183"/>
        <v>0</v>
      </c>
      <c r="AT251" s="635"/>
      <c r="AU251" s="150"/>
      <c r="AV251" s="635"/>
      <c r="AW251" s="51"/>
      <c r="AX251" s="635"/>
      <c r="AY251" s="635"/>
      <c r="AZ251" s="635"/>
      <c r="BA251" s="634"/>
      <c r="BB251" s="635"/>
      <c r="BC251" s="635"/>
      <c r="BD251" s="663"/>
      <c r="BE251" s="668"/>
      <c r="BF251" s="117"/>
      <c r="BG251" s="117"/>
      <c r="BH251" s="117"/>
      <c r="BI251" s="117"/>
      <c r="BJ251" s="117"/>
      <c r="BK251" s="661"/>
      <c r="BL251" s="118"/>
      <c r="BM251" s="663"/>
      <c r="BN251" s="663"/>
      <c r="BO251" s="118"/>
      <c r="BP251" s="663"/>
      <c r="BQ251" s="663"/>
      <c r="BR251" s="663"/>
      <c r="BS251" s="663"/>
      <c r="BT251" s="118"/>
      <c r="BU251" s="663"/>
      <c r="BV251" s="663"/>
      <c r="BW251" s="118"/>
      <c r="BX251" s="118"/>
      <c r="BY251" s="118"/>
      <c r="BZ251" s="118"/>
      <c r="CA251" s="118"/>
      <c r="CB251" s="118"/>
      <c r="CC251" s="118"/>
      <c r="CD251" s="118"/>
      <c r="CE251" s="118"/>
      <c r="CF251" s="118"/>
      <c r="CG251" s="118"/>
      <c r="CH251" s="118"/>
      <c r="CI251" s="118"/>
      <c r="CJ251" s="118"/>
      <c r="CK251" s="118"/>
      <c r="CL251" s="118"/>
      <c r="CM251" s="118"/>
      <c r="CN251" s="92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94"/>
      <c r="DD251" s="118"/>
      <c r="DE251" s="118"/>
      <c r="DF251" s="118"/>
      <c r="DG251" s="118"/>
      <c r="DH251" s="118"/>
      <c r="DI251" s="118"/>
      <c r="DJ251" s="118"/>
      <c r="DK251" s="118"/>
      <c r="DL251" s="118"/>
      <c r="DM251" s="118"/>
      <c r="DN251" s="118"/>
      <c r="DO251" s="118"/>
      <c r="DP251" s="118"/>
      <c r="DQ251" s="118"/>
      <c r="DR251" s="118"/>
      <c r="DS251" s="118"/>
      <c r="DT251" s="118"/>
      <c r="DU251" s="19"/>
      <c r="DV251" s="19"/>
      <c r="DW251" s="19"/>
      <c r="DX251" s="19"/>
      <c r="DY251" s="19"/>
      <c r="DZ251" s="19"/>
    </row>
    <row r="252" spans="1:130" ht="12.75" x14ac:dyDescent="0.2">
      <c r="A252" s="647"/>
      <c r="B252" s="752">
        <v>46115</v>
      </c>
      <c r="C252" s="29"/>
      <c r="D252" s="29"/>
      <c r="E252" s="29"/>
      <c r="F252" s="29"/>
      <c r="G252" s="158"/>
      <c r="H252" s="649"/>
      <c r="I252" s="159">
        <f t="shared" si="184"/>
        <v>0</v>
      </c>
      <c r="J252" s="650">
        <f>SUM(I252:I255,H252)</f>
        <v>0</v>
      </c>
      <c r="K252" s="158"/>
      <c r="L252" s="158"/>
      <c r="M252" s="653"/>
      <c r="N252" s="653"/>
      <c r="O252" s="633">
        <f>SUM(M252:N255)</f>
        <v>0</v>
      </c>
      <c r="P252" s="649"/>
      <c r="Q252" s="640">
        <f>M252*60</f>
        <v>0</v>
      </c>
      <c r="R252" s="657">
        <f>IF(
   COUNTIF(K252:K255,"SI")&gt;0,
   1.8,
   IF(
      COUNTIF(L252:L255,"SI")&gt;0,
      1.6,
      2
   )
)</f>
        <v>2</v>
      </c>
      <c r="S252" s="658">
        <f>IF(Q252=0,0,J252/Q252)</f>
        <v>0</v>
      </c>
      <c r="T252" s="655">
        <v>46115</v>
      </c>
      <c r="U252" s="30"/>
      <c r="V252" s="28"/>
      <c r="W252" s="28"/>
      <c r="X252" s="28"/>
      <c r="Y252" s="28"/>
      <c r="Z252" s="640"/>
      <c r="AA252" s="51">
        <f t="shared" si="182"/>
        <v>0</v>
      </c>
      <c r="AB252" s="650">
        <f>SUM(AA252:AA255,Z252)</f>
        <v>0</v>
      </c>
      <c r="AC252" s="28"/>
      <c r="AD252" s="28"/>
      <c r="AE252" s="640"/>
      <c r="AF252" s="640"/>
      <c r="AG252" s="633">
        <f>SUM(AE252:AF255)</f>
        <v>0</v>
      </c>
      <c r="AH252" s="640">
        <v>0</v>
      </c>
      <c r="AI252" s="640">
        <f>AE252*60</f>
        <v>0</v>
      </c>
      <c r="AJ252" s="657">
        <f>IF(
   COUNTIF(AC252:AC255,"SI")&gt;0,
   1.8,
   IF(
      COUNTIF(AD252:AD255,"SI")&gt;0,
      1.6,
      2
   )
)</f>
        <v>2</v>
      </c>
      <c r="AK252" s="679">
        <f>IF(AI252=0,0,AB252/AI252)</f>
        <v>0</v>
      </c>
      <c r="AL252" s="655">
        <v>46115</v>
      </c>
      <c r="AM252" s="28"/>
      <c r="AN252" s="28"/>
      <c r="AO252" s="28"/>
      <c r="AP252" s="41"/>
      <c r="AQ252" s="159"/>
      <c r="AR252" s="649"/>
      <c r="AS252" s="39">
        <f t="shared" si="183"/>
        <v>0</v>
      </c>
      <c r="AT252" s="650">
        <f>SUM(AS252:AS255)+AR252</f>
        <v>0</v>
      </c>
      <c r="AU252" s="39"/>
      <c r="AV252" s="640"/>
      <c r="AW252" s="159"/>
      <c r="AX252" s="640"/>
      <c r="AY252" s="633">
        <f>SUM(AV252+AV255+AX252)</f>
        <v>0</v>
      </c>
      <c r="AZ252" s="649"/>
      <c r="BA252" s="640">
        <f>AV252*60</f>
        <v>0</v>
      </c>
      <c r="BB252" s="644">
        <f>IF(
   COUNTIF(AU252:AU255,"SI")&gt;0,
   1.8,
   IF(
      COUNTIF(AV252:AV255,"SI")&gt;0,
      1.6,
      2
   )
)</f>
        <v>2</v>
      </c>
      <c r="BC252" s="645">
        <f>IF(BA252=0,0,AT252/BA252)</f>
        <v>0</v>
      </c>
      <c r="BD252" s="662"/>
      <c r="BE252" s="662"/>
      <c r="BF252" s="120"/>
      <c r="BG252" s="120"/>
      <c r="BH252" s="120"/>
      <c r="BI252" s="120"/>
      <c r="BJ252" s="120"/>
      <c r="BK252" s="662"/>
      <c r="BL252" s="118"/>
      <c r="BM252" s="662"/>
      <c r="BN252" s="662"/>
      <c r="BO252" s="118"/>
      <c r="BP252" s="662"/>
      <c r="BQ252" s="662"/>
      <c r="BR252" s="662"/>
      <c r="BS252" s="662"/>
      <c r="BT252" s="118"/>
      <c r="BU252" s="662"/>
      <c r="BV252" s="662"/>
      <c r="BW252" s="118"/>
      <c r="BX252" s="118"/>
      <c r="BY252" s="118"/>
      <c r="BZ252" s="118"/>
      <c r="CA252" s="118"/>
      <c r="CB252" s="118"/>
      <c r="CC252" s="118"/>
      <c r="CD252" s="118"/>
      <c r="CE252" s="118"/>
      <c r="CF252" s="118"/>
      <c r="CG252" s="118"/>
      <c r="CH252" s="118"/>
      <c r="CI252" s="118"/>
      <c r="CJ252" s="118"/>
      <c r="CK252" s="118"/>
      <c r="CL252" s="118"/>
      <c r="CM252" s="118"/>
      <c r="CN252" s="92"/>
      <c r="CO252" s="93"/>
      <c r="CP252" s="93"/>
      <c r="CQ252" s="93"/>
      <c r="CR252" s="93"/>
      <c r="CS252" s="93"/>
      <c r="CT252" s="93"/>
      <c r="CU252" s="93"/>
      <c r="CV252" s="93"/>
      <c r="CW252" s="93"/>
      <c r="CX252" s="93"/>
      <c r="CY252" s="93"/>
      <c r="CZ252" s="93"/>
      <c r="DA252" s="93"/>
      <c r="DB252" s="93"/>
      <c r="DC252" s="94"/>
      <c r="DD252" s="118"/>
      <c r="DE252" s="118"/>
      <c r="DF252" s="118"/>
      <c r="DG252" s="118"/>
      <c r="DH252" s="118"/>
      <c r="DI252" s="118"/>
      <c r="DJ252" s="118"/>
      <c r="DK252" s="118"/>
      <c r="DL252" s="118"/>
      <c r="DM252" s="118"/>
      <c r="DN252" s="118"/>
      <c r="DO252" s="118"/>
      <c r="DP252" s="118"/>
      <c r="DQ252" s="118"/>
      <c r="DR252" s="118"/>
      <c r="DS252" s="118"/>
      <c r="DT252" s="118"/>
      <c r="DU252" s="19"/>
      <c r="DV252" s="19"/>
      <c r="DW252" s="19"/>
      <c r="DX252" s="19"/>
      <c r="DY252" s="19"/>
      <c r="DZ252" s="19"/>
    </row>
    <row r="253" spans="1:130" ht="12.75" x14ac:dyDescent="0.2">
      <c r="A253" s="647"/>
      <c r="B253" s="670"/>
      <c r="C253" s="29"/>
      <c r="D253" s="30"/>
      <c r="E253" s="29"/>
      <c r="F253" s="29"/>
      <c r="G253" s="30"/>
      <c r="H253" s="634"/>
      <c r="I253" s="51">
        <f t="shared" si="184"/>
        <v>0</v>
      </c>
      <c r="J253" s="634"/>
      <c r="K253" s="30"/>
      <c r="L253" s="30"/>
      <c r="M253" s="634"/>
      <c r="N253" s="634"/>
      <c r="O253" s="634"/>
      <c r="P253" s="634"/>
      <c r="Q253" s="634"/>
      <c r="R253" s="634"/>
      <c r="S253" s="659"/>
      <c r="T253" s="647"/>
      <c r="U253" s="30"/>
      <c r="V253" s="28"/>
      <c r="W253" s="28"/>
      <c r="X253" s="28"/>
      <c r="Y253" s="29"/>
      <c r="Z253" s="634"/>
      <c r="AA253" s="51">
        <f t="shared" si="182"/>
        <v>0</v>
      </c>
      <c r="AB253" s="634"/>
      <c r="AC253" s="28"/>
      <c r="AD253" s="28"/>
      <c r="AE253" s="634"/>
      <c r="AF253" s="634"/>
      <c r="AG253" s="634"/>
      <c r="AH253" s="634"/>
      <c r="AI253" s="634"/>
      <c r="AJ253" s="634"/>
      <c r="AK253" s="659"/>
      <c r="AL253" s="647"/>
      <c r="AM253" s="28"/>
      <c r="AN253" s="28"/>
      <c r="AO253" s="28"/>
      <c r="AP253" s="28"/>
      <c r="AQ253" s="30"/>
      <c r="AR253" s="634"/>
      <c r="AS253" s="51">
        <f t="shared" si="183"/>
        <v>0</v>
      </c>
      <c r="AT253" s="634"/>
      <c r="AU253" s="150"/>
      <c r="AV253" s="634"/>
      <c r="AW253" s="51"/>
      <c r="AX253" s="634"/>
      <c r="AY253" s="634"/>
      <c r="AZ253" s="634"/>
      <c r="BA253" s="634"/>
      <c r="BB253" s="634"/>
      <c r="BC253" s="634"/>
      <c r="BD253" s="662"/>
      <c r="BE253" s="662"/>
      <c r="BF253" s="120"/>
      <c r="BG253" s="120"/>
      <c r="BH253" s="120"/>
      <c r="BI253" s="120"/>
      <c r="BJ253" s="120"/>
      <c r="BK253" s="662"/>
      <c r="BL253" s="118"/>
      <c r="BM253" s="662"/>
      <c r="BN253" s="662"/>
      <c r="BO253" s="118"/>
      <c r="BP253" s="662"/>
      <c r="BQ253" s="662"/>
      <c r="BR253" s="662"/>
      <c r="BS253" s="662"/>
      <c r="BT253" s="118"/>
      <c r="BU253" s="662"/>
      <c r="BV253" s="662"/>
      <c r="BW253" s="118"/>
      <c r="BX253" s="118"/>
      <c r="BY253" s="118"/>
      <c r="BZ253" s="118"/>
      <c r="CA253" s="118"/>
      <c r="CB253" s="118"/>
      <c r="CC253" s="118"/>
      <c r="CD253" s="118"/>
      <c r="CE253" s="118"/>
      <c r="CF253" s="118"/>
      <c r="CG253" s="118"/>
      <c r="CH253" s="118"/>
      <c r="CI253" s="118"/>
      <c r="CJ253" s="118"/>
      <c r="CK253" s="118"/>
      <c r="CL253" s="118"/>
      <c r="CM253" s="118"/>
      <c r="CN253" s="92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94"/>
      <c r="DD253" s="118"/>
      <c r="DE253" s="118"/>
      <c r="DF253" s="118"/>
      <c r="DG253" s="118"/>
      <c r="DH253" s="118"/>
      <c r="DI253" s="118"/>
      <c r="DJ253" s="118"/>
      <c r="DK253" s="118"/>
      <c r="DL253" s="118"/>
      <c r="DM253" s="118"/>
      <c r="DN253" s="118"/>
      <c r="DO253" s="118"/>
      <c r="DP253" s="118"/>
      <c r="DQ253" s="118"/>
      <c r="DR253" s="118"/>
      <c r="DS253" s="118"/>
      <c r="DT253" s="118"/>
      <c r="DU253" s="19"/>
      <c r="DV253" s="19"/>
      <c r="DW253" s="19"/>
      <c r="DX253" s="19"/>
      <c r="DY253" s="19"/>
      <c r="DZ253" s="19"/>
    </row>
    <row r="254" spans="1:130" ht="12.75" x14ac:dyDescent="0.2">
      <c r="A254" s="647"/>
      <c r="B254" s="670"/>
      <c r="C254" s="30"/>
      <c r="D254" s="30"/>
      <c r="E254" s="30"/>
      <c r="F254" s="30"/>
      <c r="G254" s="30"/>
      <c r="H254" s="634"/>
      <c r="I254" s="51">
        <f t="shared" si="184"/>
        <v>0</v>
      </c>
      <c r="J254" s="634"/>
      <c r="K254" s="30"/>
      <c r="L254" s="30"/>
      <c r="M254" s="634"/>
      <c r="N254" s="634"/>
      <c r="O254" s="634"/>
      <c r="P254" s="634"/>
      <c r="Q254" s="634"/>
      <c r="R254" s="634"/>
      <c r="S254" s="659"/>
      <c r="T254" s="647"/>
      <c r="U254" s="30"/>
      <c r="V254" s="29"/>
      <c r="W254" s="29"/>
      <c r="X254" s="29"/>
      <c r="Y254" s="29"/>
      <c r="Z254" s="634"/>
      <c r="AA254" s="51">
        <f t="shared" si="182"/>
        <v>0</v>
      </c>
      <c r="AB254" s="634"/>
      <c r="AC254" s="29"/>
      <c r="AD254" s="29"/>
      <c r="AE254" s="634"/>
      <c r="AF254" s="634"/>
      <c r="AG254" s="634"/>
      <c r="AH254" s="634"/>
      <c r="AI254" s="634"/>
      <c r="AJ254" s="634"/>
      <c r="AK254" s="659"/>
      <c r="AL254" s="647"/>
      <c r="AM254" s="41"/>
      <c r="AN254" s="41"/>
      <c r="AO254" s="41"/>
      <c r="AP254" s="41"/>
      <c r="AQ254" s="48"/>
      <c r="AR254" s="634"/>
      <c r="AS254" s="51">
        <f t="shared" si="183"/>
        <v>0</v>
      </c>
      <c r="AT254" s="634"/>
      <c r="AU254" s="145"/>
      <c r="AV254" s="634"/>
      <c r="AW254" s="145"/>
      <c r="AX254" s="634"/>
      <c r="AY254" s="634"/>
      <c r="AZ254" s="634"/>
      <c r="BA254" s="634"/>
      <c r="BB254" s="634"/>
      <c r="BC254" s="634"/>
      <c r="BD254" s="121"/>
      <c r="BE254" s="119"/>
      <c r="BF254" s="121"/>
      <c r="BG254" s="121"/>
      <c r="BH254" s="121"/>
      <c r="BI254" s="121"/>
      <c r="BJ254" s="121"/>
      <c r="BK254" s="121"/>
      <c r="BL254" s="121"/>
      <c r="BM254" s="121"/>
      <c r="BN254" s="121"/>
      <c r="BO254" s="121"/>
      <c r="BP254" s="121"/>
      <c r="BQ254" s="121"/>
      <c r="BR254" s="121"/>
      <c r="BS254" s="121"/>
      <c r="BT254" s="121"/>
      <c r="BU254" s="121"/>
      <c r="BV254" s="121"/>
      <c r="BW254" s="118"/>
      <c r="BX254" s="118"/>
      <c r="BY254" s="118"/>
      <c r="BZ254" s="118"/>
      <c r="CA254" s="118"/>
      <c r="CB254" s="118"/>
      <c r="CC254" s="118"/>
      <c r="CD254" s="118"/>
      <c r="CE254" s="118"/>
      <c r="CF254" s="118"/>
      <c r="CG254" s="118"/>
      <c r="CH254" s="118"/>
      <c r="CI254" s="118"/>
      <c r="CJ254" s="118"/>
      <c r="CK254" s="118"/>
      <c r="CL254" s="118"/>
      <c r="CM254" s="118"/>
      <c r="CN254" s="92"/>
      <c r="CO254" s="93"/>
      <c r="CP254" s="93"/>
      <c r="CQ254" s="93"/>
      <c r="CR254" s="93"/>
      <c r="CS254" s="93"/>
      <c r="CT254" s="93"/>
      <c r="CU254" s="93"/>
      <c r="CV254" s="93"/>
      <c r="CW254" s="93"/>
      <c r="CX254" s="93"/>
      <c r="CY254" s="93"/>
      <c r="CZ254" s="93"/>
      <c r="DA254" s="93"/>
      <c r="DB254" s="93"/>
      <c r="DC254" s="94"/>
      <c r="DD254" s="118"/>
      <c r="DE254" s="118"/>
      <c r="DF254" s="118"/>
      <c r="DG254" s="118"/>
      <c r="DH254" s="118"/>
      <c r="DI254" s="118"/>
      <c r="DJ254" s="118"/>
      <c r="DK254" s="118"/>
      <c r="DL254" s="118"/>
      <c r="DM254" s="118"/>
      <c r="DN254" s="118"/>
      <c r="DO254" s="118"/>
      <c r="DP254" s="118"/>
      <c r="DQ254" s="118"/>
      <c r="DR254" s="118"/>
      <c r="DS254" s="118"/>
      <c r="DT254" s="118"/>
      <c r="DU254" s="19"/>
      <c r="DV254" s="19"/>
      <c r="DW254" s="19"/>
      <c r="DX254" s="19"/>
      <c r="DY254" s="19"/>
      <c r="DZ254" s="19"/>
    </row>
    <row r="255" spans="1:130" ht="12.75" x14ac:dyDescent="0.2">
      <c r="A255" s="647"/>
      <c r="B255" s="671"/>
      <c r="C255" s="30"/>
      <c r="D255" s="30"/>
      <c r="E255" s="30"/>
      <c r="F255" s="30"/>
      <c r="G255" s="30"/>
      <c r="H255" s="635"/>
      <c r="I255" s="51">
        <f t="shared" si="184"/>
        <v>0</v>
      </c>
      <c r="J255" s="635"/>
      <c r="K255" s="30"/>
      <c r="L255" s="30"/>
      <c r="M255" s="635"/>
      <c r="N255" s="635"/>
      <c r="O255" s="635"/>
      <c r="P255" s="635"/>
      <c r="Q255" s="635"/>
      <c r="R255" s="635"/>
      <c r="S255" s="660"/>
      <c r="T255" s="648"/>
      <c r="U255" s="30"/>
      <c r="V255" s="30"/>
      <c r="W255" s="30"/>
      <c r="X255" s="30"/>
      <c r="Y255" s="30"/>
      <c r="Z255" s="635"/>
      <c r="AA255" s="51">
        <f t="shared" si="182"/>
        <v>0</v>
      </c>
      <c r="AB255" s="635"/>
      <c r="AC255" s="30"/>
      <c r="AD255" s="30"/>
      <c r="AE255" s="635"/>
      <c r="AF255" s="635"/>
      <c r="AG255" s="635"/>
      <c r="AH255" s="635"/>
      <c r="AI255" s="635"/>
      <c r="AJ255" s="635"/>
      <c r="AK255" s="660"/>
      <c r="AL255" s="648"/>
      <c r="AM255" s="51"/>
      <c r="AN255" s="28"/>
      <c r="AO255" s="28"/>
      <c r="AP255" s="28"/>
      <c r="AQ255" s="51"/>
      <c r="AR255" s="635"/>
      <c r="AS255" s="51">
        <f t="shared" si="183"/>
        <v>0</v>
      </c>
      <c r="AT255" s="635"/>
      <c r="AU255" s="150"/>
      <c r="AV255" s="635"/>
      <c r="AW255" s="51"/>
      <c r="AX255" s="635"/>
      <c r="AY255" s="635"/>
      <c r="AZ255" s="635"/>
      <c r="BA255" s="635"/>
      <c r="BB255" s="635"/>
      <c r="BC255" s="635"/>
      <c r="BD255" s="663"/>
      <c r="BE255" s="668"/>
      <c r="BF255" s="118"/>
      <c r="BG255" s="118"/>
      <c r="BH255" s="118"/>
      <c r="BI255" s="118"/>
      <c r="BJ255" s="118"/>
      <c r="BK255" s="663"/>
      <c r="BL255" s="118"/>
      <c r="BM255" s="663"/>
      <c r="BN255" s="663"/>
      <c r="BO255" s="118"/>
      <c r="BP255" s="663"/>
      <c r="BQ255" s="663"/>
      <c r="BR255" s="663"/>
      <c r="BS255" s="663"/>
      <c r="BT255" s="118"/>
      <c r="BU255" s="663"/>
      <c r="BV255" s="663"/>
      <c r="BW255" s="118"/>
      <c r="BX255" s="118"/>
      <c r="BY255" s="118"/>
      <c r="BZ255" s="118"/>
      <c r="CA255" s="118"/>
      <c r="CB255" s="118"/>
      <c r="CC255" s="118"/>
      <c r="CD255" s="118"/>
      <c r="CE255" s="118"/>
      <c r="CF255" s="118"/>
      <c r="CG255" s="118"/>
      <c r="CH255" s="118"/>
      <c r="CI255" s="118"/>
      <c r="CJ255" s="118"/>
      <c r="CK255" s="118"/>
      <c r="CL255" s="118"/>
      <c r="CM255" s="118"/>
      <c r="CN255" s="92"/>
      <c r="CO255" s="93"/>
      <c r="CP255" s="93"/>
      <c r="CQ255" s="93"/>
      <c r="CR255" s="93"/>
      <c r="CS255" s="93"/>
      <c r="CT255" s="93"/>
      <c r="CU255" s="93"/>
      <c r="CV255" s="93"/>
      <c r="CW255" s="93"/>
      <c r="CX255" s="93"/>
      <c r="CY255" s="93"/>
      <c r="CZ255" s="93"/>
      <c r="DA255" s="93"/>
      <c r="DB255" s="93"/>
      <c r="DC255" s="94"/>
      <c r="DD255" s="118"/>
      <c r="DE255" s="118"/>
      <c r="DF255" s="118"/>
      <c r="DG255" s="118"/>
      <c r="DH255" s="118"/>
      <c r="DI255" s="118"/>
      <c r="DJ255" s="118"/>
      <c r="DK255" s="118"/>
      <c r="DL255" s="118"/>
      <c r="DM255" s="118"/>
      <c r="DN255" s="118"/>
      <c r="DO255" s="118"/>
      <c r="DP255" s="118"/>
      <c r="DQ255" s="118"/>
      <c r="DR255" s="118"/>
      <c r="DS255" s="118"/>
      <c r="DT255" s="118"/>
      <c r="DU255" s="19"/>
      <c r="DV255" s="19"/>
      <c r="DW255" s="19"/>
      <c r="DX255" s="19"/>
      <c r="DY255" s="19"/>
      <c r="DZ255" s="19"/>
    </row>
    <row r="256" spans="1:130" ht="12.75" x14ac:dyDescent="0.2">
      <c r="A256" s="647"/>
      <c r="B256" s="751">
        <v>46116</v>
      </c>
      <c r="C256" s="40"/>
      <c r="D256" s="40"/>
      <c r="E256" s="40"/>
      <c r="F256" s="40"/>
      <c r="G256" s="40"/>
      <c r="H256" s="653"/>
      <c r="I256" s="150">
        <f t="shared" si="184"/>
        <v>0</v>
      </c>
      <c r="J256" s="650">
        <f>SUM(I256:I259,H256)</f>
        <v>0</v>
      </c>
      <c r="K256" s="40"/>
      <c r="L256" s="40"/>
      <c r="M256" s="653"/>
      <c r="N256" s="653"/>
      <c r="O256" s="633">
        <f>SUM(M256:N259)</f>
        <v>0</v>
      </c>
      <c r="P256" s="653"/>
      <c r="Q256" s="636">
        <f>M256*60</f>
        <v>0</v>
      </c>
      <c r="R256" s="657">
        <f>IF(
   COUNTIF(K256:K259,"SI")&gt;0,
   1.8,
   IF(
      COUNTIF(L256:L259,"SI")&gt;0,
      1.6,
      2
   )
)</f>
        <v>2</v>
      </c>
      <c r="S256" s="658">
        <f>IF(Q256=0,0,J256/Q256)</f>
        <v>0</v>
      </c>
      <c r="T256" s="646">
        <v>46116</v>
      </c>
      <c r="U256" s="40"/>
      <c r="V256" s="31"/>
      <c r="W256" s="31"/>
      <c r="X256" s="31"/>
      <c r="Y256" s="31"/>
      <c r="Z256" s="653"/>
      <c r="AA256" s="51">
        <f t="shared" si="182"/>
        <v>0</v>
      </c>
      <c r="AB256" s="650">
        <f>SUM(AA256:AA259,Z256)</f>
        <v>0</v>
      </c>
      <c r="AC256" s="31"/>
      <c r="AD256" s="31"/>
      <c r="AE256" s="653"/>
      <c r="AF256" s="653"/>
      <c r="AG256" s="633">
        <f>SUM(AE256:AF259)</f>
        <v>0</v>
      </c>
      <c r="AH256" s="653">
        <v>0</v>
      </c>
      <c r="AI256" s="636">
        <f>AE256*60</f>
        <v>0</v>
      </c>
      <c r="AJ256" s="657">
        <f>IF(
   COUNTIF(AC256:AC259,"SI")&gt;0,
   1.8,
   IF(
      COUNTIF(AD256:AD259,"SI")&gt;0,
      1.6,
      2
   )
)</f>
        <v>2</v>
      </c>
      <c r="AK256" s="679">
        <f>IF(AI256=0,0,AB256/AI256)</f>
        <v>0</v>
      </c>
      <c r="AL256" s="646">
        <v>46116</v>
      </c>
      <c r="AM256" s="40"/>
      <c r="AN256" s="30"/>
      <c r="AO256" s="40"/>
      <c r="AP256" s="40"/>
      <c r="AQ256" s="40"/>
      <c r="AR256" s="653"/>
      <c r="AS256" s="150">
        <f t="shared" si="183"/>
        <v>0</v>
      </c>
      <c r="AT256" s="650">
        <f>SUM(AS256:AS259,AR256)</f>
        <v>0</v>
      </c>
      <c r="AU256" s="40"/>
      <c r="AV256" s="653"/>
      <c r="AW256" s="40"/>
      <c r="AX256" s="653"/>
      <c r="AY256" s="633">
        <f>SUM(AV256:AX259)</f>
        <v>0</v>
      </c>
      <c r="AZ256" s="653"/>
      <c r="BA256" s="636">
        <f>AV256*60</f>
        <v>0</v>
      </c>
      <c r="BB256" s="657">
        <f>IF(
   COUNTIF(AU256:AU259,"SI")&gt;0,
   1.8,
   IF(
      COUNTIF(AV256:AV259,"SI")&gt;0,
      1.6,
      2
   )
)</f>
        <v>2</v>
      </c>
      <c r="BC256" s="666">
        <f>IF(BA256=0,0,AT256/BA256)</f>
        <v>0</v>
      </c>
      <c r="BD256" s="662"/>
      <c r="BE256" s="662"/>
      <c r="BF256" s="118"/>
      <c r="BG256" s="118"/>
      <c r="BH256" s="118"/>
      <c r="BI256" s="118"/>
      <c r="BJ256" s="118"/>
      <c r="BK256" s="662"/>
      <c r="BL256" s="118"/>
      <c r="BM256" s="662"/>
      <c r="BN256" s="662"/>
      <c r="BO256" s="118"/>
      <c r="BP256" s="662"/>
      <c r="BQ256" s="662"/>
      <c r="BR256" s="662"/>
      <c r="BS256" s="662"/>
      <c r="BT256" s="118"/>
      <c r="BU256" s="662"/>
      <c r="BV256" s="662"/>
      <c r="BW256" s="118"/>
      <c r="BX256" s="118"/>
      <c r="BY256" s="118"/>
      <c r="BZ256" s="118"/>
      <c r="CA256" s="118"/>
      <c r="CB256" s="118"/>
      <c r="CC256" s="118"/>
      <c r="CD256" s="118"/>
      <c r="CE256" s="118"/>
      <c r="CF256" s="118"/>
      <c r="CG256" s="118"/>
      <c r="CH256" s="118"/>
      <c r="CI256" s="118"/>
      <c r="CJ256" s="118"/>
      <c r="CK256" s="118"/>
      <c r="CL256" s="118"/>
      <c r="CM256" s="118"/>
      <c r="CN256" s="92"/>
      <c r="CO256" s="93"/>
      <c r="CP256" s="93"/>
      <c r="CQ256" s="93"/>
      <c r="CR256" s="93"/>
      <c r="CS256" s="93"/>
      <c r="CT256" s="93"/>
      <c r="CU256" s="93"/>
      <c r="CV256" s="93"/>
      <c r="CW256" s="93"/>
      <c r="CX256" s="93"/>
      <c r="CY256" s="93"/>
      <c r="CZ256" s="93"/>
      <c r="DA256" s="93"/>
      <c r="DB256" s="93"/>
      <c r="DC256" s="94"/>
      <c r="DD256" s="118"/>
      <c r="DE256" s="118"/>
      <c r="DF256" s="118"/>
      <c r="DG256" s="118"/>
      <c r="DH256" s="118"/>
      <c r="DI256" s="118"/>
      <c r="DJ256" s="118"/>
      <c r="DK256" s="118"/>
      <c r="DL256" s="118"/>
      <c r="DM256" s="118"/>
      <c r="DN256" s="118"/>
      <c r="DO256" s="118"/>
      <c r="DP256" s="118"/>
      <c r="DQ256" s="118"/>
      <c r="DR256" s="118"/>
      <c r="DS256" s="118"/>
      <c r="DT256" s="118"/>
      <c r="DU256" s="19"/>
      <c r="DV256" s="19"/>
      <c r="DW256" s="19"/>
      <c r="DX256" s="19"/>
      <c r="DY256" s="19"/>
      <c r="DZ256" s="19"/>
    </row>
    <row r="257" spans="1:130" ht="12.75" x14ac:dyDescent="0.2">
      <c r="A257" s="647"/>
      <c r="B257" s="670"/>
      <c r="C257" s="40"/>
      <c r="D257" s="40"/>
      <c r="E257" s="40"/>
      <c r="F257" s="40"/>
      <c r="G257" s="40"/>
      <c r="H257" s="634"/>
      <c r="I257" s="150">
        <f t="shared" si="184"/>
        <v>0</v>
      </c>
      <c r="J257" s="634"/>
      <c r="K257" s="40"/>
      <c r="L257" s="40"/>
      <c r="M257" s="634"/>
      <c r="N257" s="634"/>
      <c r="O257" s="634"/>
      <c r="P257" s="634"/>
      <c r="Q257" s="634"/>
      <c r="R257" s="634"/>
      <c r="S257" s="659"/>
      <c r="T257" s="647"/>
      <c r="U257" s="40"/>
      <c r="V257" s="31"/>
      <c r="W257" s="31"/>
      <c r="X257" s="31"/>
      <c r="Y257" s="40"/>
      <c r="Z257" s="634"/>
      <c r="AA257" s="51">
        <f t="shared" si="182"/>
        <v>0</v>
      </c>
      <c r="AB257" s="634"/>
      <c r="AC257" s="40"/>
      <c r="AD257" s="40"/>
      <c r="AE257" s="634"/>
      <c r="AF257" s="634"/>
      <c r="AG257" s="634"/>
      <c r="AH257" s="634"/>
      <c r="AI257" s="634"/>
      <c r="AJ257" s="634"/>
      <c r="AK257" s="659"/>
      <c r="AL257" s="647"/>
      <c r="AM257" s="40"/>
      <c r="AN257" s="40"/>
      <c r="AO257" s="40"/>
      <c r="AP257" s="40"/>
      <c r="AQ257" s="40"/>
      <c r="AR257" s="634"/>
      <c r="AS257" s="150">
        <f t="shared" si="183"/>
        <v>0</v>
      </c>
      <c r="AT257" s="634"/>
      <c r="AU257" s="40"/>
      <c r="AV257" s="634"/>
      <c r="AW257" s="40"/>
      <c r="AX257" s="634"/>
      <c r="AY257" s="634"/>
      <c r="AZ257" s="634"/>
      <c r="BA257" s="634"/>
      <c r="BB257" s="634"/>
      <c r="BC257" s="634"/>
      <c r="BD257" s="662"/>
      <c r="BE257" s="662"/>
      <c r="BF257" s="118"/>
      <c r="BG257" s="118"/>
      <c r="BH257" s="118"/>
      <c r="BI257" s="118"/>
      <c r="BJ257" s="118"/>
      <c r="BK257" s="662"/>
      <c r="BL257" s="118"/>
      <c r="BM257" s="662"/>
      <c r="BN257" s="662"/>
      <c r="BO257" s="118"/>
      <c r="BP257" s="662"/>
      <c r="BQ257" s="662"/>
      <c r="BR257" s="662"/>
      <c r="BS257" s="662"/>
      <c r="BT257" s="118"/>
      <c r="BU257" s="662"/>
      <c r="BV257" s="662"/>
      <c r="BW257" s="118"/>
      <c r="BX257" s="118"/>
      <c r="BY257" s="118"/>
      <c r="BZ257" s="118"/>
      <c r="CA257" s="118"/>
      <c r="CB257" s="118"/>
      <c r="CC257" s="118"/>
      <c r="CD257" s="118"/>
      <c r="CE257" s="118"/>
      <c r="CF257" s="118"/>
      <c r="CG257" s="118"/>
      <c r="CH257" s="118"/>
      <c r="CI257" s="118"/>
      <c r="CJ257" s="118"/>
      <c r="CK257" s="118"/>
      <c r="CL257" s="118"/>
      <c r="CM257" s="118"/>
      <c r="CN257" s="92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94"/>
      <c r="DD257" s="118"/>
      <c r="DE257" s="118"/>
      <c r="DF257" s="118"/>
      <c r="DG257" s="118"/>
      <c r="DH257" s="118"/>
      <c r="DI257" s="118"/>
      <c r="DJ257" s="118"/>
      <c r="DK257" s="118"/>
      <c r="DL257" s="118"/>
      <c r="DM257" s="118"/>
      <c r="DN257" s="118"/>
      <c r="DO257" s="118"/>
      <c r="DP257" s="118"/>
      <c r="DQ257" s="118"/>
      <c r="DR257" s="118"/>
      <c r="DS257" s="118"/>
      <c r="DT257" s="118"/>
      <c r="DU257" s="19"/>
      <c r="DV257" s="19"/>
      <c r="DW257" s="19"/>
      <c r="DX257" s="19"/>
      <c r="DY257" s="19"/>
      <c r="DZ257" s="19"/>
    </row>
    <row r="258" spans="1:130" ht="12.75" x14ac:dyDescent="0.2">
      <c r="A258" s="647"/>
      <c r="B258" s="670"/>
      <c r="C258" s="40"/>
      <c r="D258" s="40"/>
      <c r="E258" s="40"/>
      <c r="F258" s="40"/>
      <c r="G258" s="40"/>
      <c r="H258" s="634"/>
      <c r="I258" s="150">
        <f t="shared" si="184"/>
        <v>0</v>
      </c>
      <c r="J258" s="634"/>
      <c r="K258" s="40"/>
      <c r="L258" s="40"/>
      <c r="M258" s="634"/>
      <c r="N258" s="634"/>
      <c r="O258" s="634"/>
      <c r="P258" s="634"/>
      <c r="Q258" s="634"/>
      <c r="R258" s="634"/>
      <c r="S258" s="659"/>
      <c r="T258" s="647"/>
      <c r="U258" s="40"/>
      <c r="V258" s="40"/>
      <c r="W258" s="40"/>
      <c r="X258" s="40"/>
      <c r="Y258" s="40"/>
      <c r="Z258" s="634"/>
      <c r="AA258" s="51">
        <f t="shared" si="182"/>
        <v>0</v>
      </c>
      <c r="AB258" s="634"/>
      <c r="AC258" s="40"/>
      <c r="AD258" s="40"/>
      <c r="AE258" s="634"/>
      <c r="AF258" s="634"/>
      <c r="AG258" s="634"/>
      <c r="AH258" s="634"/>
      <c r="AI258" s="634"/>
      <c r="AJ258" s="634"/>
      <c r="AK258" s="659"/>
      <c r="AL258" s="647"/>
      <c r="AM258" s="40"/>
      <c r="AN258" s="40"/>
      <c r="AO258" s="40"/>
      <c r="AP258" s="40"/>
      <c r="AQ258" s="40"/>
      <c r="AR258" s="634"/>
      <c r="AS258" s="150">
        <f t="shared" si="183"/>
        <v>0</v>
      </c>
      <c r="AT258" s="634"/>
      <c r="AU258" s="40"/>
      <c r="AV258" s="634"/>
      <c r="AW258" s="40"/>
      <c r="AX258" s="634"/>
      <c r="AY258" s="634"/>
      <c r="AZ258" s="634"/>
      <c r="BA258" s="634"/>
      <c r="BB258" s="634"/>
      <c r="BC258" s="634"/>
      <c r="BD258" s="133"/>
      <c r="BE258" s="662"/>
      <c r="BF258" s="118"/>
      <c r="BG258" s="118"/>
      <c r="BH258" s="118"/>
      <c r="BI258" s="118"/>
      <c r="BJ258" s="118"/>
      <c r="BK258" s="662"/>
      <c r="BL258" s="118"/>
      <c r="BM258" s="662"/>
      <c r="BN258" s="662"/>
      <c r="BO258" s="118"/>
      <c r="BP258" s="662"/>
      <c r="BQ258" s="662"/>
      <c r="BR258" s="662"/>
      <c r="BS258" s="662"/>
      <c r="BT258" s="118"/>
      <c r="BU258" s="662"/>
      <c r="BV258" s="662"/>
      <c r="BW258" s="118"/>
      <c r="BX258" s="118"/>
      <c r="BY258" s="118"/>
      <c r="BZ258" s="118"/>
      <c r="CA258" s="118"/>
      <c r="CB258" s="118"/>
      <c r="CC258" s="118"/>
      <c r="CD258" s="118"/>
      <c r="CE258" s="118"/>
      <c r="CF258" s="118"/>
      <c r="CG258" s="118"/>
      <c r="CH258" s="118"/>
      <c r="CI258" s="118"/>
      <c r="CJ258" s="118"/>
      <c r="CK258" s="118"/>
      <c r="CL258" s="118"/>
      <c r="CM258" s="118"/>
      <c r="CN258" s="92"/>
      <c r="CO258" s="93"/>
      <c r="CP258" s="93"/>
      <c r="CQ258" s="93"/>
      <c r="CR258" s="93"/>
      <c r="CS258" s="93"/>
      <c r="CT258" s="93"/>
      <c r="CU258" s="93"/>
      <c r="CV258" s="93"/>
      <c r="CW258" s="93"/>
      <c r="CX258" s="93"/>
      <c r="CY258" s="93"/>
      <c r="CZ258" s="93"/>
      <c r="DA258" s="93"/>
      <c r="DB258" s="93"/>
      <c r="DC258" s="94"/>
      <c r="DD258" s="118"/>
      <c r="DE258" s="118"/>
      <c r="DF258" s="118"/>
      <c r="DG258" s="118"/>
      <c r="DH258" s="118"/>
      <c r="DI258" s="118"/>
      <c r="DJ258" s="118"/>
      <c r="DK258" s="118"/>
      <c r="DL258" s="118"/>
      <c r="DM258" s="118"/>
      <c r="DN258" s="118"/>
      <c r="DO258" s="118"/>
      <c r="DP258" s="118"/>
      <c r="DQ258" s="118"/>
      <c r="DR258" s="118"/>
      <c r="DS258" s="118"/>
      <c r="DT258" s="118"/>
      <c r="DU258" s="19"/>
      <c r="DV258" s="19"/>
      <c r="DW258" s="19"/>
      <c r="DX258" s="19"/>
      <c r="DY258" s="19"/>
      <c r="DZ258" s="19"/>
    </row>
    <row r="259" spans="1:130" ht="12.75" x14ac:dyDescent="0.2">
      <c r="A259" s="648"/>
      <c r="B259" s="671"/>
      <c r="C259" s="40"/>
      <c r="D259" s="40"/>
      <c r="E259" s="40"/>
      <c r="F259" s="40"/>
      <c r="G259" s="40"/>
      <c r="H259" s="635"/>
      <c r="I259" s="150">
        <f t="shared" si="184"/>
        <v>0</v>
      </c>
      <c r="J259" s="635"/>
      <c r="K259" s="40"/>
      <c r="L259" s="40"/>
      <c r="M259" s="635"/>
      <c r="N259" s="635"/>
      <c r="O259" s="635"/>
      <c r="P259" s="635"/>
      <c r="Q259" s="635"/>
      <c r="R259" s="635"/>
      <c r="S259" s="660"/>
      <c r="T259" s="648"/>
      <c r="U259" s="40"/>
      <c r="V259" s="40"/>
      <c r="W259" s="40"/>
      <c r="X259" s="40"/>
      <c r="Y259" s="40"/>
      <c r="Z259" s="635"/>
      <c r="AA259" s="51">
        <f t="shared" si="182"/>
        <v>0</v>
      </c>
      <c r="AB259" s="635"/>
      <c r="AC259" s="40"/>
      <c r="AD259" s="40"/>
      <c r="AE259" s="635"/>
      <c r="AF259" s="635"/>
      <c r="AG259" s="635"/>
      <c r="AH259" s="635"/>
      <c r="AI259" s="635"/>
      <c r="AJ259" s="635"/>
      <c r="AK259" s="660"/>
      <c r="AL259" s="648"/>
      <c r="AM259" s="40"/>
      <c r="AN259" s="40"/>
      <c r="AO259" s="40"/>
      <c r="AP259" s="40"/>
      <c r="AQ259" s="40"/>
      <c r="AR259" s="635"/>
      <c r="AS259" s="150">
        <f t="shared" si="183"/>
        <v>0</v>
      </c>
      <c r="AT259" s="635"/>
      <c r="AU259" s="40"/>
      <c r="AV259" s="635"/>
      <c r="AW259" s="40"/>
      <c r="AX259" s="635"/>
      <c r="AY259" s="635"/>
      <c r="AZ259" s="635"/>
      <c r="BA259" s="635"/>
      <c r="BB259" s="635"/>
      <c r="BC259" s="635"/>
      <c r="BD259" s="663"/>
      <c r="BE259" s="668"/>
      <c r="BF259" s="118"/>
      <c r="BG259" s="118"/>
      <c r="BH259" s="118"/>
      <c r="BI259" s="118"/>
      <c r="BJ259" s="118"/>
      <c r="BK259" s="663"/>
      <c r="BL259" s="118"/>
      <c r="BM259" s="663"/>
      <c r="BN259" s="663"/>
      <c r="BO259" s="118"/>
      <c r="BP259" s="663"/>
      <c r="BQ259" s="663"/>
      <c r="BR259" s="663"/>
      <c r="BS259" s="663"/>
      <c r="BT259" s="118"/>
      <c r="BU259" s="663"/>
      <c r="BV259" s="663"/>
      <c r="BW259" s="118"/>
      <c r="BX259" s="118"/>
      <c r="BY259" s="118"/>
      <c r="BZ259" s="118"/>
      <c r="CA259" s="118"/>
      <c r="CB259" s="118"/>
      <c r="CC259" s="118"/>
      <c r="CD259" s="118"/>
      <c r="CE259" s="118"/>
      <c r="CF259" s="118"/>
      <c r="CG259" s="118"/>
      <c r="CH259" s="118"/>
      <c r="CI259" s="118"/>
      <c r="CJ259" s="118"/>
      <c r="CK259" s="118"/>
      <c r="CL259" s="118"/>
      <c r="CM259" s="118"/>
      <c r="CN259" s="92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4"/>
      <c r="DD259" s="118"/>
      <c r="DE259" s="118"/>
      <c r="DF259" s="118"/>
      <c r="DG259" s="118"/>
      <c r="DH259" s="118"/>
      <c r="DI259" s="118"/>
      <c r="DJ259" s="118"/>
      <c r="DK259" s="118"/>
      <c r="DL259" s="118"/>
      <c r="DM259" s="118"/>
      <c r="DN259" s="118"/>
      <c r="DO259" s="118"/>
      <c r="DP259" s="118"/>
      <c r="DQ259" s="118"/>
      <c r="DR259" s="118"/>
      <c r="DS259" s="118"/>
      <c r="DT259" s="118"/>
      <c r="DU259" s="19"/>
      <c r="DV259" s="19"/>
      <c r="DW259" s="19"/>
      <c r="DX259" s="19"/>
      <c r="DY259" s="19"/>
      <c r="DZ259" s="19"/>
    </row>
    <row r="260" spans="1:130" ht="12.75" x14ac:dyDescent="0.2">
      <c r="A260" s="166"/>
      <c r="B260" s="167" t="s">
        <v>40</v>
      </c>
      <c r="C260" s="168">
        <f>SUM(C235:C259)</f>
        <v>0</v>
      </c>
      <c r="D260" s="168" t="s">
        <v>49</v>
      </c>
      <c r="E260" s="168" t="s">
        <v>49</v>
      </c>
      <c r="F260" s="168" t="s">
        <v>49</v>
      </c>
      <c r="G260" s="168">
        <f t="shared" ref="G260:J260" si="187">SUM(G235:G259)</f>
        <v>0</v>
      </c>
      <c r="H260" s="168">
        <f t="shared" si="187"/>
        <v>0</v>
      </c>
      <c r="I260" s="168">
        <f t="shared" si="187"/>
        <v>0</v>
      </c>
      <c r="J260" s="168">
        <f t="shared" si="187"/>
        <v>0</v>
      </c>
      <c r="K260" s="168" t="s">
        <v>49</v>
      </c>
      <c r="L260" s="168"/>
      <c r="M260" s="168">
        <f>SUM(M235:M259)</f>
        <v>0</v>
      </c>
      <c r="N260" s="168">
        <f>SUM(N235:N255)</f>
        <v>6</v>
      </c>
      <c r="O260" s="169">
        <f t="shared" ref="O260:Q260" si="188">SUM(O235:O259)</f>
        <v>6</v>
      </c>
      <c r="P260" s="168">
        <f t="shared" si="188"/>
        <v>0</v>
      </c>
      <c r="Q260" s="168">
        <f t="shared" si="188"/>
        <v>0</v>
      </c>
      <c r="R260" s="170"/>
      <c r="S260" s="171">
        <f>AVERAGE(S244:S247)</f>
        <v>0</v>
      </c>
      <c r="T260" s="167" t="s">
        <v>40</v>
      </c>
      <c r="U260" s="168">
        <f>SUM(U235:U259)</f>
        <v>0</v>
      </c>
      <c r="V260" s="168" t="s">
        <v>49</v>
      </c>
      <c r="W260" s="168" t="s">
        <v>49</v>
      </c>
      <c r="X260" s="168" t="s">
        <v>49</v>
      </c>
      <c r="Y260" s="168">
        <f t="shared" ref="Y260:AB260" si="189">SUM(Y235:Y259)</f>
        <v>10</v>
      </c>
      <c r="Z260" s="168">
        <f t="shared" si="189"/>
        <v>107</v>
      </c>
      <c r="AA260" s="168">
        <f t="shared" si="189"/>
        <v>1532</v>
      </c>
      <c r="AB260" s="168">
        <f t="shared" si="189"/>
        <v>1639</v>
      </c>
      <c r="AC260" s="168" t="s">
        <v>49</v>
      </c>
      <c r="AD260" s="168" t="s">
        <v>49</v>
      </c>
      <c r="AE260" s="168">
        <f t="shared" ref="AE260:AI260" si="190">SUM(AE235:AE259)</f>
        <v>14</v>
      </c>
      <c r="AF260" s="168">
        <f t="shared" si="190"/>
        <v>1</v>
      </c>
      <c r="AG260" s="169">
        <f t="shared" si="190"/>
        <v>15</v>
      </c>
      <c r="AH260" s="168">
        <f t="shared" si="190"/>
        <v>0</v>
      </c>
      <c r="AI260" s="168">
        <f t="shared" si="190"/>
        <v>840</v>
      </c>
      <c r="AJ260" s="170"/>
      <c r="AK260" s="171">
        <f t="shared" ref="AK260:AK261" si="191">IF(AI260=0,0,AB260/AI260)</f>
        <v>1.9511904761904761</v>
      </c>
      <c r="AL260" s="167" t="s">
        <v>40</v>
      </c>
      <c r="AM260" s="168">
        <f>SUM(AM235:AM259)</f>
        <v>398</v>
      </c>
      <c r="AN260" s="168" t="s">
        <v>49</v>
      </c>
      <c r="AO260" s="168" t="s">
        <v>49</v>
      </c>
      <c r="AP260" s="168" t="s">
        <v>49</v>
      </c>
      <c r="AQ260" s="168">
        <f t="shared" ref="AQ260:AT260" si="192">SUM(AQ235:AQ259)</f>
        <v>19</v>
      </c>
      <c r="AR260" s="168">
        <f t="shared" si="192"/>
        <v>52</v>
      </c>
      <c r="AS260" s="168">
        <f t="shared" si="192"/>
        <v>1664</v>
      </c>
      <c r="AT260" s="168">
        <f t="shared" si="192"/>
        <v>1946</v>
      </c>
      <c r="AU260" s="168" t="s">
        <v>49</v>
      </c>
      <c r="AV260" s="168">
        <f>SUM(AV235:AV259)</f>
        <v>11.75</v>
      </c>
      <c r="AW260" s="168"/>
      <c r="AX260" s="172">
        <f t="shared" ref="AX260:BA260" si="193">SUM(AX235:AX259)</f>
        <v>2.75</v>
      </c>
      <c r="AY260" s="173">
        <f t="shared" si="193"/>
        <v>14.5</v>
      </c>
      <c r="AZ260" s="172">
        <f t="shared" si="193"/>
        <v>0.5</v>
      </c>
      <c r="BA260" s="168">
        <f t="shared" si="193"/>
        <v>705</v>
      </c>
      <c r="BB260" s="170"/>
      <c r="BC260" s="174">
        <f t="shared" ref="BC260:BC261" si="194">IF(BA260=0,0,AT260/BA260)</f>
        <v>2.7602836879432626</v>
      </c>
      <c r="BD260" s="662"/>
      <c r="BE260" s="662"/>
      <c r="BF260" s="118"/>
      <c r="BG260" s="118"/>
      <c r="BH260" s="118"/>
      <c r="BI260" s="118"/>
      <c r="BJ260" s="118"/>
      <c r="BK260" s="662"/>
      <c r="BL260" s="118"/>
      <c r="BM260" s="662"/>
      <c r="BN260" s="662"/>
      <c r="BO260" s="118"/>
      <c r="BP260" s="662"/>
      <c r="BQ260" s="662"/>
      <c r="BR260" s="662"/>
      <c r="BS260" s="662"/>
      <c r="BT260" s="118"/>
      <c r="BU260" s="662"/>
      <c r="BV260" s="662"/>
      <c r="BW260" s="118"/>
      <c r="BX260" s="118"/>
      <c r="BY260" s="118"/>
      <c r="BZ260" s="118"/>
      <c r="CA260" s="118"/>
      <c r="CB260" s="118"/>
      <c r="CC260" s="118"/>
      <c r="CD260" s="118"/>
      <c r="CE260" s="118"/>
      <c r="CF260" s="118"/>
      <c r="CG260" s="118"/>
      <c r="CH260" s="118"/>
      <c r="CI260" s="118"/>
      <c r="CJ260" s="118"/>
      <c r="CK260" s="118"/>
      <c r="CL260" s="118"/>
      <c r="CM260" s="118"/>
      <c r="CN260" s="92"/>
      <c r="CO260" s="93"/>
      <c r="CP260" s="93"/>
      <c r="CQ260" s="93"/>
      <c r="CR260" s="93"/>
      <c r="CS260" s="93"/>
      <c r="CT260" s="93"/>
      <c r="CU260" s="93"/>
      <c r="CV260" s="93"/>
      <c r="CW260" s="93"/>
      <c r="CX260" s="93"/>
      <c r="CY260" s="93"/>
      <c r="CZ260" s="93"/>
      <c r="DA260" s="93"/>
      <c r="DB260" s="93"/>
      <c r="DC260" s="94"/>
      <c r="DD260" s="118"/>
      <c r="DE260" s="118"/>
      <c r="DF260" s="118"/>
      <c r="DG260" s="118"/>
      <c r="DH260" s="118"/>
      <c r="DI260" s="118"/>
      <c r="DJ260" s="118"/>
      <c r="DK260" s="118"/>
      <c r="DL260" s="118"/>
      <c r="DM260" s="118"/>
      <c r="DN260" s="118"/>
      <c r="DO260" s="118"/>
      <c r="DP260" s="118"/>
      <c r="DQ260" s="118"/>
      <c r="DR260" s="118"/>
      <c r="DS260" s="118"/>
      <c r="DT260" s="118"/>
      <c r="DU260" s="19"/>
      <c r="DV260" s="19"/>
      <c r="DW260" s="19"/>
      <c r="DX260" s="19"/>
      <c r="DY260" s="19"/>
      <c r="DZ260" s="19"/>
    </row>
    <row r="261" spans="1:130" ht="12.75" x14ac:dyDescent="0.2">
      <c r="A261" s="746" t="s">
        <v>234</v>
      </c>
      <c r="B261" s="747">
        <v>46118</v>
      </c>
      <c r="C261" s="175"/>
      <c r="D261" s="137"/>
      <c r="E261" s="137"/>
      <c r="F261" s="137"/>
      <c r="G261" s="137"/>
      <c r="H261" s="675"/>
      <c r="I261" s="62">
        <f t="shared" ref="I261:I263" si="195">F261-E261-G261</f>
        <v>0</v>
      </c>
      <c r="J261" s="676">
        <f>SUM(I261:I265,H261)</f>
        <v>0</v>
      </c>
      <c r="K261" s="175"/>
      <c r="L261" s="175"/>
      <c r="M261" s="675"/>
      <c r="N261" s="675"/>
      <c r="O261" s="677">
        <f>SUM(M261:N265)</f>
        <v>0</v>
      </c>
      <c r="P261" s="675"/>
      <c r="Q261" s="657">
        <f>M261*60</f>
        <v>0</v>
      </c>
      <c r="R261" s="657">
        <f>IF(
   COUNTIF(K261:K265,"SI")&gt;0,
   1.8,
   IF(
      COUNTIF(L261:L265,"SI")&gt;0,
      1.6,
      2
   )
)</f>
        <v>2</v>
      </c>
      <c r="S261" s="678">
        <f>IF(Q261=0,0,J261/Q261)</f>
        <v>0</v>
      </c>
      <c r="T261" s="674">
        <v>46118</v>
      </c>
      <c r="U261" s="175"/>
      <c r="V261" s="26"/>
      <c r="W261" s="175"/>
      <c r="X261" s="175"/>
      <c r="Y261" s="175"/>
      <c r="Z261" s="675"/>
      <c r="AA261" s="151">
        <f t="shared" ref="AA261:AA265" si="196">X261-W261-Y261</f>
        <v>0</v>
      </c>
      <c r="AB261" s="676">
        <f>SUM(AA261:AA265,Z261)</f>
        <v>0</v>
      </c>
      <c r="AC261" s="175"/>
      <c r="AD261" s="175"/>
      <c r="AE261" s="675"/>
      <c r="AF261" s="675"/>
      <c r="AG261" s="677">
        <f>SUM(AE261:AF265)</f>
        <v>0</v>
      </c>
      <c r="AH261" s="675"/>
      <c r="AI261" s="657">
        <f>AE261*60</f>
        <v>0</v>
      </c>
      <c r="AJ261" s="657">
        <f>IF(
   COUNTIF(AC261:AC265,"SI")&gt;0,
   1.8,
   IF(
      COUNTIF(AD261:AD265,"SI")&gt;0,
      1.6,
      2
   )
)</f>
        <v>2</v>
      </c>
      <c r="AK261" s="678">
        <f t="shared" si="191"/>
        <v>0</v>
      </c>
      <c r="AL261" s="674">
        <v>46118</v>
      </c>
      <c r="AM261" s="24">
        <v>25</v>
      </c>
      <c r="AN261" s="31">
        <v>735</v>
      </c>
      <c r="AO261" s="31">
        <v>4403</v>
      </c>
      <c r="AP261" s="24">
        <v>4501</v>
      </c>
      <c r="AQ261" s="26">
        <v>2</v>
      </c>
      <c r="AR261" s="657">
        <v>5</v>
      </c>
      <c r="AS261" s="62">
        <f t="shared" ref="AS261:AS285" si="197">AP261-AO261-AQ261</f>
        <v>96</v>
      </c>
      <c r="AT261" s="650">
        <f>SUM(AS261:AS265)+AR261</f>
        <v>1082</v>
      </c>
      <c r="AU261" s="29"/>
      <c r="AV261" s="640">
        <v>7.3</v>
      </c>
      <c r="AW261" s="29"/>
      <c r="AX261" s="657">
        <v>0.7</v>
      </c>
      <c r="AY261" s="633">
        <f>SUM(AV261,AX261)</f>
        <v>8</v>
      </c>
      <c r="AZ261" s="657">
        <v>0.15</v>
      </c>
      <c r="BA261" s="657">
        <f>AV261*60</f>
        <v>438</v>
      </c>
      <c r="BB261" s="657">
        <f>IF(
   COUNTIF(AU261:AU265,"SI")&gt;0,
   1.8,
   IF(
      COUNTIF(AV261:AV265,"SI")&gt;0,
      1.6,
      2
   )
)</f>
        <v>2</v>
      </c>
      <c r="BC261" s="672">
        <f t="shared" si="194"/>
        <v>2.4703196347031962</v>
      </c>
      <c r="BD261" s="662"/>
      <c r="BE261" s="662"/>
      <c r="BF261" s="118"/>
      <c r="BG261" s="118"/>
      <c r="BH261" s="118"/>
      <c r="BI261" s="118"/>
      <c r="BJ261" s="118"/>
      <c r="BK261" s="662"/>
      <c r="BL261" s="118"/>
      <c r="BM261" s="662"/>
      <c r="BN261" s="662"/>
      <c r="BO261" s="118"/>
      <c r="BP261" s="662"/>
      <c r="BQ261" s="662"/>
      <c r="BR261" s="662"/>
      <c r="BS261" s="662"/>
      <c r="BT261" s="118"/>
      <c r="BU261" s="662"/>
      <c r="BV261" s="662"/>
      <c r="BW261" s="118"/>
      <c r="BX261" s="118"/>
      <c r="BY261" s="118"/>
      <c r="BZ261" s="118"/>
      <c r="CA261" s="118"/>
      <c r="CB261" s="118"/>
      <c r="CC261" s="118"/>
      <c r="CD261" s="118"/>
      <c r="CE261" s="118"/>
      <c r="CF261" s="118"/>
      <c r="CG261" s="118"/>
      <c r="CH261" s="118"/>
      <c r="CI261" s="118"/>
      <c r="CJ261" s="118"/>
      <c r="CK261" s="118"/>
      <c r="CL261" s="118"/>
      <c r="CM261" s="118"/>
      <c r="CN261" s="92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94"/>
      <c r="DD261" s="118"/>
      <c r="DE261" s="118"/>
      <c r="DF261" s="118"/>
      <c r="DG261" s="118"/>
      <c r="DH261" s="118"/>
      <c r="DI261" s="118"/>
      <c r="DJ261" s="118"/>
      <c r="DK261" s="118"/>
      <c r="DL261" s="118"/>
      <c r="DM261" s="118"/>
      <c r="DN261" s="118"/>
      <c r="DO261" s="118"/>
      <c r="DP261" s="118"/>
      <c r="DQ261" s="118"/>
      <c r="DR261" s="118"/>
      <c r="DS261" s="118"/>
      <c r="DT261" s="118"/>
      <c r="DU261" s="19"/>
      <c r="DV261" s="19"/>
      <c r="DW261" s="19"/>
      <c r="DX261" s="19"/>
      <c r="DY261" s="19"/>
      <c r="DZ261" s="19"/>
    </row>
    <row r="262" spans="1:130" ht="12.75" x14ac:dyDescent="0.2">
      <c r="A262" s="647"/>
      <c r="B262" s="670"/>
      <c r="C262" s="30"/>
      <c r="D262" s="158"/>
      <c r="E262" s="158"/>
      <c r="F262" s="158"/>
      <c r="G262" s="158"/>
      <c r="H262" s="634"/>
      <c r="I262" s="159">
        <f t="shared" si="195"/>
        <v>0</v>
      </c>
      <c r="J262" s="634"/>
      <c r="K262" s="30"/>
      <c r="L262" s="142"/>
      <c r="M262" s="634"/>
      <c r="N262" s="634"/>
      <c r="O262" s="634"/>
      <c r="P262" s="634"/>
      <c r="Q262" s="634"/>
      <c r="R262" s="634"/>
      <c r="S262" s="659"/>
      <c r="T262" s="647"/>
      <c r="U262" s="30"/>
      <c r="V262" s="30"/>
      <c r="W262" s="30"/>
      <c r="X262" s="30"/>
      <c r="Y262" s="30"/>
      <c r="Z262" s="634"/>
      <c r="AA262" s="51">
        <f t="shared" si="196"/>
        <v>0</v>
      </c>
      <c r="AB262" s="634"/>
      <c r="AC262" s="30"/>
      <c r="AD262" s="142"/>
      <c r="AE262" s="634"/>
      <c r="AF262" s="634"/>
      <c r="AG262" s="634"/>
      <c r="AH262" s="634"/>
      <c r="AI262" s="634"/>
      <c r="AJ262" s="634"/>
      <c r="AK262" s="659"/>
      <c r="AL262" s="647"/>
      <c r="AM262" s="28">
        <v>107</v>
      </c>
      <c r="AN262" s="28">
        <v>737</v>
      </c>
      <c r="AO262" s="28">
        <v>5005</v>
      </c>
      <c r="AP262" s="28">
        <v>5503</v>
      </c>
      <c r="AQ262" s="29">
        <v>8</v>
      </c>
      <c r="AR262" s="634"/>
      <c r="AS262" s="159">
        <f t="shared" si="197"/>
        <v>490</v>
      </c>
      <c r="AT262" s="634"/>
      <c r="AU262" s="29"/>
      <c r="AV262" s="634"/>
      <c r="AW262" s="29"/>
      <c r="AX262" s="634"/>
      <c r="AY262" s="634"/>
      <c r="AZ262" s="634"/>
      <c r="BA262" s="634"/>
      <c r="BB262" s="634"/>
      <c r="BC262" s="634"/>
      <c r="BD262" s="663"/>
      <c r="BE262" s="668"/>
      <c r="BF262" s="118"/>
      <c r="BG262" s="118"/>
      <c r="BH262" s="118"/>
      <c r="BI262" s="118"/>
      <c r="BJ262" s="118"/>
      <c r="BK262" s="663"/>
      <c r="BL262" s="118"/>
      <c r="BM262" s="663"/>
      <c r="BN262" s="663"/>
      <c r="BO262" s="118"/>
      <c r="BP262" s="663"/>
      <c r="BQ262" s="663"/>
      <c r="BR262" s="663"/>
      <c r="BS262" s="663"/>
      <c r="BT262" s="118"/>
      <c r="BU262" s="663"/>
      <c r="BV262" s="663"/>
      <c r="BW262" s="118"/>
      <c r="BX262" s="118"/>
      <c r="BY262" s="118"/>
      <c r="BZ262" s="118"/>
      <c r="CA262" s="118"/>
      <c r="CB262" s="118"/>
      <c r="CC262" s="118"/>
      <c r="CD262" s="118"/>
      <c r="CE262" s="118"/>
      <c r="CF262" s="118"/>
      <c r="CG262" s="118"/>
      <c r="CH262" s="118"/>
      <c r="CI262" s="118"/>
      <c r="CJ262" s="118"/>
      <c r="CK262" s="118"/>
      <c r="CL262" s="118"/>
      <c r="CM262" s="118"/>
      <c r="CN262" s="92"/>
      <c r="CO262" s="93"/>
      <c r="CP262" s="93"/>
      <c r="CQ262" s="93"/>
      <c r="CR262" s="93"/>
      <c r="CS262" s="93"/>
      <c r="CT262" s="93"/>
      <c r="CU262" s="93"/>
      <c r="CV262" s="93"/>
      <c r="CW262" s="93"/>
      <c r="CX262" s="93"/>
      <c r="CY262" s="93"/>
      <c r="CZ262" s="93"/>
      <c r="DA262" s="93"/>
      <c r="DB262" s="93"/>
      <c r="DC262" s="94"/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9"/>
      <c r="DV262" s="19"/>
      <c r="DW262" s="19"/>
      <c r="DX262" s="19"/>
      <c r="DY262" s="19"/>
      <c r="DZ262" s="19"/>
    </row>
    <row r="263" spans="1:130" ht="12.75" x14ac:dyDescent="0.2">
      <c r="A263" s="647"/>
      <c r="B263" s="670"/>
      <c r="C263" s="30"/>
      <c r="D263" s="158"/>
      <c r="E263" s="158"/>
      <c r="F263" s="158"/>
      <c r="G263" s="158"/>
      <c r="H263" s="634"/>
      <c r="I263" s="159">
        <f t="shared" si="195"/>
        <v>0</v>
      </c>
      <c r="J263" s="634"/>
      <c r="K263" s="158"/>
      <c r="L263" s="161"/>
      <c r="M263" s="634"/>
      <c r="N263" s="634"/>
      <c r="O263" s="634"/>
      <c r="P263" s="634"/>
      <c r="Q263" s="634"/>
      <c r="R263" s="634"/>
      <c r="S263" s="659"/>
      <c r="T263" s="647"/>
      <c r="U263" s="30"/>
      <c r="V263" s="158"/>
      <c r="W263" s="30"/>
      <c r="X263" s="30"/>
      <c r="Y263" s="30"/>
      <c r="Z263" s="634"/>
      <c r="AA263" s="51">
        <f t="shared" si="196"/>
        <v>0</v>
      </c>
      <c r="AB263" s="634"/>
      <c r="AC263" s="158"/>
      <c r="AD263" s="161"/>
      <c r="AE263" s="634"/>
      <c r="AF263" s="634"/>
      <c r="AG263" s="634"/>
      <c r="AH263" s="634"/>
      <c r="AI263" s="634"/>
      <c r="AJ263" s="634"/>
      <c r="AK263" s="659"/>
      <c r="AL263" s="647"/>
      <c r="AM263" s="28">
        <v>118</v>
      </c>
      <c r="AN263" s="28">
        <v>738</v>
      </c>
      <c r="AO263" s="28">
        <v>5504</v>
      </c>
      <c r="AP263" s="28">
        <v>6000</v>
      </c>
      <c r="AQ263" s="28">
        <v>5</v>
      </c>
      <c r="AR263" s="634"/>
      <c r="AS263" s="159">
        <f t="shared" si="197"/>
        <v>491</v>
      </c>
      <c r="AT263" s="634"/>
      <c r="AU263" s="158"/>
      <c r="AV263" s="634"/>
      <c r="AW263" s="161"/>
      <c r="AX263" s="634"/>
      <c r="AY263" s="634"/>
      <c r="AZ263" s="634"/>
      <c r="BA263" s="634"/>
      <c r="BB263" s="634"/>
      <c r="BC263" s="634"/>
      <c r="BD263" s="662"/>
      <c r="BE263" s="662"/>
      <c r="BF263" s="118"/>
      <c r="BG263" s="118"/>
      <c r="BH263" s="118"/>
      <c r="BI263" s="118"/>
      <c r="BJ263" s="118"/>
      <c r="BK263" s="662"/>
      <c r="BL263" s="118"/>
      <c r="BM263" s="662"/>
      <c r="BN263" s="662"/>
      <c r="BO263" s="118"/>
      <c r="BP263" s="662"/>
      <c r="BQ263" s="662"/>
      <c r="BR263" s="662"/>
      <c r="BS263" s="662"/>
      <c r="BT263" s="118"/>
      <c r="BU263" s="662"/>
      <c r="BV263" s="662"/>
      <c r="BW263" s="118"/>
      <c r="BX263" s="118"/>
      <c r="BY263" s="118"/>
      <c r="BZ263" s="118"/>
      <c r="CA263" s="118"/>
      <c r="CB263" s="118"/>
      <c r="CC263" s="118"/>
      <c r="CD263" s="118"/>
      <c r="CE263" s="118"/>
      <c r="CF263" s="118"/>
      <c r="CG263" s="118"/>
      <c r="CH263" s="118"/>
      <c r="CI263" s="118"/>
      <c r="CJ263" s="118"/>
      <c r="CK263" s="118"/>
      <c r="CL263" s="118"/>
      <c r="CM263" s="118"/>
      <c r="CN263" s="92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94"/>
      <c r="DD263" s="118"/>
      <c r="DE263" s="118"/>
      <c r="DF263" s="118"/>
      <c r="DG263" s="118"/>
      <c r="DH263" s="118"/>
      <c r="DI263" s="118"/>
      <c r="DJ263" s="118"/>
      <c r="DK263" s="118"/>
      <c r="DL263" s="118"/>
      <c r="DM263" s="118"/>
      <c r="DN263" s="118"/>
      <c r="DO263" s="118"/>
      <c r="DP263" s="118"/>
      <c r="DQ263" s="118"/>
      <c r="DR263" s="118"/>
      <c r="DS263" s="118"/>
      <c r="DT263" s="118"/>
      <c r="DU263" s="19"/>
      <c r="DV263" s="19"/>
      <c r="DW263" s="19"/>
      <c r="DX263" s="19"/>
      <c r="DY263" s="19"/>
      <c r="DZ263" s="19"/>
    </row>
    <row r="264" spans="1:130" ht="12.75" x14ac:dyDescent="0.2">
      <c r="A264" s="647"/>
      <c r="B264" s="670"/>
      <c r="C264" s="30"/>
      <c r="D264" s="30"/>
      <c r="E264" s="30"/>
      <c r="F264" s="30"/>
      <c r="G264" s="30"/>
      <c r="H264" s="634"/>
      <c r="I264" s="30"/>
      <c r="J264" s="634"/>
      <c r="K264" s="30"/>
      <c r="L264" s="142"/>
      <c r="M264" s="634"/>
      <c r="N264" s="634"/>
      <c r="O264" s="634"/>
      <c r="P264" s="634"/>
      <c r="Q264" s="634"/>
      <c r="R264" s="634"/>
      <c r="S264" s="659"/>
      <c r="T264" s="647"/>
      <c r="U264" s="30"/>
      <c r="V264" s="30"/>
      <c r="W264" s="30"/>
      <c r="X264" s="30"/>
      <c r="Y264" s="30"/>
      <c r="Z264" s="634"/>
      <c r="AA264" s="51">
        <f t="shared" si="196"/>
        <v>0</v>
      </c>
      <c r="AB264" s="634"/>
      <c r="AC264" s="30"/>
      <c r="AD264" s="142"/>
      <c r="AE264" s="634"/>
      <c r="AF264" s="634"/>
      <c r="AG264" s="634"/>
      <c r="AH264" s="634"/>
      <c r="AI264" s="634"/>
      <c r="AJ264" s="634"/>
      <c r="AK264" s="659"/>
      <c r="AL264" s="647"/>
      <c r="AM264" s="29"/>
      <c r="AN264" s="29"/>
      <c r="AO264" s="29"/>
      <c r="AP264" s="29"/>
      <c r="AQ264" s="30"/>
      <c r="AR264" s="634"/>
      <c r="AS264" s="51">
        <f t="shared" si="197"/>
        <v>0</v>
      </c>
      <c r="AT264" s="635"/>
      <c r="AU264" s="30"/>
      <c r="AV264" s="635"/>
      <c r="AW264" s="142"/>
      <c r="AX264" s="634"/>
      <c r="AY264" s="634"/>
      <c r="AZ264" s="634"/>
      <c r="BA264" s="634"/>
      <c r="BB264" s="634"/>
      <c r="BC264" s="634"/>
      <c r="BD264" s="663"/>
      <c r="BE264" s="668"/>
      <c r="BF264" s="118"/>
      <c r="BG264" s="118"/>
      <c r="BH264" s="118"/>
      <c r="BI264" s="118"/>
      <c r="BJ264" s="118"/>
      <c r="BK264" s="663"/>
      <c r="BL264" s="118"/>
      <c r="BM264" s="663"/>
      <c r="BN264" s="663"/>
      <c r="BO264" s="118"/>
      <c r="BP264" s="663"/>
      <c r="BQ264" s="663"/>
      <c r="BR264" s="663"/>
      <c r="BS264" s="663"/>
      <c r="BT264" s="118"/>
      <c r="BU264" s="663"/>
      <c r="BV264" s="663"/>
      <c r="BW264" s="118"/>
      <c r="BX264" s="118"/>
      <c r="BY264" s="118"/>
      <c r="BZ264" s="118"/>
      <c r="CA264" s="118"/>
      <c r="CB264" s="118"/>
      <c r="CC264" s="118"/>
      <c r="CD264" s="118"/>
      <c r="CE264" s="118"/>
      <c r="CF264" s="118"/>
      <c r="CG264" s="118"/>
      <c r="CH264" s="118"/>
      <c r="CI264" s="118"/>
      <c r="CJ264" s="118"/>
      <c r="CK264" s="118"/>
      <c r="CL264" s="118"/>
      <c r="CM264" s="118"/>
      <c r="CN264" s="92"/>
      <c r="CO264" s="93"/>
      <c r="CP264" s="93"/>
      <c r="CQ264" s="93"/>
      <c r="CR264" s="93"/>
      <c r="CS264" s="93"/>
      <c r="CT264" s="93"/>
      <c r="CU264" s="93"/>
      <c r="CV264" s="93"/>
      <c r="CW264" s="93"/>
      <c r="CX264" s="93"/>
      <c r="CY264" s="93"/>
      <c r="CZ264" s="93"/>
      <c r="DA264" s="93"/>
      <c r="DB264" s="93"/>
      <c r="DC264" s="94"/>
      <c r="DD264" s="118"/>
      <c r="DE264" s="118"/>
      <c r="DF264" s="118"/>
      <c r="DG264" s="118"/>
      <c r="DH264" s="118"/>
      <c r="DI264" s="118"/>
      <c r="DJ264" s="118"/>
      <c r="DK264" s="118"/>
      <c r="DL264" s="118"/>
      <c r="DM264" s="118"/>
      <c r="DN264" s="118"/>
      <c r="DO264" s="118"/>
      <c r="DP264" s="118"/>
      <c r="DQ264" s="118"/>
      <c r="DR264" s="118"/>
      <c r="DS264" s="118"/>
      <c r="DT264" s="118"/>
      <c r="DU264" s="19"/>
      <c r="DV264" s="19"/>
      <c r="DW264" s="19"/>
      <c r="DX264" s="19"/>
      <c r="DY264" s="19"/>
      <c r="DZ264" s="19"/>
    </row>
    <row r="265" spans="1:130" ht="12.75" x14ac:dyDescent="0.2">
      <c r="A265" s="647"/>
      <c r="B265" s="671"/>
      <c r="C265" s="30"/>
      <c r="D265" s="30"/>
      <c r="E265" s="30"/>
      <c r="F265" s="30"/>
      <c r="G265" s="30"/>
      <c r="H265" s="635"/>
      <c r="I265" s="51">
        <f t="shared" ref="I265:I285" si="198">F265-E265-G265</f>
        <v>0</v>
      </c>
      <c r="J265" s="635"/>
      <c r="K265" s="30"/>
      <c r="L265" s="142"/>
      <c r="M265" s="635"/>
      <c r="N265" s="635"/>
      <c r="O265" s="635"/>
      <c r="P265" s="635"/>
      <c r="Q265" s="635"/>
      <c r="R265" s="635"/>
      <c r="S265" s="660"/>
      <c r="T265" s="648"/>
      <c r="U265" s="30"/>
      <c r="V265" s="30"/>
      <c r="W265" s="30"/>
      <c r="X265" s="30"/>
      <c r="Y265" s="30"/>
      <c r="Z265" s="635"/>
      <c r="AA265" s="51">
        <f t="shared" si="196"/>
        <v>0</v>
      </c>
      <c r="AB265" s="635"/>
      <c r="AC265" s="30"/>
      <c r="AD265" s="142"/>
      <c r="AE265" s="635"/>
      <c r="AF265" s="635"/>
      <c r="AG265" s="635"/>
      <c r="AH265" s="635"/>
      <c r="AI265" s="635"/>
      <c r="AJ265" s="635"/>
      <c r="AK265" s="660"/>
      <c r="AL265" s="648"/>
      <c r="AM265" s="30"/>
      <c r="AN265" s="30"/>
      <c r="AO265" s="30"/>
      <c r="AP265" s="30"/>
      <c r="AQ265" s="30"/>
      <c r="AR265" s="635"/>
      <c r="AS265" s="51">
        <f t="shared" si="197"/>
        <v>0</v>
      </c>
      <c r="AT265" s="146">
        <f>AS265</f>
        <v>0</v>
      </c>
      <c r="AU265" s="30"/>
      <c r="AV265" s="142"/>
      <c r="AW265" s="142"/>
      <c r="AX265" s="635"/>
      <c r="AY265" s="635"/>
      <c r="AZ265" s="635"/>
      <c r="BA265" s="147">
        <f t="shared" ref="BA265:BA266" si="199">AV265*60</f>
        <v>0</v>
      </c>
      <c r="BB265" s="635"/>
      <c r="BC265" s="148">
        <f t="shared" ref="BC265:BC266" si="200">IF(BA265=0,0,AT265/BA265)</f>
        <v>0</v>
      </c>
      <c r="BD265" s="662"/>
      <c r="BE265" s="662"/>
      <c r="BF265" s="118"/>
      <c r="BG265" s="118"/>
      <c r="BH265" s="118"/>
      <c r="BI265" s="118"/>
      <c r="BJ265" s="118"/>
      <c r="BK265" s="662"/>
      <c r="BL265" s="118"/>
      <c r="BM265" s="662"/>
      <c r="BN265" s="662"/>
      <c r="BO265" s="118"/>
      <c r="BP265" s="662"/>
      <c r="BQ265" s="662"/>
      <c r="BR265" s="662"/>
      <c r="BS265" s="662"/>
      <c r="BT265" s="118"/>
      <c r="BU265" s="662"/>
      <c r="BV265" s="662"/>
      <c r="BW265" s="118"/>
      <c r="BX265" s="118"/>
      <c r="BY265" s="118"/>
      <c r="BZ265" s="118"/>
      <c r="CA265" s="118"/>
      <c r="CB265" s="118"/>
      <c r="CC265" s="118"/>
      <c r="CD265" s="118"/>
      <c r="CE265" s="118"/>
      <c r="CF265" s="118"/>
      <c r="CG265" s="118"/>
      <c r="CH265" s="118"/>
      <c r="CI265" s="118"/>
      <c r="CJ265" s="118"/>
      <c r="CK265" s="118"/>
      <c r="CL265" s="118"/>
      <c r="CM265" s="118"/>
      <c r="CN265" s="92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4"/>
      <c r="DD265" s="118"/>
      <c r="DE265" s="118"/>
      <c r="DF265" s="118"/>
      <c r="DG265" s="118"/>
      <c r="DH265" s="118"/>
      <c r="DI265" s="118"/>
      <c r="DJ265" s="118"/>
      <c r="DK265" s="118"/>
      <c r="DL265" s="118"/>
      <c r="DM265" s="118"/>
      <c r="DN265" s="118"/>
      <c r="DO265" s="118"/>
      <c r="DP265" s="118"/>
      <c r="DQ265" s="118"/>
      <c r="DR265" s="118"/>
      <c r="DS265" s="118"/>
      <c r="DT265" s="118"/>
      <c r="DU265" s="19"/>
      <c r="DV265" s="19"/>
      <c r="DW265" s="19"/>
      <c r="DX265" s="19"/>
      <c r="DY265" s="19"/>
      <c r="DZ265" s="19"/>
    </row>
    <row r="266" spans="1:130" ht="12.75" x14ac:dyDescent="0.2">
      <c r="A266" s="647"/>
      <c r="B266" s="751">
        <v>46119</v>
      </c>
      <c r="C266" s="40"/>
      <c r="D266" s="40"/>
      <c r="E266" s="40"/>
      <c r="F266" s="40"/>
      <c r="G266" s="40"/>
      <c r="H266" s="653"/>
      <c r="I266" s="150">
        <f t="shared" si="198"/>
        <v>0</v>
      </c>
      <c r="J266" s="650">
        <f>SUM(I266:I269,H266)</f>
        <v>0</v>
      </c>
      <c r="K266" s="40"/>
      <c r="L266" s="40"/>
      <c r="M266" s="653"/>
      <c r="N266" s="653"/>
      <c r="O266" s="633">
        <f>SUM(M266:N269)</f>
        <v>0</v>
      </c>
      <c r="P266" s="653"/>
      <c r="Q266" s="636">
        <f>M266*60</f>
        <v>0</v>
      </c>
      <c r="R266" s="657">
        <f>IF(
   COUNTIF(K266:K269,"SI")&gt;0,
   1.8,
   IF(
      COUNTIF(L266:L269,"SI")&gt;0,
      1.6,
      2
   )
)</f>
        <v>2</v>
      </c>
      <c r="S266" s="678">
        <f>IF(Q266=0,0,J266/Q266)</f>
        <v>0</v>
      </c>
      <c r="T266" s="646">
        <v>46119</v>
      </c>
      <c r="U266" s="40"/>
      <c r="V266" s="38">
        <v>736</v>
      </c>
      <c r="W266" s="38">
        <v>4801</v>
      </c>
      <c r="X266" s="38">
        <v>5000</v>
      </c>
      <c r="Y266" s="38">
        <v>0</v>
      </c>
      <c r="Z266" s="653">
        <v>5</v>
      </c>
      <c r="AA266" s="51">
        <f t="shared" ref="AA266:AA267" si="201">X266-W266-Y266+1</f>
        <v>200</v>
      </c>
      <c r="AB266" s="650">
        <f>SUM(AA266:AA269)+Z266</f>
        <v>705</v>
      </c>
      <c r="AC266" s="38" t="s">
        <v>51</v>
      </c>
      <c r="AD266" s="38" t="s">
        <v>51</v>
      </c>
      <c r="AE266" s="636">
        <v>5.75</v>
      </c>
      <c r="AF266" s="636">
        <v>3.5</v>
      </c>
      <c r="AG266" s="633">
        <f>SUM(AE266:AF269)</f>
        <v>9.25</v>
      </c>
      <c r="AH266" s="636">
        <v>0</v>
      </c>
      <c r="AI266" s="636">
        <f>AE266*60</f>
        <v>345</v>
      </c>
      <c r="AJ266" s="657">
        <f>IF(
   COUNTIF(AC266:AC269,"SI")&gt;0,
   1.8,
   IF(
      COUNTIF(AD266:AD269,"SI")&gt;0,
      1.6,
      2
   )
)</f>
        <v>1.8</v>
      </c>
      <c r="AK266" s="658">
        <f>AB266/AI266</f>
        <v>2.0434782608695654</v>
      </c>
      <c r="AL266" s="646">
        <v>46119</v>
      </c>
      <c r="AM266" s="40"/>
      <c r="AN266" s="40"/>
      <c r="AO266" s="40"/>
      <c r="AP266" s="40"/>
      <c r="AQ266" s="40"/>
      <c r="AR266" s="653"/>
      <c r="AS266" s="151">
        <f t="shared" si="197"/>
        <v>0</v>
      </c>
      <c r="AT266" s="650"/>
      <c r="AU266" s="653"/>
      <c r="AV266" s="653"/>
      <c r="AW266" s="40"/>
      <c r="AX266" s="653"/>
      <c r="AY266" s="633">
        <f>SUM(AV266:AX269)</f>
        <v>0</v>
      </c>
      <c r="AZ266" s="636">
        <v>1.25</v>
      </c>
      <c r="BA266" s="636">
        <f t="shared" si="199"/>
        <v>0</v>
      </c>
      <c r="BB266" s="657">
        <f>IF(
   COUNTIF(AU266:AU269,"SI")&gt;0,
   1.8,
   IF(
      COUNTIF(AV266:AV269,"SI")&gt;0,
      1.6,
      2
   )
)</f>
        <v>2</v>
      </c>
      <c r="BC266" s="667">
        <f t="shared" si="200"/>
        <v>0</v>
      </c>
      <c r="BD266" s="662"/>
      <c r="BE266" s="662"/>
      <c r="BF266" s="118"/>
      <c r="BG266" s="118"/>
      <c r="BH266" s="118"/>
      <c r="BI266" s="118"/>
      <c r="BJ266" s="118"/>
      <c r="BK266" s="662"/>
      <c r="BL266" s="118"/>
      <c r="BM266" s="662"/>
      <c r="BN266" s="662"/>
      <c r="BO266" s="118"/>
      <c r="BP266" s="662"/>
      <c r="BQ266" s="662"/>
      <c r="BR266" s="662"/>
      <c r="BS266" s="662"/>
      <c r="BT266" s="118"/>
      <c r="BU266" s="662"/>
      <c r="BV266" s="662"/>
      <c r="BW266" s="118"/>
      <c r="BX266" s="118"/>
      <c r="BY266" s="118"/>
      <c r="BZ266" s="118"/>
      <c r="CA266" s="118"/>
      <c r="CB266" s="118"/>
      <c r="CC266" s="118"/>
      <c r="CD266" s="118"/>
      <c r="CE266" s="118"/>
      <c r="CF266" s="118"/>
      <c r="CG266" s="118"/>
      <c r="CH266" s="118"/>
      <c r="CI266" s="118"/>
      <c r="CJ266" s="118"/>
      <c r="CK266" s="118"/>
      <c r="CL266" s="118"/>
      <c r="CM266" s="118"/>
      <c r="CN266" s="92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4"/>
      <c r="DD266" s="118"/>
      <c r="DE266" s="118"/>
      <c r="DF266" s="118"/>
      <c r="DG266" s="118"/>
      <c r="DH266" s="118"/>
      <c r="DI266" s="118"/>
      <c r="DJ266" s="118"/>
      <c r="DK266" s="118"/>
      <c r="DL266" s="118"/>
      <c r="DM266" s="118"/>
      <c r="DN266" s="118"/>
      <c r="DO266" s="118"/>
      <c r="DP266" s="118"/>
      <c r="DQ266" s="118"/>
      <c r="DR266" s="118"/>
      <c r="DS266" s="118"/>
      <c r="DT266" s="118"/>
      <c r="DU266" s="19"/>
      <c r="DV266" s="19"/>
      <c r="DW266" s="19"/>
      <c r="DX266" s="19"/>
      <c r="DY266" s="19"/>
      <c r="DZ266" s="19"/>
    </row>
    <row r="267" spans="1:130" ht="12.75" x14ac:dyDescent="0.2">
      <c r="A267" s="647"/>
      <c r="B267" s="670"/>
      <c r="C267" s="40"/>
      <c r="D267" s="40"/>
      <c r="E267" s="40"/>
      <c r="F267" s="40"/>
      <c r="G267" s="40"/>
      <c r="H267" s="634"/>
      <c r="I267" s="150">
        <f t="shared" si="198"/>
        <v>0</v>
      </c>
      <c r="J267" s="634"/>
      <c r="K267" s="40"/>
      <c r="L267" s="40"/>
      <c r="M267" s="634"/>
      <c r="N267" s="634"/>
      <c r="O267" s="634"/>
      <c r="P267" s="634"/>
      <c r="Q267" s="634"/>
      <c r="R267" s="634"/>
      <c r="S267" s="659"/>
      <c r="T267" s="647"/>
      <c r="U267" s="40"/>
      <c r="V267" s="31">
        <v>739</v>
      </c>
      <c r="W267" s="31">
        <v>6001</v>
      </c>
      <c r="X267" s="31">
        <v>6500</v>
      </c>
      <c r="Y267" s="31">
        <v>0</v>
      </c>
      <c r="Z267" s="634"/>
      <c r="AA267" s="51">
        <f t="shared" si="201"/>
        <v>500</v>
      </c>
      <c r="AB267" s="634"/>
      <c r="AC267" s="38" t="s">
        <v>51</v>
      </c>
      <c r="AD267" s="38" t="s">
        <v>51</v>
      </c>
      <c r="AE267" s="634"/>
      <c r="AF267" s="634"/>
      <c r="AG267" s="634"/>
      <c r="AH267" s="634"/>
      <c r="AI267" s="634"/>
      <c r="AJ267" s="634"/>
      <c r="AK267" s="659"/>
      <c r="AL267" s="647"/>
      <c r="AM267" s="40"/>
      <c r="AN267" s="40"/>
      <c r="AO267" s="40"/>
      <c r="AP267" s="40"/>
      <c r="AQ267" s="40"/>
      <c r="AR267" s="634"/>
      <c r="AS267" s="151">
        <f t="shared" si="197"/>
        <v>0</v>
      </c>
      <c r="AT267" s="634"/>
      <c r="AU267" s="634"/>
      <c r="AV267" s="634"/>
      <c r="AW267" s="40"/>
      <c r="AX267" s="634"/>
      <c r="AY267" s="634"/>
      <c r="AZ267" s="634"/>
      <c r="BA267" s="634"/>
      <c r="BB267" s="634"/>
      <c r="BC267" s="634"/>
      <c r="BD267" s="662"/>
      <c r="BE267" s="662"/>
      <c r="BF267" s="118"/>
      <c r="BG267" s="118"/>
      <c r="BH267" s="118"/>
      <c r="BI267" s="118"/>
      <c r="BJ267" s="118"/>
      <c r="BK267" s="662"/>
      <c r="BL267" s="118"/>
      <c r="BM267" s="662"/>
      <c r="BN267" s="662"/>
      <c r="BO267" s="118"/>
      <c r="BP267" s="662"/>
      <c r="BQ267" s="662"/>
      <c r="BR267" s="662"/>
      <c r="BS267" s="662"/>
      <c r="BT267" s="118"/>
      <c r="BU267" s="662"/>
      <c r="BV267" s="662"/>
      <c r="BW267" s="118"/>
      <c r="BX267" s="118"/>
      <c r="BY267" s="118"/>
      <c r="BZ267" s="118"/>
      <c r="CA267" s="118"/>
      <c r="CB267" s="118"/>
      <c r="CC267" s="118"/>
      <c r="CD267" s="118"/>
      <c r="CE267" s="118"/>
      <c r="CF267" s="118"/>
      <c r="CG267" s="118"/>
      <c r="CH267" s="118"/>
      <c r="CI267" s="118"/>
      <c r="CJ267" s="118"/>
      <c r="CK267" s="118"/>
      <c r="CL267" s="118"/>
      <c r="CM267" s="118"/>
      <c r="CN267" s="92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94"/>
      <c r="DD267" s="118"/>
      <c r="DE267" s="118"/>
      <c r="DF267" s="118"/>
      <c r="DG267" s="118"/>
      <c r="DH267" s="118"/>
      <c r="DI267" s="118"/>
      <c r="DJ267" s="118"/>
      <c r="DK267" s="118"/>
      <c r="DL267" s="118"/>
      <c r="DM267" s="118"/>
      <c r="DN267" s="118"/>
      <c r="DO267" s="118"/>
      <c r="DP267" s="118"/>
      <c r="DQ267" s="118"/>
      <c r="DR267" s="118"/>
      <c r="DS267" s="118"/>
      <c r="DT267" s="118"/>
      <c r="DU267" s="19"/>
      <c r="DV267" s="19"/>
      <c r="DW267" s="19"/>
      <c r="DX267" s="19"/>
      <c r="DY267" s="19"/>
      <c r="DZ267" s="19"/>
    </row>
    <row r="268" spans="1:130" ht="12.75" x14ac:dyDescent="0.2">
      <c r="A268" s="647"/>
      <c r="B268" s="670"/>
      <c r="C268" s="40"/>
      <c r="D268" s="40"/>
      <c r="E268" s="40"/>
      <c r="F268" s="40"/>
      <c r="G268" s="40"/>
      <c r="H268" s="634"/>
      <c r="I268" s="150">
        <f t="shared" si="198"/>
        <v>0</v>
      </c>
      <c r="J268" s="634"/>
      <c r="K268" s="40"/>
      <c r="L268" s="40"/>
      <c r="M268" s="634"/>
      <c r="N268" s="634"/>
      <c r="O268" s="634"/>
      <c r="P268" s="634"/>
      <c r="Q268" s="634"/>
      <c r="R268" s="634"/>
      <c r="S268" s="659"/>
      <c r="T268" s="647"/>
      <c r="U268" s="40"/>
      <c r="V268" s="31"/>
      <c r="W268" s="31"/>
      <c r="X268" s="31"/>
      <c r="Y268" s="31"/>
      <c r="Z268" s="634"/>
      <c r="AA268" s="28">
        <v>0</v>
      </c>
      <c r="AB268" s="634"/>
      <c r="AC268" s="38"/>
      <c r="AD268" s="38"/>
      <c r="AE268" s="634"/>
      <c r="AF268" s="634"/>
      <c r="AG268" s="634"/>
      <c r="AH268" s="634"/>
      <c r="AI268" s="634"/>
      <c r="AJ268" s="634"/>
      <c r="AK268" s="659"/>
      <c r="AL268" s="647"/>
      <c r="AM268" s="40"/>
      <c r="AN268" s="40"/>
      <c r="AO268" s="40"/>
      <c r="AP268" s="40"/>
      <c r="AQ268" s="40"/>
      <c r="AR268" s="634"/>
      <c r="AS268" s="151">
        <f t="shared" si="197"/>
        <v>0</v>
      </c>
      <c r="AT268" s="635"/>
      <c r="AU268" s="635"/>
      <c r="AV268" s="635"/>
      <c r="AW268" s="40"/>
      <c r="AX268" s="634"/>
      <c r="AY268" s="634"/>
      <c r="AZ268" s="634"/>
      <c r="BA268" s="634"/>
      <c r="BB268" s="634"/>
      <c r="BC268" s="635"/>
      <c r="BD268" s="663"/>
      <c r="BE268" s="668"/>
      <c r="BF268" s="117"/>
      <c r="BG268" s="117"/>
      <c r="BH268" s="117"/>
      <c r="BI268" s="117"/>
      <c r="BJ268" s="117"/>
      <c r="BK268" s="661"/>
      <c r="BL268" s="118"/>
      <c r="BM268" s="663"/>
      <c r="BN268" s="663"/>
      <c r="BO268" s="118"/>
      <c r="BP268" s="663"/>
      <c r="BQ268" s="663"/>
      <c r="BR268" s="663"/>
      <c r="BS268" s="663"/>
      <c r="BT268" s="118"/>
      <c r="BU268" s="663"/>
      <c r="BV268" s="663"/>
      <c r="BW268" s="118"/>
      <c r="BX268" s="118"/>
      <c r="BY268" s="118"/>
      <c r="BZ268" s="118"/>
      <c r="CA268" s="118"/>
      <c r="CB268" s="118"/>
      <c r="CC268" s="118"/>
      <c r="CD268" s="118"/>
      <c r="CE268" s="118"/>
      <c r="CF268" s="118"/>
      <c r="CG268" s="118"/>
      <c r="CH268" s="118"/>
      <c r="CI268" s="118"/>
      <c r="CJ268" s="118"/>
      <c r="CK268" s="118"/>
      <c r="CL268" s="118"/>
      <c r="CM268" s="118"/>
      <c r="CN268" s="92"/>
      <c r="CO268" s="93"/>
      <c r="CP268" s="93"/>
      <c r="CQ268" s="93"/>
      <c r="CR268" s="93"/>
      <c r="CS268" s="93"/>
      <c r="CT268" s="93"/>
      <c r="CU268" s="93"/>
      <c r="CV268" s="93"/>
      <c r="CW268" s="93"/>
      <c r="CX268" s="93"/>
      <c r="CY268" s="93"/>
      <c r="CZ268" s="93"/>
      <c r="DA268" s="93"/>
      <c r="DB268" s="93"/>
      <c r="DC268" s="94"/>
      <c r="DD268" s="118"/>
      <c r="DE268" s="118"/>
      <c r="DF268" s="118"/>
      <c r="DG268" s="118"/>
      <c r="DH268" s="118"/>
      <c r="DI268" s="118"/>
      <c r="DJ268" s="118"/>
      <c r="DK268" s="118"/>
      <c r="DL268" s="118"/>
      <c r="DM268" s="118"/>
      <c r="DN268" s="118"/>
      <c r="DO268" s="118"/>
      <c r="DP268" s="118"/>
      <c r="DQ268" s="118"/>
      <c r="DR268" s="118"/>
      <c r="DS268" s="118"/>
      <c r="DT268" s="118"/>
      <c r="DU268" s="19"/>
      <c r="DV268" s="19"/>
      <c r="DW268" s="19"/>
      <c r="DX268" s="19"/>
      <c r="DY268" s="19"/>
      <c r="DZ268" s="19"/>
    </row>
    <row r="269" spans="1:130" ht="12.75" x14ac:dyDescent="0.2">
      <c r="A269" s="647"/>
      <c r="B269" s="671"/>
      <c r="C269" s="40"/>
      <c r="D269" s="40"/>
      <c r="E269" s="40"/>
      <c r="F269" s="40"/>
      <c r="G269" s="40"/>
      <c r="H269" s="635"/>
      <c r="I269" s="150">
        <f t="shared" si="198"/>
        <v>0</v>
      </c>
      <c r="J269" s="635"/>
      <c r="K269" s="40"/>
      <c r="L269" s="40"/>
      <c r="M269" s="635"/>
      <c r="N269" s="635"/>
      <c r="O269" s="635"/>
      <c r="P269" s="635"/>
      <c r="Q269" s="635"/>
      <c r="R269" s="635"/>
      <c r="S269" s="660"/>
      <c r="T269" s="648"/>
      <c r="U269" s="40"/>
      <c r="V269" s="40"/>
      <c r="W269" s="40"/>
      <c r="X269" s="40"/>
      <c r="Y269" s="40"/>
      <c r="Z269" s="635"/>
      <c r="AA269" s="51">
        <f>X269-W269-Y269</f>
        <v>0</v>
      </c>
      <c r="AB269" s="634"/>
      <c r="AC269" s="40"/>
      <c r="AD269" s="40"/>
      <c r="AE269" s="634"/>
      <c r="AF269" s="635"/>
      <c r="AG269" s="635"/>
      <c r="AH269" s="635"/>
      <c r="AI269" s="634"/>
      <c r="AJ269" s="635"/>
      <c r="AK269" s="659"/>
      <c r="AL269" s="648"/>
      <c r="AM269" s="40"/>
      <c r="AN269" s="40"/>
      <c r="AO269" s="40"/>
      <c r="AP269" s="40"/>
      <c r="AQ269" s="40"/>
      <c r="AR269" s="635"/>
      <c r="AS269" s="151">
        <f t="shared" si="197"/>
        <v>0</v>
      </c>
      <c r="AT269" s="153"/>
      <c r="AU269" s="40"/>
      <c r="AV269" s="154"/>
      <c r="AW269" s="154"/>
      <c r="AX269" s="635"/>
      <c r="AY269" s="635"/>
      <c r="AZ269" s="635"/>
      <c r="BA269" s="154"/>
      <c r="BB269" s="635"/>
      <c r="BC269" s="155"/>
      <c r="BD269" s="662"/>
      <c r="BE269" s="662"/>
      <c r="BF269" s="117"/>
      <c r="BG269" s="117"/>
      <c r="BH269" s="117"/>
      <c r="BI269" s="117"/>
      <c r="BJ269" s="117"/>
      <c r="BK269" s="662"/>
      <c r="BL269" s="118"/>
      <c r="BM269" s="662"/>
      <c r="BN269" s="662"/>
      <c r="BO269" s="118"/>
      <c r="BP269" s="662"/>
      <c r="BQ269" s="662"/>
      <c r="BR269" s="662"/>
      <c r="BS269" s="662"/>
      <c r="BT269" s="118"/>
      <c r="BU269" s="662"/>
      <c r="BV269" s="662"/>
      <c r="BW269" s="118"/>
      <c r="BX269" s="118"/>
      <c r="BY269" s="118"/>
      <c r="BZ269" s="118"/>
      <c r="CA269" s="118"/>
      <c r="CB269" s="118"/>
      <c r="CC269" s="118"/>
      <c r="CD269" s="118"/>
      <c r="CE269" s="118"/>
      <c r="CF269" s="118"/>
      <c r="CG269" s="118"/>
      <c r="CH269" s="118"/>
      <c r="CI269" s="118"/>
      <c r="CJ269" s="118"/>
      <c r="CK269" s="118"/>
      <c r="CL269" s="118"/>
      <c r="CM269" s="118"/>
      <c r="CN269" s="92"/>
      <c r="CO269" s="93"/>
      <c r="CP269" s="93"/>
      <c r="CQ269" s="93"/>
      <c r="CR269" s="93"/>
      <c r="CS269" s="93"/>
      <c r="CT269" s="93"/>
      <c r="CU269" s="93"/>
      <c r="CV269" s="93"/>
      <c r="CW269" s="93"/>
      <c r="CX269" s="93"/>
      <c r="CY269" s="93"/>
      <c r="CZ269" s="93"/>
      <c r="DA269" s="93"/>
      <c r="DB269" s="93"/>
      <c r="DC269" s="94"/>
      <c r="DD269" s="118"/>
      <c r="DE269" s="118"/>
      <c r="DF269" s="118"/>
      <c r="DG269" s="118"/>
      <c r="DH269" s="118"/>
      <c r="DI269" s="118"/>
      <c r="DJ269" s="118"/>
      <c r="DK269" s="118"/>
      <c r="DL269" s="118"/>
      <c r="DM269" s="118"/>
      <c r="DN269" s="118"/>
      <c r="DO269" s="118"/>
      <c r="DP269" s="118"/>
      <c r="DQ269" s="118"/>
      <c r="DR269" s="118"/>
      <c r="DS269" s="118"/>
      <c r="DT269" s="118"/>
      <c r="DU269" s="19"/>
      <c r="DV269" s="19"/>
      <c r="DW269" s="19"/>
      <c r="DX269" s="19"/>
      <c r="DY269" s="19"/>
      <c r="DZ269" s="19"/>
    </row>
    <row r="270" spans="1:130" ht="12.75" x14ac:dyDescent="0.2">
      <c r="A270" s="647"/>
      <c r="B270" s="752">
        <v>46120</v>
      </c>
      <c r="C270" s="29">
        <v>16</v>
      </c>
      <c r="D270" s="29">
        <v>741</v>
      </c>
      <c r="E270" s="29">
        <v>7001</v>
      </c>
      <c r="F270" s="29">
        <v>7055</v>
      </c>
      <c r="G270" s="30"/>
      <c r="H270" s="649"/>
      <c r="I270" s="51">
        <f t="shared" si="198"/>
        <v>54</v>
      </c>
      <c r="J270" s="650">
        <f>SUM(I270:I273,H270)</f>
        <v>54</v>
      </c>
      <c r="K270" s="30"/>
      <c r="L270" s="30"/>
      <c r="M270" s="649">
        <v>0.45</v>
      </c>
      <c r="N270" s="649">
        <v>0.55000000000000004</v>
      </c>
      <c r="O270" s="656">
        <f>SUM(M270:N273)</f>
        <v>1</v>
      </c>
      <c r="P270" s="649"/>
      <c r="Q270" s="644">
        <f>M270*60</f>
        <v>27</v>
      </c>
      <c r="R270" s="657">
        <f>IF(
   COUNTIF(K270:K273,"SI")&gt;0,
   1.8,
   IF(
      COUNTIF(L270:L273,"SI")&gt;0,
      1.6,
      2
   )
)</f>
        <v>2</v>
      </c>
      <c r="S270" s="658">
        <f>IF(Q270=0,0,J270/Q270)</f>
        <v>2</v>
      </c>
      <c r="T270" s="655">
        <v>46120</v>
      </c>
      <c r="U270" s="30"/>
      <c r="V270" s="28">
        <v>740</v>
      </c>
      <c r="W270" s="28">
        <v>6501</v>
      </c>
      <c r="X270" s="28">
        <v>7000</v>
      </c>
      <c r="Y270" s="29">
        <v>0</v>
      </c>
      <c r="Z270" s="640">
        <v>0</v>
      </c>
      <c r="AA270" s="51">
        <f t="shared" ref="AA270:AA271" si="202">X270-W270-Y270+1</f>
        <v>500</v>
      </c>
      <c r="AB270" s="650">
        <f>SUM(AA270:AA273,Z270)</f>
        <v>752</v>
      </c>
      <c r="AC270" s="28" t="s">
        <v>51</v>
      </c>
      <c r="AD270" s="28" t="s">
        <v>51</v>
      </c>
      <c r="AE270" s="640">
        <v>6.5</v>
      </c>
      <c r="AF270" s="640">
        <v>0.75</v>
      </c>
      <c r="AG270" s="633">
        <f>SUM(AE270:AF273)</f>
        <v>7.25</v>
      </c>
      <c r="AH270" s="640">
        <v>0</v>
      </c>
      <c r="AI270" s="640">
        <f>AE270*60</f>
        <v>390</v>
      </c>
      <c r="AJ270" s="657">
        <f>IF(
   COUNTIF(AC270:AC273,"SI")&gt;0,
   1.8,
   IF(
      COUNTIF(AD270:AD273,"SI")&gt;0,
      1.6,
      2
   )
)</f>
        <v>1.8</v>
      </c>
      <c r="AK270" s="679">
        <f>AB270/AI270</f>
        <v>1.9282051282051282</v>
      </c>
      <c r="AL270" s="655">
        <v>46120</v>
      </c>
      <c r="AM270" s="29"/>
      <c r="AN270" s="31"/>
      <c r="AO270" s="31"/>
      <c r="AP270" s="31"/>
      <c r="AQ270" s="31"/>
      <c r="AR270" s="653">
        <f>352/2</f>
        <v>176</v>
      </c>
      <c r="AS270" s="150">
        <f t="shared" si="197"/>
        <v>0</v>
      </c>
      <c r="AT270" s="650">
        <f>SUM(AS270:AS272,AR270)</f>
        <v>176</v>
      </c>
      <c r="AU270" s="653"/>
      <c r="AV270" s="653">
        <v>1</v>
      </c>
      <c r="AW270" s="40"/>
      <c r="AX270" s="653">
        <v>6</v>
      </c>
      <c r="AY270" s="633">
        <f>SUM(AV270:AX273)</f>
        <v>7</v>
      </c>
      <c r="AZ270" s="636">
        <v>1.25</v>
      </c>
      <c r="BA270" s="640">
        <f>AV270*60</f>
        <v>60</v>
      </c>
      <c r="BB270" s="657">
        <f>IF(
   COUNTIF(AU270:AU273,"SI")&gt;0,
   1.8,
   IF(
      COUNTIF(AV270:AV273,"SI")&gt;0,
      1.6,
      2
   )
)</f>
        <v>2</v>
      </c>
      <c r="BC270" s="666">
        <f>IF(BA270=0,0,AT270/BA270)</f>
        <v>2.9333333333333331</v>
      </c>
      <c r="BD270" s="662"/>
      <c r="BE270" s="662"/>
      <c r="BF270" s="117"/>
      <c r="BG270" s="117"/>
      <c r="BH270" s="117"/>
      <c r="BI270" s="117"/>
      <c r="BJ270" s="117"/>
      <c r="BK270" s="662"/>
      <c r="BL270" s="118"/>
      <c r="BM270" s="662"/>
      <c r="BN270" s="662"/>
      <c r="BO270" s="118"/>
      <c r="BP270" s="662"/>
      <c r="BQ270" s="662"/>
      <c r="BR270" s="662"/>
      <c r="BS270" s="662"/>
      <c r="BT270" s="118"/>
      <c r="BU270" s="662"/>
      <c r="BV270" s="662"/>
      <c r="BW270" s="118"/>
      <c r="BX270" s="118"/>
      <c r="BY270" s="118"/>
      <c r="BZ270" s="118"/>
      <c r="CA270" s="118"/>
      <c r="CB270" s="118"/>
      <c r="CC270" s="118"/>
      <c r="CD270" s="118"/>
      <c r="CE270" s="118"/>
      <c r="CF270" s="118"/>
      <c r="CG270" s="118"/>
      <c r="CH270" s="118"/>
      <c r="CI270" s="118"/>
      <c r="CJ270" s="118"/>
      <c r="CK270" s="118"/>
      <c r="CL270" s="118"/>
      <c r="CM270" s="118"/>
      <c r="CN270" s="92"/>
      <c r="CO270" s="93"/>
      <c r="CP270" s="93"/>
      <c r="CQ270" s="93"/>
      <c r="CR270" s="93"/>
      <c r="CS270" s="93"/>
      <c r="CT270" s="93"/>
      <c r="CU270" s="93"/>
      <c r="CV270" s="93"/>
      <c r="CW270" s="93"/>
      <c r="CX270" s="93"/>
      <c r="CY270" s="93"/>
      <c r="CZ270" s="93"/>
      <c r="DA270" s="93"/>
      <c r="DB270" s="93"/>
      <c r="DC270" s="94"/>
      <c r="DD270" s="118"/>
      <c r="DE270" s="118"/>
      <c r="DF270" s="118"/>
      <c r="DG270" s="118"/>
      <c r="DH270" s="118"/>
      <c r="DI270" s="118"/>
      <c r="DJ270" s="118"/>
      <c r="DK270" s="118"/>
      <c r="DL270" s="118"/>
      <c r="DM270" s="118"/>
      <c r="DN270" s="118"/>
      <c r="DO270" s="118"/>
      <c r="DP270" s="118"/>
      <c r="DQ270" s="118"/>
      <c r="DR270" s="118"/>
      <c r="DS270" s="118"/>
      <c r="DT270" s="118"/>
      <c r="DU270" s="19"/>
      <c r="DV270" s="19"/>
      <c r="DW270" s="19"/>
      <c r="DX270" s="19"/>
      <c r="DY270" s="19"/>
      <c r="DZ270" s="19"/>
    </row>
    <row r="271" spans="1:130" ht="12.75" x14ac:dyDescent="0.2">
      <c r="A271" s="647"/>
      <c r="B271" s="670"/>
      <c r="C271" s="30"/>
      <c r="D271" s="30"/>
      <c r="E271" s="30"/>
      <c r="F271" s="30"/>
      <c r="G271" s="30"/>
      <c r="H271" s="634"/>
      <c r="I271" s="51">
        <f t="shared" si="198"/>
        <v>0</v>
      </c>
      <c r="J271" s="634"/>
      <c r="K271" s="30"/>
      <c r="L271" s="30"/>
      <c r="M271" s="634"/>
      <c r="N271" s="634"/>
      <c r="O271" s="634"/>
      <c r="P271" s="634"/>
      <c r="Q271" s="634"/>
      <c r="R271" s="634"/>
      <c r="S271" s="659"/>
      <c r="T271" s="647"/>
      <c r="U271" s="30"/>
      <c r="V271" s="28">
        <v>742</v>
      </c>
      <c r="W271" s="28">
        <v>7501</v>
      </c>
      <c r="X271" s="28">
        <v>7752</v>
      </c>
      <c r="Y271" s="29">
        <v>0</v>
      </c>
      <c r="Z271" s="634"/>
      <c r="AA271" s="51">
        <f t="shared" si="202"/>
        <v>252</v>
      </c>
      <c r="AB271" s="634"/>
      <c r="AC271" s="28" t="s">
        <v>51</v>
      </c>
      <c r="AD271" s="28" t="s">
        <v>51</v>
      </c>
      <c r="AE271" s="634"/>
      <c r="AF271" s="634"/>
      <c r="AG271" s="634"/>
      <c r="AH271" s="634"/>
      <c r="AI271" s="634"/>
      <c r="AJ271" s="634"/>
      <c r="AK271" s="659"/>
      <c r="AL271" s="647"/>
      <c r="AM271" s="29"/>
      <c r="AN271" s="31"/>
      <c r="AO271" s="31"/>
      <c r="AP271" s="31"/>
      <c r="AQ271" s="31"/>
      <c r="AR271" s="634"/>
      <c r="AS271" s="150">
        <f t="shared" si="197"/>
        <v>0</v>
      </c>
      <c r="AT271" s="634"/>
      <c r="AU271" s="634"/>
      <c r="AV271" s="634"/>
      <c r="AW271" s="40"/>
      <c r="AX271" s="634"/>
      <c r="AY271" s="634"/>
      <c r="AZ271" s="634"/>
      <c r="BA271" s="634"/>
      <c r="BB271" s="634"/>
      <c r="BC271" s="634"/>
      <c r="BD271" s="663"/>
      <c r="BE271" s="668"/>
      <c r="BF271" s="117"/>
      <c r="BG271" s="117"/>
      <c r="BH271" s="117"/>
      <c r="BI271" s="117"/>
      <c r="BJ271" s="117"/>
      <c r="BK271" s="661"/>
      <c r="BL271" s="118"/>
      <c r="BM271" s="663"/>
      <c r="BN271" s="663"/>
      <c r="BO271" s="118"/>
      <c r="BP271" s="663"/>
      <c r="BQ271" s="663"/>
      <c r="BR271" s="663"/>
      <c r="BS271" s="663"/>
      <c r="BT271" s="118"/>
      <c r="BU271" s="663"/>
      <c r="BV271" s="663"/>
      <c r="BW271" s="118"/>
      <c r="BX271" s="118"/>
      <c r="BY271" s="118"/>
      <c r="BZ271" s="118"/>
      <c r="CA271" s="118"/>
      <c r="CB271" s="118"/>
      <c r="CC271" s="118"/>
      <c r="CD271" s="118"/>
      <c r="CE271" s="118"/>
      <c r="CF271" s="118"/>
      <c r="CG271" s="118"/>
      <c r="CH271" s="118"/>
      <c r="CI271" s="118"/>
      <c r="CJ271" s="118"/>
      <c r="CK271" s="118"/>
      <c r="CL271" s="118"/>
      <c r="CM271" s="118"/>
      <c r="CN271" s="92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94"/>
      <c r="DD271" s="118"/>
      <c r="DE271" s="118"/>
      <c r="DF271" s="118"/>
      <c r="DG271" s="118"/>
      <c r="DH271" s="118"/>
      <c r="DI271" s="118"/>
      <c r="DJ271" s="118"/>
      <c r="DK271" s="118"/>
      <c r="DL271" s="118"/>
      <c r="DM271" s="118"/>
      <c r="DN271" s="118"/>
      <c r="DO271" s="118"/>
      <c r="DP271" s="118"/>
      <c r="DQ271" s="118"/>
      <c r="DR271" s="118"/>
      <c r="DS271" s="118"/>
      <c r="DT271" s="118"/>
      <c r="DU271" s="19"/>
      <c r="DV271" s="19"/>
      <c r="DW271" s="19"/>
      <c r="DX271" s="19"/>
      <c r="DY271" s="19"/>
      <c r="DZ271" s="19"/>
    </row>
    <row r="272" spans="1:130" ht="12.75" x14ac:dyDescent="0.2">
      <c r="A272" s="647"/>
      <c r="B272" s="670"/>
      <c r="C272" s="30"/>
      <c r="D272" s="30"/>
      <c r="E272" s="30"/>
      <c r="F272" s="30"/>
      <c r="G272" s="30"/>
      <c r="H272" s="634"/>
      <c r="I272" s="51">
        <f t="shared" si="198"/>
        <v>0</v>
      </c>
      <c r="J272" s="634"/>
      <c r="K272" s="30"/>
      <c r="L272" s="30"/>
      <c r="M272" s="634"/>
      <c r="N272" s="634"/>
      <c r="O272" s="634"/>
      <c r="P272" s="634"/>
      <c r="Q272" s="634"/>
      <c r="R272" s="634"/>
      <c r="S272" s="659"/>
      <c r="T272" s="647"/>
      <c r="U272" s="30"/>
      <c r="V272" s="28"/>
      <c r="W272" s="28"/>
      <c r="X272" s="28"/>
      <c r="Y272" s="29"/>
      <c r="Z272" s="634"/>
      <c r="AA272" s="51">
        <f t="shared" ref="AA272:AA282" si="203">X272-W272-Y272</f>
        <v>0</v>
      </c>
      <c r="AB272" s="634"/>
      <c r="AC272" s="51"/>
      <c r="AD272" s="51"/>
      <c r="AE272" s="634"/>
      <c r="AF272" s="634"/>
      <c r="AG272" s="634"/>
      <c r="AH272" s="634"/>
      <c r="AI272" s="634"/>
      <c r="AJ272" s="634"/>
      <c r="AK272" s="659"/>
      <c r="AL272" s="647"/>
      <c r="AM272" s="30"/>
      <c r="AN272" s="40"/>
      <c r="AO272" s="40"/>
      <c r="AP272" s="40"/>
      <c r="AQ272" s="40"/>
      <c r="AR272" s="634"/>
      <c r="AS272" s="150">
        <f t="shared" si="197"/>
        <v>0</v>
      </c>
      <c r="AT272" s="635"/>
      <c r="AU272" s="635"/>
      <c r="AV272" s="635"/>
      <c r="AW272" s="40"/>
      <c r="AX272" s="634"/>
      <c r="AY272" s="634"/>
      <c r="AZ272" s="634"/>
      <c r="BA272" s="634"/>
      <c r="BB272" s="634"/>
      <c r="BC272" s="634"/>
      <c r="BD272" s="662"/>
      <c r="BE272" s="662"/>
      <c r="BF272" s="120"/>
      <c r="BG272" s="120"/>
      <c r="BH272" s="120"/>
      <c r="BI272" s="120"/>
      <c r="BJ272" s="120"/>
      <c r="BK272" s="662"/>
      <c r="BL272" s="118"/>
      <c r="BM272" s="662"/>
      <c r="BN272" s="662"/>
      <c r="BO272" s="118"/>
      <c r="BP272" s="662"/>
      <c r="BQ272" s="662"/>
      <c r="BR272" s="662"/>
      <c r="BS272" s="662"/>
      <c r="BT272" s="118"/>
      <c r="BU272" s="662"/>
      <c r="BV272" s="662"/>
      <c r="BW272" s="118"/>
      <c r="BX272" s="118"/>
      <c r="BY272" s="118"/>
      <c r="BZ272" s="118"/>
      <c r="CA272" s="118"/>
      <c r="CB272" s="118"/>
      <c r="CC272" s="118"/>
      <c r="CD272" s="118"/>
      <c r="CE272" s="118"/>
      <c r="CF272" s="118"/>
      <c r="CG272" s="118"/>
      <c r="CH272" s="118"/>
      <c r="CI272" s="118"/>
      <c r="CJ272" s="118"/>
      <c r="CK272" s="118"/>
      <c r="CL272" s="118"/>
      <c r="CM272" s="118"/>
      <c r="CN272" s="92"/>
      <c r="CO272" s="93"/>
      <c r="CP272" s="93"/>
      <c r="CQ272" s="93"/>
      <c r="CR272" s="93"/>
      <c r="CS272" s="93"/>
      <c r="CT272" s="93"/>
      <c r="CU272" s="93"/>
      <c r="CV272" s="93"/>
      <c r="CW272" s="93"/>
      <c r="CX272" s="93"/>
      <c r="CY272" s="93"/>
      <c r="CZ272" s="93"/>
      <c r="DA272" s="93"/>
      <c r="DB272" s="93"/>
      <c r="DC272" s="94"/>
      <c r="DD272" s="118"/>
      <c r="DE272" s="118"/>
      <c r="DF272" s="118"/>
      <c r="DG272" s="118"/>
      <c r="DH272" s="118"/>
      <c r="DI272" s="118"/>
      <c r="DJ272" s="118"/>
      <c r="DK272" s="118"/>
      <c r="DL272" s="118"/>
      <c r="DM272" s="118"/>
      <c r="DN272" s="118"/>
      <c r="DO272" s="118"/>
      <c r="DP272" s="118"/>
      <c r="DQ272" s="118"/>
      <c r="DR272" s="118"/>
      <c r="DS272" s="118"/>
      <c r="DT272" s="118"/>
      <c r="DU272" s="19"/>
      <c r="DV272" s="19"/>
      <c r="DW272" s="19"/>
      <c r="DX272" s="19"/>
      <c r="DY272" s="19"/>
      <c r="DZ272" s="19"/>
    </row>
    <row r="273" spans="1:130" ht="12.75" x14ac:dyDescent="0.2">
      <c r="A273" s="647"/>
      <c r="B273" s="671"/>
      <c r="C273" s="30"/>
      <c r="D273" s="30"/>
      <c r="E273" s="30"/>
      <c r="F273" s="30"/>
      <c r="G273" s="30"/>
      <c r="H273" s="635"/>
      <c r="I273" s="51">
        <f t="shared" si="198"/>
        <v>0</v>
      </c>
      <c r="J273" s="635"/>
      <c r="K273" s="30"/>
      <c r="L273" s="30"/>
      <c r="M273" s="635"/>
      <c r="N273" s="635"/>
      <c r="O273" s="635"/>
      <c r="P273" s="635"/>
      <c r="Q273" s="635"/>
      <c r="R273" s="635"/>
      <c r="S273" s="660"/>
      <c r="T273" s="648"/>
      <c r="U273" s="30"/>
      <c r="V273" s="30"/>
      <c r="W273" s="30"/>
      <c r="X273" s="30"/>
      <c r="Y273" s="30"/>
      <c r="Z273" s="635"/>
      <c r="AA273" s="51">
        <f t="shared" si="203"/>
        <v>0</v>
      </c>
      <c r="AB273" s="635"/>
      <c r="AC273" s="30"/>
      <c r="AD273" s="30"/>
      <c r="AE273" s="635"/>
      <c r="AF273" s="635"/>
      <c r="AG273" s="635"/>
      <c r="AH273" s="635"/>
      <c r="AI273" s="634"/>
      <c r="AJ273" s="635"/>
      <c r="AK273" s="659"/>
      <c r="AL273" s="648"/>
      <c r="AM273" s="30"/>
      <c r="AN273" s="40"/>
      <c r="AO273" s="40"/>
      <c r="AP273" s="40"/>
      <c r="AQ273" s="40"/>
      <c r="AR273" s="635"/>
      <c r="AS273" s="150">
        <f t="shared" si="197"/>
        <v>0</v>
      </c>
      <c r="AT273" s="153"/>
      <c r="AU273" s="40"/>
      <c r="AV273" s="154"/>
      <c r="AW273" s="154"/>
      <c r="AX273" s="635"/>
      <c r="AY273" s="635"/>
      <c r="AZ273" s="635"/>
      <c r="BA273" s="635"/>
      <c r="BB273" s="635"/>
      <c r="BC273" s="635"/>
      <c r="BD273" s="662"/>
      <c r="BE273" s="662"/>
      <c r="BF273" s="120"/>
      <c r="BG273" s="120"/>
      <c r="BH273" s="120"/>
      <c r="BI273" s="120"/>
      <c r="BJ273" s="120"/>
      <c r="BK273" s="662"/>
      <c r="BL273" s="118"/>
      <c r="BM273" s="662"/>
      <c r="BN273" s="662"/>
      <c r="BO273" s="118"/>
      <c r="BP273" s="662"/>
      <c r="BQ273" s="662"/>
      <c r="BR273" s="662"/>
      <c r="BS273" s="662"/>
      <c r="BT273" s="118"/>
      <c r="BU273" s="662"/>
      <c r="BV273" s="662"/>
      <c r="BW273" s="118"/>
      <c r="BX273" s="118"/>
      <c r="BY273" s="118"/>
      <c r="BZ273" s="118"/>
      <c r="CA273" s="118"/>
      <c r="CB273" s="118"/>
      <c r="CC273" s="118"/>
      <c r="CD273" s="118"/>
      <c r="CE273" s="118"/>
      <c r="CF273" s="118"/>
      <c r="CG273" s="118"/>
      <c r="CH273" s="118"/>
      <c r="CI273" s="118"/>
      <c r="CJ273" s="118"/>
      <c r="CK273" s="118"/>
      <c r="CL273" s="118"/>
      <c r="CM273" s="118"/>
      <c r="CN273" s="92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94"/>
      <c r="DD273" s="118"/>
      <c r="DE273" s="118"/>
      <c r="DF273" s="118"/>
      <c r="DG273" s="118"/>
      <c r="DH273" s="118"/>
      <c r="DI273" s="118"/>
      <c r="DJ273" s="118"/>
      <c r="DK273" s="118"/>
      <c r="DL273" s="118"/>
      <c r="DM273" s="118"/>
      <c r="DN273" s="118"/>
      <c r="DO273" s="118"/>
      <c r="DP273" s="118"/>
      <c r="DQ273" s="118"/>
      <c r="DR273" s="118"/>
      <c r="DS273" s="118"/>
      <c r="DT273" s="118"/>
      <c r="DU273" s="19"/>
      <c r="DV273" s="19"/>
      <c r="DW273" s="19"/>
      <c r="DX273" s="19"/>
      <c r="DY273" s="19"/>
      <c r="DZ273" s="19"/>
    </row>
    <row r="274" spans="1:130" ht="12.75" x14ac:dyDescent="0.2">
      <c r="A274" s="647"/>
      <c r="B274" s="751">
        <v>46121</v>
      </c>
      <c r="C274" s="31">
        <v>17</v>
      </c>
      <c r="D274" s="31">
        <v>485</v>
      </c>
      <c r="E274" s="31">
        <v>18624</v>
      </c>
      <c r="F274" s="31">
        <v>18770</v>
      </c>
      <c r="G274" s="142"/>
      <c r="H274" s="652"/>
      <c r="I274" s="150">
        <f t="shared" si="198"/>
        <v>146</v>
      </c>
      <c r="J274" s="650">
        <f>SUM(I274:I277,H274)</f>
        <v>146</v>
      </c>
      <c r="K274" s="40"/>
      <c r="L274" s="40"/>
      <c r="M274" s="653">
        <v>1.2</v>
      </c>
      <c r="N274" s="653">
        <v>5.47</v>
      </c>
      <c r="O274" s="633">
        <f>SUM(M274:N277)</f>
        <v>6.67</v>
      </c>
      <c r="P274" s="653"/>
      <c r="Q274" s="636">
        <f>M274*60</f>
        <v>72</v>
      </c>
      <c r="R274" s="657">
        <f>IF(
   COUNTIF(K274:K277,"SI")&gt;0,
   1.8,
   IF(
      COUNTIF(L274:L277,"SI")&gt;0,
      1.6,
      2
   )
)</f>
        <v>2</v>
      </c>
      <c r="S274" s="658">
        <f>IF(Q274=0,0,J274/Q274)</f>
        <v>2.0277777777777777</v>
      </c>
      <c r="T274" s="646">
        <v>46121</v>
      </c>
      <c r="U274" s="40"/>
      <c r="V274" s="31">
        <v>742</v>
      </c>
      <c r="W274" s="31">
        <v>7753</v>
      </c>
      <c r="X274" s="31">
        <v>7824</v>
      </c>
      <c r="Y274" s="31">
        <v>0</v>
      </c>
      <c r="Z274" s="653">
        <v>0</v>
      </c>
      <c r="AA274" s="51">
        <f t="shared" si="203"/>
        <v>71</v>
      </c>
      <c r="AB274" s="650">
        <f>SUM(AA274:AA277,Z274)</f>
        <v>71</v>
      </c>
      <c r="AC274" s="31" t="s">
        <v>51</v>
      </c>
      <c r="AD274" s="31" t="s">
        <v>51</v>
      </c>
      <c r="AE274" s="653">
        <v>0.5</v>
      </c>
      <c r="AF274" s="636">
        <v>4.5</v>
      </c>
      <c r="AG274" s="633">
        <f>SUM(AE274:AF277)</f>
        <v>5</v>
      </c>
      <c r="AH274" s="636">
        <v>0</v>
      </c>
      <c r="AI274" s="636">
        <f>AE274*60</f>
        <v>30</v>
      </c>
      <c r="AJ274" s="657">
        <f>IF(
   COUNTIF(AC274:AC277,"SI")&gt;0,
   1.8,
   IF(
      COUNTIF(AD274:AD277,"SI")&gt;0,
      1.6,
      2
   )
)</f>
        <v>1.8</v>
      </c>
      <c r="AK274" s="658">
        <f>IF(AI274=0,0,AB274/AI274)</f>
        <v>2.3666666666666667</v>
      </c>
      <c r="AL274" s="646">
        <v>46121</v>
      </c>
      <c r="AM274" s="28">
        <v>85</v>
      </c>
      <c r="AN274" s="28">
        <v>743</v>
      </c>
      <c r="AO274" s="28">
        <v>8002</v>
      </c>
      <c r="AP274" s="41">
        <v>8401</v>
      </c>
      <c r="AQ274" s="159"/>
      <c r="AR274" s="649"/>
      <c r="AS274" s="39">
        <f t="shared" si="197"/>
        <v>399</v>
      </c>
      <c r="AT274" s="650">
        <f>SUM(AS274:AS277)+AR274</f>
        <v>399</v>
      </c>
      <c r="AU274" s="39"/>
      <c r="AV274" s="640">
        <v>2.7</v>
      </c>
      <c r="AW274" s="159"/>
      <c r="AX274" s="640">
        <v>5.3</v>
      </c>
      <c r="AY274" s="633">
        <f>SUM(AV274,AX274)</f>
        <v>8</v>
      </c>
      <c r="AZ274" s="636">
        <v>0.2</v>
      </c>
      <c r="BA274" s="636">
        <f>AV274*60</f>
        <v>162</v>
      </c>
      <c r="BB274" s="657">
        <f>IF(
   COUNTIF(AU274:AU277,"SI")&gt;0,
   1.8,
   IF(
      COUNTIF(AV274:AV277,"SI")&gt;0,
      1.6,
      2
   )
)</f>
        <v>2</v>
      </c>
      <c r="BC274" s="645">
        <f>IF(BA274=0,0,AT274/BA274)</f>
        <v>2.4629629629629628</v>
      </c>
      <c r="BD274" s="121"/>
      <c r="BE274" s="119"/>
      <c r="BF274" s="121"/>
      <c r="BG274" s="121"/>
      <c r="BH274" s="121"/>
      <c r="BI274" s="121"/>
      <c r="BJ274" s="121"/>
      <c r="BK274" s="121"/>
      <c r="BL274" s="121"/>
      <c r="BM274" s="121"/>
      <c r="BN274" s="121"/>
      <c r="BO274" s="121"/>
      <c r="BP274" s="121"/>
      <c r="BQ274" s="121"/>
      <c r="BR274" s="121"/>
      <c r="BS274" s="121"/>
      <c r="BT274" s="121"/>
      <c r="BU274" s="121"/>
      <c r="BV274" s="121"/>
      <c r="BW274" s="118"/>
      <c r="BX274" s="118"/>
      <c r="BY274" s="118"/>
      <c r="BZ274" s="118"/>
      <c r="CA274" s="118"/>
      <c r="CB274" s="118"/>
      <c r="CC274" s="118"/>
      <c r="CD274" s="118"/>
      <c r="CE274" s="118"/>
      <c r="CF274" s="118"/>
      <c r="CG274" s="118"/>
      <c r="CH274" s="118"/>
      <c r="CI274" s="118"/>
      <c r="CJ274" s="118"/>
      <c r="CK274" s="118"/>
      <c r="CL274" s="118"/>
      <c r="CM274" s="118"/>
      <c r="CN274" s="92"/>
      <c r="CO274" s="93"/>
      <c r="CP274" s="93"/>
      <c r="CQ274" s="93"/>
      <c r="CR274" s="93"/>
      <c r="CS274" s="93"/>
      <c r="CT274" s="93"/>
      <c r="CU274" s="93"/>
      <c r="CV274" s="93"/>
      <c r="CW274" s="93"/>
      <c r="CX274" s="93"/>
      <c r="CY274" s="93"/>
      <c r="CZ274" s="93"/>
      <c r="DA274" s="93"/>
      <c r="DB274" s="93"/>
      <c r="DC274" s="94"/>
      <c r="DD274" s="118"/>
      <c r="DE274" s="118"/>
      <c r="DF274" s="118"/>
      <c r="DG274" s="118"/>
      <c r="DH274" s="118"/>
      <c r="DI274" s="118"/>
      <c r="DJ274" s="118"/>
      <c r="DK274" s="118"/>
      <c r="DL274" s="118"/>
      <c r="DM274" s="118"/>
      <c r="DN274" s="118"/>
      <c r="DO274" s="118"/>
      <c r="DP274" s="118"/>
      <c r="DQ274" s="118"/>
      <c r="DR274" s="118"/>
      <c r="DS274" s="118"/>
      <c r="DT274" s="118"/>
      <c r="DU274" s="19"/>
      <c r="DV274" s="19"/>
      <c r="DW274" s="19"/>
      <c r="DX274" s="19"/>
      <c r="DY274" s="19"/>
      <c r="DZ274" s="19"/>
    </row>
    <row r="275" spans="1:130" ht="12.75" x14ac:dyDescent="0.2">
      <c r="A275" s="647"/>
      <c r="B275" s="670"/>
      <c r="C275" s="40"/>
      <c r="D275" s="40"/>
      <c r="E275" s="40"/>
      <c r="F275" s="40"/>
      <c r="G275" s="40"/>
      <c r="H275" s="634"/>
      <c r="I275" s="150">
        <f t="shared" si="198"/>
        <v>0</v>
      </c>
      <c r="J275" s="634"/>
      <c r="K275" s="40"/>
      <c r="L275" s="40"/>
      <c r="M275" s="634"/>
      <c r="N275" s="634"/>
      <c r="O275" s="634"/>
      <c r="P275" s="634"/>
      <c r="Q275" s="634"/>
      <c r="R275" s="634"/>
      <c r="S275" s="659"/>
      <c r="T275" s="647"/>
      <c r="U275" s="40"/>
      <c r="V275" s="31"/>
      <c r="W275" s="40"/>
      <c r="X275" s="40"/>
      <c r="Y275" s="40"/>
      <c r="Z275" s="634"/>
      <c r="AA275" s="51">
        <f t="shared" si="203"/>
        <v>0</v>
      </c>
      <c r="AB275" s="634"/>
      <c r="AC275" s="40"/>
      <c r="AD275" s="40"/>
      <c r="AE275" s="634"/>
      <c r="AF275" s="634"/>
      <c r="AG275" s="634"/>
      <c r="AH275" s="634"/>
      <c r="AI275" s="634"/>
      <c r="AJ275" s="634"/>
      <c r="AK275" s="659"/>
      <c r="AL275" s="647"/>
      <c r="AM275" s="28"/>
      <c r="AN275" s="28"/>
      <c r="AO275" s="28"/>
      <c r="AP275" s="28"/>
      <c r="AQ275" s="30"/>
      <c r="AR275" s="634"/>
      <c r="AS275" s="51">
        <f t="shared" si="197"/>
        <v>0</v>
      </c>
      <c r="AT275" s="634"/>
      <c r="AU275" s="150"/>
      <c r="AV275" s="634"/>
      <c r="AW275" s="51"/>
      <c r="AX275" s="634"/>
      <c r="AY275" s="634"/>
      <c r="AZ275" s="634"/>
      <c r="BA275" s="634"/>
      <c r="BB275" s="634"/>
      <c r="BC275" s="634"/>
      <c r="BD275" s="663"/>
      <c r="BE275" s="668"/>
      <c r="BF275" s="118"/>
      <c r="BG275" s="118"/>
      <c r="BH275" s="118"/>
      <c r="BI275" s="118"/>
      <c r="BJ275" s="118"/>
      <c r="BK275" s="663"/>
      <c r="BL275" s="118"/>
      <c r="BM275" s="663"/>
      <c r="BN275" s="118"/>
      <c r="BO275" s="118"/>
      <c r="BP275" s="663"/>
      <c r="BQ275" s="663"/>
      <c r="BR275" s="663"/>
      <c r="BS275" s="663"/>
      <c r="BT275" s="118"/>
      <c r="BU275" s="663"/>
      <c r="BV275" s="663"/>
      <c r="BW275" s="118"/>
      <c r="BX275" s="118"/>
      <c r="BY275" s="118"/>
      <c r="BZ275" s="118"/>
      <c r="CA275" s="118"/>
      <c r="CB275" s="118"/>
      <c r="CC275" s="118"/>
      <c r="CD275" s="118"/>
      <c r="CE275" s="118"/>
      <c r="CF275" s="118"/>
      <c r="CG275" s="118"/>
      <c r="CH275" s="118"/>
      <c r="CI275" s="118"/>
      <c r="CJ275" s="118"/>
      <c r="CK275" s="118"/>
      <c r="CL275" s="118"/>
      <c r="CM275" s="118"/>
      <c r="CN275" s="92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94"/>
      <c r="DD275" s="118"/>
      <c r="DE275" s="118"/>
      <c r="DF275" s="118"/>
      <c r="DG275" s="118"/>
      <c r="DH275" s="118"/>
      <c r="DI275" s="118"/>
      <c r="DJ275" s="118"/>
      <c r="DK275" s="118"/>
      <c r="DL275" s="118"/>
      <c r="DM275" s="118"/>
      <c r="DN275" s="118"/>
      <c r="DO275" s="118"/>
      <c r="DP275" s="118"/>
      <c r="DQ275" s="118"/>
      <c r="DR275" s="118"/>
      <c r="DS275" s="118"/>
      <c r="DT275" s="118"/>
      <c r="DU275" s="19"/>
      <c r="DV275" s="19"/>
      <c r="DW275" s="19"/>
      <c r="DX275" s="19"/>
      <c r="DY275" s="19"/>
      <c r="DZ275" s="19"/>
    </row>
    <row r="276" spans="1:130" ht="12.75" x14ac:dyDescent="0.2">
      <c r="A276" s="647"/>
      <c r="B276" s="670"/>
      <c r="C276" s="40"/>
      <c r="D276" s="160"/>
      <c r="E276" s="160"/>
      <c r="F276" s="160"/>
      <c r="G276" s="160"/>
      <c r="H276" s="634"/>
      <c r="I276" s="39">
        <f t="shared" si="198"/>
        <v>0</v>
      </c>
      <c r="J276" s="634"/>
      <c r="K276" s="40"/>
      <c r="L276" s="40"/>
      <c r="M276" s="634"/>
      <c r="N276" s="634"/>
      <c r="O276" s="634"/>
      <c r="P276" s="634"/>
      <c r="Q276" s="634"/>
      <c r="R276" s="634"/>
      <c r="S276" s="659"/>
      <c r="T276" s="647"/>
      <c r="U276" s="40"/>
      <c r="V276" s="31"/>
      <c r="W276" s="40"/>
      <c r="X276" s="40"/>
      <c r="Y276" s="40"/>
      <c r="Z276" s="634"/>
      <c r="AA276" s="51">
        <f t="shared" si="203"/>
        <v>0</v>
      </c>
      <c r="AB276" s="634"/>
      <c r="AC276" s="40"/>
      <c r="AD276" s="40"/>
      <c r="AE276" s="634"/>
      <c r="AF276" s="634"/>
      <c r="AG276" s="634"/>
      <c r="AH276" s="634"/>
      <c r="AI276" s="634"/>
      <c r="AJ276" s="634"/>
      <c r="AK276" s="659"/>
      <c r="AL276" s="647"/>
      <c r="AM276" s="41"/>
      <c r="AN276" s="41"/>
      <c r="AO276" s="41"/>
      <c r="AP276" s="41"/>
      <c r="AQ276" s="48"/>
      <c r="AR276" s="634"/>
      <c r="AS276" s="51">
        <f t="shared" si="197"/>
        <v>0</v>
      </c>
      <c r="AT276" s="634"/>
      <c r="AU276" s="145"/>
      <c r="AV276" s="634"/>
      <c r="AW276" s="145"/>
      <c r="AX276" s="634"/>
      <c r="AY276" s="634"/>
      <c r="AZ276" s="634"/>
      <c r="BA276" s="634"/>
      <c r="BB276" s="634"/>
      <c r="BC276" s="634"/>
      <c r="BD276" s="662"/>
      <c r="BE276" s="662"/>
      <c r="BF276" s="118"/>
      <c r="BG276" s="118"/>
      <c r="BH276" s="118"/>
      <c r="BI276" s="118"/>
      <c r="BJ276" s="118"/>
      <c r="BK276" s="662"/>
      <c r="BL276" s="118"/>
      <c r="BM276" s="662"/>
      <c r="BN276" s="118"/>
      <c r="BO276" s="118"/>
      <c r="BP276" s="662"/>
      <c r="BQ276" s="662"/>
      <c r="BR276" s="662"/>
      <c r="BS276" s="662"/>
      <c r="BT276" s="118"/>
      <c r="BU276" s="662"/>
      <c r="BV276" s="662"/>
      <c r="BW276" s="118"/>
      <c r="BX276" s="118"/>
      <c r="BY276" s="118"/>
      <c r="BZ276" s="118"/>
      <c r="CA276" s="118"/>
      <c r="CB276" s="118"/>
      <c r="CC276" s="118"/>
      <c r="CD276" s="118"/>
      <c r="CE276" s="118"/>
      <c r="CF276" s="118"/>
      <c r="CG276" s="118"/>
      <c r="CH276" s="118"/>
      <c r="CI276" s="118"/>
      <c r="CJ276" s="118"/>
      <c r="CK276" s="118"/>
      <c r="CL276" s="118"/>
      <c r="CM276" s="118"/>
      <c r="CN276" s="92"/>
      <c r="CO276" s="93"/>
      <c r="CP276" s="93"/>
      <c r="CQ276" s="93"/>
      <c r="CR276" s="93"/>
      <c r="CS276" s="93"/>
      <c r="CT276" s="93"/>
      <c r="CU276" s="93"/>
      <c r="CV276" s="93"/>
      <c r="CW276" s="93"/>
      <c r="CX276" s="93"/>
      <c r="CY276" s="93"/>
      <c r="CZ276" s="93"/>
      <c r="DA276" s="93"/>
      <c r="DB276" s="93"/>
      <c r="DC276" s="94"/>
      <c r="DD276" s="118"/>
      <c r="DE276" s="118"/>
      <c r="DF276" s="118"/>
      <c r="DG276" s="118"/>
      <c r="DH276" s="118"/>
      <c r="DI276" s="118"/>
      <c r="DJ276" s="118"/>
      <c r="DK276" s="118"/>
      <c r="DL276" s="118"/>
      <c r="DM276" s="118"/>
      <c r="DN276" s="118"/>
      <c r="DO276" s="118"/>
      <c r="DP276" s="118"/>
      <c r="DQ276" s="118"/>
      <c r="DR276" s="118"/>
      <c r="DS276" s="118"/>
      <c r="DT276" s="118"/>
      <c r="DU276" s="19"/>
      <c r="DV276" s="19"/>
      <c r="DW276" s="19"/>
      <c r="DX276" s="19"/>
      <c r="DY276" s="19"/>
      <c r="DZ276" s="19"/>
    </row>
    <row r="277" spans="1:130" ht="12.75" x14ac:dyDescent="0.2">
      <c r="A277" s="647"/>
      <c r="B277" s="671"/>
      <c r="C277" s="40"/>
      <c r="D277" s="160"/>
      <c r="E277" s="160"/>
      <c r="F277" s="160"/>
      <c r="G277" s="160"/>
      <c r="H277" s="635"/>
      <c r="I277" s="39">
        <f t="shared" si="198"/>
        <v>0</v>
      </c>
      <c r="J277" s="635"/>
      <c r="K277" s="40"/>
      <c r="L277" s="40"/>
      <c r="M277" s="635"/>
      <c r="N277" s="635"/>
      <c r="O277" s="635"/>
      <c r="P277" s="635"/>
      <c r="Q277" s="635"/>
      <c r="R277" s="635"/>
      <c r="S277" s="660"/>
      <c r="T277" s="648"/>
      <c r="U277" s="40"/>
      <c r="V277" s="40"/>
      <c r="W277" s="40"/>
      <c r="X277" s="40"/>
      <c r="Y277" s="40"/>
      <c r="Z277" s="635"/>
      <c r="AA277" s="51">
        <f t="shared" si="203"/>
        <v>0</v>
      </c>
      <c r="AB277" s="635"/>
      <c r="AC277" s="40"/>
      <c r="AD277" s="40"/>
      <c r="AE277" s="635"/>
      <c r="AF277" s="635"/>
      <c r="AG277" s="635"/>
      <c r="AH277" s="635"/>
      <c r="AI277" s="635"/>
      <c r="AJ277" s="635"/>
      <c r="AK277" s="660"/>
      <c r="AL277" s="648"/>
      <c r="AM277" s="51"/>
      <c r="AN277" s="28"/>
      <c r="AO277" s="28"/>
      <c r="AP277" s="28"/>
      <c r="AQ277" s="51"/>
      <c r="AR277" s="635"/>
      <c r="AS277" s="51">
        <f t="shared" si="197"/>
        <v>0</v>
      </c>
      <c r="AT277" s="635"/>
      <c r="AU277" s="150"/>
      <c r="AV277" s="635"/>
      <c r="AW277" s="51"/>
      <c r="AX277" s="635"/>
      <c r="AY277" s="635"/>
      <c r="AZ277" s="635"/>
      <c r="BA277" s="634"/>
      <c r="BB277" s="635"/>
      <c r="BC277" s="635"/>
      <c r="BD277" s="662"/>
      <c r="BE277" s="662"/>
      <c r="BF277" s="118"/>
      <c r="BG277" s="118"/>
      <c r="BH277" s="118"/>
      <c r="BI277" s="118"/>
      <c r="BJ277" s="118"/>
      <c r="BK277" s="662"/>
      <c r="BL277" s="118"/>
      <c r="BM277" s="662"/>
      <c r="BN277" s="118"/>
      <c r="BO277" s="118"/>
      <c r="BP277" s="662"/>
      <c r="BQ277" s="662"/>
      <c r="BR277" s="662"/>
      <c r="BS277" s="662"/>
      <c r="BT277" s="118"/>
      <c r="BU277" s="662"/>
      <c r="BV277" s="662"/>
      <c r="BW277" s="118"/>
      <c r="BX277" s="118"/>
      <c r="BY277" s="118"/>
      <c r="BZ277" s="118"/>
      <c r="CA277" s="118"/>
      <c r="CB277" s="118"/>
      <c r="CC277" s="118"/>
      <c r="CD277" s="118"/>
      <c r="CE277" s="118"/>
      <c r="CF277" s="118"/>
      <c r="CG277" s="118"/>
      <c r="CH277" s="118"/>
      <c r="CI277" s="118"/>
      <c r="CJ277" s="118"/>
      <c r="CK277" s="118"/>
      <c r="CL277" s="118"/>
      <c r="CM277" s="118"/>
      <c r="CN277" s="92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94"/>
      <c r="DD277" s="118"/>
      <c r="DE277" s="118"/>
      <c r="DF277" s="118"/>
      <c r="DG277" s="118"/>
      <c r="DH277" s="118"/>
      <c r="DI277" s="118"/>
      <c r="DJ277" s="118"/>
      <c r="DK277" s="118"/>
      <c r="DL277" s="118"/>
      <c r="DM277" s="118"/>
      <c r="DN277" s="118"/>
      <c r="DO277" s="118"/>
      <c r="DP277" s="118"/>
      <c r="DQ277" s="118"/>
      <c r="DR277" s="118"/>
      <c r="DS277" s="118"/>
      <c r="DT277" s="118"/>
      <c r="DU277" s="19"/>
      <c r="DV277" s="19"/>
      <c r="DW277" s="19"/>
      <c r="DX277" s="19"/>
      <c r="DY277" s="19"/>
      <c r="DZ277" s="19"/>
    </row>
    <row r="278" spans="1:130" ht="12.75" x14ac:dyDescent="0.2">
      <c r="A278" s="647"/>
      <c r="B278" s="752">
        <v>46122</v>
      </c>
      <c r="C278" s="29">
        <v>38</v>
      </c>
      <c r="D278" s="29">
        <v>741</v>
      </c>
      <c r="E278" s="29">
        <v>7056</v>
      </c>
      <c r="F278" s="29">
        <v>7458</v>
      </c>
      <c r="G278" s="158"/>
      <c r="H278" s="649"/>
      <c r="I278" s="159">
        <f t="shared" si="198"/>
        <v>402</v>
      </c>
      <c r="J278" s="650">
        <f>SUM(I278:I281,H278)</f>
        <v>402</v>
      </c>
      <c r="K278" s="158"/>
      <c r="L278" s="158"/>
      <c r="M278" s="653">
        <v>3</v>
      </c>
      <c r="N278" s="653">
        <v>1.55</v>
      </c>
      <c r="O278" s="633">
        <f>SUM(M278:N281)</f>
        <v>4.55</v>
      </c>
      <c r="P278" s="649"/>
      <c r="Q278" s="640">
        <f>M278*60</f>
        <v>180</v>
      </c>
      <c r="R278" s="657">
        <f>IF(
   COUNTIF(K278:K281,"SI")&gt;0,
   1.8,
   IF(
      COUNTIF(L278:L281,"SI")&gt;0,
      1.6,
      2
   )
)</f>
        <v>2</v>
      </c>
      <c r="S278" s="658">
        <f>IF(Q278=0,0,J278/Q278)</f>
        <v>2.2333333333333334</v>
      </c>
      <c r="T278" s="655">
        <v>46122</v>
      </c>
      <c r="U278" s="30"/>
      <c r="V278" s="28"/>
      <c r="W278" s="28"/>
      <c r="X278" s="28"/>
      <c r="Y278" s="28"/>
      <c r="Z278" s="640"/>
      <c r="AA278" s="51">
        <f t="shared" si="203"/>
        <v>0</v>
      </c>
      <c r="AB278" s="650">
        <f>SUM(AA278:AA281,Z278)</f>
        <v>0</v>
      </c>
      <c r="AC278" s="28"/>
      <c r="AD278" s="28"/>
      <c r="AE278" s="640"/>
      <c r="AF278" s="640"/>
      <c r="AG278" s="633">
        <f>SUM(AE278:AF281)</f>
        <v>0</v>
      </c>
      <c r="AH278" s="640">
        <v>0</v>
      </c>
      <c r="AI278" s="640">
        <f>AE278*60</f>
        <v>0</v>
      </c>
      <c r="AJ278" s="657">
        <f>IF(
   COUNTIF(AC278:AC281,"SI")&gt;0,
   1.8,
   IF(
      COUNTIF(AD278:AD281,"SI")&gt;0,
      1.6,
      2
   )
)</f>
        <v>2</v>
      </c>
      <c r="AK278" s="679">
        <f>IF(AI278=0,0,AB278/AI278)</f>
        <v>0</v>
      </c>
      <c r="AL278" s="655">
        <v>46122</v>
      </c>
      <c r="AM278" s="28">
        <v>22</v>
      </c>
      <c r="AN278" s="28">
        <v>743</v>
      </c>
      <c r="AO278" s="28">
        <v>8402</v>
      </c>
      <c r="AP278" s="41">
        <v>8501</v>
      </c>
      <c r="AQ278" s="159"/>
      <c r="AR278" s="649"/>
      <c r="AS278" s="39">
        <f t="shared" si="197"/>
        <v>99</v>
      </c>
      <c r="AT278" s="650">
        <f>SUM(AS278:AS281)+AR278</f>
        <v>599</v>
      </c>
      <c r="AU278" s="39"/>
      <c r="AV278" s="640">
        <v>4</v>
      </c>
      <c r="AW278" s="159"/>
      <c r="AX278" s="640">
        <v>1</v>
      </c>
      <c r="AY278" s="633">
        <f>SUM(AV278+AV281+AX278)</f>
        <v>5</v>
      </c>
      <c r="AZ278" s="649">
        <v>0.15</v>
      </c>
      <c r="BA278" s="640">
        <f>AV278*60</f>
        <v>240</v>
      </c>
      <c r="BB278" s="644">
        <f>IF(
   COUNTIF(AU278:AU281,"SI")&gt;0,
   1.8,
   IF(
      COUNTIF(AV278:AV281,"SI")&gt;0,
      1.6,
      2
   )
)</f>
        <v>2</v>
      </c>
      <c r="BC278" s="645">
        <f>IF(BA278=0,0,AT278/BA278)</f>
        <v>2.4958333333333331</v>
      </c>
      <c r="BD278" s="662"/>
      <c r="BE278" s="662"/>
      <c r="BF278" s="118"/>
      <c r="BG278" s="118"/>
      <c r="BH278" s="118"/>
      <c r="BI278" s="118"/>
      <c r="BJ278" s="118"/>
      <c r="BK278" s="662"/>
      <c r="BL278" s="118"/>
      <c r="BM278" s="662"/>
      <c r="BN278" s="118"/>
      <c r="BO278" s="118"/>
      <c r="BP278" s="662"/>
      <c r="BQ278" s="662"/>
      <c r="BR278" s="662"/>
      <c r="BS278" s="662"/>
      <c r="BT278" s="118"/>
      <c r="BU278" s="662"/>
      <c r="BV278" s="662"/>
      <c r="BW278" s="118"/>
      <c r="BX278" s="118"/>
      <c r="BY278" s="118"/>
      <c r="BZ278" s="118"/>
      <c r="CA278" s="118"/>
      <c r="CB278" s="118"/>
      <c r="CC278" s="118"/>
      <c r="CD278" s="118"/>
      <c r="CE278" s="118"/>
      <c r="CF278" s="118"/>
      <c r="CG278" s="118"/>
      <c r="CH278" s="118"/>
      <c r="CI278" s="118"/>
      <c r="CJ278" s="118"/>
      <c r="CK278" s="118"/>
      <c r="CL278" s="118"/>
      <c r="CM278" s="118"/>
      <c r="CN278" s="92"/>
      <c r="CO278" s="93"/>
      <c r="CP278" s="93"/>
      <c r="CQ278" s="93"/>
      <c r="CR278" s="93"/>
      <c r="CS278" s="93"/>
      <c r="CT278" s="93"/>
      <c r="CU278" s="93"/>
      <c r="CV278" s="93"/>
      <c r="CW278" s="93"/>
      <c r="CX278" s="93"/>
      <c r="CY278" s="93"/>
      <c r="CZ278" s="93"/>
      <c r="DA278" s="93"/>
      <c r="DB278" s="93"/>
      <c r="DC278" s="94"/>
      <c r="DD278" s="118"/>
      <c r="DE278" s="118"/>
      <c r="DF278" s="118"/>
      <c r="DG278" s="118"/>
      <c r="DH278" s="118"/>
      <c r="DI278" s="118"/>
      <c r="DJ278" s="118"/>
      <c r="DK278" s="118"/>
      <c r="DL278" s="118"/>
      <c r="DM278" s="118"/>
      <c r="DN278" s="118"/>
      <c r="DO278" s="118"/>
      <c r="DP278" s="118"/>
      <c r="DQ278" s="118"/>
      <c r="DR278" s="118"/>
      <c r="DS278" s="118"/>
      <c r="DT278" s="118"/>
      <c r="DU278" s="19"/>
      <c r="DV278" s="19"/>
      <c r="DW278" s="19"/>
      <c r="DX278" s="19"/>
      <c r="DY278" s="19"/>
      <c r="DZ278" s="19"/>
    </row>
    <row r="279" spans="1:130" ht="12.75" x14ac:dyDescent="0.2">
      <c r="A279" s="647"/>
      <c r="B279" s="670"/>
      <c r="C279" s="29"/>
      <c r="D279" s="30"/>
      <c r="E279" s="29"/>
      <c r="F279" s="29"/>
      <c r="G279" s="30"/>
      <c r="H279" s="634"/>
      <c r="I279" s="51">
        <f t="shared" si="198"/>
        <v>0</v>
      </c>
      <c r="J279" s="634"/>
      <c r="K279" s="30"/>
      <c r="L279" s="30"/>
      <c r="M279" s="634"/>
      <c r="N279" s="634"/>
      <c r="O279" s="634"/>
      <c r="P279" s="634"/>
      <c r="Q279" s="634"/>
      <c r="R279" s="634"/>
      <c r="S279" s="659"/>
      <c r="T279" s="647"/>
      <c r="U279" s="30"/>
      <c r="V279" s="28"/>
      <c r="W279" s="28"/>
      <c r="X279" s="28"/>
      <c r="Y279" s="29"/>
      <c r="Z279" s="634"/>
      <c r="AA279" s="51">
        <f t="shared" si="203"/>
        <v>0</v>
      </c>
      <c r="AB279" s="634"/>
      <c r="AC279" s="28"/>
      <c r="AD279" s="28"/>
      <c r="AE279" s="634"/>
      <c r="AF279" s="634"/>
      <c r="AG279" s="634"/>
      <c r="AH279" s="634"/>
      <c r="AI279" s="634"/>
      <c r="AJ279" s="634"/>
      <c r="AK279" s="659"/>
      <c r="AL279" s="647"/>
      <c r="AM279" s="28">
        <v>109</v>
      </c>
      <c r="AN279" s="28">
        <v>744</v>
      </c>
      <c r="AO279" s="28">
        <v>8502</v>
      </c>
      <c r="AP279" s="28">
        <v>9002</v>
      </c>
      <c r="AQ279" s="30"/>
      <c r="AR279" s="634"/>
      <c r="AS279" s="51">
        <f t="shared" si="197"/>
        <v>500</v>
      </c>
      <c r="AT279" s="634"/>
      <c r="AU279" s="150"/>
      <c r="AV279" s="634"/>
      <c r="AW279" s="51"/>
      <c r="AX279" s="634"/>
      <c r="AY279" s="634"/>
      <c r="AZ279" s="634"/>
      <c r="BA279" s="634"/>
      <c r="BB279" s="634"/>
      <c r="BC279" s="634"/>
      <c r="BD279" s="133"/>
      <c r="BE279" s="668"/>
      <c r="BF279" s="118"/>
      <c r="BG279" s="118"/>
      <c r="BH279" s="118"/>
      <c r="BI279" s="118"/>
      <c r="BJ279" s="118"/>
      <c r="BK279" s="663"/>
      <c r="BL279" s="118"/>
      <c r="BM279" s="663"/>
      <c r="BN279" s="118"/>
      <c r="BO279" s="118"/>
      <c r="BP279" s="663"/>
      <c r="BQ279" s="663"/>
      <c r="BR279" s="663"/>
      <c r="BS279" s="663"/>
      <c r="BT279" s="118"/>
      <c r="BU279" s="663"/>
      <c r="BV279" s="663"/>
      <c r="BW279" s="118"/>
      <c r="BX279" s="118"/>
      <c r="BY279" s="118"/>
      <c r="BZ279" s="118"/>
      <c r="CA279" s="118"/>
      <c r="CB279" s="118"/>
      <c r="CC279" s="118"/>
      <c r="CD279" s="118"/>
      <c r="CE279" s="118"/>
      <c r="CF279" s="118"/>
      <c r="CG279" s="118"/>
      <c r="CH279" s="118"/>
      <c r="CI279" s="118"/>
      <c r="CJ279" s="118"/>
      <c r="CK279" s="118"/>
      <c r="CL279" s="118"/>
      <c r="CM279" s="118"/>
      <c r="CN279" s="92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94"/>
      <c r="DD279" s="118"/>
      <c r="DE279" s="118"/>
      <c r="DF279" s="118"/>
      <c r="DG279" s="118"/>
      <c r="DH279" s="118"/>
      <c r="DI279" s="118"/>
      <c r="DJ279" s="118"/>
      <c r="DK279" s="118"/>
      <c r="DL279" s="118"/>
      <c r="DM279" s="118"/>
      <c r="DN279" s="118"/>
      <c r="DO279" s="118"/>
      <c r="DP279" s="118"/>
      <c r="DQ279" s="118"/>
      <c r="DR279" s="118"/>
      <c r="DS279" s="118"/>
      <c r="DT279" s="118"/>
      <c r="DU279" s="19"/>
      <c r="DV279" s="19"/>
      <c r="DW279" s="19"/>
      <c r="DX279" s="19"/>
      <c r="DY279" s="19"/>
      <c r="DZ279" s="19"/>
    </row>
    <row r="280" spans="1:130" ht="12.75" x14ac:dyDescent="0.2">
      <c r="A280" s="647"/>
      <c r="B280" s="670"/>
      <c r="C280" s="30"/>
      <c r="D280" s="30"/>
      <c r="E280" s="30"/>
      <c r="F280" s="30"/>
      <c r="G280" s="30"/>
      <c r="H280" s="634"/>
      <c r="I280" s="51">
        <f t="shared" si="198"/>
        <v>0</v>
      </c>
      <c r="J280" s="634"/>
      <c r="K280" s="30"/>
      <c r="L280" s="30"/>
      <c r="M280" s="634"/>
      <c r="N280" s="634"/>
      <c r="O280" s="634"/>
      <c r="P280" s="634"/>
      <c r="Q280" s="634"/>
      <c r="R280" s="634"/>
      <c r="S280" s="659"/>
      <c r="T280" s="647"/>
      <c r="U280" s="30"/>
      <c r="V280" s="29"/>
      <c r="W280" s="29"/>
      <c r="X280" s="29"/>
      <c r="Y280" s="29"/>
      <c r="Z280" s="634"/>
      <c r="AA280" s="51">
        <f t="shared" si="203"/>
        <v>0</v>
      </c>
      <c r="AB280" s="634"/>
      <c r="AC280" s="29"/>
      <c r="AD280" s="29"/>
      <c r="AE280" s="634"/>
      <c r="AF280" s="634"/>
      <c r="AG280" s="634"/>
      <c r="AH280" s="634"/>
      <c r="AI280" s="634"/>
      <c r="AJ280" s="634"/>
      <c r="AK280" s="659"/>
      <c r="AL280" s="647"/>
      <c r="AM280" s="41"/>
      <c r="AN280" s="41"/>
      <c r="AO280" s="41"/>
      <c r="AP280" s="41"/>
      <c r="AQ280" s="48"/>
      <c r="AR280" s="634"/>
      <c r="AS280" s="51">
        <f t="shared" si="197"/>
        <v>0</v>
      </c>
      <c r="AT280" s="634"/>
      <c r="AU280" s="145"/>
      <c r="AV280" s="634"/>
      <c r="AW280" s="145"/>
      <c r="AX280" s="634"/>
      <c r="AY280" s="634"/>
      <c r="AZ280" s="634"/>
      <c r="BA280" s="634"/>
      <c r="BB280" s="634"/>
      <c r="BC280" s="634"/>
      <c r="BD280" s="663"/>
      <c r="BE280" s="662"/>
      <c r="BF280" s="118"/>
      <c r="BG280" s="118"/>
      <c r="BH280" s="118"/>
      <c r="BI280" s="118"/>
      <c r="BJ280" s="118"/>
      <c r="BK280" s="662"/>
      <c r="BL280" s="118"/>
      <c r="BM280" s="662"/>
      <c r="BN280" s="118"/>
      <c r="BO280" s="118"/>
      <c r="BP280" s="662"/>
      <c r="BQ280" s="662"/>
      <c r="BR280" s="662"/>
      <c r="BS280" s="662"/>
      <c r="BT280" s="118"/>
      <c r="BU280" s="662"/>
      <c r="BV280" s="662"/>
      <c r="BW280" s="118"/>
      <c r="BX280" s="118"/>
      <c r="BY280" s="118"/>
      <c r="BZ280" s="118"/>
      <c r="CA280" s="118"/>
      <c r="CB280" s="118"/>
      <c r="CC280" s="118"/>
      <c r="CD280" s="118"/>
      <c r="CE280" s="118"/>
      <c r="CF280" s="118"/>
      <c r="CG280" s="118"/>
      <c r="CH280" s="118"/>
      <c r="CI280" s="118"/>
      <c r="CJ280" s="118"/>
      <c r="CK280" s="118"/>
      <c r="CL280" s="118"/>
      <c r="CM280" s="118"/>
      <c r="CN280" s="92"/>
      <c r="CO280" s="93"/>
      <c r="CP280" s="93"/>
      <c r="CQ280" s="93"/>
      <c r="CR280" s="93"/>
      <c r="CS280" s="93"/>
      <c r="CT280" s="93"/>
      <c r="CU280" s="93"/>
      <c r="CV280" s="93"/>
      <c r="CW280" s="93"/>
      <c r="CX280" s="93"/>
      <c r="CY280" s="93"/>
      <c r="CZ280" s="93"/>
      <c r="DA280" s="93"/>
      <c r="DB280" s="93"/>
      <c r="DC280" s="94"/>
      <c r="DD280" s="118"/>
      <c r="DE280" s="118"/>
      <c r="DF280" s="118"/>
      <c r="DG280" s="118"/>
      <c r="DH280" s="118"/>
      <c r="DI280" s="118"/>
      <c r="DJ280" s="118"/>
      <c r="DK280" s="118"/>
      <c r="DL280" s="118"/>
      <c r="DM280" s="118"/>
      <c r="DN280" s="118"/>
      <c r="DO280" s="118"/>
      <c r="DP280" s="118"/>
      <c r="DQ280" s="118"/>
      <c r="DR280" s="118"/>
      <c r="DS280" s="118"/>
      <c r="DT280" s="118"/>
      <c r="DU280" s="19"/>
      <c r="DV280" s="19"/>
      <c r="DW280" s="19"/>
      <c r="DX280" s="19"/>
      <c r="DY280" s="19"/>
      <c r="DZ280" s="19"/>
    </row>
    <row r="281" spans="1:130" ht="12.75" x14ac:dyDescent="0.2">
      <c r="A281" s="647"/>
      <c r="B281" s="671"/>
      <c r="C281" s="30"/>
      <c r="D281" s="30"/>
      <c r="E281" s="30"/>
      <c r="F281" s="30"/>
      <c r="G281" s="30"/>
      <c r="H281" s="635"/>
      <c r="I281" s="51">
        <f t="shared" si="198"/>
        <v>0</v>
      </c>
      <c r="J281" s="635"/>
      <c r="K281" s="30"/>
      <c r="L281" s="30"/>
      <c r="M281" s="635"/>
      <c r="N281" s="635"/>
      <c r="O281" s="635"/>
      <c r="P281" s="635"/>
      <c r="Q281" s="635"/>
      <c r="R281" s="635"/>
      <c r="S281" s="660"/>
      <c r="T281" s="648"/>
      <c r="U281" s="30"/>
      <c r="V281" s="30"/>
      <c r="W281" s="30"/>
      <c r="X281" s="30"/>
      <c r="Y281" s="30"/>
      <c r="Z281" s="635"/>
      <c r="AA281" s="51">
        <f t="shared" si="203"/>
        <v>0</v>
      </c>
      <c r="AB281" s="635"/>
      <c r="AC281" s="30"/>
      <c r="AD281" s="30"/>
      <c r="AE281" s="635"/>
      <c r="AF281" s="635"/>
      <c r="AG281" s="635"/>
      <c r="AH281" s="635"/>
      <c r="AI281" s="635"/>
      <c r="AJ281" s="635"/>
      <c r="AK281" s="660"/>
      <c r="AL281" s="648"/>
      <c r="AM281" s="51"/>
      <c r="AN281" s="28"/>
      <c r="AO281" s="28"/>
      <c r="AP281" s="28"/>
      <c r="AQ281" s="51"/>
      <c r="AR281" s="635"/>
      <c r="AS281" s="51">
        <f t="shared" si="197"/>
        <v>0</v>
      </c>
      <c r="AT281" s="635"/>
      <c r="AU281" s="150"/>
      <c r="AV281" s="635"/>
      <c r="AW281" s="51"/>
      <c r="AX281" s="635"/>
      <c r="AY281" s="635"/>
      <c r="AZ281" s="635"/>
      <c r="BA281" s="635"/>
      <c r="BB281" s="635"/>
      <c r="BC281" s="635"/>
      <c r="BD281" s="662"/>
      <c r="BE281" s="662"/>
      <c r="BF281" s="118"/>
      <c r="BG281" s="118"/>
      <c r="BH281" s="118"/>
      <c r="BI281" s="118"/>
      <c r="BJ281" s="118"/>
      <c r="BK281" s="662"/>
      <c r="BL281" s="118"/>
      <c r="BM281" s="662"/>
      <c r="BN281" s="118"/>
      <c r="BO281" s="118"/>
      <c r="BP281" s="662"/>
      <c r="BQ281" s="662"/>
      <c r="BR281" s="662"/>
      <c r="BS281" s="662"/>
      <c r="BT281" s="118"/>
      <c r="BU281" s="662"/>
      <c r="BV281" s="662"/>
      <c r="BW281" s="118"/>
      <c r="BX281" s="118"/>
      <c r="BY281" s="118"/>
      <c r="BZ281" s="118"/>
      <c r="CA281" s="118"/>
      <c r="CB281" s="118"/>
      <c r="CC281" s="118"/>
      <c r="CD281" s="118"/>
      <c r="CE281" s="118"/>
      <c r="CF281" s="118"/>
      <c r="CG281" s="118"/>
      <c r="CH281" s="118"/>
      <c r="CI281" s="118"/>
      <c r="CJ281" s="118"/>
      <c r="CK281" s="118"/>
      <c r="CL281" s="118"/>
      <c r="CM281" s="118"/>
      <c r="CN281" s="92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94"/>
      <c r="DD281" s="118"/>
      <c r="DE281" s="118"/>
      <c r="DF281" s="118"/>
      <c r="DG281" s="118"/>
      <c r="DH281" s="118"/>
      <c r="DI281" s="118"/>
      <c r="DJ281" s="118"/>
      <c r="DK281" s="118"/>
      <c r="DL281" s="118"/>
      <c r="DM281" s="118"/>
      <c r="DN281" s="118"/>
      <c r="DO281" s="118"/>
      <c r="DP281" s="118"/>
      <c r="DQ281" s="118"/>
      <c r="DR281" s="118"/>
      <c r="DS281" s="118"/>
      <c r="DT281" s="118"/>
      <c r="DU281" s="19"/>
      <c r="DV281" s="19"/>
      <c r="DW281" s="19"/>
      <c r="DX281" s="19"/>
      <c r="DY281" s="19"/>
      <c r="DZ281" s="19"/>
    </row>
    <row r="282" spans="1:130" ht="12.75" x14ac:dyDescent="0.2">
      <c r="A282" s="647"/>
      <c r="B282" s="751">
        <v>46123</v>
      </c>
      <c r="C282" s="40"/>
      <c r="D282" s="40"/>
      <c r="E282" s="40"/>
      <c r="F282" s="40"/>
      <c r="G282" s="40"/>
      <c r="H282" s="653"/>
      <c r="I282" s="150">
        <f t="shared" si="198"/>
        <v>0</v>
      </c>
      <c r="J282" s="650">
        <f>SUM(I282:I285,H282)</f>
        <v>0</v>
      </c>
      <c r="K282" s="40"/>
      <c r="L282" s="40"/>
      <c r="M282" s="653"/>
      <c r="N282" s="653">
        <v>1.73</v>
      </c>
      <c r="O282" s="633">
        <f>SUM(M282:N285)</f>
        <v>1.73</v>
      </c>
      <c r="P282" s="653"/>
      <c r="Q282" s="636">
        <f>M282*60</f>
        <v>0</v>
      </c>
      <c r="R282" s="657">
        <f>IF(
   COUNTIF(K282:K285,"SI")&gt;0,
   1.8,
   IF(
      COUNTIF(L282:L285,"SI")&gt;0,
      1.6,
      2
   )
)</f>
        <v>2</v>
      </c>
      <c r="S282" s="658">
        <f>IF(Q282=0,0,J282/Q282)</f>
        <v>0</v>
      </c>
      <c r="T282" s="646">
        <v>46123</v>
      </c>
      <c r="U282" s="40"/>
      <c r="V282" s="31">
        <v>742</v>
      </c>
      <c r="W282" s="31">
        <v>7825</v>
      </c>
      <c r="X282" s="31">
        <v>8000</v>
      </c>
      <c r="Y282" s="31">
        <v>1</v>
      </c>
      <c r="Z282" s="653">
        <v>0</v>
      </c>
      <c r="AA282" s="51">
        <f t="shared" si="203"/>
        <v>174</v>
      </c>
      <c r="AB282" s="650">
        <f>SUM(AA282:AA285,Z282)</f>
        <v>489</v>
      </c>
      <c r="AC282" s="31" t="s">
        <v>51</v>
      </c>
      <c r="AD282" s="31" t="s">
        <v>51</v>
      </c>
      <c r="AE282" s="653">
        <v>3.5</v>
      </c>
      <c r="AF282" s="653">
        <v>2</v>
      </c>
      <c r="AG282" s="633">
        <f>SUM(AE282:AF285)</f>
        <v>5.5</v>
      </c>
      <c r="AH282" s="653">
        <v>0</v>
      </c>
      <c r="AI282" s="636">
        <f>AE282*60</f>
        <v>210</v>
      </c>
      <c r="AJ282" s="657">
        <f>IF(
   COUNTIF(AC282:AC285,"SI")&gt;0,
   1.8,
   IF(
      COUNTIF(AD282:AD285,"SI")&gt;0,
      1.6,
      2
   )
)</f>
        <v>1.8</v>
      </c>
      <c r="AK282" s="679">
        <f>IF(AI282=0,0,AB282/AI282)</f>
        <v>2.3285714285714287</v>
      </c>
      <c r="AL282" s="646">
        <v>46123</v>
      </c>
      <c r="AM282" s="40"/>
      <c r="AN282" s="30"/>
      <c r="AO282" s="40"/>
      <c r="AP282" s="40"/>
      <c r="AQ282" s="40"/>
      <c r="AR282" s="653"/>
      <c r="AS282" s="150">
        <f t="shared" si="197"/>
        <v>0</v>
      </c>
      <c r="AT282" s="650">
        <f>SUM(AS282:AS285,AR282)</f>
        <v>0</v>
      </c>
      <c r="AU282" s="40"/>
      <c r="AV282" s="653"/>
      <c r="AW282" s="40"/>
      <c r="AX282" s="653"/>
      <c r="AY282" s="633">
        <f>SUM(AV282:AX285)</f>
        <v>0</v>
      </c>
      <c r="AZ282" s="653"/>
      <c r="BA282" s="636">
        <f>AV282*60</f>
        <v>0</v>
      </c>
      <c r="BB282" s="657">
        <f>IF(
   COUNTIF(AU282:AU285,"SI")&gt;0,
   1.8,
   IF(
      COUNTIF(AV282:AV285,"SI")&gt;0,
      1.6,
      2
   )
)</f>
        <v>2</v>
      </c>
      <c r="BC282" s="666">
        <f>IF(BA282=0,0,AT282/BA282)</f>
        <v>0</v>
      </c>
      <c r="BD282" s="118"/>
      <c r="BE282" s="662"/>
      <c r="BF282" s="118"/>
      <c r="BG282" s="118"/>
      <c r="BH282" s="118"/>
      <c r="BI282" s="118"/>
      <c r="BJ282" s="118"/>
      <c r="BK282" s="662"/>
      <c r="BL282" s="118"/>
      <c r="BM282" s="662"/>
      <c r="BN282" s="118"/>
      <c r="BO282" s="118"/>
      <c r="BP282" s="662"/>
      <c r="BQ282" s="662"/>
      <c r="BR282" s="662"/>
      <c r="BS282" s="662"/>
      <c r="BT282" s="118"/>
      <c r="BU282" s="662"/>
      <c r="BV282" s="662"/>
      <c r="BW282" s="118"/>
      <c r="BX282" s="118"/>
      <c r="BY282" s="118"/>
      <c r="BZ282" s="118"/>
      <c r="CA282" s="118"/>
      <c r="CB282" s="118"/>
      <c r="CC282" s="118"/>
      <c r="CD282" s="118"/>
      <c r="CE282" s="118"/>
      <c r="CF282" s="118"/>
      <c r="CG282" s="118"/>
      <c r="CH282" s="118"/>
      <c r="CI282" s="118"/>
      <c r="CJ282" s="118"/>
      <c r="CK282" s="118"/>
      <c r="CL282" s="118"/>
      <c r="CM282" s="118"/>
      <c r="CN282" s="92"/>
      <c r="CO282" s="93"/>
      <c r="CP282" s="93"/>
      <c r="CQ282" s="93"/>
      <c r="CR282" s="93"/>
      <c r="CS282" s="93"/>
      <c r="CT282" s="93"/>
      <c r="CU282" s="93"/>
      <c r="CV282" s="93"/>
      <c r="CW282" s="93"/>
      <c r="CX282" s="93"/>
      <c r="CY282" s="93"/>
      <c r="CZ282" s="93"/>
      <c r="DA282" s="93"/>
      <c r="DB282" s="93"/>
      <c r="DC282" s="94"/>
      <c r="DD282" s="118"/>
      <c r="DE282" s="118"/>
      <c r="DF282" s="118"/>
      <c r="DG282" s="118"/>
      <c r="DH282" s="118"/>
      <c r="DI282" s="118"/>
      <c r="DJ282" s="118"/>
      <c r="DK282" s="118"/>
      <c r="DL282" s="118"/>
      <c r="DM282" s="118"/>
      <c r="DN282" s="118"/>
      <c r="DO282" s="118"/>
      <c r="DP282" s="118"/>
      <c r="DQ282" s="118"/>
      <c r="DR282" s="118"/>
      <c r="DS282" s="118"/>
      <c r="DT282" s="118"/>
      <c r="DU282" s="19"/>
      <c r="DV282" s="19"/>
      <c r="DW282" s="19"/>
      <c r="DX282" s="19"/>
      <c r="DY282" s="19"/>
      <c r="DZ282" s="19"/>
    </row>
    <row r="283" spans="1:130" ht="12.75" x14ac:dyDescent="0.2">
      <c r="A283" s="647"/>
      <c r="B283" s="670"/>
      <c r="C283" s="40"/>
      <c r="D283" s="40"/>
      <c r="E283" s="40"/>
      <c r="F283" s="40"/>
      <c r="G283" s="40"/>
      <c r="H283" s="634"/>
      <c r="I283" s="150">
        <f t="shared" si="198"/>
        <v>0</v>
      </c>
      <c r="J283" s="634"/>
      <c r="K283" s="40"/>
      <c r="L283" s="40"/>
      <c r="M283" s="634"/>
      <c r="N283" s="634"/>
      <c r="O283" s="634"/>
      <c r="P283" s="634"/>
      <c r="Q283" s="634"/>
      <c r="R283" s="634"/>
      <c r="S283" s="659"/>
      <c r="T283" s="647"/>
      <c r="U283" s="40"/>
      <c r="V283" s="31">
        <v>745</v>
      </c>
      <c r="W283" s="31">
        <v>9001</v>
      </c>
      <c r="X283" s="31">
        <v>9113</v>
      </c>
      <c r="Y283" s="31">
        <v>1</v>
      </c>
      <c r="Z283" s="634"/>
      <c r="AA283" s="51">
        <f t="shared" ref="AA283:AA284" si="204">X283-W283-Y283+1</f>
        <v>112</v>
      </c>
      <c r="AB283" s="634"/>
      <c r="AC283" s="31" t="s">
        <v>51</v>
      </c>
      <c r="AD283" s="31" t="s">
        <v>51</v>
      </c>
      <c r="AE283" s="634"/>
      <c r="AF283" s="634"/>
      <c r="AG283" s="634"/>
      <c r="AH283" s="634"/>
      <c r="AI283" s="634"/>
      <c r="AJ283" s="634"/>
      <c r="AK283" s="659"/>
      <c r="AL283" s="647"/>
      <c r="AM283" s="40"/>
      <c r="AN283" s="40"/>
      <c r="AO283" s="40"/>
      <c r="AP283" s="40"/>
      <c r="AQ283" s="40"/>
      <c r="AR283" s="634"/>
      <c r="AS283" s="150">
        <f t="shared" si="197"/>
        <v>0</v>
      </c>
      <c r="AT283" s="634"/>
      <c r="AU283" s="40"/>
      <c r="AV283" s="634"/>
      <c r="AW283" s="40"/>
      <c r="AX283" s="634"/>
      <c r="AY283" s="634"/>
      <c r="AZ283" s="634"/>
      <c r="BA283" s="634"/>
      <c r="BB283" s="634"/>
      <c r="BC283" s="634"/>
      <c r="BD283" s="663"/>
      <c r="BE283" s="668"/>
      <c r="BF283" s="118"/>
      <c r="BG283" s="118"/>
      <c r="BH283" s="118"/>
      <c r="BI283" s="118"/>
      <c r="BJ283" s="118"/>
      <c r="BK283" s="663"/>
      <c r="BL283" s="118"/>
      <c r="BM283" s="663"/>
      <c r="BN283" s="118"/>
      <c r="BO283" s="118"/>
      <c r="BP283" s="663"/>
      <c r="BQ283" s="663"/>
      <c r="BR283" s="663"/>
      <c r="BS283" s="663"/>
      <c r="BT283" s="118"/>
      <c r="BU283" s="663"/>
      <c r="BV283" s="663"/>
      <c r="BW283" s="118"/>
      <c r="BX283" s="118"/>
      <c r="BY283" s="118"/>
      <c r="BZ283" s="118"/>
      <c r="CA283" s="118"/>
      <c r="CB283" s="118"/>
      <c r="CC283" s="118"/>
      <c r="CD283" s="118"/>
      <c r="CE283" s="118"/>
      <c r="CF283" s="118"/>
      <c r="CG283" s="118"/>
      <c r="CH283" s="118"/>
      <c r="CI283" s="118"/>
      <c r="CJ283" s="118"/>
      <c r="CK283" s="118"/>
      <c r="CL283" s="118"/>
      <c r="CM283" s="118"/>
      <c r="CN283" s="92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94"/>
      <c r="DD283" s="118"/>
      <c r="DE283" s="118"/>
      <c r="DF283" s="118"/>
      <c r="DG283" s="118"/>
      <c r="DH283" s="118"/>
      <c r="DI283" s="118"/>
      <c r="DJ283" s="118"/>
      <c r="DK283" s="118"/>
      <c r="DL283" s="118"/>
      <c r="DM283" s="118"/>
      <c r="DN283" s="118"/>
      <c r="DO283" s="118"/>
      <c r="DP283" s="118"/>
      <c r="DQ283" s="118"/>
      <c r="DR283" s="118"/>
      <c r="DS283" s="118"/>
      <c r="DT283" s="118"/>
      <c r="DU283" s="19"/>
      <c r="DV283" s="19"/>
      <c r="DW283" s="19"/>
      <c r="DX283" s="19"/>
      <c r="DY283" s="19"/>
      <c r="DZ283" s="19"/>
    </row>
    <row r="284" spans="1:130" ht="12.75" x14ac:dyDescent="0.2">
      <c r="A284" s="647"/>
      <c r="B284" s="670"/>
      <c r="C284" s="40"/>
      <c r="D284" s="40"/>
      <c r="E284" s="40"/>
      <c r="F284" s="40"/>
      <c r="G284" s="40"/>
      <c r="H284" s="634"/>
      <c r="I284" s="150">
        <f t="shared" si="198"/>
        <v>0</v>
      </c>
      <c r="J284" s="634"/>
      <c r="K284" s="40"/>
      <c r="L284" s="40"/>
      <c r="M284" s="634"/>
      <c r="N284" s="634"/>
      <c r="O284" s="634"/>
      <c r="P284" s="634"/>
      <c r="Q284" s="634"/>
      <c r="R284" s="634"/>
      <c r="S284" s="659"/>
      <c r="T284" s="647"/>
      <c r="U284" s="40"/>
      <c r="V284" s="31">
        <v>695</v>
      </c>
      <c r="W284" s="31">
        <v>1</v>
      </c>
      <c r="X284" s="31">
        <v>203</v>
      </c>
      <c r="Y284" s="31">
        <v>0</v>
      </c>
      <c r="Z284" s="634"/>
      <c r="AA284" s="51">
        <f t="shared" si="204"/>
        <v>203</v>
      </c>
      <c r="AB284" s="634"/>
      <c r="AC284" s="31" t="s">
        <v>51</v>
      </c>
      <c r="AD284" s="31" t="s">
        <v>51</v>
      </c>
      <c r="AE284" s="634"/>
      <c r="AF284" s="634"/>
      <c r="AG284" s="634"/>
      <c r="AH284" s="634"/>
      <c r="AI284" s="634"/>
      <c r="AJ284" s="634"/>
      <c r="AK284" s="659"/>
      <c r="AL284" s="647"/>
      <c r="AM284" s="40"/>
      <c r="AN284" s="40"/>
      <c r="AO284" s="40"/>
      <c r="AP284" s="40"/>
      <c r="AQ284" s="40"/>
      <c r="AR284" s="634"/>
      <c r="AS284" s="150">
        <f t="shared" si="197"/>
        <v>0</v>
      </c>
      <c r="AT284" s="634"/>
      <c r="AU284" s="40"/>
      <c r="AV284" s="634"/>
      <c r="AW284" s="40"/>
      <c r="AX284" s="634"/>
      <c r="AY284" s="634"/>
      <c r="AZ284" s="634"/>
      <c r="BA284" s="634"/>
      <c r="BB284" s="634"/>
      <c r="BC284" s="634"/>
      <c r="BD284" s="662"/>
      <c r="BE284" s="662"/>
      <c r="BF284" s="118"/>
      <c r="BG284" s="118"/>
      <c r="BH284" s="118"/>
      <c r="BI284" s="118"/>
      <c r="BJ284" s="118"/>
      <c r="BK284" s="662"/>
      <c r="BL284" s="118"/>
      <c r="BM284" s="662"/>
      <c r="BN284" s="118"/>
      <c r="BO284" s="118"/>
      <c r="BP284" s="662"/>
      <c r="BQ284" s="662"/>
      <c r="BR284" s="662"/>
      <c r="BS284" s="662"/>
      <c r="BT284" s="118"/>
      <c r="BU284" s="662"/>
      <c r="BV284" s="662"/>
      <c r="BW284" s="118"/>
      <c r="BX284" s="118"/>
      <c r="BY284" s="118"/>
      <c r="BZ284" s="118"/>
      <c r="CA284" s="118"/>
      <c r="CB284" s="118"/>
      <c r="CC284" s="118"/>
      <c r="CD284" s="118"/>
      <c r="CE284" s="118"/>
      <c r="CF284" s="118"/>
      <c r="CG284" s="118"/>
      <c r="CH284" s="118"/>
      <c r="CI284" s="118"/>
      <c r="CJ284" s="118"/>
      <c r="CK284" s="118"/>
      <c r="CL284" s="118"/>
      <c r="CM284" s="118"/>
      <c r="CN284" s="92"/>
      <c r="CO284" s="93"/>
      <c r="CP284" s="93"/>
      <c r="CQ284" s="93"/>
      <c r="CR284" s="93"/>
      <c r="CS284" s="93"/>
      <c r="CT284" s="93"/>
      <c r="CU284" s="93"/>
      <c r="CV284" s="93"/>
      <c r="CW284" s="93"/>
      <c r="CX284" s="93"/>
      <c r="CY284" s="93"/>
      <c r="CZ284" s="93"/>
      <c r="DA284" s="93"/>
      <c r="DB284" s="93"/>
      <c r="DC284" s="94"/>
      <c r="DD284" s="118"/>
      <c r="DE284" s="118"/>
      <c r="DF284" s="118"/>
      <c r="DG284" s="118"/>
      <c r="DH284" s="118"/>
      <c r="DI284" s="118"/>
      <c r="DJ284" s="118"/>
      <c r="DK284" s="118"/>
      <c r="DL284" s="118"/>
      <c r="DM284" s="118"/>
      <c r="DN284" s="118"/>
      <c r="DO284" s="118"/>
      <c r="DP284" s="118"/>
      <c r="DQ284" s="118"/>
      <c r="DR284" s="118"/>
      <c r="DS284" s="118"/>
      <c r="DT284" s="118"/>
      <c r="DU284" s="19"/>
      <c r="DV284" s="19"/>
      <c r="DW284" s="19"/>
      <c r="DX284" s="19"/>
      <c r="DY284" s="19"/>
      <c r="DZ284" s="19"/>
    </row>
    <row r="285" spans="1:130" ht="12.75" x14ac:dyDescent="0.2">
      <c r="A285" s="648"/>
      <c r="B285" s="671"/>
      <c r="C285" s="40"/>
      <c r="D285" s="40"/>
      <c r="E285" s="40"/>
      <c r="F285" s="40"/>
      <c r="G285" s="40"/>
      <c r="H285" s="635"/>
      <c r="I285" s="150">
        <f t="shared" si="198"/>
        <v>0</v>
      </c>
      <c r="J285" s="635"/>
      <c r="K285" s="40"/>
      <c r="L285" s="40"/>
      <c r="M285" s="635"/>
      <c r="N285" s="635"/>
      <c r="O285" s="635"/>
      <c r="P285" s="635"/>
      <c r="Q285" s="635"/>
      <c r="R285" s="635"/>
      <c r="S285" s="660"/>
      <c r="T285" s="648"/>
      <c r="U285" s="40"/>
      <c r="V285" s="40"/>
      <c r="W285" s="40"/>
      <c r="X285" s="40"/>
      <c r="Y285" s="40"/>
      <c r="Z285" s="635"/>
      <c r="AA285" s="51">
        <f>X285-W285-Y285</f>
        <v>0</v>
      </c>
      <c r="AB285" s="635"/>
      <c r="AC285" s="40"/>
      <c r="AD285" s="40"/>
      <c r="AE285" s="635"/>
      <c r="AF285" s="635"/>
      <c r="AG285" s="635"/>
      <c r="AH285" s="635"/>
      <c r="AI285" s="635"/>
      <c r="AJ285" s="635"/>
      <c r="AK285" s="660"/>
      <c r="AL285" s="648"/>
      <c r="AM285" s="40"/>
      <c r="AN285" s="40"/>
      <c r="AO285" s="40"/>
      <c r="AP285" s="40"/>
      <c r="AQ285" s="40"/>
      <c r="AR285" s="635"/>
      <c r="AS285" s="150">
        <f t="shared" si="197"/>
        <v>0</v>
      </c>
      <c r="AT285" s="635"/>
      <c r="AU285" s="40"/>
      <c r="AV285" s="635"/>
      <c r="AW285" s="40"/>
      <c r="AX285" s="635"/>
      <c r="AY285" s="635"/>
      <c r="AZ285" s="635"/>
      <c r="BA285" s="635"/>
      <c r="BB285" s="635"/>
      <c r="BC285" s="635"/>
      <c r="BD285" s="662"/>
      <c r="BE285" s="662"/>
      <c r="BF285" s="118"/>
      <c r="BG285" s="118"/>
      <c r="BH285" s="118"/>
      <c r="BI285" s="118"/>
      <c r="BJ285" s="118"/>
      <c r="BK285" s="662"/>
      <c r="BL285" s="118"/>
      <c r="BM285" s="662"/>
      <c r="BN285" s="118"/>
      <c r="BO285" s="118"/>
      <c r="BP285" s="662"/>
      <c r="BQ285" s="662"/>
      <c r="BR285" s="662"/>
      <c r="BS285" s="662"/>
      <c r="BT285" s="118"/>
      <c r="BU285" s="662"/>
      <c r="BV285" s="662"/>
      <c r="BW285" s="118"/>
      <c r="BX285" s="118"/>
      <c r="BY285" s="118"/>
      <c r="BZ285" s="118"/>
      <c r="CA285" s="118"/>
      <c r="CB285" s="118"/>
      <c r="CC285" s="118"/>
      <c r="CD285" s="118"/>
      <c r="CE285" s="118"/>
      <c r="CF285" s="118"/>
      <c r="CG285" s="118"/>
      <c r="CH285" s="118"/>
      <c r="CI285" s="118"/>
      <c r="CJ285" s="118"/>
      <c r="CK285" s="118"/>
      <c r="CL285" s="118"/>
      <c r="CM285" s="118"/>
      <c r="CN285" s="92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94"/>
      <c r="DD285" s="118"/>
      <c r="DE285" s="118"/>
      <c r="DF285" s="118"/>
      <c r="DG285" s="118"/>
      <c r="DH285" s="118"/>
      <c r="DI285" s="118"/>
      <c r="DJ285" s="118"/>
      <c r="DK285" s="118"/>
      <c r="DL285" s="118"/>
      <c r="DM285" s="118"/>
      <c r="DN285" s="118"/>
      <c r="DO285" s="118"/>
      <c r="DP285" s="118"/>
      <c r="DQ285" s="118"/>
      <c r="DR285" s="118"/>
      <c r="DS285" s="118"/>
      <c r="DT285" s="118"/>
      <c r="DU285" s="19"/>
      <c r="DV285" s="19"/>
      <c r="DW285" s="19"/>
      <c r="DX285" s="19"/>
      <c r="DY285" s="19"/>
      <c r="DZ285" s="19"/>
    </row>
    <row r="286" spans="1:130" ht="12.75" x14ac:dyDescent="0.2">
      <c r="A286" s="166"/>
      <c r="B286" s="167" t="s">
        <v>40</v>
      </c>
      <c r="C286" s="168">
        <f>SUM(C261:C285)</f>
        <v>71</v>
      </c>
      <c r="D286" s="168" t="s">
        <v>49</v>
      </c>
      <c r="E286" s="168" t="s">
        <v>49</v>
      </c>
      <c r="F286" s="168" t="s">
        <v>49</v>
      </c>
      <c r="G286" s="168">
        <f t="shared" ref="G286:J286" si="205">SUM(G261:G285)</f>
        <v>0</v>
      </c>
      <c r="H286" s="168">
        <f t="shared" si="205"/>
        <v>0</v>
      </c>
      <c r="I286" s="168">
        <f t="shared" si="205"/>
        <v>602</v>
      </c>
      <c r="J286" s="168">
        <f t="shared" si="205"/>
        <v>602</v>
      </c>
      <c r="K286" s="168" t="s">
        <v>49</v>
      </c>
      <c r="L286" s="168"/>
      <c r="M286" s="168">
        <f>SUM(M261:M285)</f>
        <v>4.6500000000000004</v>
      </c>
      <c r="N286" s="168">
        <f>SUM(N261:N281)</f>
        <v>7.5699999999999994</v>
      </c>
      <c r="O286" s="169">
        <f t="shared" ref="O286:Q286" si="206">SUM(O261:O285)</f>
        <v>13.95</v>
      </c>
      <c r="P286" s="168">
        <f t="shared" si="206"/>
        <v>0</v>
      </c>
      <c r="Q286" s="168">
        <f t="shared" si="206"/>
        <v>279</v>
      </c>
      <c r="R286" s="170"/>
      <c r="S286" s="171">
        <f>AVERAGE(S270:S281)</f>
        <v>2.087037037037037</v>
      </c>
      <c r="T286" s="167" t="s">
        <v>40</v>
      </c>
      <c r="U286" s="168">
        <f>SUM(U261:U285)</f>
        <v>0</v>
      </c>
      <c r="V286" s="168" t="s">
        <v>49</v>
      </c>
      <c r="W286" s="168" t="s">
        <v>49</v>
      </c>
      <c r="X286" s="168" t="s">
        <v>49</v>
      </c>
      <c r="Y286" s="168">
        <f t="shared" ref="Y286:AB286" si="207">SUM(Y261:Y285)</f>
        <v>2</v>
      </c>
      <c r="Z286" s="168">
        <f t="shared" si="207"/>
        <v>5</v>
      </c>
      <c r="AA286" s="168">
        <f t="shared" si="207"/>
        <v>2012</v>
      </c>
      <c r="AB286" s="168">
        <f t="shared" si="207"/>
        <v>2017</v>
      </c>
      <c r="AC286" s="168" t="s">
        <v>49</v>
      </c>
      <c r="AD286" s="168" t="s">
        <v>49</v>
      </c>
      <c r="AE286" s="168">
        <f t="shared" ref="AE286:AI286" si="208">SUM(AE261:AE285)</f>
        <v>16.25</v>
      </c>
      <c r="AF286" s="168">
        <f t="shared" si="208"/>
        <v>10.75</v>
      </c>
      <c r="AG286" s="169">
        <f t="shared" si="208"/>
        <v>27</v>
      </c>
      <c r="AH286" s="168">
        <f t="shared" si="208"/>
        <v>0</v>
      </c>
      <c r="AI286" s="168">
        <f t="shared" si="208"/>
        <v>975</v>
      </c>
      <c r="AJ286" s="170"/>
      <c r="AK286" s="392">
        <v>2.1169270029999998</v>
      </c>
      <c r="AL286" s="167" t="s">
        <v>40</v>
      </c>
      <c r="AM286" s="168">
        <f>SUM(AM261:AM285)</f>
        <v>466</v>
      </c>
      <c r="AN286" s="168" t="s">
        <v>49</v>
      </c>
      <c r="AO286" s="168" t="s">
        <v>49</v>
      </c>
      <c r="AP286" s="168" t="s">
        <v>49</v>
      </c>
      <c r="AQ286" s="168">
        <f t="shared" ref="AQ286:AT286" si="209">SUM(AQ261:AQ285)</f>
        <v>15</v>
      </c>
      <c r="AR286" s="168">
        <f t="shared" si="209"/>
        <v>181</v>
      </c>
      <c r="AS286" s="168">
        <f t="shared" si="209"/>
        <v>2075</v>
      </c>
      <c r="AT286" s="168">
        <f t="shared" si="209"/>
        <v>2256</v>
      </c>
      <c r="AU286" s="168" t="s">
        <v>49</v>
      </c>
      <c r="AV286" s="168">
        <f>SUM(AV261:AV285)</f>
        <v>15</v>
      </c>
      <c r="AW286" s="168"/>
      <c r="AX286" s="172">
        <f t="shared" ref="AX286:BA286" si="210">SUM(AX261:AX285)</f>
        <v>13</v>
      </c>
      <c r="AY286" s="173">
        <f t="shared" si="210"/>
        <v>28</v>
      </c>
      <c r="AZ286" s="172">
        <f t="shared" si="210"/>
        <v>3</v>
      </c>
      <c r="BA286" s="168">
        <f t="shared" si="210"/>
        <v>900</v>
      </c>
      <c r="BB286" s="170"/>
      <c r="BC286" s="174">
        <f t="shared" ref="BC286:BC287" si="211">IF(BA286=0,0,AT286/BA286)</f>
        <v>2.5066666666666668</v>
      </c>
      <c r="BD286" s="662"/>
      <c r="BE286" s="662"/>
      <c r="BF286" s="118"/>
      <c r="BG286" s="118"/>
      <c r="BH286" s="118"/>
      <c r="BI286" s="118"/>
      <c r="BJ286" s="118"/>
      <c r="BK286" s="662"/>
      <c r="BL286" s="118"/>
      <c r="BM286" s="662"/>
      <c r="BN286" s="118"/>
      <c r="BO286" s="118"/>
      <c r="BP286" s="662"/>
      <c r="BQ286" s="662"/>
      <c r="BR286" s="662"/>
      <c r="BS286" s="662"/>
      <c r="BT286" s="118"/>
      <c r="BU286" s="662"/>
      <c r="BV286" s="662"/>
      <c r="BW286" s="118"/>
      <c r="BX286" s="118"/>
      <c r="BY286" s="118"/>
      <c r="BZ286" s="118"/>
      <c r="CA286" s="118"/>
      <c r="CB286" s="118"/>
      <c r="CC286" s="118"/>
      <c r="CD286" s="118"/>
      <c r="CE286" s="118"/>
      <c r="CF286" s="118"/>
      <c r="CG286" s="118"/>
      <c r="CH286" s="118"/>
      <c r="CI286" s="118"/>
      <c r="CJ286" s="118"/>
      <c r="CK286" s="118"/>
      <c r="CL286" s="118"/>
      <c r="CM286" s="118"/>
      <c r="CN286" s="92"/>
      <c r="CO286" s="93"/>
      <c r="CP286" s="93"/>
      <c r="CQ286" s="93"/>
      <c r="CR286" s="93"/>
      <c r="CS286" s="93"/>
      <c r="CT286" s="93"/>
      <c r="CU286" s="93"/>
      <c r="CV286" s="93"/>
      <c r="CW286" s="93"/>
      <c r="CX286" s="93"/>
      <c r="CY286" s="93"/>
      <c r="CZ286" s="93"/>
      <c r="DA286" s="93"/>
      <c r="DB286" s="93"/>
      <c r="DC286" s="94"/>
      <c r="DD286" s="118"/>
      <c r="DE286" s="118"/>
      <c r="DF286" s="118"/>
      <c r="DG286" s="118"/>
      <c r="DH286" s="118"/>
      <c r="DI286" s="118"/>
      <c r="DJ286" s="118"/>
      <c r="DK286" s="118"/>
      <c r="DL286" s="118"/>
      <c r="DM286" s="118"/>
      <c r="DN286" s="118"/>
      <c r="DO286" s="118"/>
      <c r="DP286" s="118"/>
      <c r="DQ286" s="118"/>
      <c r="DR286" s="118"/>
      <c r="DS286" s="118"/>
      <c r="DT286" s="118"/>
      <c r="DU286" s="19"/>
      <c r="DV286" s="19"/>
      <c r="DW286" s="19"/>
      <c r="DX286" s="19"/>
      <c r="DY286" s="19"/>
      <c r="DZ286" s="19"/>
    </row>
    <row r="287" spans="1:130" ht="12.75" x14ac:dyDescent="0.2">
      <c r="A287" s="673"/>
      <c r="B287" s="674">
        <v>46125</v>
      </c>
      <c r="C287" s="175"/>
      <c r="D287" s="137"/>
      <c r="E287" s="137"/>
      <c r="F287" s="137"/>
      <c r="G287" s="137"/>
      <c r="H287" s="675"/>
      <c r="I287" s="62">
        <f t="shared" ref="I287:I289" si="212">F287-E287-G287</f>
        <v>0</v>
      </c>
      <c r="J287" s="676">
        <f>SUM(I287:I291,H287)</f>
        <v>0</v>
      </c>
      <c r="K287" s="175"/>
      <c r="L287" s="175"/>
      <c r="M287" s="675"/>
      <c r="N287" s="675"/>
      <c r="O287" s="677">
        <f>SUM(M287:N291)</f>
        <v>0</v>
      </c>
      <c r="P287" s="675"/>
      <c r="Q287" s="657">
        <f>M287*60</f>
        <v>0</v>
      </c>
      <c r="R287" s="657">
        <f>IF(
   COUNTIF(K287:K291,"SI")&gt;0,
   1.8,
   IF(
      COUNTIF(L287:L291,"SI")&gt;0,
      1.6,
      2
   )
)</f>
        <v>2</v>
      </c>
      <c r="S287" s="678">
        <f>IF(Q287=0,0,J287/Q287)</f>
        <v>0</v>
      </c>
      <c r="T287" s="674">
        <v>46125</v>
      </c>
      <c r="U287" s="175"/>
      <c r="V287" s="26"/>
      <c r="W287" s="175"/>
      <c r="X287" s="175"/>
      <c r="Y287" s="175"/>
      <c r="Z287" s="675"/>
      <c r="AA287" s="151">
        <f t="shared" ref="AA287:AA291" si="213">X287-W287-Y287</f>
        <v>0</v>
      </c>
      <c r="AB287" s="676">
        <f>SUM(AA287:AA291,Z287)</f>
        <v>0</v>
      </c>
      <c r="AC287" s="175"/>
      <c r="AD287" s="175"/>
      <c r="AE287" s="675"/>
      <c r="AF287" s="675"/>
      <c r="AG287" s="677">
        <f>SUM(AE287:AF291)</f>
        <v>0</v>
      </c>
      <c r="AH287" s="675"/>
      <c r="AI287" s="657">
        <f>AE287*60</f>
        <v>0</v>
      </c>
      <c r="AJ287" s="657">
        <f>IF(
   COUNTIF(AC287:AC291,"SI")&gt;0,
   1.8,
   IF(
      COUNTIF(AD287:AD291,"SI")&gt;0,
      1.6,
      2
   )
)</f>
        <v>2</v>
      </c>
      <c r="AK287" s="678">
        <f>IF(AI287=0,0,AB287/AI287)</f>
        <v>0</v>
      </c>
      <c r="AL287" s="674">
        <v>46125</v>
      </c>
      <c r="AM287" s="24">
        <v>145</v>
      </c>
      <c r="AN287" s="31">
        <v>696</v>
      </c>
      <c r="AO287" s="31">
        <v>501</v>
      </c>
      <c r="AP287" s="24">
        <v>1000</v>
      </c>
      <c r="AQ287" s="26"/>
      <c r="AR287" s="657"/>
      <c r="AS287" s="62">
        <f t="shared" ref="AS287:AS311" si="214">AP287-AO287-AQ287</f>
        <v>499</v>
      </c>
      <c r="AT287" s="650">
        <f>SUM(AS287:AS291)+AR287</f>
        <v>1242</v>
      </c>
      <c r="AU287" s="29" t="s">
        <v>51</v>
      </c>
      <c r="AV287" s="640">
        <v>8.25</v>
      </c>
      <c r="AW287" s="29" t="s">
        <v>51</v>
      </c>
      <c r="AX287" s="657">
        <v>0.25</v>
      </c>
      <c r="AY287" s="633">
        <f>SUM(AV287,AX287)</f>
        <v>8.5</v>
      </c>
      <c r="AZ287" s="657">
        <v>0.15</v>
      </c>
      <c r="BA287" s="657">
        <f>AV287*60</f>
        <v>495</v>
      </c>
      <c r="BB287" s="657">
        <f>IF(
   COUNTIF(AU287:AU291,"SI")&gt;0,
   1.8,
   IF(
      COUNTIF(AV287:AV291,"SI")&gt;0,
      1.6,
      2
   )
)</f>
        <v>1.8</v>
      </c>
      <c r="BC287" s="672">
        <f t="shared" si="211"/>
        <v>2.5090909090909093</v>
      </c>
      <c r="BD287" s="19"/>
      <c r="BE287" s="19"/>
      <c r="BF287" s="118"/>
      <c r="BG287" s="118"/>
      <c r="BH287" s="118"/>
      <c r="BI287" s="118"/>
      <c r="BJ287" s="118"/>
      <c r="BK287" s="19"/>
      <c r="BL287" s="118"/>
      <c r="BM287" s="19"/>
      <c r="BN287" s="19"/>
      <c r="BO287" s="118"/>
      <c r="BP287" s="19"/>
      <c r="BQ287" s="19"/>
      <c r="BR287" s="19"/>
      <c r="BS287" s="19"/>
      <c r="BT287" s="118"/>
      <c r="BU287" s="19"/>
      <c r="BV287" s="19"/>
      <c r="BW287" s="118"/>
      <c r="BX287" s="118"/>
      <c r="BY287" s="118"/>
      <c r="BZ287" s="118"/>
      <c r="CA287" s="118"/>
      <c r="CB287" s="118"/>
      <c r="CC287" s="118"/>
      <c r="CD287" s="118"/>
      <c r="CE287" s="118"/>
      <c r="CF287" s="118"/>
      <c r="CG287" s="118"/>
      <c r="CH287" s="118"/>
      <c r="CI287" s="118"/>
      <c r="CJ287" s="118"/>
      <c r="CK287" s="118"/>
      <c r="CL287" s="118"/>
      <c r="CM287" s="118"/>
      <c r="CN287" s="92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94"/>
      <c r="DD287" s="118"/>
      <c r="DE287" s="118"/>
      <c r="DF287" s="118"/>
      <c r="DG287" s="118"/>
      <c r="DH287" s="118"/>
      <c r="DI287" s="118"/>
      <c r="DJ287" s="118"/>
      <c r="DK287" s="118"/>
      <c r="DL287" s="118"/>
      <c r="DM287" s="118"/>
      <c r="DN287" s="118"/>
      <c r="DO287" s="118"/>
      <c r="DP287" s="118"/>
      <c r="DQ287" s="118"/>
      <c r="DR287" s="118"/>
      <c r="DS287" s="118"/>
      <c r="DT287" s="118"/>
      <c r="DU287" s="19"/>
      <c r="DV287" s="19"/>
      <c r="DW287" s="19"/>
      <c r="DX287" s="19"/>
      <c r="DY287" s="19"/>
      <c r="DZ287" s="19"/>
    </row>
    <row r="288" spans="1:130" ht="12.75" x14ac:dyDescent="0.2">
      <c r="A288" s="647"/>
      <c r="B288" s="647"/>
      <c r="C288" s="30"/>
      <c r="D288" s="158"/>
      <c r="E288" s="158"/>
      <c r="F288" s="158"/>
      <c r="G288" s="158"/>
      <c r="H288" s="634"/>
      <c r="I288" s="159">
        <f t="shared" si="212"/>
        <v>0</v>
      </c>
      <c r="J288" s="634"/>
      <c r="K288" s="30"/>
      <c r="L288" s="142"/>
      <c r="M288" s="634"/>
      <c r="N288" s="634"/>
      <c r="O288" s="634"/>
      <c r="P288" s="634"/>
      <c r="Q288" s="634"/>
      <c r="R288" s="634"/>
      <c r="S288" s="659"/>
      <c r="T288" s="647"/>
      <c r="U288" s="30"/>
      <c r="V288" s="30"/>
      <c r="W288" s="30"/>
      <c r="X288" s="30"/>
      <c r="Y288" s="30"/>
      <c r="Z288" s="634"/>
      <c r="AA288" s="51">
        <f t="shared" si="213"/>
        <v>0</v>
      </c>
      <c r="AB288" s="634"/>
      <c r="AC288" s="30"/>
      <c r="AD288" s="142"/>
      <c r="AE288" s="634"/>
      <c r="AF288" s="634"/>
      <c r="AG288" s="634"/>
      <c r="AH288" s="634"/>
      <c r="AI288" s="634"/>
      <c r="AJ288" s="634"/>
      <c r="AK288" s="659"/>
      <c r="AL288" s="647"/>
      <c r="AM288" s="28">
        <v>116</v>
      </c>
      <c r="AN288" s="28">
        <v>697</v>
      </c>
      <c r="AO288" s="28">
        <v>1001</v>
      </c>
      <c r="AP288" s="28">
        <v>1501</v>
      </c>
      <c r="AQ288" s="29">
        <v>1</v>
      </c>
      <c r="AR288" s="634"/>
      <c r="AS288" s="159">
        <f t="shared" si="214"/>
        <v>499</v>
      </c>
      <c r="AT288" s="634"/>
      <c r="AU288" s="29" t="s">
        <v>51</v>
      </c>
      <c r="AV288" s="634"/>
      <c r="AW288" s="29" t="s">
        <v>51</v>
      </c>
      <c r="AX288" s="634"/>
      <c r="AY288" s="634"/>
      <c r="AZ288" s="634"/>
      <c r="BA288" s="634"/>
      <c r="BB288" s="634"/>
      <c r="BC288" s="634"/>
      <c r="BD288" s="663"/>
      <c r="BE288" s="668"/>
      <c r="BF288" s="118"/>
      <c r="BG288" s="118"/>
      <c r="BH288" s="118"/>
      <c r="BI288" s="118"/>
      <c r="BJ288" s="118"/>
      <c r="BK288" s="663"/>
      <c r="BL288" s="118"/>
      <c r="BM288" s="663"/>
      <c r="BN288" s="663"/>
      <c r="BO288" s="118"/>
      <c r="BP288" s="663"/>
      <c r="BQ288" s="663"/>
      <c r="BR288" s="663"/>
      <c r="BS288" s="663"/>
      <c r="BT288" s="118"/>
      <c r="BU288" s="663"/>
      <c r="BV288" s="663"/>
      <c r="BW288" s="118"/>
      <c r="BX288" s="118"/>
      <c r="BY288" s="118"/>
      <c r="BZ288" s="118"/>
      <c r="CA288" s="118"/>
      <c r="CB288" s="118"/>
      <c r="CC288" s="118"/>
      <c r="CD288" s="118"/>
      <c r="CE288" s="118"/>
      <c r="CF288" s="118"/>
      <c r="CG288" s="118"/>
      <c r="CH288" s="118"/>
      <c r="CI288" s="118"/>
      <c r="CJ288" s="118"/>
      <c r="CK288" s="118"/>
      <c r="CL288" s="118"/>
      <c r="CM288" s="118"/>
      <c r="CN288" s="92"/>
      <c r="CO288" s="93"/>
      <c r="CP288" s="93"/>
      <c r="CQ288" s="93"/>
      <c r="CR288" s="93"/>
      <c r="CS288" s="93"/>
      <c r="CT288" s="93"/>
      <c r="CU288" s="93"/>
      <c r="CV288" s="93"/>
      <c r="CW288" s="93"/>
      <c r="CX288" s="93"/>
      <c r="CY288" s="93"/>
      <c r="CZ288" s="93"/>
      <c r="DA288" s="93"/>
      <c r="DB288" s="93"/>
      <c r="DC288" s="94"/>
      <c r="DD288" s="118"/>
      <c r="DE288" s="118"/>
      <c r="DF288" s="118"/>
      <c r="DG288" s="118"/>
      <c r="DH288" s="118"/>
      <c r="DI288" s="118"/>
      <c r="DJ288" s="118"/>
      <c r="DK288" s="118"/>
      <c r="DL288" s="118"/>
      <c r="DM288" s="118"/>
      <c r="DN288" s="118"/>
      <c r="DO288" s="118"/>
      <c r="DP288" s="118"/>
      <c r="DQ288" s="118"/>
      <c r="DR288" s="118"/>
      <c r="DS288" s="118"/>
      <c r="DT288" s="118"/>
      <c r="DU288" s="19"/>
      <c r="DV288" s="19"/>
      <c r="DW288" s="19"/>
      <c r="DX288" s="19"/>
      <c r="DY288" s="19"/>
      <c r="DZ288" s="19"/>
    </row>
    <row r="289" spans="1:130" ht="12.75" x14ac:dyDescent="0.2">
      <c r="A289" s="647"/>
      <c r="B289" s="647"/>
      <c r="C289" s="30"/>
      <c r="D289" s="158"/>
      <c r="E289" s="158"/>
      <c r="F289" s="158"/>
      <c r="G289" s="158"/>
      <c r="H289" s="634"/>
      <c r="I289" s="159">
        <f t="shared" si="212"/>
        <v>0</v>
      </c>
      <c r="J289" s="634"/>
      <c r="K289" s="158"/>
      <c r="L289" s="161"/>
      <c r="M289" s="634"/>
      <c r="N289" s="634"/>
      <c r="O289" s="634"/>
      <c r="P289" s="634"/>
      <c r="Q289" s="634"/>
      <c r="R289" s="634"/>
      <c r="S289" s="659"/>
      <c r="T289" s="647"/>
      <c r="U289" s="30"/>
      <c r="V289" s="158"/>
      <c r="W289" s="30"/>
      <c r="X289" s="30"/>
      <c r="Y289" s="30"/>
      <c r="Z289" s="634"/>
      <c r="AA289" s="51">
        <f t="shared" si="213"/>
        <v>0</v>
      </c>
      <c r="AB289" s="634"/>
      <c r="AC289" s="158"/>
      <c r="AD289" s="161"/>
      <c r="AE289" s="634"/>
      <c r="AF289" s="634"/>
      <c r="AG289" s="634"/>
      <c r="AH289" s="634"/>
      <c r="AI289" s="634"/>
      <c r="AJ289" s="634"/>
      <c r="AK289" s="659"/>
      <c r="AL289" s="647"/>
      <c r="AM289" s="28">
        <v>55</v>
      </c>
      <c r="AN289" s="28">
        <v>698</v>
      </c>
      <c r="AO289" s="28">
        <v>1502</v>
      </c>
      <c r="AP289" s="28">
        <v>1752</v>
      </c>
      <c r="AQ289" s="28">
        <v>6</v>
      </c>
      <c r="AR289" s="634"/>
      <c r="AS289" s="159">
        <f t="shared" si="214"/>
        <v>244</v>
      </c>
      <c r="AT289" s="634"/>
      <c r="AU289" s="29" t="s">
        <v>51</v>
      </c>
      <c r="AV289" s="634"/>
      <c r="AW289" s="29" t="s">
        <v>51</v>
      </c>
      <c r="AX289" s="634"/>
      <c r="AY289" s="634"/>
      <c r="AZ289" s="634"/>
      <c r="BA289" s="634"/>
      <c r="BB289" s="634"/>
      <c r="BC289" s="634"/>
      <c r="BD289" s="662"/>
      <c r="BE289" s="662"/>
      <c r="BF289" s="118"/>
      <c r="BG289" s="118"/>
      <c r="BH289" s="118"/>
      <c r="BI289" s="118"/>
      <c r="BJ289" s="118"/>
      <c r="BK289" s="662"/>
      <c r="BL289" s="118"/>
      <c r="BM289" s="662"/>
      <c r="BN289" s="662"/>
      <c r="BO289" s="118"/>
      <c r="BP289" s="662"/>
      <c r="BQ289" s="662"/>
      <c r="BR289" s="662"/>
      <c r="BS289" s="662"/>
      <c r="BT289" s="118"/>
      <c r="BU289" s="662"/>
      <c r="BV289" s="662"/>
      <c r="BW289" s="118"/>
      <c r="BX289" s="118"/>
      <c r="BY289" s="118"/>
      <c r="BZ289" s="118"/>
      <c r="CA289" s="118"/>
      <c r="CB289" s="118"/>
      <c r="CC289" s="118"/>
      <c r="CD289" s="118"/>
      <c r="CE289" s="118"/>
      <c r="CF289" s="118"/>
      <c r="CG289" s="118"/>
      <c r="CH289" s="118"/>
      <c r="CI289" s="118"/>
      <c r="CJ289" s="118"/>
      <c r="CK289" s="118"/>
      <c r="CL289" s="118"/>
      <c r="CM289" s="118"/>
      <c r="CN289" s="92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94"/>
      <c r="DD289" s="118"/>
      <c r="DE289" s="118"/>
      <c r="DF289" s="118"/>
      <c r="DG289" s="118"/>
      <c r="DH289" s="118"/>
      <c r="DI289" s="118"/>
      <c r="DJ289" s="118"/>
      <c r="DK289" s="118"/>
      <c r="DL289" s="118"/>
      <c r="DM289" s="118"/>
      <c r="DN289" s="118"/>
      <c r="DO289" s="118"/>
      <c r="DP289" s="118"/>
      <c r="DQ289" s="118"/>
      <c r="DR289" s="118"/>
      <c r="DS289" s="118"/>
      <c r="DT289" s="118"/>
      <c r="DU289" s="19"/>
      <c r="DV289" s="19"/>
      <c r="DW289" s="19"/>
      <c r="DX289" s="19"/>
      <c r="DY289" s="19"/>
      <c r="DZ289" s="19"/>
    </row>
    <row r="290" spans="1:130" ht="12.75" x14ac:dyDescent="0.2">
      <c r="A290" s="647"/>
      <c r="B290" s="647"/>
      <c r="C290" s="30"/>
      <c r="D290" s="30"/>
      <c r="E290" s="30"/>
      <c r="F290" s="30"/>
      <c r="G290" s="30"/>
      <c r="H290" s="634"/>
      <c r="I290" s="30"/>
      <c r="J290" s="634"/>
      <c r="K290" s="30"/>
      <c r="L290" s="142"/>
      <c r="M290" s="634"/>
      <c r="N290" s="634"/>
      <c r="O290" s="634"/>
      <c r="P290" s="634"/>
      <c r="Q290" s="634"/>
      <c r="R290" s="634"/>
      <c r="S290" s="659"/>
      <c r="T290" s="647"/>
      <c r="U290" s="30"/>
      <c r="V290" s="30"/>
      <c r="W290" s="30"/>
      <c r="X290" s="30"/>
      <c r="Y290" s="30"/>
      <c r="Z290" s="634"/>
      <c r="AA290" s="51">
        <f t="shared" si="213"/>
        <v>0</v>
      </c>
      <c r="AB290" s="634"/>
      <c r="AC290" s="30"/>
      <c r="AD290" s="142"/>
      <c r="AE290" s="634"/>
      <c r="AF290" s="634"/>
      <c r="AG290" s="634"/>
      <c r="AH290" s="634"/>
      <c r="AI290" s="634"/>
      <c r="AJ290" s="634"/>
      <c r="AK290" s="659"/>
      <c r="AL290" s="647"/>
      <c r="AM290" s="29"/>
      <c r="AN290" s="29"/>
      <c r="AO290" s="29"/>
      <c r="AP290" s="29"/>
      <c r="AQ290" s="30"/>
      <c r="AR290" s="634"/>
      <c r="AS290" s="51">
        <f t="shared" si="214"/>
        <v>0</v>
      </c>
      <c r="AT290" s="635"/>
      <c r="AU290" s="30"/>
      <c r="AV290" s="635"/>
      <c r="AW290" s="142"/>
      <c r="AX290" s="634"/>
      <c r="AY290" s="634"/>
      <c r="AZ290" s="634"/>
      <c r="BA290" s="634"/>
      <c r="BB290" s="634"/>
      <c r="BC290" s="634"/>
      <c r="BD290" s="663"/>
      <c r="BE290" s="668"/>
      <c r="BF290" s="118"/>
      <c r="BG290" s="118"/>
      <c r="BH290" s="118"/>
      <c r="BI290" s="118"/>
      <c r="BJ290" s="118"/>
      <c r="BK290" s="663"/>
      <c r="BL290" s="118"/>
      <c r="BM290" s="663"/>
      <c r="BN290" s="663"/>
      <c r="BO290" s="118"/>
      <c r="BP290" s="663"/>
      <c r="BQ290" s="663"/>
      <c r="BR290" s="663"/>
      <c r="BS290" s="663"/>
      <c r="BT290" s="118"/>
      <c r="BU290" s="663"/>
      <c r="BV290" s="663"/>
      <c r="BW290" s="118"/>
      <c r="BX290" s="118"/>
      <c r="BY290" s="118"/>
      <c r="BZ290" s="118"/>
      <c r="CA290" s="118"/>
      <c r="CB290" s="118"/>
      <c r="CC290" s="118"/>
      <c r="CD290" s="118"/>
      <c r="CE290" s="118"/>
      <c r="CF290" s="118"/>
      <c r="CG290" s="118"/>
      <c r="CH290" s="118"/>
      <c r="CI290" s="118"/>
      <c r="CJ290" s="118"/>
      <c r="CK290" s="118"/>
      <c r="CL290" s="118"/>
      <c r="CM290" s="118"/>
      <c r="CN290" s="92"/>
      <c r="CO290" s="93"/>
      <c r="CP290" s="93"/>
      <c r="CQ290" s="93"/>
      <c r="CR290" s="93"/>
      <c r="CS290" s="93"/>
      <c r="CT290" s="93"/>
      <c r="CU290" s="93"/>
      <c r="CV290" s="93"/>
      <c r="CW290" s="93"/>
      <c r="CX290" s="93"/>
      <c r="CY290" s="93"/>
      <c r="CZ290" s="93"/>
      <c r="DA290" s="93"/>
      <c r="DB290" s="93"/>
      <c r="DC290" s="94"/>
      <c r="DD290" s="118"/>
      <c r="DE290" s="118"/>
      <c r="DF290" s="118"/>
      <c r="DG290" s="118"/>
      <c r="DH290" s="118"/>
      <c r="DI290" s="118"/>
      <c r="DJ290" s="118"/>
      <c r="DK290" s="118"/>
      <c r="DL290" s="118"/>
      <c r="DM290" s="118"/>
      <c r="DN290" s="118"/>
      <c r="DO290" s="118"/>
      <c r="DP290" s="118"/>
      <c r="DQ290" s="118"/>
      <c r="DR290" s="118"/>
      <c r="DS290" s="118"/>
      <c r="DT290" s="118"/>
      <c r="DU290" s="19"/>
      <c r="DV290" s="19"/>
      <c r="DW290" s="19"/>
      <c r="DX290" s="19"/>
      <c r="DY290" s="19"/>
      <c r="DZ290" s="19"/>
    </row>
    <row r="291" spans="1:130" ht="12.75" x14ac:dyDescent="0.2">
      <c r="A291" s="648"/>
      <c r="B291" s="648"/>
      <c r="C291" s="30"/>
      <c r="D291" s="30"/>
      <c r="E291" s="30"/>
      <c r="F291" s="30"/>
      <c r="G291" s="30"/>
      <c r="H291" s="635"/>
      <c r="I291" s="51">
        <f t="shared" ref="I291:I311" si="215">F291-E291-G291</f>
        <v>0</v>
      </c>
      <c r="J291" s="635"/>
      <c r="K291" s="30"/>
      <c r="L291" s="142"/>
      <c r="M291" s="635"/>
      <c r="N291" s="635"/>
      <c r="O291" s="635"/>
      <c r="P291" s="635"/>
      <c r="Q291" s="635"/>
      <c r="R291" s="635"/>
      <c r="S291" s="660"/>
      <c r="T291" s="648"/>
      <c r="U291" s="30"/>
      <c r="V291" s="30"/>
      <c r="W291" s="30"/>
      <c r="X291" s="30"/>
      <c r="Y291" s="30"/>
      <c r="Z291" s="635"/>
      <c r="AA291" s="51">
        <f t="shared" si="213"/>
        <v>0</v>
      </c>
      <c r="AB291" s="635"/>
      <c r="AC291" s="30"/>
      <c r="AD291" s="142"/>
      <c r="AE291" s="635"/>
      <c r="AF291" s="635"/>
      <c r="AG291" s="635"/>
      <c r="AH291" s="635"/>
      <c r="AI291" s="635"/>
      <c r="AJ291" s="635"/>
      <c r="AK291" s="660"/>
      <c r="AL291" s="648"/>
      <c r="AM291" s="30"/>
      <c r="AN291" s="30"/>
      <c r="AO291" s="30"/>
      <c r="AP291" s="30"/>
      <c r="AQ291" s="30"/>
      <c r="AR291" s="635"/>
      <c r="AS291" s="51">
        <f t="shared" si="214"/>
        <v>0</v>
      </c>
      <c r="AT291" s="146">
        <f>AS291</f>
        <v>0</v>
      </c>
      <c r="AU291" s="30"/>
      <c r="AV291" s="142"/>
      <c r="AW291" s="142"/>
      <c r="AX291" s="635"/>
      <c r="AY291" s="635"/>
      <c r="AZ291" s="635"/>
      <c r="BA291" s="147">
        <f t="shared" ref="BA291:BA292" si="216">AV291*60</f>
        <v>0</v>
      </c>
      <c r="BB291" s="635"/>
      <c r="BC291" s="148">
        <f t="shared" ref="BC291:BC292" si="217">IF(BA291=0,0,AT291/BA291)</f>
        <v>0</v>
      </c>
      <c r="BD291" s="662"/>
      <c r="BE291" s="662"/>
      <c r="BF291" s="118"/>
      <c r="BG291" s="118"/>
      <c r="BH291" s="118"/>
      <c r="BI291" s="118"/>
      <c r="BJ291" s="118"/>
      <c r="BK291" s="662"/>
      <c r="BL291" s="118"/>
      <c r="BM291" s="662"/>
      <c r="BN291" s="662"/>
      <c r="BO291" s="118"/>
      <c r="BP291" s="662"/>
      <c r="BQ291" s="662"/>
      <c r="BR291" s="662"/>
      <c r="BS291" s="662"/>
      <c r="BT291" s="118"/>
      <c r="BU291" s="662"/>
      <c r="BV291" s="662"/>
      <c r="BW291" s="118"/>
      <c r="BX291" s="118"/>
      <c r="BY291" s="118"/>
      <c r="BZ291" s="118"/>
      <c r="CA291" s="118"/>
      <c r="CB291" s="118"/>
      <c r="CC291" s="118"/>
      <c r="CD291" s="118"/>
      <c r="CE291" s="118"/>
      <c r="CF291" s="118"/>
      <c r="CG291" s="118"/>
      <c r="CH291" s="118"/>
      <c r="CI291" s="118"/>
      <c r="CJ291" s="118"/>
      <c r="CK291" s="118"/>
      <c r="CL291" s="118"/>
      <c r="CM291" s="118"/>
      <c r="CN291" s="92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94"/>
      <c r="DD291" s="118"/>
      <c r="DE291" s="118"/>
      <c r="DF291" s="118"/>
      <c r="DG291" s="118"/>
      <c r="DH291" s="118"/>
      <c r="DI291" s="118"/>
      <c r="DJ291" s="118"/>
      <c r="DK291" s="118"/>
      <c r="DL291" s="118"/>
      <c r="DM291" s="118"/>
      <c r="DN291" s="118"/>
      <c r="DO291" s="118"/>
      <c r="DP291" s="118"/>
      <c r="DQ291" s="118"/>
      <c r="DR291" s="118"/>
      <c r="DS291" s="118"/>
      <c r="DT291" s="118"/>
      <c r="DU291" s="19"/>
      <c r="DV291" s="19"/>
      <c r="DW291" s="19"/>
      <c r="DX291" s="19"/>
      <c r="DY291" s="19"/>
      <c r="DZ291" s="19"/>
    </row>
    <row r="292" spans="1:130" ht="12.75" x14ac:dyDescent="0.2">
      <c r="A292" s="651"/>
      <c r="B292" s="646">
        <v>46126</v>
      </c>
      <c r="C292" s="40"/>
      <c r="D292" s="40"/>
      <c r="E292" s="40"/>
      <c r="F292" s="40"/>
      <c r="G292" s="40"/>
      <c r="H292" s="653"/>
      <c r="I292" s="150">
        <f t="shared" si="215"/>
        <v>0</v>
      </c>
      <c r="J292" s="650">
        <f>SUM(I292:I295,H292)</f>
        <v>0</v>
      </c>
      <c r="K292" s="40"/>
      <c r="L292" s="40"/>
      <c r="M292" s="653"/>
      <c r="N292" s="653"/>
      <c r="O292" s="633">
        <f>SUM(M292:N295)</f>
        <v>0</v>
      </c>
      <c r="P292" s="653"/>
      <c r="Q292" s="636">
        <f>M292*60</f>
        <v>0</v>
      </c>
      <c r="R292" s="657">
        <f>IF(
   COUNTIF(K292:K295,"SI")&gt;0,
   1.8,
   IF(
      COUNTIF(L292:L295,"SI")&gt;0,
      1.6,
      2
   )
)</f>
        <v>2</v>
      </c>
      <c r="S292" s="678">
        <f>IF(Q292=0,0,J292/Q292)</f>
        <v>0</v>
      </c>
      <c r="T292" s="646">
        <v>46126</v>
      </c>
      <c r="U292" s="40"/>
      <c r="V292" s="38">
        <v>695</v>
      </c>
      <c r="W292" s="38">
        <v>204</v>
      </c>
      <c r="X292" s="38">
        <v>500</v>
      </c>
      <c r="Y292" s="38"/>
      <c r="Z292" s="653">
        <v>21</v>
      </c>
      <c r="AA292" s="51">
        <f t="shared" ref="AA292:AA293" si="218">X292-W292-Y292+1</f>
        <v>297</v>
      </c>
      <c r="AB292" s="650">
        <f>SUM(AA292:AA295)+Z292</f>
        <v>818</v>
      </c>
      <c r="AC292" s="38" t="s">
        <v>51</v>
      </c>
      <c r="AD292" s="38" t="s">
        <v>51</v>
      </c>
      <c r="AE292" s="636">
        <v>7.5</v>
      </c>
      <c r="AF292" s="636">
        <v>0.5</v>
      </c>
      <c r="AG292" s="633">
        <f>SUM(AE292:AF295)</f>
        <v>8</v>
      </c>
      <c r="AH292" s="636">
        <v>0</v>
      </c>
      <c r="AI292" s="636">
        <f>AE292*60</f>
        <v>450</v>
      </c>
      <c r="AJ292" s="657">
        <f>IF(
   COUNTIF(AC292:AC295,"SI")&gt;0,
   1.8,
   IF(
      COUNTIF(AD292:AD295,"SI")&gt;0,
      1.6,
      2
   )
)</f>
        <v>1.8</v>
      </c>
      <c r="AK292" s="658">
        <f>AB292/AI292</f>
        <v>1.8177777777777777</v>
      </c>
      <c r="AL292" s="646">
        <v>46126</v>
      </c>
      <c r="AM292" s="40"/>
      <c r="AN292" s="40"/>
      <c r="AO292" s="40"/>
      <c r="AP292" s="40"/>
      <c r="AQ292" s="40"/>
      <c r="AR292" s="653"/>
      <c r="AS292" s="151">
        <f t="shared" si="214"/>
        <v>0</v>
      </c>
      <c r="AT292" s="650"/>
      <c r="AU292" s="653"/>
      <c r="AV292" s="653"/>
      <c r="AW292" s="40"/>
      <c r="AX292" s="653"/>
      <c r="AY292" s="633">
        <f>SUM(AV292:AX295)</f>
        <v>0</v>
      </c>
      <c r="AZ292" s="636">
        <v>0.25</v>
      </c>
      <c r="BA292" s="636">
        <f t="shared" si="216"/>
        <v>0</v>
      </c>
      <c r="BB292" s="657">
        <f>IF(
   COUNTIF(AU292:AU295,"SI")&gt;0,
   1.8,
   IF(
      COUNTIF(AV292:AV295,"SI")&gt;0,
      1.6,
      2
   )
)</f>
        <v>2</v>
      </c>
      <c r="BC292" s="667">
        <f t="shared" si="217"/>
        <v>0</v>
      </c>
      <c r="BD292" s="662"/>
      <c r="BE292" s="662"/>
      <c r="BF292" s="118"/>
      <c r="BG292" s="118"/>
      <c r="BH292" s="118"/>
      <c r="BI292" s="118"/>
      <c r="BJ292" s="118"/>
      <c r="BK292" s="662"/>
      <c r="BL292" s="118"/>
      <c r="BM292" s="662"/>
      <c r="BN292" s="662"/>
      <c r="BO292" s="118"/>
      <c r="BP292" s="662"/>
      <c r="BQ292" s="662"/>
      <c r="BR292" s="662"/>
      <c r="BS292" s="662"/>
      <c r="BT292" s="118"/>
      <c r="BU292" s="662"/>
      <c r="BV292" s="662"/>
      <c r="BW292" s="118"/>
      <c r="BX292" s="118"/>
      <c r="BY292" s="118"/>
      <c r="BZ292" s="118"/>
      <c r="CA292" s="118"/>
      <c r="CB292" s="118"/>
      <c r="CC292" s="118"/>
      <c r="CD292" s="118"/>
      <c r="CE292" s="118"/>
      <c r="CF292" s="118"/>
      <c r="CG292" s="118"/>
      <c r="CH292" s="118"/>
      <c r="CI292" s="118"/>
      <c r="CJ292" s="118"/>
      <c r="CK292" s="118"/>
      <c r="CL292" s="118"/>
      <c r="CM292" s="118"/>
      <c r="CN292" s="92"/>
      <c r="CO292" s="93"/>
      <c r="CP292" s="93"/>
      <c r="CQ292" s="93"/>
      <c r="CR292" s="93"/>
      <c r="CS292" s="93"/>
      <c r="CT292" s="93"/>
      <c r="CU292" s="93"/>
      <c r="CV292" s="93"/>
      <c r="CW292" s="93"/>
      <c r="CX292" s="93"/>
      <c r="CY292" s="93"/>
      <c r="CZ292" s="93"/>
      <c r="DA292" s="93"/>
      <c r="DB292" s="93"/>
      <c r="DC292" s="94"/>
      <c r="DD292" s="118"/>
      <c r="DE292" s="118"/>
      <c r="DF292" s="118"/>
      <c r="DG292" s="118"/>
      <c r="DH292" s="118"/>
      <c r="DI292" s="118"/>
      <c r="DJ292" s="118"/>
      <c r="DK292" s="118"/>
      <c r="DL292" s="118"/>
      <c r="DM292" s="118"/>
      <c r="DN292" s="118"/>
      <c r="DO292" s="118"/>
      <c r="DP292" s="118"/>
      <c r="DQ292" s="118"/>
      <c r="DR292" s="118"/>
      <c r="DS292" s="118"/>
      <c r="DT292" s="118"/>
      <c r="DU292" s="19"/>
      <c r="DV292" s="19"/>
      <c r="DW292" s="19"/>
      <c r="DX292" s="19"/>
      <c r="DY292" s="19"/>
      <c r="DZ292" s="19"/>
    </row>
    <row r="293" spans="1:130" ht="12.75" x14ac:dyDescent="0.2">
      <c r="A293" s="647"/>
      <c r="B293" s="647"/>
      <c r="C293" s="40"/>
      <c r="D293" s="40"/>
      <c r="E293" s="40"/>
      <c r="F293" s="40"/>
      <c r="G293" s="40"/>
      <c r="H293" s="634"/>
      <c r="I293" s="150">
        <f t="shared" si="215"/>
        <v>0</v>
      </c>
      <c r="J293" s="634"/>
      <c r="K293" s="40"/>
      <c r="L293" s="40"/>
      <c r="M293" s="634"/>
      <c r="N293" s="634"/>
      <c r="O293" s="634"/>
      <c r="P293" s="634"/>
      <c r="Q293" s="634"/>
      <c r="R293" s="634"/>
      <c r="S293" s="659"/>
      <c r="T293" s="647"/>
      <c r="U293" s="40"/>
      <c r="V293" s="31">
        <v>699</v>
      </c>
      <c r="W293" s="31">
        <v>2001</v>
      </c>
      <c r="X293" s="31">
        <v>2500</v>
      </c>
      <c r="Y293" s="31"/>
      <c r="Z293" s="634"/>
      <c r="AA293" s="51">
        <f t="shared" si="218"/>
        <v>500</v>
      </c>
      <c r="AB293" s="634"/>
      <c r="AC293" s="38" t="s">
        <v>51</v>
      </c>
      <c r="AD293" s="38" t="s">
        <v>51</v>
      </c>
      <c r="AE293" s="634"/>
      <c r="AF293" s="634"/>
      <c r="AG293" s="634"/>
      <c r="AH293" s="634"/>
      <c r="AI293" s="634"/>
      <c r="AJ293" s="634"/>
      <c r="AK293" s="659"/>
      <c r="AL293" s="647"/>
      <c r="AM293" s="40"/>
      <c r="AN293" s="40"/>
      <c r="AO293" s="40"/>
      <c r="AP293" s="40"/>
      <c r="AQ293" s="40"/>
      <c r="AR293" s="634"/>
      <c r="AS293" s="151">
        <f t="shared" si="214"/>
        <v>0</v>
      </c>
      <c r="AT293" s="634"/>
      <c r="AU293" s="634"/>
      <c r="AV293" s="634"/>
      <c r="AW293" s="40"/>
      <c r="AX293" s="634"/>
      <c r="AY293" s="634"/>
      <c r="AZ293" s="634"/>
      <c r="BA293" s="634"/>
      <c r="BB293" s="634"/>
      <c r="BC293" s="634"/>
      <c r="BD293" s="662"/>
      <c r="BE293" s="662"/>
      <c r="BF293" s="118"/>
      <c r="BG293" s="118"/>
      <c r="BH293" s="118"/>
      <c r="BI293" s="118"/>
      <c r="BJ293" s="118"/>
      <c r="BK293" s="662"/>
      <c r="BL293" s="118"/>
      <c r="BM293" s="662"/>
      <c r="BN293" s="662"/>
      <c r="BO293" s="118"/>
      <c r="BP293" s="662"/>
      <c r="BQ293" s="662"/>
      <c r="BR293" s="662"/>
      <c r="BS293" s="662"/>
      <c r="BT293" s="118"/>
      <c r="BU293" s="662"/>
      <c r="BV293" s="662"/>
      <c r="BW293" s="118"/>
      <c r="BX293" s="118"/>
      <c r="BY293" s="118"/>
      <c r="BZ293" s="118"/>
      <c r="CA293" s="118"/>
      <c r="CB293" s="118"/>
      <c r="CC293" s="118"/>
      <c r="CD293" s="118"/>
      <c r="CE293" s="118"/>
      <c r="CF293" s="118"/>
      <c r="CG293" s="118"/>
      <c r="CH293" s="118"/>
      <c r="CI293" s="118"/>
      <c r="CJ293" s="118"/>
      <c r="CK293" s="118"/>
      <c r="CL293" s="118"/>
      <c r="CM293" s="118"/>
      <c r="CN293" s="92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94"/>
      <c r="DD293" s="118"/>
      <c r="DE293" s="118"/>
      <c r="DF293" s="118"/>
      <c r="DG293" s="118"/>
      <c r="DH293" s="118"/>
      <c r="DI293" s="118"/>
      <c r="DJ293" s="118"/>
      <c r="DK293" s="118"/>
      <c r="DL293" s="118"/>
      <c r="DM293" s="118"/>
      <c r="DN293" s="118"/>
      <c r="DO293" s="118"/>
      <c r="DP293" s="118"/>
      <c r="DQ293" s="118"/>
      <c r="DR293" s="118"/>
      <c r="DS293" s="118"/>
      <c r="DT293" s="118"/>
      <c r="DU293" s="19"/>
      <c r="DV293" s="19"/>
      <c r="DW293" s="19"/>
      <c r="DX293" s="19"/>
      <c r="DY293" s="19"/>
      <c r="DZ293" s="19"/>
    </row>
    <row r="294" spans="1:130" ht="12.75" x14ac:dyDescent="0.2">
      <c r="A294" s="647"/>
      <c r="B294" s="647"/>
      <c r="C294" s="40"/>
      <c r="D294" s="40"/>
      <c r="E294" s="40"/>
      <c r="F294" s="40"/>
      <c r="G294" s="40"/>
      <c r="H294" s="634"/>
      <c r="I294" s="150">
        <f t="shared" si="215"/>
        <v>0</v>
      </c>
      <c r="J294" s="634"/>
      <c r="K294" s="40"/>
      <c r="L294" s="40"/>
      <c r="M294" s="634"/>
      <c r="N294" s="634"/>
      <c r="O294" s="634"/>
      <c r="P294" s="634"/>
      <c r="Q294" s="634"/>
      <c r="R294" s="634"/>
      <c r="S294" s="659"/>
      <c r="T294" s="647"/>
      <c r="U294" s="40"/>
      <c r="V294" s="31"/>
      <c r="W294" s="31"/>
      <c r="X294" s="31"/>
      <c r="Y294" s="31"/>
      <c r="Z294" s="634"/>
      <c r="AA294" s="51">
        <f t="shared" ref="AA294:AA307" si="219">X294-W294-Y294</f>
        <v>0</v>
      </c>
      <c r="AB294" s="634"/>
      <c r="AC294" s="38"/>
      <c r="AD294" s="38"/>
      <c r="AE294" s="634"/>
      <c r="AF294" s="634"/>
      <c r="AG294" s="634"/>
      <c r="AH294" s="634"/>
      <c r="AI294" s="634"/>
      <c r="AJ294" s="634"/>
      <c r="AK294" s="659"/>
      <c r="AL294" s="647"/>
      <c r="AM294" s="40"/>
      <c r="AN294" s="40"/>
      <c r="AO294" s="40"/>
      <c r="AP294" s="40"/>
      <c r="AQ294" s="40"/>
      <c r="AR294" s="634"/>
      <c r="AS294" s="151">
        <f t="shared" si="214"/>
        <v>0</v>
      </c>
      <c r="AT294" s="635"/>
      <c r="AU294" s="635"/>
      <c r="AV294" s="635"/>
      <c r="AW294" s="40"/>
      <c r="AX294" s="634"/>
      <c r="AY294" s="634"/>
      <c r="AZ294" s="634"/>
      <c r="BA294" s="634"/>
      <c r="BB294" s="634"/>
      <c r="BC294" s="635"/>
      <c r="BD294" s="663"/>
      <c r="BE294" s="668"/>
      <c r="BF294" s="117"/>
      <c r="BG294" s="117"/>
      <c r="BH294" s="117"/>
      <c r="BI294" s="117"/>
      <c r="BJ294" s="117"/>
      <c r="BK294" s="661"/>
      <c r="BL294" s="118"/>
      <c r="BM294" s="663"/>
      <c r="BN294" s="663"/>
      <c r="BO294" s="118"/>
      <c r="BP294" s="663"/>
      <c r="BQ294" s="663"/>
      <c r="BR294" s="663"/>
      <c r="BS294" s="663"/>
      <c r="BT294" s="118"/>
      <c r="BU294" s="663"/>
      <c r="BV294" s="663"/>
      <c r="BW294" s="118"/>
      <c r="BX294" s="118"/>
      <c r="BY294" s="118"/>
      <c r="BZ294" s="118"/>
      <c r="CA294" s="118"/>
      <c r="CB294" s="118"/>
      <c r="CC294" s="118"/>
      <c r="CD294" s="118"/>
      <c r="CE294" s="118"/>
      <c r="CF294" s="118"/>
      <c r="CG294" s="118"/>
      <c r="CH294" s="118"/>
      <c r="CI294" s="118"/>
      <c r="CJ294" s="118"/>
      <c r="CK294" s="118"/>
      <c r="CL294" s="118"/>
      <c r="CM294" s="118"/>
      <c r="CN294" s="92"/>
      <c r="CO294" s="93"/>
      <c r="CP294" s="93"/>
      <c r="CQ294" s="93"/>
      <c r="CR294" s="93"/>
      <c r="CS294" s="93"/>
      <c r="CT294" s="93"/>
      <c r="CU294" s="93"/>
      <c r="CV294" s="93"/>
      <c r="CW294" s="93"/>
      <c r="CX294" s="93"/>
      <c r="CY294" s="93"/>
      <c r="CZ294" s="93"/>
      <c r="DA294" s="93"/>
      <c r="DB294" s="93"/>
      <c r="DC294" s="94"/>
      <c r="DD294" s="118"/>
      <c r="DE294" s="118"/>
      <c r="DF294" s="118"/>
      <c r="DG294" s="118"/>
      <c r="DH294" s="118"/>
      <c r="DI294" s="118"/>
      <c r="DJ294" s="118"/>
      <c r="DK294" s="118"/>
      <c r="DL294" s="118"/>
      <c r="DM294" s="118"/>
      <c r="DN294" s="118"/>
      <c r="DO294" s="118"/>
      <c r="DP294" s="118"/>
      <c r="DQ294" s="118"/>
      <c r="DR294" s="118"/>
      <c r="DS294" s="118"/>
      <c r="DT294" s="118"/>
      <c r="DU294" s="19"/>
      <c r="DV294" s="19"/>
      <c r="DW294" s="19"/>
      <c r="DX294" s="19"/>
      <c r="DY294" s="19"/>
      <c r="DZ294" s="19"/>
    </row>
    <row r="295" spans="1:130" ht="12.75" x14ac:dyDescent="0.2">
      <c r="A295" s="648"/>
      <c r="B295" s="648"/>
      <c r="C295" s="40"/>
      <c r="D295" s="40"/>
      <c r="E295" s="40"/>
      <c r="F295" s="40"/>
      <c r="G295" s="40"/>
      <c r="H295" s="635"/>
      <c r="I295" s="150">
        <f t="shared" si="215"/>
        <v>0</v>
      </c>
      <c r="J295" s="635"/>
      <c r="K295" s="40"/>
      <c r="L295" s="40"/>
      <c r="M295" s="635"/>
      <c r="N295" s="635"/>
      <c r="O295" s="635"/>
      <c r="P295" s="635"/>
      <c r="Q295" s="635"/>
      <c r="R295" s="635"/>
      <c r="S295" s="660"/>
      <c r="T295" s="648"/>
      <c r="U295" s="40"/>
      <c r="V295" s="40"/>
      <c r="W295" s="40"/>
      <c r="X295" s="40"/>
      <c r="Y295" s="40"/>
      <c r="Z295" s="635"/>
      <c r="AA295" s="51">
        <f t="shared" si="219"/>
        <v>0</v>
      </c>
      <c r="AB295" s="634"/>
      <c r="AC295" s="40"/>
      <c r="AD295" s="40"/>
      <c r="AE295" s="634"/>
      <c r="AF295" s="635"/>
      <c r="AG295" s="635"/>
      <c r="AH295" s="635"/>
      <c r="AI295" s="634"/>
      <c r="AJ295" s="635"/>
      <c r="AK295" s="659"/>
      <c r="AL295" s="648"/>
      <c r="AM295" s="40"/>
      <c r="AN295" s="40"/>
      <c r="AO295" s="40"/>
      <c r="AP295" s="40"/>
      <c r="AQ295" s="40"/>
      <c r="AR295" s="635"/>
      <c r="AS295" s="151">
        <f t="shared" si="214"/>
        <v>0</v>
      </c>
      <c r="AT295" s="153"/>
      <c r="AU295" s="40"/>
      <c r="AV295" s="154"/>
      <c r="AW295" s="154"/>
      <c r="AX295" s="635"/>
      <c r="AY295" s="635"/>
      <c r="AZ295" s="635"/>
      <c r="BA295" s="154"/>
      <c r="BB295" s="635"/>
      <c r="BC295" s="155"/>
      <c r="BD295" s="662"/>
      <c r="BE295" s="662"/>
      <c r="BF295" s="117"/>
      <c r="BG295" s="117"/>
      <c r="BH295" s="117"/>
      <c r="BI295" s="117"/>
      <c r="BJ295" s="117"/>
      <c r="BK295" s="662"/>
      <c r="BL295" s="118"/>
      <c r="BM295" s="662"/>
      <c r="BN295" s="662"/>
      <c r="BO295" s="118"/>
      <c r="BP295" s="662"/>
      <c r="BQ295" s="662"/>
      <c r="BR295" s="662"/>
      <c r="BS295" s="662"/>
      <c r="BT295" s="118"/>
      <c r="BU295" s="662"/>
      <c r="BV295" s="662"/>
      <c r="BW295" s="118"/>
      <c r="BX295" s="118"/>
      <c r="BY295" s="118"/>
      <c r="BZ295" s="118"/>
      <c r="CA295" s="118"/>
      <c r="CB295" s="118"/>
      <c r="CC295" s="118"/>
      <c r="CD295" s="118"/>
      <c r="CE295" s="118"/>
      <c r="CF295" s="118"/>
      <c r="CG295" s="118"/>
      <c r="CH295" s="118"/>
      <c r="CI295" s="118"/>
      <c r="CJ295" s="118"/>
      <c r="CK295" s="118"/>
      <c r="CL295" s="118"/>
      <c r="CM295" s="118"/>
      <c r="CN295" s="92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94"/>
      <c r="DD295" s="118"/>
      <c r="DE295" s="118"/>
      <c r="DF295" s="118"/>
      <c r="DG295" s="118"/>
      <c r="DH295" s="118"/>
      <c r="DI295" s="118"/>
      <c r="DJ295" s="118"/>
      <c r="DK295" s="118"/>
      <c r="DL295" s="118"/>
      <c r="DM295" s="118"/>
      <c r="DN295" s="118"/>
      <c r="DO295" s="118"/>
      <c r="DP295" s="118"/>
      <c r="DQ295" s="118"/>
      <c r="DR295" s="118"/>
      <c r="DS295" s="118"/>
      <c r="DT295" s="118"/>
      <c r="DU295" s="19"/>
      <c r="DV295" s="19"/>
      <c r="DW295" s="19"/>
      <c r="DX295" s="19"/>
      <c r="DY295" s="19"/>
      <c r="DZ295" s="19"/>
    </row>
    <row r="296" spans="1:130" ht="12.75" x14ac:dyDescent="0.2">
      <c r="A296" s="654"/>
      <c r="B296" s="655">
        <v>46127</v>
      </c>
      <c r="C296" s="29">
        <v>10</v>
      </c>
      <c r="D296" s="29">
        <v>741</v>
      </c>
      <c r="E296" s="29">
        <v>7458</v>
      </c>
      <c r="F296" s="29">
        <v>7500</v>
      </c>
      <c r="G296" s="30"/>
      <c r="H296" s="649"/>
      <c r="I296" s="51">
        <f t="shared" si="215"/>
        <v>42</v>
      </c>
      <c r="J296" s="650">
        <f>SUM(I296:I299,H296)</f>
        <v>67</v>
      </c>
      <c r="K296" s="30"/>
      <c r="L296" s="30"/>
      <c r="M296" s="649">
        <v>0.55000000000000004</v>
      </c>
      <c r="N296" s="649">
        <v>0.45</v>
      </c>
      <c r="O296" s="656">
        <f>SUM(M296:N299)</f>
        <v>1</v>
      </c>
      <c r="P296" s="649"/>
      <c r="Q296" s="644">
        <f>M296*60</f>
        <v>33</v>
      </c>
      <c r="R296" s="657">
        <f>IF(
   COUNTIF(K296:K299,"SI")&gt;0,
   1.8,
   IF(
      COUNTIF(L296:L299,"SI")&gt;0,
      1.6,
      2
   )
)</f>
        <v>2</v>
      </c>
      <c r="S296" s="658">
        <f>IF(Q296=0,0,J296/Q296)</f>
        <v>2.0303030303030303</v>
      </c>
      <c r="T296" s="655">
        <v>46127</v>
      </c>
      <c r="U296" s="30"/>
      <c r="V296" s="28"/>
      <c r="W296" s="28"/>
      <c r="X296" s="28"/>
      <c r="Y296" s="29"/>
      <c r="Z296" s="640">
        <v>0</v>
      </c>
      <c r="AA296" s="51">
        <f t="shared" si="219"/>
        <v>0</v>
      </c>
      <c r="AB296" s="650">
        <f>SUM(AA296:AA299,Z296)</f>
        <v>0</v>
      </c>
      <c r="AC296" s="28"/>
      <c r="AD296" s="28"/>
      <c r="AE296" s="640"/>
      <c r="AF296" s="640"/>
      <c r="AG296" s="633">
        <f>SUM(AE296:AF299)</f>
        <v>0</v>
      </c>
      <c r="AH296" s="640">
        <v>2.25</v>
      </c>
      <c r="AI296" s="640">
        <f>AE296*60</f>
        <v>0</v>
      </c>
      <c r="AJ296" s="657">
        <f>IF(
   COUNTIF(AC296:AC299,"SI")&gt;0,
   1.8,
   IF(
      COUNTIF(AD296:AD299,"SI")&gt;0,
      1.6,
      2
   )
)</f>
        <v>2</v>
      </c>
      <c r="AK296" s="679" t="e">
        <f>AB296/AI296</f>
        <v>#DIV/0!</v>
      </c>
      <c r="AL296" s="655">
        <v>46127</v>
      </c>
      <c r="AM296" s="29">
        <f>118-55</f>
        <v>63</v>
      </c>
      <c r="AN296" s="31">
        <v>698</v>
      </c>
      <c r="AO296" s="31">
        <v>1753</v>
      </c>
      <c r="AP296" s="31">
        <v>2001</v>
      </c>
      <c r="AQ296" s="31"/>
      <c r="AR296" s="653"/>
      <c r="AS296" s="150">
        <f t="shared" si="214"/>
        <v>248</v>
      </c>
      <c r="AT296" s="650">
        <f>SUM(AS296:AS298,AR296)</f>
        <v>834</v>
      </c>
      <c r="AU296" s="653"/>
      <c r="AV296" s="653">
        <v>5.5</v>
      </c>
      <c r="AW296" s="40"/>
      <c r="AX296" s="653">
        <v>1.5</v>
      </c>
      <c r="AY296" s="633">
        <f>SUM(AV296:AX299)</f>
        <v>7</v>
      </c>
      <c r="AZ296" s="636">
        <v>1.1499999999999999</v>
      </c>
      <c r="BA296" s="640">
        <f>AV296*60</f>
        <v>330</v>
      </c>
      <c r="BB296" s="657">
        <f>IF(
   COUNTIF(AU296:AU299,"SI")&gt;0,
   1.8,
   IF(
      COUNTIF(AV296:AV299,"SI")&gt;0,
      1.6,
      2
   )
)</f>
        <v>2</v>
      </c>
      <c r="BC296" s="666">
        <f>IF(BA296=0,0,AT296/BA296)</f>
        <v>2.5272727272727273</v>
      </c>
      <c r="BD296" s="662"/>
      <c r="BE296" s="662"/>
      <c r="BF296" s="117"/>
      <c r="BG296" s="117"/>
      <c r="BH296" s="117"/>
      <c r="BI296" s="117"/>
      <c r="BJ296" s="117"/>
      <c r="BK296" s="662"/>
      <c r="BL296" s="118"/>
      <c r="BM296" s="662"/>
      <c r="BN296" s="662"/>
      <c r="BO296" s="118"/>
      <c r="BP296" s="662"/>
      <c r="BQ296" s="662"/>
      <c r="BR296" s="662"/>
      <c r="BS296" s="662"/>
      <c r="BT296" s="118"/>
      <c r="BU296" s="662"/>
      <c r="BV296" s="662"/>
      <c r="BW296" s="118"/>
      <c r="BX296" s="118"/>
      <c r="BY296" s="118"/>
      <c r="BZ296" s="118"/>
      <c r="CA296" s="118"/>
      <c r="CB296" s="118"/>
      <c r="CC296" s="118"/>
      <c r="CD296" s="118"/>
      <c r="CE296" s="118"/>
      <c r="CF296" s="118"/>
      <c r="CG296" s="118"/>
      <c r="CH296" s="118"/>
      <c r="CI296" s="118"/>
      <c r="CJ296" s="118"/>
      <c r="CK296" s="118"/>
      <c r="CL296" s="118"/>
      <c r="CM296" s="118"/>
      <c r="CN296" s="92"/>
      <c r="CO296" s="93"/>
      <c r="CP296" s="93"/>
      <c r="CQ296" s="93"/>
      <c r="CR296" s="93"/>
      <c r="CS296" s="93"/>
      <c r="CT296" s="93"/>
      <c r="CU296" s="93"/>
      <c r="CV296" s="93"/>
      <c r="CW296" s="93"/>
      <c r="CX296" s="93"/>
      <c r="CY296" s="93"/>
      <c r="CZ296" s="93"/>
      <c r="DA296" s="93"/>
      <c r="DB296" s="93"/>
      <c r="DC296" s="94"/>
      <c r="DD296" s="118"/>
      <c r="DE296" s="118"/>
      <c r="DF296" s="118"/>
      <c r="DG296" s="118"/>
      <c r="DH296" s="118"/>
      <c r="DI296" s="118"/>
      <c r="DJ296" s="118"/>
      <c r="DK296" s="118"/>
      <c r="DL296" s="118"/>
      <c r="DM296" s="118"/>
      <c r="DN296" s="118"/>
      <c r="DO296" s="118"/>
      <c r="DP296" s="118"/>
      <c r="DQ296" s="118"/>
      <c r="DR296" s="118"/>
      <c r="DS296" s="118"/>
      <c r="DT296" s="118"/>
      <c r="DU296" s="19"/>
      <c r="DV296" s="19"/>
      <c r="DW296" s="19"/>
      <c r="DX296" s="19"/>
      <c r="DY296" s="19"/>
      <c r="DZ296" s="19"/>
    </row>
    <row r="297" spans="1:130" ht="12.75" x14ac:dyDescent="0.2">
      <c r="A297" s="647"/>
      <c r="B297" s="647"/>
      <c r="C297" s="29">
        <v>4</v>
      </c>
      <c r="D297" s="29">
        <v>700</v>
      </c>
      <c r="E297" s="29">
        <v>2500</v>
      </c>
      <c r="F297" s="29">
        <v>2525</v>
      </c>
      <c r="G297" s="30"/>
      <c r="H297" s="634"/>
      <c r="I297" s="51">
        <f t="shared" si="215"/>
        <v>25</v>
      </c>
      <c r="J297" s="634"/>
      <c r="K297" s="30"/>
      <c r="L297" s="30"/>
      <c r="M297" s="634"/>
      <c r="N297" s="634"/>
      <c r="O297" s="634"/>
      <c r="P297" s="634"/>
      <c r="Q297" s="634"/>
      <c r="R297" s="634"/>
      <c r="S297" s="659"/>
      <c r="T297" s="647"/>
      <c r="U297" s="30"/>
      <c r="V297" s="28"/>
      <c r="W297" s="28"/>
      <c r="X297" s="28"/>
      <c r="Y297" s="29"/>
      <c r="Z297" s="634"/>
      <c r="AA297" s="51">
        <f t="shared" si="219"/>
        <v>0</v>
      </c>
      <c r="AB297" s="634"/>
      <c r="AC297" s="28"/>
      <c r="AD297" s="28"/>
      <c r="AE297" s="634"/>
      <c r="AF297" s="634"/>
      <c r="AG297" s="634"/>
      <c r="AH297" s="634"/>
      <c r="AI297" s="634"/>
      <c r="AJ297" s="634"/>
      <c r="AK297" s="659"/>
      <c r="AL297" s="647"/>
      <c r="AM297" s="29">
        <v>115</v>
      </c>
      <c r="AN297" s="31">
        <v>701</v>
      </c>
      <c r="AO297" s="31">
        <v>3003</v>
      </c>
      <c r="AP297" s="31">
        <v>3502</v>
      </c>
      <c r="AQ297" s="31"/>
      <c r="AR297" s="634"/>
      <c r="AS297" s="150">
        <f t="shared" si="214"/>
        <v>499</v>
      </c>
      <c r="AT297" s="634"/>
      <c r="AU297" s="634"/>
      <c r="AV297" s="634"/>
      <c r="AW297" s="40"/>
      <c r="AX297" s="634"/>
      <c r="AY297" s="634"/>
      <c r="AZ297" s="634"/>
      <c r="BA297" s="634"/>
      <c r="BB297" s="634"/>
      <c r="BC297" s="634"/>
      <c r="BD297" s="663"/>
      <c r="BE297" s="668"/>
      <c r="BF297" s="117"/>
      <c r="BG297" s="117"/>
      <c r="BH297" s="117"/>
      <c r="BI297" s="117"/>
      <c r="BJ297" s="117"/>
      <c r="BK297" s="661"/>
      <c r="BL297" s="118"/>
      <c r="BM297" s="663"/>
      <c r="BN297" s="663"/>
      <c r="BO297" s="118"/>
      <c r="BP297" s="663"/>
      <c r="BQ297" s="663"/>
      <c r="BR297" s="663"/>
      <c r="BS297" s="663"/>
      <c r="BT297" s="118"/>
      <c r="BU297" s="663"/>
      <c r="BV297" s="663"/>
      <c r="BW297" s="118"/>
      <c r="BX297" s="118"/>
      <c r="BY297" s="118"/>
      <c r="BZ297" s="118"/>
      <c r="CA297" s="118"/>
      <c r="CB297" s="118"/>
      <c r="CC297" s="118"/>
      <c r="CD297" s="118"/>
      <c r="CE297" s="118"/>
      <c r="CF297" s="118"/>
      <c r="CG297" s="118"/>
      <c r="CH297" s="118"/>
      <c r="CI297" s="118"/>
      <c r="CJ297" s="118"/>
      <c r="CK297" s="118"/>
      <c r="CL297" s="118"/>
      <c r="CM297" s="118"/>
      <c r="CN297" s="92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4"/>
      <c r="DD297" s="118"/>
      <c r="DE297" s="118"/>
      <c r="DF297" s="118"/>
      <c r="DG297" s="118"/>
      <c r="DH297" s="118"/>
      <c r="DI297" s="118"/>
      <c r="DJ297" s="118"/>
      <c r="DK297" s="118"/>
      <c r="DL297" s="118"/>
      <c r="DM297" s="118"/>
      <c r="DN297" s="118"/>
      <c r="DO297" s="118"/>
      <c r="DP297" s="118"/>
      <c r="DQ297" s="118"/>
      <c r="DR297" s="118"/>
      <c r="DS297" s="118"/>
      <c r="DT297" s="118"/>
      <c r="DU297" s="19"/>
      <c r="DV297" s="19"/>
      <c r="DW297" s="19"/>
      <c r="DX297" s="19"/>
      <c r="DY297" s="19"/>
      <c r="DZ297" s="19"/>
    </row>
    <row r="298" spans="1:130" ht="12.75" x14ac:dyDescent="0.2">
      <c r="A298" s="647"/>
      <c r="B298" s="647"/>
      <c r="C298" s="30"/>
      <c r="D298" s="30"/>
      <c r="E298" s="30"/>
      <c r="F298" s="30"/>
      <c r="G298" s="30"/>
      <c r="H298" s="634"/>
      <c r="I298" s="51">
        <f t="shared" si="215"/>
        <v>0</v>
      </c>
      <c r="J298" s="634"/>
      <c r="K298" s="30"/>
      <c r="L298" s="30"/>
      <c r="M298" s="634"/>
      <c r="N298" s="634"/>
      <c r="O298" s="634"/>
      <c r="P298" s="634"/>
      <c r="Q298" s="634"/>
      <c r="R298" s="634"/>
      <c r="S298" s="659"/>
      <c r="T298" s="647"/>
      <c r="U298" s="30"/>
      <c r="V298" s="28"/>
      <c r="W298" s="28"/>
      <c r="X298" s="28"/>
      <c r="Y298" s="29"/>
      <c r="Z298" s="634"/>
      <c r="AA298" s="51">
        <f t="shared" si="219"/>
        <v>0</v>
      </c>
      <c r="AB298" s="634"/>
      <c r="AC298" s="51"/>
      <c r="AD298" s="51"/>
      <c r="AE298" s="634"/>
      <c r="AF298" s="634"/>
      <c r="AG298" s="634"/>
      <c r="AH298" s="634"/>
      <c r="AI298" s="634"/>
      <c r="AJ298" s="634"/>
      <c r="AK298" s="659"/>
      <c r="AL298" s="647"/>
      <c r="AM298" s="29">
        <v>22</v>
      </c>
      <c r="AN298" s="31">
        <v>702</v>
      </c>
      <c r="AO298" s="31">
        <v>3503</v>
      </c>
      <c r="AP298" s="31">
        <v>3590</v>
      </c>
      <c r="AQ298" s="40"/>
      <c r="AR298" s="634"/>
      <c r="AS298" s="150">
        <f t="shared" si="214"/>
        <v>87</v>
      </c>
      <c r="AT298" s="635"/>
      <c r="AU298" s="635"/>
      <c r="AV298" s="635"/>
      <c r="AW298" s="40"/>
      <c r="AX298" s="634"/>
      <c r="AY298" s="634"/>
      <c r="AZ298" s="634"/>
      <c r="BA298" s="634"/>
      <c r="BB298" s="634"/>
      <c r="BC298" s="634"/>
      <c r="BD298" s="662"/>
      <c r="BE298" s="662"/>
      <c r="BF298" s="120"/>
      <c r="BG298" s="120"/>
      <c r="BH298" s="120"/>
      <c r="BI298" s="120"/>
      <c r="BJ298" s="120"/>
      <c r="BK298" s="662"/>
      <c r="BL298" s="118"/>
      <c r="BM298" s="662"/>
      <c r="BN298" s="662"/>
      <c r="BO298" s="118"/>
      <c r="BP298" s="662"/>
      <c r="BQ298" s="662"/>
      <c r="BR298" s="662"/>
      <c r="BS298" s="662"/>
      <c r="BT298" s="118"/>
      <c r="BU298" s="662"/>
      <c r="BV298" s="662"/>
      <c r="BW298" s="118"/>
      <c r="BX298" s="118"/>
      <c r="BY298" s="118"/>
      <c r="BZ298" s="118"/>
      <c r="CA298" s="118"/>
      <c r="CB298" s="118"/>
      <c r="CC298" s="118"/>
      <c r="CD298" s="118"/>
      <c r="CE298" s="118"/>
      <c r="CF298" s="118"/>
      <c r="CG298" s="118"/>
      <c r="CH298" s="118"/>
      <c r="CI298" s="118"/>
      <c r="CJ298" s="118"/>
      <c r="CK298" s="118"/>
      <c r="CL298" s="118"/>
      <c r="CM298" s="118"/>
      <c r="CN298" s="92"/>
      <c r="CO298" s="93"/>
      <c r="CP298" s="93"/>
      <c r="CQ298" s="93"/>
      <c r="CR298" s="93"/>
      <c r="CS298" s="93"/>
      <c r="CT298" s="93"/>
      <c r="CU298" s="93"/>
      <c r="CV298" s="93"/>
      <c r="CW298" s="93"/>
      <c r="CX298" s="93"/>
      <c r="CY298" s="93"/>
      <c r="CZ298" s="93"/>
      <c r="DA298" s="93"/>
      <c r="DB298" s="93"/>
      <c r="DC298" s="94"/>
      <c r="DD298" s="118"/>
      <c r="DE298" s="118"/>
      <c r="DF298" s="118"/>
      <c r="DG298" s="118"/>
      <c r="DH298" s="118"/>
      <c r="DI298" s="118"/>
      <c r="DJ298" s="118"/>
      <c r="DK298" s="118"/>
      <c r="DL298" s="118"/>
      <c r="DM298" s="118"/>
      <c r="DN298" s="118"/>
      <c r="DO298" s="118"/>
      <c r="DP298" s="118"/>
      <c r="DQ298" s="118"/>
      <c r="DR298" s="118"/>
      <c r="DS298" s="118"/>
      <c r="DT298" s="118"/>
      <c r="DU298" s="19"/>
      <c r="DV298" s="19"/>
      <c r="DW298" s="19"/>
      <c r="DX298" s="19"/>
      <c r="DY298" s="19"/>
      <c r="DZ298" s="19"/>
    </row>
    <row r="299" spans="1:130" ht="12.75" x14ac:dyDescent="0.2">
      <c r="A299" s="648"/>
      <c r="B299" s="648"/>
      <c r="C299" s="30"/>
      <c r="D299" s="30"/>
      <c r="E299" s="30"/>
      <c r="F299" s="30"/>
      <c r="G299" s="30"/>
      <c r="H299" s="635"/>
      <c r="I299" s="51">
        <f t="shared" si="215"/>
        <v>0</v>
      </c>
      <c r="J299" s="635"/>
      <c r="K299" s="30"/>
      <c r="L299" s="30"/>
      <c r="M299" s="635"/>
      <c r="N299" s="635"/>
      <c r="O299" s="635"/>
      <c r="P299" s="635"/>
      <c r="Q299" s="635"/>
      <c r="R299" s="635"/>
      <c r="S299" s="660"/>
      <c r="T299" s="648"/>
      <c r="U299" s="30"/>
      <c r="V299" s="30"/>
      <c r="W299" s="30"/>
      <c r="X299" s="30"/>
      <c r="Y299" s="30"/>
      <c r="Z299" s="635"/>
      <c r="AA299" s="51">
        <f t="shared" si="219"/>
        <v>0</v>
      </c>
      <c r="AB299" s="635"/>
      <c r="AC299" s="30"/>
      <c r="AD299" s="30"/>
      <c r="AE299" s="635"/>
      <c r="AF299" s="635"/>
      <c r="AG299" s="635"/>
      <c r="AH299" s="635"/>
      <c r="AI299" s="634"/>
      <c r="AJ299" s="635"/>
      <c r="AK299" s="659"/>
      <c r="AL299" s="648"/>
      <c r="AM299" s="30"/>
      <c r="AN299" s="40"/>
      <c r="AO299" s="40"/>
      <c r="AP299" s="40"/>
      <c r="AQ299" s="40"/>
      <c r="AR299" s="635"/>
      <c r="AS299" s="150">
        <f t="shared" si="214"/>
        <v>0</v>
      </c>
      <c r="AT299" s="153"/>
      <c r="AU299" s="40"/>
      <c r="AV299" s="154"/>
      <c r="AW299" s="154"/>
      <c r="AX299" s="635"/>
      <c r="AY299" s="635"/>
      <c r="AZ299" s="635"/>
      <c r="BA299" s="635"/>
      <c r="BB299" s="635"/>
      <c r="BC299" s="635"/>
      <c r="BD299" s="662"/>
      <c r="BE299" s="662"/>
      <c r="BF299" s="120"/>
      <c r="BG299" s="120"/>
      <c r="BH299" s="120"/>
      <c r="BI299" s="120"/>
      <c r="BJ299" s="120"/>
      <c r="BK299" s="662"/>
      <c r="BL299" s="118"/>
      <c r="BM299" s="662"/>
      <c r="BN299" s="662"/>
      <c r="BO299" s="118"/>
      <c r="BP299" s="662"/>
      <c r="BQ299" s="662"/>
      <c r="BR299" s="662"/>
      <c r="BS299" s="662"/>
      <c r="BT299" s="118"/>
      <c r="BU299" s="662"/>
      <c r="BV299" s="662"/>
      <c r="BW299" s="118"/>
      <c r="BX299" s="118"/>
      <c r="BY299" s="118"/>
      <c r="BZ299" s="118"/>
      <c r="CA299" s="118"/>
      <c r="CB299" s="118"/>
      <c r="CC299" s="118"/>
      <c r="CD299" s="118"/>
      <c r="CE299" s="118"/>
      <c r="CF299" s="118"/>
      <c r="CG299" s="118"/>
      <c r="CH299" s="118"/>
      <c r="CI299" s="118"/>
      <c r="CJ299" s="118"/>
      <c r="CK299" s="118"/>
      <c r="CL299" s="118"/>
      <c r="CM299" s="118"/>
      <c r="CN299" s="92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94"/>
      <c r="DD299" s="118"/>
      <c r="DE299" s="118"/>
      <c r="DF299" s="118"/>
      <c r="DG299" s="118"/>
      <c r="DH299" s="118"/>
      <c r="DI299" s="118"/>
      <c r="DJ299" s="118"/>
      <c r="DK299" s="118"/>
      <c r="DL299" s="118"/>
      <c r="DM299" s="118"/>
      <c r="DN299" s="118"/>
      <c r="DO299" s="118"/>
      <c r="DP299" s="118"/>
      <c r="DQ299" s="118"/>
      <c r="DR299" s="118"/>
      <c r="DS299" s="118"/>
      <c r="DT299" s="118"/>
      <c r="DU299" s="19"/>
      <c r="DV299" s="19"/>
      <c r="DW299" s="19"/>
      <c r="DX299" s="19"/>
      <c r="DY299" s="19"/>
      <c r="DZ299" s="19"/>
    </row>
    <row r="300" spans="1:130" ht="12.75" x14ac:dyDescent="0.2">
      <c r="A300" s="651"/>
      <c r="B300" s="646">
        <v>46128</v>
      </c>
      <c r="C300" s="31"/>
      <c r="D300" s="31"/>
      <c r="E300" s="31"/>
      <c r="F300" s="31"/>
      <c r="G300" s="142"/>
      <c r="H300" s="652"/>
      <c r="I300" s="150">
        <f t="shared" si="215"/>
        <v>0</v>
      </c>
      <c r="J300" s="650">
        <f>SUM(I300:I303,H300)</f>
        <v>0</v>
      </c>
      <c r="K300" s="40"/>
      <c r="L300" s="40"/>
      <c r="M300" s="653"/>
      <c r="N300" s="653"/>
      <c r="O300" s="633">
        <f>SUM(M300:N303)</f>
        <v>0</v>
      </c>
      <c r="P300" s="653"/>
      <c r="Q300" s="636">
        <f>M300*60</f>
        <v>0</v>
      </c>
      <c r="R300" s="657">
        <f>IF(
   COUNTIF(K300:K303,"SI")&gt;0,
   1.8,
   IF(
      COUNTIF(L300:L303,"SI")&gt;0,
      1.6,
      2
   )
)</f>
        <v>2</v>
      </c>
      <c r="S300" s="658">
        <f>IF(Q300=0,0,J300/Q300)</f>
        <v>0</v>
      </c>
      <c r="T300" s="646">
        <v>46128</v>
      </c>
      <c r="U300" s="40"/>
      <c r="V300" s="31"/>
      <c r="W300" s="31"/>
      <c r="X300" s="31"/>
      <c r="Y300" s="31"/>
      <c r="Z300" s="653">
        <v>0</v>
      </c>
      <c r="AA300" s="51">
        <f t="shared" si="219"/>
        <v>0</v>
      </c>
      <c r="AB300" s="650">
        <f>SUM(AA300:AA303,Z300)</f>
        <v>0</v>
      </c>
      <c r="AC300" s="31"/>
      <c r="AD300" s="31"/>
      <c r="AE300" s="653"/>
      <c r="AF300" s="636"/>
      <c r="AG300" s="633">
        <f>SUM(AE300:AF303)</f>
        <v>0</v>
      </c>
      <c r="AH300" s="636">
        <v>0</v>
      </c>
      <c r="AI300" s="636">
        <f>AE300*60</f>
        <v>0</v>
      </c>
      <c r="AJ300" s="657">
        <f>IF(
   COUNTIF(AC300:AC303,"SI")&gt;0,
   1.8,
   IF(
      COUNTIF(AD300:AD303,"SI")&gt;0,
      1.6,
      2
   )
)</f>
        <v>2</v>
      </c>
      <c r="AK300" s="658">
        <f>IF(AI300=0,0,AB300/AI300)</f>
        <v>0</v>
      </c>
      <c r="AL300" s="646">
        <v>46128</v>
      </c>
      <c r="AM300" s="28">
        <v>96</v>
      </c>
      <c r="AN300" s="28">
        <v>702</v>
      </c>
      <c r="AO300" s="28">
        <v>3591</v>
      </c>
      <c r="AP300" s="41">
        <v>4001</v>
      </c>
      <c r="AQ300" s="28">
        <v>4</v>
      </c>
      <c r="AR300" s="649"/>
      <c r="AS300" s="39">
        <f t="shared" si="214"/>
        <v>406</v>
      </c>
      <c r="AT300" s="650">
        <f>SUM(AS300:AS303)+AR300</f>
        <v>1200</v>
      </c>
      <c r="AU300" s="39"/>
      <c r="AV300" s="640">
        <v>8.3000000000000007</v>
      </c>
      <c r="AW300" s="159"/>
      <c r="AX300" s="640">
        <v>0.5</v>
      </c>
      <c r="AY300" s="633">
        <f>SUM(AV300,AX300)</f>
        <v>8.8000000000000007</v>
      </c>
      <c r="AZ300" s="636">
        <v>0.25</v>
      </c>
      <c r="BA300" s="636">
        <f>AV300*60</f>
        <v>498.00000000000006</v>
      </c>
      <c r="BB300" s="657">
        <f>IF(
   COUNTIF(AU300:AU303,"SI")&gt;0,
   1.8,
   IF(
      COUNTIF(AV300:AV303,"SI")&gt;0,
      1.6,
      2
   )
)</f>
        <v>2</v>
      </c>
      <c r="BC300" s="645">
        <f>IF(BA300=0,0,AT300/BA300)</f>
        <v>2.4096385542168672</v>
      </c>
      <c r="BD300" s="121"/>
      <c r="BE300" s="119"/>
      <c r="BF300" s="121"/>
      <c r="BG300" s="121"/>
      <c r="BH300" s="121"/>
      <c r="BI300" s="121"/>
      <c r="BJ300" s="121"/>
      <c r="BK300" s="121"/>
      <c r="BL300" s="121"/>
      <c r="BM300" s="121"/>
      <c r="BN300" s="121"/>
      <c r="BO300" s="121"/>
      <c r="BP300" s="121"/>
      <c r="BQ300" s="121"/>
      <c r="BR300" s="121"/>
      <c r="BS300" s="121"/>
      <c r="BT300" s="121"/>
      <c r="BU300" s="121"/>
      <c r="BV300" s="121"/>
      <c r="BW300" s="118"/>
      <c r="BX300" s="118"/>
      <c r="BY300" s="118"/>
      <c r="BZ300" s="118"/>
      <c r="CA300" s="118"/>
      <c r="CB300" s="118"/>
      <c r="CC300" s="118"/>
      <c r="CD300" s="118"/>
      <c r="CE300" s="118"/>
      <c r="CF300" s="118"/>
      <c r="CG300" s="118"/>
      <c r="CH300" s="118"/>
      <c r="CI300" s="118"/>
      <c r="CJ300" s="118"/>
      <c r="CK300" s="118"/>
      <c r="CL300" s="118"/>
      <c r="CM300" s="118"/>
      <c r="CN300" s="92"/>
      <c r="CO300" s="93"/>
      <c r="CP300" s="93"/>
      <c r="CQ300" s="93"/>
      <c r="CR300" s="93"/>
      <c r="CS300" s="93"/>
      <c r="CT300" s="93"/>
      <c r="CU300" s="93"/>
      <c r="CV300" s="93"/>
      <c r="CW300" s="93"/>
      <c r="CX300" s="93"/>
      <c r="CY300" s="93"/>
      <c r="CZ300" s="93"/>
      <c r="DA300" s="93"/>
      <c r="DB300" s="93"/>
      <c r="DC300" s="94"/>
      <c r="DD300" s="118"/>
      <c r="DE300" s="118"/>
      <c r="DF300" s="118"/>
      <c r="DG300" s="118"/>
      <c r="DH300" s="118"/>
      <c r="DI300" s="118"/>
      <c r="DJ300" s="118"/>
      <c r="DK300" s="118"/>
      <c r="DL300" s="118"/>
      <c r="DM300" s="118"/>
      <c r="DN300" s="118"/>
      <c r="DO300" s="118"/>
      <c r="DP300" s="118"/>
      <c r="DQ300" s="118"/>
      <c r="DR300" s="118"/>
      <c r="DS300" s="118"/>
      <c r="DT300" s="118"/>
      <c r="DU300" s="19"/>
      <c r="DV300" s="19"/>
      <c r="DW300" s="19"/>
      <c r="DX300" s="19"/>
      <c r="DY300" s="19"/>
      <c r="DZ300" s="19"/>
    </row>
    <row r="301" spans="1:130" ht="12.75" x14ac:dyDescent="0.2">
      <c r="A301" s="647"/>
      <c r="B301" s="647"/>
      <c r="C301" s="40"/>
      <c r="D301" s="40"/>
      <c r="E301" s="40"/>
      <c r="F301" s="40"/>
      <c r="G301" s="40"/>
      <c r="H301" s="634"/>
      <c r="I301" s="150">
        <f t="shared" si="215"/>
        <v>0</v>
      </c>
      <c r="J301" s="634"/>
      <c r="K301" s="40"/>
      <c r="L301" s="40"/>
      <c r="M301" s="634"/>
      <c r="N301" s="634"/>
      <c r="O301" s="634"/>
      <c r="P301" s="634"/>
      <c r="Q301" s="634"/>
      <c r="R301" s="634"/>
      <c r="S301" s="659"/>
      <c r="T301" s="647"/>
      <c r="U301" s="40"/>
      <c r="V301" s="31"/>
      <c r="W301" s="40"/>
      <c r="X301" s="40"/>
      <c r="Y301" s="40"/>
      <c r="Z301" s="634"/>
      <c r="AA301" s="51">
        <f t="shared" si="219"/>
        <v>0</v>
      </c>
      <c r="AB301" s="634"/>
      <c r="AC301" s="40"/>
      <c r="AD301" s="40"/>
      <c r="AE301" s="634"/>
      <c r="AF301" s="634"/>
      <c r="AG301" s="634"/>
      <c r="AH301" s="634"/>
      <c r="AI301" s="634"/>
      <c r="AJ301" s="634"/>
      <c r="AK301" s="659"/>
      <c r="AL301" s="647"/>
      <c r="AM301" s="28">
        <v>121</v>
      </c>
      <c r="AN301" s="28">
        <v>703</v>
      </c>
      <c r="AO301" s="28">
        <v>4002</v>
      </c>
      <c r="AP301" s="28">
        <v>4502</v>
      </c>
      <c r="AQ301" s="29">
        <v>3</v>
      </c>
      <c r="AR301" s="634"/>
      <c r="AS301" s="51">
        <f t="shared" si="214"/>
        <v>497</v>
      </c>
      <c r="AT301" s="634"/>
      <c r="AU301" s="150"/>
      <c r="AV301" s="634"/>
      <c r="AW301" s="51"/>
      <c r="AX301" s="634"/>
      <c r="AY301" s="634"/>
      <c r="AZ301" s="634"/>
      <c r="BA301" s="634"/>
      <c r="BB301" s="634"/>
      <c r="BC301" s="634"/>
      <c r="BD301" s="663"/>
      <c r="BE301" s="668"/>
      <c r="BF301" s="118"/>
      <c r="BG301" s="118"/>
      <c r="BH301" s="118"/>
      <c r="BI301" s="118"/>
      <c r="BJ301" s="118"/>
      <c r="BK301" s="663"/>
      <c r="BL301" s="118"/>
      <c r="BM301" s="663"/>
      <c r="BN301" s="118"/>
      <c r="BO301" s="118"/>
      <c r="BP301" s="663"/>
      <c r="BQ301" s="663"/>
      <c r="BR301" s="663"/>
      <c r="BS301" s="663"/>
      <c r="BT301" s="118"/>
      <c r="BU301" s="663"/>
      <c r="BV301" s="663"/>
      <c r="BW301" s="118"/>
      <c r="BX301" s="118"/>
      <c r="BY301" s="118"/>
      <c r="BZ301" s="118"/>
      <c r="CA301" s="118"/>
      <c r="CB301" s="118"/>
      <c r="CC301" s="118"/>
      <c r="CD301" s="118"/>
      <c r="CE301" s="118"/>
      <c r="CF301" s="118"/>
      <c r="CG301" s="118"/>
      <c r="CH301" s="118"/>
      <c r="CI301" s="118"/>
      <c r="CJ301" s="118"/>
      <c r="CK301" s="118"/>
      <c r="CL301" s="118"/>
      <c r="CM301" s="118"/>
      <c r="CN301" s="92"/>
      <c r="CO301" s="93"/>
      <c r="CP301" s="93"/>
      <c r="CQ301" s="93"/>
      <c r="CR301" s="93"/>
      <c r="CS301" s="93"/>
      <c r="CT301" s="93"/>
      <c r="CU301" s="93"/>
      <c r="CV301" s="93"/>
      <c r="CW301" s="93"/>
      <c r="CX301" s="93"/>
      <c r="CY301" s="93"/>
      <c r="CZ301" s="93"/>
      <c r="DA301" s="93"/>
      <c r="DB301" s="93"/>
      <c r="DC301" s="94"/>
      <c r="DD301" s="118"/>
      <c r="DE301" s="118"/>
      <c r="DF301" s="118"/>
      <c r="DG301" s="118"/>
      <c r="DH301" s="118"/>
      <c r="DI301" s="118"/>
      <c r="DJ301" s="118"/>
      <c r="DK301" s="118"/>
      <c r="DL301" s="118"/>
      <c r="DM301" s="118"/>
      <c r="DN301" s="118"/>
      <c r="DO301" s="118"/>
      <c r="DP301" s="118"/>
      <c r="DQ301" s="118"/>
      <c r="DR301" s="118"/>
      <c r="DS301" s="118"/>
      <c r="DT301" s="118"/>
      <c r="DU301" s="19"/>
      <c r="DV301" s="19"/>
      <c r="DW301" s="19"/>
      <c r="DX301" s="19"/>
      <c r="DY301" s="19"/>
      <c r="DZ301" s="19"/>
    </row>
    <row r="302" spans="1:130" ht="12.75" x14ac:dyDescent="0.2">
      <c r="A302" s="647"/>
      <c r="B302" s="647"/>
      <c r="C302" s="40"/>
      <c r="D302" s="160"/>
      <c r="E302" s="160"/>
      <c r="F302" s="160"/>
      <c r="G302" s="160"/>
      <c r="H302" s="634"/>
      <c r="I302" s="39">
        <f t="shared" si="215"/>
        <v>0</v>
      </c>
      <c r="J302" s="634"/>
      <c r="K302" s="40"/>
      <c r="L302" s="40"/>
      <c r="M302" s="634"/>
      <c r="N302" s="634"/>
      <c r="O302" s="634"/>
      <c r="P302" s="634"/>
      <c r="Q302" s="634"/>
      <c r="R302" s="634"/>
      <c r="S302" s="659"/>
      <c r="T302" s="647"/>
      <c r="U302" s="40"/>
      <c r="V302" s="31"/>
      <c r="W302" s="40"/>
      <c r="X302" s="40"/>
      <c r="Y302" s="40"/>
      <c r="Z302" s="634"/>
      <c r="AA302" s="51">
        <f t="shared" si="219"/>
        <v>0</v>
      </c>
      <c r="AB302" s="634"/>
      <c r="AC302" s="40"/>
      <c r="AD302" s="40"/>
      <c r="AE302" s="634"/>
      <c r="AF302" s="634"/>
      <c r="AG302" s="634"/>
      <c r="AH302" s="634"/>
      <c r="AI302" s="634"/>
      <c r="AJ302" s="634"/>
      <c r="AK302" s="659"/>
      <c r="AL302" s="647"/>
      <c r="AM302" s="41"/>
      <c r="AN302" s="41">
        <v>704</v>
      </c>
      <c r="AO302" s="41">
        <v>4503</v>
      </c>
      <c r="AP302" s="41">
        <v>4800</v>
      </c>
      <c r="AQ302" s="48"/>
      <c r="AR302" s="634"/>
      <c r="AS302" s="51">
        <f t="shared" si="214"/>
        <v>297</v>
      </c>
      <c r="AT302" s="634"/>
      <c r="AU302" s="145"/>
      <c r="AV302" s="634"/>
      <c r="AW302" s="145"/>
      <c r="AX302" s="634"/>
      <c r="AY302" s="634"/>
      <c r="AZ302" s="634"/>
      <c r="BA302" s="634"/>
      <c r="BB302" s="634"/>
      <c r="BC302" s="634"/>
      <c r="BD302" s="662"/>
      <c r="BE302" s="662"/>
      <c r="BF302" s="118"/>
      <c r="BG302" s="118"/>
      <c r="BH302" s="118"/>
      <c r="BI302" s="118"/>
      <c r="BJ302" s="118"/>
      <c r="BK302" s="662"/>
      <c r="BL302" s="118"/>
      <c r="BM302" s="662"/>
      <c r="BN302" s="118"/>
      <c r="BO302" s="118"/>
      <c r="BP302" s="662"/>
      <c r="BQ302" s="662"/>
      <c r="BR302" s="662"/>
      <c r="BS302" s="662"/>
      <c r="BT302" s="118"/>
      <c r="BU302" s="662"/>
      <c r="BV302" s="662"/>
      <c r="BW302" s="118"/>
      <c r="BX302" s="118"/>
      <c r="BY302" s="118"/>
      <c r="BZ302" s="118"/>
      <c r="CA302" s="118"/>
      <c r="CB302" s="118"/>
      <c r="CC302" s="118"/>
      <c r="CD302" s="118"/>
      <c r="CE302" s="118"/>
      <c r="CF302" s="118"/>
      <c r="CG302" s="118"/>
      <c r="CH302" s="118"/>
      <c r="CI302" s="118"/>
      <c r="CJ302" s="118"/>
      <c r="CK302" s="118"/>
      <c r="CL302" s="118"/>
      <c r="CM302" s="118"/>
      <c r="CN302" s="92"/>
      <c r="CO302" s="93"/>
      <c r="CP302" s="93"/>
      <c r="CQ302" s="93"/>
      <c r="CR302" s="93"/>
      <c r="CS302" s="93"/>
      <c r="CT302" s="93"/>
      <c r="CU302" s="93"/>
      <c r="CV302" s="93"/>
      <c r="CW302" s="93"/>
      <c r="CX302" s="93"/>
      <c r="CY302" s="93"/>
      <c r="CZ302" s="93"/>
      <c r="DA302" s="93"/>
      <c r="DB302" s="93"/>
      <c r="DC302" s="94"/>
      <c r="DD302" s="118"/>
      <c r="DE302" s="118"/>
      <c r="DF302" s="118"/>
      <c r="DG302" s="118"/>
      <c r="DH302" s="118"/>
      <c r="DI302" s="118"/>
      <c r="DJ302" s="118"/>
      <c r="DK302" s="118"/>
      <c r="DL302" s="118"/>
      <c r="DM302" s="118"/>
      <c r="DN302" s="118"/>
      <c r="DO302" s="118"/>
      <c r="DP302" s="118"/>
      <c r="DQ302" s="118"/>
      <c r="DR302" s="118"/>
      <c r="DS302" s="118"/>
      <c r="DT302" s="118"/>
      <c r="DU302" s="19"/>
      <c r="DV302" s="19"/>
      <c r="DW302" s="19"/>
      <c r="DX302" s="19"/>
      <c r="DY302" s="19"/>
      <c r="DZ302" s="19"/>
    </row>
    <row r="303" spans="1:130" ht="12.75" x14ac:dyDescent="0.2">
      <c r="A303" s="648"/>
      <c r="B303" s="648"/>
      <c r="C303" s="40"/>
      <c r="D303" s="160"/>
      <c r="E303" s="160"/>
      <c r="F303" s="160"/>
      <c r="G303" s="160"/>
      <c r="H303" s="635"/>
      <c r="I303" s="39">
        <f t="shared" si="215"/>
        <v>0</v>
      </c>
      <c r="J303" s="635"/>
      <c r="K303" s="40"/>
      <c r="L303" s="40"/>
      <c r="M303" s="635"/>
      <c r="N303" s="635"/>
      <c r="O303" s="635"/>
      <c r="P303" s="635"/>
      <c r="Q303" s="635"/>
      <c r="R303" s="635"/>
      <c r="S303" s="660"/>
      <c r="T303" s="648"/>
      <c r="U303" s="40"/>
      <c r="V303" s="40"/>
      <c r="W303" s="40"/>
      <c r="X303" s="40"/>
      <c r="Y303" s="40"/>
      <c r="Z303" s="635"/>
      <c r="AA303" s="51">
        <f t="shared" si="219"/>
        <v>0</v>
      </c>
      <c r="AB303" s="635"/>
      <c r="AC303" s="40"/>
      <c r="AD303" s="40"/>
      <c r="AE303" s="635"/>
      <c r="AF303" s="635"/>
      <c r="AG303" s="635"/>
      <c r="AH303" s="635"/>
      <c r="AI303" s="635"/>
      <c r="AJ303" s="635"/>
      <c r="AK303" s="660"/>
      <c r="AL303" s="648"/>
      <c r="AM303" s="51"/>
      <c r="AN303" s="28"/>
      <c r="AO303" s="28"/>
      <c r="AP303" s="28"/>
      <c r="AQ303" s="51"/>
      <c r="AR303" s="635"/>
      <c r="AS303" s="51">
        <f t="shared" si="214"/>
        <v>0</v>
      </c>
      <c r="AT303" s="635"/>
      <c r="AU303" s="150"/>
      <c r="AV303" s="635"/>
      <c r="AW303" s="51"/>
      <c r="AX303" s="635"/>
      <c r="AY303" s="635"/>
      <c r="AZ303" s="635"/>
      <c r="BA303" s="634"/>
      <c r="BB303" s="635"/>
      <c r="BC303" s="635"/>
      <c r="BD303" s="662"/>
      <c r="BE303" s="662"/>
      <c r="BF303" s="118"/>
      <c r="BG303" s="118"/>
      <c r="BH303" s="118"/>
      <c r="BI303" s="118"/>
      <c r="BJ303" s="118"/>
      <c r="BK303" s="662"/>
      <c r="BL303" s="118"/>
      <c r="BM303" s="662"/>
      <c r="BN303" s="118"/>
      <c r="BO303" s="118"/>
      <c r="BP303" s="662"/>
      <c r="BQ303" s="662"/>
      <c r="BR303" s="662"/>
      <c r="BS303" s="662"/>
      <c r="BT303" s="118"/>
      <c r="BU303" s="662"/>
      <c r="BV303" s="662"/>
      <c r="BW303" s="118"/>
      <c r="BX303" s="118"/>
      <c r="BY303" s="118"/>
      <c r="BZ303" s="118"/>
      <c r="CA303" s="118"/>
      <c r="CB303" s="118"/>
      <c r="CC303" s="118"/>
      <c r="CD303" s="118"/>
      <c r="CE303" s="118"/>
      <c r="CF303" s="118"/>
      <c r="CG303" s="118"/>
      <c r="CH303" s="118"/>
      <c r="CI303" s="118"/>
      <c r="CJ303" s="118"/>
      <c r="CK303" s="118"/>
      <c r="CL303" s="118"/>
      <c r="CM303" s="118"/>
      <c r="CN303" s="92"/>
      <c r="CO303" s="93"/>
      <c r="CP303" s="93"/>
      <c r="CQ303" s="93"/>
      <c r="CR303" s="93"/>
      <c r="CS303" s="93"/>
      <c r="CT303" s="93"/>
      <c r="CU303" s="93"/>
      <c r="CV303" s="93"/>
      <c r="CW303" s="93"/>
      <c r="CX303" s="93"/>
      <c r="CY303" s="93"/>
      <c r="CZ303" s="93"/>
      <c r="DA303" s="93"/>
      <c r="DB303" s="93"/>
      <c r="DC303" s="94"/>
      <c r="DD303" s="118"/>
      <c r="DE303" s="118"/>
      <c r="DF303" s="118"/>
      <c r="DG303" s="118"/>
      <c r="DH303" s="118"/>
      <c r="DI303" s="118"/>
      <c r="DJ303" s="118"/>
      <c r="DK303" s="118"/>
      <c r="DL303" s="118"/>
      <c r="DM303" s="118"/>
      <c r="DN303" s="118"/>
      <c r="DO303" s="118"/>
      <c r="DP303" s="118"/>
      <c r="DQ303" s="118"/>
      <c r="DR303" s="118"/>
      <c r="DS303" s="118"/>
      <c r="DT303" s="118"/>
      <c r="DU303" s="19"/>
      <c r="DV303" s="19"/>
      <c r="DW303" s="19"/>
      <c r="DX303" s="19"/>
      <c r="DY303" s="19"/>
      <c r="DZ303" s="19"/>
    </row>
    <row r="304" spans="1:130" ht="12.75" x14ac:dyDescent="0.2">
      <c r="A304" s="654"/>
      <c r="B304" s="655">
        <v>46129</v>
      </c>
      <c r="C304" s="29">
        <v>24</v>
      </c>
      <c r="D304" s="29">
        <v>700</v>
      </c>
      <c r="E304" s="29">
        <v>2526</v>
      </c>
      <c r="F304" s="29">
        <v>2625</v>
      </c>
      <c r="G304" s="158"/>
      <c r="H304" s="649">
        <v>2</v>
      </c>
      <c r="I304" s="159">
        <f t="shared" si="215"/>
        <v>99</v>
      </c>
      <c r="J304" s="650">
        <f>SUM(I304:I307,H304)</f>
        <v>101</v>
      </c>
      <c r="K304" s="158"/>
      <c r="L304" s="158"/>
      <c r="M304" s="653">
        <v>0.8</v>
      </c>
      <c r="N304" s="653">
        <v>1</v>
      </c>
      <c r="O304" s="633">
        <f>SUM(M304:N307)</f>
        <v>1.8</v>
      </c>
      <c r="P304" s="649"/>
      <c r="Q304" s="640">
        <f>M304*60</f>
        <v>48</v>
      </c>
      <c r="R304" s="657">
        <f>IF(
   COUNTIF(K304:K307,"SI")&gt;0,
   1.8,
   IF(
      COUNTIF(L304:L307,"SI")&gt;0,
      1.6,
      2
   )
)</f>
        <v>2</v>
      </c>
      <c r="S304" s="658">
        <f>IF(Q304=0,0,J304/Q304)</f>
        <v>2.1041666666666665</v>
      </c>
      <c r="T304" s="655">
        <v>46129</v>
      </c>
      <c r="U304" s="30"/>
      <c r="V304" s="28"/>
      <c r="W304" s="28"/>
      <c r="X304" s="28"/>
      <c r="Y304" s="28"/>
      <c r="Z304" s="640"/>
      <c r="AA304" s="51">
        <f t="shared" si="219"/>
        <v>0</v>
      </c>
      <c r="AB304" s="650">
        <f>SUM(AA304:AA307,Z304)</f>
        <v>0</v>
      </c>
      <c r="AC304" s="28"/>
      <c r="AD304" s="28"/>
      <c r="AE304" s="640"/>
      <c r="AF304" s="640"/>
      <c r="AG304" s="633">
        <f>SUM(AE304:AF307)</f>
        <v>0</v>
      </c>
      <c r="AH304" s="640">
        <v>0</v>
      </c>
      <c r="AI304" s="640">
        <f>AE304*60</f>
        <v>0</v>
      </c>
      <c r="AJ304" s="657">
        <f>IF(
   COUNTIF(AC304:AC307,"SI")&gt;0,
   1.8,
   IF(
      COUNTIF(AD304:AD307,"SI")&gt;0,
      1.6,
      2
   )
)</f>
        <v>2</v>
      </c>
      <c r="AK304" s="679">
        <f>IF(AI304=0,0,AB304/AI304)</f>
        <v>0</v>
      </c>
      <c r="AL304" s="655">
        <v>46129</v>
      </c>
      <c r="AM304" s="28"/>
      <c r="AN304" s="28">
        <v>704</v>
      </c>
      <c r="AO304" s="28">
        <v>4801</v>
      </c>
      <c r="AP304" s="41">
        <v>5001</v>
      </c>
      <c r="AQ304" s="159"/>
      <c r="AR304" s="649"/>
      <c r="AS304" s="39">
        <f t="shared" si="214"/>
        <v>200</v>
      </c>
      <c r="AT304" s="650">
        <f>SUM(AS304:AS307)+AR304</f>
        <v>600</v>
      </c>
      <c r="AU304" s="39"/>
      <c r="AV304" s="640">
        <v>4</v>
      </c>
      <c r="AW304" s="159"/>
      <c r="AX304" s="640">
        <v>0.7</v>
      </c>
      <c r="AY304" s="633">
        <f>SUM(AV304+AV307+AX304)</f>
        <v>4.7</v>
      </c>
      <c r="AZ304" s="649">
        <v>0.2</v>
      </c>
      <c r="BA304" s="640">
        <f>AV304*60</f>
        <v>240</v>
      </c>
      <c r="BB304" s="644">
        <f>IF(
   COUNTIF(AU304:AU307,"SI")&gt;0,
   1.8,
   IF(
      COUNTIF(AV304:AV307,"SI")&gt;0,
      1.6,
      2
   )
)</f>
        <v>2</v>
      </c>
      <c r="BC304" s="645">
        <f>IF(BA304=0,0,AT304/BA304)</f>
        <v>2.5</v>
      </c>
      <c r="BD304" s="662"/>
      <c r="BE304" s="662"/>
      <c r="BF304" s="118"/>
      <c r="BG304" s="118"/>
      <c r="BH304" s="118"/>
      <c r="BI304" s="118"/>
      <c r="BJ304" s="118"/>
      <c r="BK304" s="662"/>
      <c r="BL304" s="118"/>
      <c r="BM304" s="662"/>
      <c r="BN304" s="118"/>
      <c r="BO304" s="118"/>
      <c r="BP304" s="662"/>
      <c r="BQ304" s="662"/>
      <c r="BR304" s="662"/>
      <c r="BS304" s="662"/>
      <c r="BT304" s="118"/>
      <c r="BU304" s="662"/>
      <c r="BV304" s="662"/>
      <c r="BW304" s="118"/>
      <c r="BX304" s="118"/>
      <c r="BY304" s="118"/>
      <c r="BZ304" s="118"/>
      <c r="CA304" s="118"/>
      <c r="CB304" s="118"/>
      <c r="CC304" s="118"/>
      <c r="CD304" s="118"/>
      <c r="CE304" s="118"/>
      <c r="CF304" s="118"/>
      <c r="CG304" s="118"/>
      <c r="CH304" s="118"/>
      <c r="CI304" s="118"/>
      <c r="CJ304" s="118"/>
      <c r="CK304" s="118"/>
      <c r="CL304" s="118"/>
      <c r="CM304" s="118"/>
      <c r="CN304" s="92"/>
      <c r="CO304" s="93"/>
      <c r="CP304" s="93"/>
      <c r="CQ304" s="93"/>
      <c r="CR304" s="93"/>
      <c r="CS304" s="93"/>
      <c r="CT304" s="93"/>
      <c r="CU304" s="93"/>
      <c r="CV304" s="93"/>
      <c r="CW304" s="93"/>
      <c r="CX304" s="93"/>
      <c r="CY304" s="93"/>
      <c r="CZ304" s="93"/>
      <c r="DA304" s="93"/>
      <c r="DB304" s="93"/>
      <c r="DC304" s="94"/>
      <c r="DD304" s="118"/>
      <c r="DE304" s="118"/>
      <c r="DF304" s="118"/>
      <c r="DG304" s="118"/>
      <c r="DH304" s="118"/>
      <c r="DI304" s="118"/>
      <c r="DJ304" s="118"/>
      <c r="DK304" s="118"/>
      <c r="DL304" s="118"/>
      <c r="DM304" s="118"/>
      <c r="DN304" s="118"/>
      <c r="DO304" s="118"/>
      <c r="DP304" s="118"/>
      <c r="DQ304" s="118"/>
      <c r="DR304" s="118"/>
      <c r="DS304" s="118"/>
      <c r="DT304" s="118"/>
      <c r="DU304" s="19"/>
      <c r="DV304" s="19"/>
      <c r="DW304" s="19"/>
      <c r="DX304" s="19"/>
      <c r="DY304" s="19"/>
      <c r="DZ304" s="19"/>
    </row>
    <row r="305" spans="1:130" ht="12.75" x14ac:dyDescent="0.2">
      <c r="A305" s="647"/>
      <c r="B305" s="647"/>
      <c r="C305" s="29"/>
      <c r="D305" s="30"/>
      <c r="E305" s="29"/>
      <c r="F305" s="29"/>
      <c r="G305" s="30"/>
      <c r="H305" s="634"/>
      <c r="I305" s="51">
        <f t="shared" si="215"/>
        <v>0</v>
      </c>
      <c r="J305" s="634"/>
      <c r="K305" s="30"/>
      <c r="L305" s="30"/>
      <c r="M305" s="634"/>
      <c r="N305" s="634"/>
      <c r="O305" s="634"/>
      <c r="P305" s="634"/>
      <c r="Q305" s="634"/>
      <c r="R305" s="634"/>
      <c r="S305" s="659"/>
      <c r="T305" s="647"/>
      <c r="U305" s="30"/>
      <c r="V305" s="28"/>
      <c r="W305" s="28"/>
      <c r="X305" s="28"/>
      <c r="Y305" s="29"/>
      <c r="Z305" s="634"/>
      <c r="AA305" s="51">
        <f t="shared" si="219"/>
        <v>0</v>
      </c>
      <c r="AB305" s="634"/>
      <c r="AC305" s="28"/>
      <c r="AD305" s="28"/>
      <c r="AE305" s="634"/>
      <c r="AF305" s="634"/>
      <c r="AG305" s="634"/>
      <c r="AH305" s="634"/>
      <c r="AI305" s="634"/>
      <c r="AJ305" s="634"/>
      <c r="AK305" s="659"/>
      <c r="AL305" s="647"/>
      <c r="AM305" s="28"/>
      <c r="AN305" s="28">
        <v>705</v>
      </c>
      <c r="AO305" s="28">
        <v>5002</v>
      </c>
      <c r="AP305" s="28">
        <v>5402</v>
      </c>
      <c r="AQ305" s="30"/>
      <c r="AR305" s="634"/>
      <c r="AS305" s="51">
        <f t="shared" si="214"/>
        <v>400</v>
      </c>
      <c r="AT305" s="634"/>
      <c r="AU305" s="150"/>
      <c r="AV305" s="634"/>
      <c r="AW305" s="51"/>
      <c r="AX305" s="634"/>
      <c r="AY305" s="634"/>
      <c r="AZ305" s="634"/>
      <c r="BA305" s="634"/>
      <c r="BB305" s="634"/>
      <c r="BC305" s="634"/>
      <c r="BD305" s="133"/>
      <c r="BE305" s="668"/>
      <c r="BF305" s="118"/>
      <c r="BG305" s="118"/>
      <c r="BH305" s="118"/>
      <c r="BI305" s="118"/>
      <c r="BJ305" s="118"/>
      <c r="BK305" s="663"/>
      <c r="BL305" s="118"/>
      <c r="BM305" s="663"/>
      <c r="BN305" s="118"/>
      <c r="BO305" s="118"/>
      <c r="BP305" s="663"/>
      <c r="BQ305" s="663"/>
      <c r="BR305" s="663"/>
      <c r="BS305" s="663"/>
      <c r="BT305" s="118"/>
      <c r="BU305" s="663"/>
      <c r="BV305" s="663"/>
      <c r="BW305" s="118"/>
      <c r="BX305" s="118"/>
      <c r="BY305" s="118"/>
      <c r="BZ305" s="118"/>
      <c r="CA305" s="118"/>
      <c r="CB305" s="118"/>
      <c r="CC305" s="118"/>
      <c r="CD305" s="118"/>
      <c r="CE305" s="118"/>
      <c r="CF305" s="118"/>
      <c r="CG305" s="118"/>
      <c r="CH305" s="118"/>
      <c r="CI305" s="118"/>
      <c r="CJ305" s="118"/>
      <c r="CK305" s="118"/>
      <c r="CL305" s="118"/>
      <c r="CM305" s="118"/>
      <c r="CN305" s="92"/>
      <c r="CO305" s="93"/>
      <c r="CP305" s="93"/>
      <c r="CQ305" s="93"/>
      <c r="CR305" s="93"/>
      <c r="CS305" s="93"/>
      <c r="CT305" s="93"/>
      <c r="CU305" s="93"/>
      <c r="CV305" s="93"/>
      <c r="CW305" s="93"/>
      <c r="CX305" s="93"/>
      <c r="CY305" s="93"/>
      <c r="CZ305" s="93"/>
      <c r="DA305" s="93"/>
      <c r="DB305" s="93"/>
      <c r="DC305" s="94"/>
      <c r="DD305" s="118"/>
      <c r="DE305" s="118"/>
      <c r="DF305" s="118"/>
      <c r="DG305" s="118"/>
      <c r="DH305" s="118"/>
      <c r="DI305" s="118"/>
      <c r="DJ305" s="118"/>
      <c r="DK305" s="118"/>
      <c r="DL305" s="118"/>
      <c r="DM305" s="118"/>
      <c r="DN305" s="118"/>
      <c r="DO305" s="118"/>
      <c r="DP305" s="118"/>
      <c r="DQ305" s="118"/>
      <c r="DR305" s="118"/>
      <c r="DS305" s="118"/>
      <c r="DT305" s="118"/>
      <c r="DU305" s="19"/>
      <c r="DV305" s="19"/>
      <c r="DW305" s="19"/>
      <c r="DX305" s="19"/>
      <c r="DY305" s="19"/>
      <c r="DZ305" s="19"/>
    </row>
    <row r="306" spans="1:130" ht="12.75" x14ac:dyDescent="0.2">
      <c r="A306" s="647"/>
      <c r="B306" s="647"/>
      <c r="C306" s="30"/>
      <c r="D306" s="30"/>
      <c r="E306" s="30"/>
      <c r="F306" s="30"/>
      <c r="G306" s="30"/>
      <c r="H306" s="634"/>
      <c r="I306" s="51">
        <f t="shared" si="215"/>
        <v>0</v>
      </c>
      <c r="J306" s="634"/>
      <c r="K306" s="30"/>
      <c r="L306" s="30"/>
      <c r="M306" s="634"/>
      <c r="N306" s="634"/>
      <c r="O306" s="634"/>
      <c r="P306" s="634"/>
      <c r="Q306" s="634"/>
      <c r="R306" s="634"/>
      <c r="S306" s="659"/>
      <c r="T306" s="647"/>
      <c r="U306" s="30"/>
      <c r="V306" s="29"/>
      <c r="W306" s="29"/>
      <c r="X306" s="29"/>
      <c r="Y306" s="29"/>
      <c r="Z306" s="634"/>
      <c r="AA306" s="51">
        <f t="shared" si="219"/>
        <v>0</v>
      </c>
      <c r="AB306" s="634"/>
      <c r="AC306" s="29"/>
      <c r="AD306" s="29"/>
      <c r="AE306" s="634"/>
      <c r="AF306" s="634"/>
      <c r="AG306" s="634"/>
      <c r="AH306" s="634"/>
      <c r="AI306" s="634"/>
      <c r="AJ306" s="634"/>
      <c r="AK306" s="659"/>
      <c r="AL306" s="647"/>
      <c r="AM306" s="41"/>
      <c r="AN306" s="41"/>
      <c r="AO306" s="41"/>
      <c r="AP306" s="41"/>
      <c r="AQ306" s="48"/>
      <c r="AR306" s="634"/>
      <c r="AS306" s="51">
        <f t="shared" si="214"/>
        <v>0</v>
      </c>
      <c r="AT306" s="634"/>
      <c r="AU306" s="145"/>
      <c r="AV306" s="634"/>
      <c r="AW306" s="145"/>
      <c r="AX306" s="634"/>
      <c r="AY306" s="634"/>
      <c r="AZ306" s="634"/>
      <c r="BA306" s="634"/>
      <c r="BB306" s="634"/>
      <c r="BC306" s="634"/>
      <c r="BD306" s="663"/>
      <c r="BE306" s="662"/>
      <c r="BF306" s="118"/>
      <c r="BG306" s="118"/>
      <c r="BH306" s="118"/>
      <c r="BI306" s="118"/>
      <c r="BJ306" s="118"/>
      <c r="BK306" s="662"/>
      <c r="BL306" s="118"/>
      <c r="BM306" s="662"/>
      <c r="BN306" s="118"/>
      <c r="BO306" s="118"/>
      <c r="BP306" s="662"/>
      <c r="BQ306" s="662"/>
      <c r="BR306" s="662"/>
      <c r="BS306" s="662"/>
      <c r="BT306" s="118"/>
      <c r="BU306" s="662"/>
      <c r="BV306" s="662"/>
      <c r="BW306" s="118"/>
      <c r="BX306" s="118"/>
      <c r="BY306" s="118"/>
      <c r="BZ306" s="118"/>
      <c r="CA306" s="118"/>
      <c r="CB306" s="118"/>
      <c r="CC306" s="118"/>
      <c r="CD306" s="118"/>
      <c r="CE306" s="118"/>
      <c r="CF306" s="118"/>
      <c r="CG306" s="118"/>
      <c r="CH306" s="118"/>
      <c r="CI306" s="118"/>
      <c r="CJ306" s="118"/>
      <c r="CK306" s="118"/>
      <c r="CL306" s="118"/>
      <c r="CM306" s="118"/>
      <c r="CN306" s="92"/>
      <c r="CO306" s="93"/>
      <c r="CP306" s="93"/>
      <c r="CQ306" s="93"/>
      <c r="CR306" s="93"/>
      <c r="CS306" s="93"/>
      <c r="CT306" s="93"/>
      <c r="CU306" s="93"/>
      <c r="CV306" s="93"/>
      <c r="CW306" s="93"/>
      <c r="CX306" s="93"/>
      <c r="CY306" s="93"/>
      <c r="CZ306" s="93"/>
      <c r="DA306" s="93"/>
      <c r="DB306" s="93"/>
      <c r="DC306" s="94"/>
      <c r="DD306" s="118"/>
      <c r="DE306" s="118"/>
      <c r="DF306" s="118"/>
      <c r="DG306" s="118"/>
      <c r="DH306" s="118"/>
      <c r="DI306" s="118"/>
      <c r="DJ306" s="118"/>
      <c r="DK306" s="118"/>
      <c r="DL306" s="118"/>
      <c r="DM306" s="118"/>
      <c r="DN306" s="118"/>
      <c r="DO306" s="118"/>
      <c r="DP306" s="118"/>
      <c r="DQ306" s="118"/>
      <c r="DR306" s="118"/>
      <c r="DS306" s="118"/>
      <c r="DT306" s="118"/>
      <c r="DU306" s="19"/>
      <c r="DV306" s="19"/>
      <c r="DW306" s="19"/>
      <c r="DX306" s="19"/>
      <c r="DY306" s="19"/>
      <c r="DZ306" s="19"/>
    </row>
    <row r="307" spans="1:130" ht="12.75" x14ac:dyDescent="0.2">
      <c r="A307" s="648"/>
      <c r="B307" s="648"/>
      <c r="C307" s="30"/>
      <c r="D307" s="30"/>
      <c r="E307" s="30"/>
      <c r="F307" s="30"/>
      <c r="G307" s="30"/>
      <c r="H307" s="635"/>
      <c r="I307" s="51">
        <f t="shared" si="215"/>
        <v>0</v>
      </c>
      <c r="J307" s="635"/>
      <c r="K307" s="30"/>
      <c r="L307" s="30"/>
      <c r="M307" s="635"/>
      <c r="N307" s="635"/>
      <c r="O307" s="635"/>
      <c r="P307" s="635"/>
      <c r="Q307" s="635"/>
      <c r="R307" s="635"/>
      <c r="S307" s="660"/>
      <c r="T307" s="648"/>
      <c r="U307" s="30"/>
      <c r="V307" s="30"/>
      <c r="W307" s="30"/>
      <c r="X307" s="30"/>
      <c r="Y307" s="30"/>
      <c r="Z307" s="635"/>
      <c r="AA307" s="51">
        <f t="shared" si="219"/>
        <v>0</v>
      </c>
      <c r="AB307" s="635"/>
      <c r="AC307" s="30"/>
      <c r="AD307" s="30"/>
      <c r="AE307" s="635"/>
      <c r="AF307" s="635"/>
      <c r="AG307" s="635"/>
      <c r="AH307" s="635"/>
      <c r="AI307" s="635"/>
      <c r="AJ307" s="635"/>
      <c r="AK307" s="660"/>
      <c r="AL307" s="648"/>
      <c r="AM307" s="51"/>
      <c r="AN307" s="28"/>
      <c r="AO307" s="28"/>
      <c r="AP307" s="28"/>
      <c r="AQ307" s="51"/>
      <c r="AR307" s="635"/>
      <c r="AS307" s="51">
        <f t="shared" si="214"/>
        <v>0</v>
      </c>
      <c r="AT307" s="635"/>
      <c r="AU307" s="150"/>
      <c r="AV307" s="635"/>
      <c r="AW307" s="51"/>
      <c r="AX307" s="635"/>
      <c r="AY307" s="635"/>
      <c r="AZ307" s="635"/>
      <c r="BA307" s="635"/>
      <c r="BB307" s="635"/>
      <c r="BC307" s="635"/>
      <c r="BD307" s="662"/>
      <c r="BE307" s="662"/>
      <c r="BF307" s="118"/>
      <c r="BG307" s="118"/>
      <c r="BH307" s="118"/>
      <c r="BI307" s="118"/>
      <c r="BJ307" s="118"/>
      <c r="BK307" s="662"/>
      <c r="BL307" s="118"/>
      <c r="BM307" s="662"/>
      <c r="BN307" s="118"/>
      <c r="BO307" s="118"/>
      <c r="BP307" s="662"/>
      <c r="BQ307" s="662"/>
      <c r="BR307" s="662"/>
      <c r="BS307" s="662"/>
      <c r="BT307" s="118"/>
      <c r="BU307" s="662"/>
      <c r="BV307" s="662"/>
      <c r="BW307" s="118"/>
      <c r="BX307" s="118"/>
      <c r="BY307" s="118"/>
      <c r="BZ307" s="118"/>
      <c r="CA307" s="118"/>
      <c r="CB307" s="118"/>
      <c r="CC307" s="118"/>
      <c r="CD307" s="118"/>
      <c r="CE307" s="118"/>
      <c r="CF307" s="118"/>
      <c r="CG307" s="118"/>
      <c r="CH307" s="118"/>
      <c r="CI307" s="118"/>
      <c r="CJ307" s="118"/>
      <c r="CK307" s="118"/>
      <c r="CL307" s="118"/>
      <c r="CM307" s="118"/>
      <c r="CN307" s="92"/>
      <c r="CO307" s="93"/>
      <c r="CP307" s="93"/>
      <c r="CQ307" s="93"/>
      <c r="CR307" s="93"/>
      <c r="CS307" s="93"/>
      <c r="CT307" s="93"/>
      <c r="CU307" s="93"/>
      <c r="CV307" s="93"/>
      <c r="CW307" s="93"/>
      <c r="CX307" s="93"/>
      <c r="CY307" s="93"/>
      <c r="CZ307" s="93"/>
      <c r="DA307" s="93"/>
      <c r="DB307" s="93"/>
      <c r="DC307" s="94"/>
      <c r="DD307" s="118"/>
      <c r="DE307" s="118"/>
      <c r="DF307" s="118"/>
      <c r="DG307" s="118"/>
      <c r="DH307" s="118"/>
      <c r="DI307" s="118"/>
      <c r="DJ307" s="118"/>
      <c r="DK307" s="118"/>
      <c r="DL307" s="118"/>
      <c r="DM307" s="118"/>
      <c r="DN307" s="118"/>
      <c r="DO307" s="118"/>
      <c r="DP307" s="118"/>
      <c r="DQ307" s="118"/>
      <c r="DR307" s="118"/>
      <c r="DS307" s="118"/>
      <c r="DT307" s="118"/>
      <c r="DU307" s="19"/>
      <c r="DV307" s="19"/>
      <c r="DW307" s="19"/>
      <c r="DX307" s="19"/>
      <c r="DY307" s="19"/>
      <c r="DZ307" s="19"/>
    </row>
    <row r="308" spans="1:130" ht="12.75" x14ac:dyDescent="0.2">
      <c r="A308" s="651"/>
      <c r="B308" s="646">
        <v>46130</v>
      </c>
      <c r="C308" s="40"/>
      <c r="D308" s="40"/>
      <c r="E308" s="40"/>
      <c r="F308" s="40"/>
      <c r="G308" s="40"/>
      <c r="H308" s="653"/>
      <c r="I308" s="150">
        <f t="shared" si="215"/>
        <v>0</v>
      </c>
      <c r="J308" s="650">
        <f>SUM(I308:I311,H308)</f>
        <v>0</v>
      </c>
      <c r="K308" s="40"/>
      <c r="L308" s="40"/>
      <c r="M308" s="653"/>
      <c r="N308" s="653"/>
      <c r="O308" s="633">
        <f>SUM(M308:N311)</f>
        <v>0</v>
      </c>
      <c r="P308" s="653"/>
      <c r="Q308" s="636">
        <f>M308*60</f>
        <v>0</v>
      </c>
      <c r="R308" s="657">
        <f>IF(
   COUNTIF(K308:K311,"SI")&gt;0,
   1.8,
   IF(
      COUNTIF(L308:L311,"SI")&gt;0,
      1.6,
      2
   )
)</f>
        <v>2</v>
      </c>
      <c r="S308" s="658">
        <f>IF(Q308=0,0,J308/Q308)</f>
        <v>0</v>
      </c>
      <c r="T308" s="646">
        <v>46130</v>
      </c>
      <c r="U308" s="40"/>
      <c r="V308" s="31">
        <v>706</v>
      </c>
      <c r="W308" s="31">
        <v>5500</v>
      </c>
      <c r="X308" s="31">
        <v>5974</v>
      </c>
      <c r="Y308" s="31">
        <v>0</v>
      </c>
      <c r="Z308" s="653">
        <v>0</v>
      </c>
      <c r="AA308" s="51">
        <f>X308-W308-Y308+1</f>
        <v>475</v>
      </c>
      <c r="AB308" s="650">
        <f>SUM(AA308:AA311,Z308)</f>
        <v>475</v>
      </c>
      <c r="AC308" s="31" t="s">
        <v>51</v>
      </c>
      <c r="AD308" s="31" t="s">
        <v>51</v>
      </c>
      <c r="AE308" s="653">
        <v>4</v>
      </c>
      <c r="AF308" s="653">
        <v>1.5</v>
      </c>
      <c r="AG308" s="633">
        <f>SUM(AE308:AF311)</f>
        <v>5.5</v>
      </c>
      <c r="AH308" s="653">
        <v>0.25</v>
      </c>
      <c r="AI308" s="636">
        <f>AE308*60</f>
        <v>240</v>
      </c>
      <c r="AJ308" s="657">
        <f>IF(
   COUNTIF(AC308:AC311,"SI")&gt;0,
   1.8,
   IF(
      COUNTIF(AD308:AD311,"SI")&gt;0,
      1.6,
      2
   )
)</f>
        <v>1.8</v>
      </c>
      <c r="AK308" s="679">
        <f>IF(AI308=0,0,AB308/AI308)</f>
        <v>1.9791666666666667</v>
      </c>
      <c r="AL308" s="646">
        <v>46130</v>
      </c>
      <c r="AM308" s="40"/>
      <c r="AN308" s="30"/>
      <c r="AO308" s="40"/>
      <c r="AP308" s="40"/>
      <c r="AQ308" s="40"/>
      <c r="AR308" s="653"/>
      <c r="AS308" s="150">
        <f t="shared" si="214"/>
        <v>0</v>
      </c>
      <c r="AT308" s="650">
        <f>SUM(AS308:AS311,AR308)</f>
        <v>0</v>
      </c>
      <c r="AU308" s="40"/>
      <c r="AV308" s="653"/>
      <c r="AW308" s="40"/>
      <c r="AX308" s="653"/>
      <c r="AY308" s="633">
        <f>SUM(AV308:AX311)</f>
        <v>0</v>
      </c>
      <c r="AZ308" s="653"/>
      <c r="BA308" s="636">
        <f>AV308*60</f>
        <v>0</v>
      </c>
      <c r="BB308" s="657">
        <f>IF(
   COUNTIF(AU308:AU311,"SI")&gt;0,
   1.8,
   IF(
      COUNTIF(AV308:AV311,"SI")&gt;0,
      1.6,
      2
   )
)</f>
        <v>2</v>
      </c>
      <c r="BC308" s="666">
        <f>IF(BA308=0,0,AT308/BA308)</f>
        <v>0</v>
      </c>
      <c r="BD308" s="118"/>
      <c r="BE308" s="662"/>
      <c r="BF308" s="118"/>
      <c r="BG308" s="118"/>
      <c r="BH308" s="118"/>
      <c r="BI308" s="118"/>
      <c r="BJ308" s="118"/>
      <c r="BK308" s="662"/>
      <c r="BL308" s="118"/>
      <c r="BM308" s="662"/>
      <c r="BN308" s="118"/>
      <c r="BO308" s="118"/>
      <c r="BP308" s="662"/>
      <c r="BQ308" s="662"/>
      <c r="BR308" s="662"/>
      <c r="BS308" s="662"/>
      <c r="BT308" s="118"/>
      <c r="BU308" s="662"/>
      <c r="BV308" s="662"/>
      <c r="BW308" s="118"/>
      <c r="BX308" s="118"/>
      <c r="BY308" s="118"/>
      <c r="BZ308" s="118"/>
      <c r="CA308" s="118"/>
      <c r="CB308" s="118"/>
      <c r="CC308" s="118"/>
      <c r="CD308" s="118"/>
      <c r="CE308" s="118"/>
      <c r="CF308" s="118"/>
      <c r="CG308" s="118"/>
      <c r="CH308" s="118"/>
      <c r="CI308" s="118"/>
      <c r="CJ308" s="118"/>
      <c r="CK308" s="118"/>
      <c r="CL308" s="118"/>
      <c r="CM308" s="118"/>
      <c r="CN308" s="92"/>
      <c r="CO308" s="93"/>
      <c r="CP308" s="93"/>
      <c r="CQ308" s="93"/>
      <c r="CR308" s="93"/>
      <c r="CS308" s="93"/>
      <c r="CT308" s="93"/>
      <c r="CU308" s="93"/>
      <c r="CV308" s="93"/>
      <c r="CW308" s="93"/>
      <c r="CX308" s="93"/>
      <c r="CY308" s="93"/>
      <c r="CZ308" s="93"/>
      <c r="DA308" s="93"/>
      <c r="DB308" s="93"/>
      <c r="DC308" s="94"/>
      <c r="DD308" s="118"/>
      <c r="DE308" s="118"/>
      <c r="DF308" s="118"/>
      <c r="DG308" s="118"/>
      <c r="DH308" s="118"/>
      <c r="DI308" s="118"/>
      <c r="DJ308" s="118"/>
      <c r="DK308" s="118"/>
      <c r="DL308" s="118"/>
      <c r="DM308" s="118"/>
      <c r="DN308" s="118"/>
      <c r="DO308" s="118"/>
      <c r="DP308" s="118"/>
      <c r="DQ308" s="118"/>
      <c r="DR308" s="118"/>
      <c r="DS308" s="118"/>
      <c r="DT308" s="118"/>
      <c r="DU308" s="19"/>
      <c r="DV308" s="19"/>
      <c r="DW308" s="19"/>
      <c r="DX308" s="19"/>
      <c r="DY308" s="19"/>
      <c r="DZ308" s="19"/>
    </row>
    <row r="309" spans="1:130" ht="12.75" x14ac:dyDescent="0.2">
      <c r="A309" s="647"/>
      <c r="B309" s="647"/>
      <c r="C309" s="40"/>
      <c r="D309" s="40"/>
      <c r="E309" s="40"/>
      <c r="F309" s="40"/>
      <c r="G309" s="40"/>
      <c r="H309" s="634"/>
      <c r="I309" s="150">
        <f t="shared" si="215"/>
        <v>0</v>
      </c>
      <c r="J309" s="634"/>
      <c r="K309" s="40"/>
      <c r="L309" s="40"/>
      <c r="M309" s="634"/>
      <c r="N309" s="634"/>
      <c r="O309" s="634"/>
      <c r="P309" s="634"/>
      <c r="Q309" s="634"/>
      <c r="R309" s="634"/>
      <c r="S309" s="659"/>
      <c r="T309" s="647"/>
      <c r="U309" s="40"/>
      <c r="V309" s="31"/>
      <c r="W309" s="31"/>
      <c r="X309" s="31"/>
      <c r="Y309" s="31"/>
      <c r="Z309" s="634"/>
      <c r="AA309" s="51">
        <f t="shared" ref="AA309:AA311" si="220">X309-W309-Y309</f>
        <v>0</v>
      </c>
      <c r="AB309" s="634"/>
      <c r="AC309" s="31"/>
      <c r="AD309" s="31"/>
      <c r="AE309" s="634"/>
      <c r="AF309" s="634"/>
      <c r="AG309" s="634"/>
      <c r="AH309" s="634"/>
      <c r="AI309" s="634"/>
      <c r="AJ309" s="634"/>
      <c r="AK309" s="659"/>
      <c r="AL309" s="647"/>
      <c r="AM309" s="40"/>
      <c r="AN309" s="40"/>
      <c r="AO309" s="40"/>
      <c r="AP309" s="40"/>
      <c r="AQ309" s="40"/>
      <c r="AR309" s="634"/>
      <c r="AS309" s="150">
        <f t="shared" si="214"/>
        <v>0</v>
      </c>
      <c r="AT309" s="634"/>
      <c r="AU309" s="40"/>
      <c r="AV309" s="634"/>
      <c r="AW309" s="40"/>
      <c r="AX309" s="634"/>
      <c r="AY309" s="634"/>
      <c r="AZ309" s="634"/>
      <c r="BA309" s="634"/>
      <c r="BB309" s="634"/>
      <c r="BC309" s="634"/>
      <c r="BD309" s="663"/>
      <c r="BE309" s="668"/>
      <c r="BF309" s="118"/>
      <c r="BG309" s="118"/>
      <c r="BH309" s="118"/>
      <c r="BI309" s="118"/>
      <c r="BJ309" s="118"/>
      <c r="BK309" s="663"/>
      <c r="BL309" s="118"/>
      <c r="BM309" s="663"/>
      <c r="BN309" s="118"/>
      <c r="BO309" s="118"/>
      <c r="BP309" s="663"/>
      <c r="BQ309" s="663"/>
      <c r="BR309" s="663"/>
      <c r="BS309" s="663"/>
      <c r="BT309" s="118"/>
      <c r="BU309" s="663"/>
      <c r="BV309" s="663"/>
      <c r="BW309" s="118"/>
      <c r="BX309" s="118"/>
      <c r="BY309" s="118"/>
      <c r="BZ309" s="118"/>
      <c r="CA309" s="118"/>
      <c r="CB309" s="118"/>
      <c r="CC309" s="118"/>
      <c r="CD309" s="118"/>
      <c r="CE309" s="118"/>
      <c r="CF309" s="118"/>
      <c r="CG309" s="118"/>
      <c r="CH309" s="118"/>
      <c r="CI309" s="118"/>
      <c r="CJ309" s="118"/>
      <c r="CK309" s="118"/>
      <c r="CL309" s="118"/>
      <c r="CM309" s="118"/>
      <c r="CN309" s="92"/>
      <c r="CO309" s="93"/>
      <c r="CP309" s="93"/>
      <c r="CQ309" s="93"/>
      <c r="CR309" s="93"/>
      <c r="CS309" s="93"/>
      <c r="CT309" s="93"/>
      <c r="CU309" s="93"/>
      <c r="CV309" s="93"/>
      <c r="CW309" s="93"/>
      <c r="CX309" s="93"/>
      <c r="CY309" s="93"/>
      <c r="CZ309" s="93"/>
      <c r="DA309" s="93"/>
      <c r="DB309" s="93"/>
      <c r="DC309" s="94"/>
      <c r="DD309" s="118"/>
      <c r="DE309" s="118"/>
      <c r="DF309" s="118"/>
      <c r="DG309" s="118"/>
      <c r="DH309" s="118"/>
      <c r="DI309" s="118"/>
      <c r="DJ309" s="118"/>
      <c r="DK309" s="118"/>
      <c r="DL309" s="118"/>
      <c r="DM309" s="118"/>
      <c r="DN309" s="118"/>
      <c r="DO309" s="118"/>
      <c r="DP309" s="118"/>
      <c r="DQ309" s="118"/>
      <c r="DR309" s="118"/>
      <c r="DS309" s="118"/>
      <c r="DT309" s="118"/>
      <c r="DU309" s="19"/>
      <c r="DV309" s="19"/>
      <c r="DW309" s="19"/>
      <c r="DX309" s="19"/>
      <c r="DY309" s="19"/>
      <c r="DZ309" s="19"/>
    </row>
    <row r="310" spans="1:130" ht="12.75" x14ac:dyDescent="0.2">
      <c r="A310" s="647"/>
      <c r="B310" s="647"/>
      <c r="C310" s="40"/>
      <c r="D310" s="40"/>
      <c r="E310" s="40"/>
      <c r="F310" s="40"/>
      <c r="G310" s="40"/>
      <c r="H310" s="634"/>
      <c r="I310" s="150">
        <f t="shared" si="215"/>
        <v>0</v>
      </c>
      <c r="J310" s="634"/>
      <c r="K310" s="40"/>
      <c r="L310" s="40"/>
      <c r="M310" s="634"/>
      <c r="N310" s="634"/>
      <c r="O310" s="634"/>
      <c r="P310" s="634"/>
      <c r="Q310" s="634"/>
      <c r="R310" s="634"/>
      <c r="S310" s="659"/>
      <c r="T310" s="647"/>
      <c r="U310" s="40"/>
      <c r="V310" s="31"/>
      <c r="W310" s="31"/>
      <c r="X310" s="31"/>
      <c r="Y310" s="31"/>
      <c r="Z310" s="634"/>
      <c r="AA310" s="51">
        <f t="shared" si="220"/>
        <v>0</v>
      </c>
      <c r="AB310" s="634"/>
      <c r="AC310" s="31"/>
      <c r="AD310" s="31"/>
      <c r="AE310" s="634"/>
      <c r="AF310" s="634"/>
      <c r="AG310" s="634"/>
      <c r="AH310" s="634"/>
      <c r="AI310" s="634"/>
      <c r="AJ310" s="634"/>
      <c r="AK310" s="659"/>
      <c r="AL310" s="647"/>
      <c r="AM310" s="40"/>
      <c r="AN310" s="40"/>
      <c r="AO310" s="40"/>
      <c r="AP310" s="40"/>
      <c r="AQ310" s="40"/>
      <c r="AR310" s="634"/>
      <c r="AS310" s="150">
        <f t="shared" si="214"/>
        <v>0</v>
      </c>
      <c r="AT310" s="634"/>
      <c r="AU310" s="40"/>
      <c r="AV310" s="634"/>
      <c r="AW310" s="40"/>
      <c r="AX310" s="634"/>
      <c r="AY310" s="634"/>
      <c r="AZ310" s="634"/>
      <c r="BA310" s="634"/>
      <c r="BB310" s="634"/>
      <c r="BC310" s="634"/>
      <c r="BD310" s="662"/>
      <c r="BE310" s="662"/>
      <c r="BF310" s="118"/>
      <c r="BG310" s="118"/>
      <c r="BH310" s="118"/>
      <c r="BI310" s="118"/>
      <c r="BJ310" s="118"/>
      <c r="BK310" s="662"/>
      <c r="BL310" s="118"/>
      <c r="BM310" s="662"/>
      <c r="BN310" s="118"/>
      <c r="BO310" s="118"/>
      <c r="BP310" s="662"/>
      <c r="BQ310" s="662"/>
      <c r="BR310" s="662"/>
      <c r="BS310" s="662"/>
      <c r="BT310" s="118"/>
      <c r="BU310" s="662"/>
      <c r="BV310" s="662"/>
      <c r="BW310" s="118"/>
      <c r="BX310" s="118"/>
      <c r="BY310" s="118"/>
      <c r="BZ310" s="118"/>
      <c r="CA310" s="118"/>
      <c r="CB310" s="118"/>
      <c r="CC310" s="118"/>
      <c r="CD310" s="118"/>
      <c r="CE310" s="118"/>
      <c r="CF310" s="118"/>
      <c r="CG310" s="118"/>
      <c r="CH310" s="118"/>
      <c r="CI310" s="118"/>
      <c r="CJ310" s="118"/>
      <c r="CK310" s="118"/>
      <c r="CL310" s="118"/>
      <c r="CM310" s="118"/>
      <c r="CN310" s="92"/>
      <c r="CO310" s="93"/>
      <c r="CP310" s="93"/>
      <c r="CQ310" s="93"/>
      <c r="CR310" s="93"/>
      <c r="CS310" s="93"/>
      <c r="CT310" s="93"/>
      <c r="CU310" s="93"/>
      <c r="CV310" s="93"/>
      <c r="CW310" s="93"/>
      <c r="CX310" s="93"/>
      <c r="CY310" s="93"/>
      <c r="CZ310" s="93"/>
      <c r="DA310" s="93"/>
      <c r="DB310" s="93"/>
      <c r="DC310" s="94"/>
      <c r="DD310" s="118"/>
      <c r="DE310" s="118"/>
      <c r="DF310" s="118"/>
      <c r="DG310" s="118"/>
      <c r="DH310" s="118"/>
      <c r="DI310" s="118"/>
      <c r="DJ310" s="118"/>
      <c r="DK310" s="118"/>
      <c r="DL310" s="118"/>
      <c r="DM310" s="118"/>
      <c r="DN310" s="118"/>
      <c r="DO310" s="118"/>
      <c r="DP310" s="118"/>
      <c r="DQ310" s="118"/>
      <c r="DR310" s="118"/>
      <c r="DS310" s="118"/>
      <c r="DT310" s="118"/>
      <c r="DU310" s="19"/>
      <c r="DV310" s="19"/>
      <c r="DW310" s="19"/>
      <c r="DX310" s="19"/>
      <c r="DY310" s="19"/>
      <c r="DZ310" s="19"/>
    </row>
    <row r="311" spans="1:130" ht="12.75" x14ac:dyDescent="0.2">
      <c r="A311" s="648"/>
      <c r="B311" s="648"/>
      <c r="C311" s="40"/>
      <c r="D311" s="40"/>
      <c r="E311" s="40"/>
      <c r="F311" s="40"/>
      <c r="G311" s="40"/>
      <c r="H311" s="635"/>
      <c r="I311" s="150">
        <f t="shared" si="215"/>
        <v>0</v>
      </c>
      <c r="J311" s="635"/>
      <c r="K311" s="40"/>
      <c r="L311" s="40"/>
      <c r="M311" s="635"/>
      <c r="N311" s="635"/>
      <c r="O311" s="635"/>
      <c r="P311" s="635"/>
      <c r="Q311" s="635"/>
      <c r="R311" s="635"/>
      <c r="S311" s="660"/>
      <c r="T311" s="648"/>
      <c r="U311" s="40"/>
      <c r="V311" s="40"/>
      <c r="W311" s="40"/>
      <c r="X311" s="40"/>
      <c r="Y311" s="40"/>
      <c r="Z311" s="635"/>
      <c r="AA311" s="51">
        <f t="shared" si="220"/>
        <v>0</v>
      </c>
      <c r="AB311" s="635"/>
      <c r="AC311" s="40"/>
      <c r="AD311" s="40"/>
      <c r="AE311" s="635"/>
      <c r="AF311" s="635"/>
      <c r="AG311" s="635"/>
      <c r="AH311" s="635"/>
      <c r="AI311" s="635"/>
      <c r="AJ311" s="635"/>
      <c r="AK311" s="660"/>
      <c r="AL311" s="648"/>
      <c r="AM311" s="40"/>
      <c r="AN311" s="40"/>
      <c r="AO311" s="40"/>
      <c r="AP311" s="40"/>
      <c r="AQ311" s="40"/>
      <c r="AR311" s="635"/>
      <c r="AS311" s="150">
        <f t="shared" si="214"/>
        <v>0</v>
      </c>
      <c r="AT311" s="635"/>
      <c r="AU311" s="40"/>
      <c r="AV311" s="635"/>
      <c r="AW311" s="40"/>
      <c r="AX311" s="635"/>
      <c r="AY311" s="635"/>
      <c r="AZ311" s="635"/>
      <c r="BA311" s="635"/>
      <c r="BB311" s="635"/>
      <c r="BC311" s="635"/>
      <c r="BD311" s="662"/>
      <c r="BE311" s="662"/>
      <c r="BF311" s="118"/>
      <c r="BG311" s="118"/>
      <c r="BH311" s="118"/>
      <c r="BI311" s="118"/>
      <c r="BJ311" s="118"/>
      <c r="BK311" s="662"/>
      <c r="BL311" s="118"/>
      <c r="BM311" s="662"/>
      <c r="BN311" s="118"/>
      <c r="BO311" s="118"/>
      <c r="BP311" s="662"/>
      <c r="BQ311" s="662"/>
      <c r="BR311" s="662"/>
      <c r="BS311" s="662"/>
      <c r="BT311" s="118"/>
      <c r="BU311" s="662"/>
      <c r="BV311" s="662"/>
      <c r="BW311" s="118"/>
      <c r="BX311" s="118"/>
      <c r="BY311" s="118"/>
      <c r="BZ311" s="118"/>
      <c r="CA311" s="118"/>
      <c r="CB311" s="118"/>
      <c r="CC311" s="118"/>
      <c r="CD311" s="118"/>
      <c r="CE311" s="118"/>
      <c r="CF311" s="118"/>
      <c r="CG311" s="118"/>
      <c r="CH311" s="118"/>
      <c r="CI311" s="118"/>
      <c r="CJ311" s="118"/>
      <c r="CK311" s="118"/>
      <c r="CL311" s="118"/>
      <c r="CM311" s="118"/>
      <c r="CN311" s="92"/>
      <c r="CO311" s="93"/>
      <c r="CP311" s="93"/>
      <c r="CQ311" s="93"/>
      <c r="CR311" s="93"/>
      <c r="CS311" s="93"/>
      <c r="CT311" s="93"/>
      <c r="CU311" s="93"/>
      <c r="CV311" s="93"/>
      <c r="CW311" s="93"/>
      <c r="CX311" s="93"/>
      <c r="CY311" s="93"/>
      <c r="CZ311" s="93"/>
      <c r="DA311" s="93"/>
      <c r="DB311" s="93"/>
      <c r="DC311" s="94"/>
      <c r="DD311" s="118"/>
      <c r="DE311" s="118"/>
      <c r="DF311" s="118"/>
      <c r="DG311" s="118"/>
      <c r="DH311" s="118"/>
      <c r="DI311" s="118"/>
      <c r="DJ311" s="118"/>
      <c r="DK311" s="118"/>
      <c r="DL311" s="118"/>
      <c r="DM311" s="118"/>
      <c r="DN311" s="118"/>
      <c r="DO311" s="118"/>
      <c r="DP311" s="118"/>
      <c r="DQ311" s="118"/>
      <c r="DR311" s="118"/>
      <c r="DS311" s="118"/>
      <c r="DT311" s="118"/>
      <c r="DU311" s="19"/>
      <c r="DV311" s="19"/>
      <c r="DW311" s="19"/>
      <c r="DX311" s="19"/>
      <c r="DY311" s="19"/>
      <c r="DZ311" s="19"/>
    </row>
    <row r="312" spans="1:130" ht="12.75" x14ac:dyDescent="0.2">
      <c r="A312" s="166"/>
      <c r="B312" s="167" t="s">
        <v>40</v>
      </c>
      <c r="C312" s="168">
        <f>SUM(C287:C311)</f>
        <v>38</v>
      </c>
      <c r="D312" s="168" t="s">
        <v>49</v>
      </c>
      <c r="E312" s="168"/>
      <c r="F312" s="168" t="s">
        <v>49</v>
      </c>
      <c r="G312" s="168">
        <f t="shared" ref="G312:J312" si="221">SUM(G287:G311)</f>
        <v>0</v>
      </c>
      <c r="H312" s="168">
        <f t="shared" si="221"/>
        <v>2</v>
      </c>
      <c r="I312" s="168">
        <f t="shared" si="221"/>
        <v>166</v>
      </c>
      <c r="J312" s="168">
        <f t="shared" si="221"/>
        <v>168</v>
      </c>
      <c r="K312" s="168" t="s">
        <v>49</v>
      </c>
      <c r="L312" s="168"/>
      <c r="M312" s="168">
        <f>SUM(M287:M311)</f>
        <v>1.35</v>
      </c>
      <c r="N312" s="168">
        <f>SUM(N287:N307)</f>
        <v>1.45</v>
      </c>
      <c r="O312" s="169">
        <f t="shared" ref="O312:Q312" si="222">SUM(O287:O311)</f>
        <v>2.8</v>
      </c>
      <c r="P312" s="168">
        <f t="shared" si="222"/>
        <v>0</v>
      </c>
      <c r="Q312" s="168">
        <f t="shared" si="222"/>
        <v>81</v>
      </c>
      <c r="R312" s="170"/>
      <c r="S312" s="171">
        <f>AVERAGE(S296:S299,S304:S307)</f>
        <v>2.0672348484848486</v>
      </c>
      <c r="T312" s="167" t="s">
        <v>40</v>
      </c>
      <c r="U312" s="168">
        <f>SUM(U287:U311)</f>
        <v>0</v>
      </c>
      <c r="V312" s="168" t="s">
        <v>49</v>
      </c>
      <c r="W312" s="168" t="s">
        <v>49</v>
      </c>
      <c r="X312" s="168" t="s">
        <v>49</v>
      </c>
      <c r="Y312" s="168">
        <f t="shared" ref="Y312:AB312" si="223">SUM(Y287:Y311)</f>
        <v>0</v>
      </c>
      <c r="Z312" s="168">
        <f t="shared" si="223"/>
        <v>21</v>
      </c>
      <c r="AA312" s="168">
        <f t="shared" si="223"/>
        <v>1272</v>
      </c>
      <c r="AB312" s="168">
        <f t="shared" si="223"/>
        <v>1293</v>
      </c>
      <c r="AC312" s="168" t="s">
        <v>49</v>
      </c>
      <c r="AD312" s="168" t="s">
        <v>49</v>
      </c>
      <c r="AE312" s="168">
        <f t="shared" ref="AE312:AI312" si="224">SUM(AE287:AE311)</f>
        <v>11.5</v>
      </c>
      <c r="AF312" s="168">
        <f t="shared" si="224"/>
        <v>2</v>
      </c>
      <c r="AG312" s="169">
        <f t="shared" si="224"/>
        <v>13.5</v>
      </c>
      <c r="AH312" s="168">
        <f t="shared" si="224"/>
        <v>2.5</v>
      </c>
      <c r="AI312" s="168">
        <f t="shared" si="224"/>
        <v>690</v>
      </c>
      <c r="AJ312" s="170"/>
      <c r="AK312" s="171">
        <f t="shared" ref="AK312:AK313" si="225">IF(AI312=0,0,AB312/AI312)</f>
        <v>1.8739130434782609</v>
      </c>
      <c r="AL312" s="167" t="s">
        <v>40</v>
      </c>
      <c r="AM312" s="168">
        <f>SUM(AM287:AM311)</f>
        <v>733</v>
      </c>
      <c r="AN312" s="168" t="s">
        <v>49</v>
      </c>
      <c r="AO312" s="168" t="s">
        <v>49</v>
      </c>
      <c r="AP312" s="168" t="s">
        <v>49</v>
      </c>
      <c r="AQ312" s="168">
        <f t="shared" ref="AQ312:AT312" si="226">SUM(AQ287:AQ311)</f>
        <v>14</v>
      </c>
      <c r="AR312" s="168">
        <f t="shared" si="226"/>
        <v>0</v>
      </c>
      <c r="AS312" s="168">
        <f t="shared" si="226"/>
        <v>3876</v>
      </c>
      <c r="AT312" s="168">
        <f t="shared" si="226"/>
        <v>3876</v>
      </c>
      <c r="AU312" s="168" t="s">
        <v>49</v>
      </c>
      <c r="AV312" s="168">
        <f>SUM(AV287:AV311)</f>
        <v>26.05</v>
      </c>
      <c r="AW312" s="168"/>
      <c r="AX312" s="172">
        <f t="shared" ref="AX312:BA312" si="227">SUM(AX287:AX311)</f>
        <v>2.95</v>
      </c>
      <c r="AY312" s="173">
        <f t="shared" si="227"/>
        <v>29</v>
      </c>
      <c r="AZ312" s="172">
        <f t="shared" si="227"/>
        <v>1.9999999999999998</v>
      </c>
      <c r="BA312" s="168">
        <f t="shared" si="227"/>
        <v>1563</v>
      </c>
      <c r="BB312" s="170"/>
      <c r="BC312" s="174">
        <f t="shared" ref="BC312:BC313" si="228">IF(BA312=0,0,AT312/BA312)</f>
        <v>2.4798464491362764</v>
      </c>
      <c r="BD312" s="662"/>
      <c r="BE312" s="662"/>
      <c r="BF312" s="118"/>
      <c r="BG312" s="118"/>
      <c r="BH312" s="118"/>
      <c r="BI312" s="118"/>
      <c r="BJ312" s="118"/>
      <c r="BK312" s="662"/>
      <c r="BL312" s="118"/>
      <c r="BM312" s="662"/>
      <c r="BN312" s="118"/>
      <c r="BO312" s="118"/>
      <c r="BP312" s="662"/>
      <c r="BQ312" s="662"/>
      <c r="BR312" s="662"/>
      <c r="BS312" s="662"/>
      <c r="BT312" s="118"/>
      <c r="BU312" s="662"/>
      <c r="BV312" s="662"/>
      <c r="BW312" s="118"/>
      <c r="BX312" s="118"/>
      <c r="BY312" s="118"/>
      <c r="BZ312" s="118"/>
      <c r="CA312" s="118"/>
      <c r="CB312" s="118"/>
      <c r="CC312" s="118"/>
      <c r="CD312" s="118"/>
      <c r="CE312" s="118"/>
      <c r="CF312" s="118"/>
      <c r="CG312" s="118"/>
      <c r="CH312" s="118"/>
      <c r="CI312" s="118"/>
      <c r="CJ312" s="118"/>
      <c r="CK312" s="118"/>
      <c r="CL312" s="118"/>
      <c r="CM312" s="118"/>
      <c r="CN312" s="92"/>
      <c r="CO312" s="93"/>
      <c r="CP312" s="93"/>
      <c r="CQ312" s="93"/>
      <c r="CR312" s="93"/>
      <c r="CS312" s="93"/>
      <c r="CT312" s="93"/>
      <c r="CU312" s="93"/>
      <c r="CV312" s="93"/>
      <c r="CW312" s="93"/>
      <c r="CX312" s="93"/>
      <c r="CY312" s="93"/>
      <c r="CZ312" s="93"/>
      <c r="DA312" s="93"/>
      <c r="DB312" s="93"/>
      <c r="DC312" s="94"/>
      <c r="DD312" s="118"/>
      <c r="DE312" s="118"/>
      <c r="DF312" s="118"/>
      <c r="DG312" s="118"/>
      <c r="DH312" s="118"/>
      <c r="DI312" s="118"/>
      <c r="DJ312" s="118"/>
      <c r="DK312" s="118"/>
      <c r="DL312" s="118"/>
      <c r="DM312" s="118"/>
      <c r="DN312" s="118"/>
      <c r="DO312" s="118"/>
      <c r="DP312" s="118"/>
      <c r="DQ312" s="118"/>
      <c r="DR312" s="118"/>
      <c r="DS312" s="118"/>
      <c r="DT312" s="118"/>
      <c r="DU312" s="19"/>
      <c r="DV312" s="19"/>
      <c r="DW312" s="19"/>
      <c r="DX312" s="19"/>
      <c r="DY312" s="19"/>
      <c r="DZ312" s="19"/>
    </row>
    <row r="313" spans="1:130" ht="12.75" x14ac:dyDescent="0.2">
      <c r="A313" s="673"/>
      <c r="B313" s="674">
        <v>46132</v>
      </c>
      <c r="C313" s="175"/>
      <c r="D313" s="26">
        <v>700</v>
      </c>
      <c r="E313" s="26">
        <v>2626</v>
      </c>
      <c r="F313" s="26">
        <v>3000</v>
      </c>
      <c r="G313" s="137"/>
      <c r="H313" s="675"/>
      <c r="I313" s="62">
        <f t="shared" ref="I313:I315" si="229">F313-E313-G313</f>
        <v>374</v>
      </c>
      <c r="J313" s="676">
        <f>SUM(I313:I317,H313)</f>
        <v>374</v>
      </c>
      <c r="K313" s="175"/>
      <c r="L313" s="175"/>
      <c r="M313" s="675">
        <v>3</v>
      </c>
      <c r="N313" s="675">
        <v>2</v>
      </c>
      <c r="O313" s="677">
        <f>SUM(M313:N317)</f>
        <v>5</v>
      </c>
      <c r="P313" s="675"/>
      <c r="Q313" s="657">
        <f>M313*60</f>
        <v>180</v>
      </c>
      <c r="R313" s="657">
        <f>IF(
   COUNTIF(K313:K317,"SI")&gt;0,
   1.8,
   IF(
      COUNTIF(L313:L317,"SI")&gt;0,
      1.6,
      2
   )
)</f>
        <v>2</v>
      </c>
      <c r="S313" s="678">
        <f>IF(Q313=0,0,J313/Q313)</f>
        <v>2.0777777777777779</v>
      </c>
      <c r="T313" s="674">
        <v>46132</v>
      </c>
      <c r="U313" s="175"/>
      <c r="V313" s="26"/>
      <c r="W313" s="175"/>
      <c r="X313" s="175"/>
      <c r="Y313" s="175"/>
      <c r="Z313" s="675"/>
      <c r="AA313" s="151">
        <f t="shared" ref="AA313:AA317" si="230">X313-W313-Y313</f>
        <v>0</v>
      </c>
      <c r="AB313" s="676">
        <f>SUM(AA313:AA317,Z313)</f>
        <v>0</v>
      </c>
      <c r="AC313" s="175"/>
      <c r="AD313" s="175"/>
      <c r="AE313" s="675"/>
      <c r="AF313" s="675"/>
      <c r="AG313" s="677">
        <f>SUM(AE313:AF317)</f>
        <v>0</v>
      </c>
      <c r="AH313" s="675">
        <v>2.5</v>
      </c>
      <c r="AI313" s="657">
        <f>AE313*60</f>
        <v>0</v>
      </c>
      <c r="AJ313" s="657">
        <f>IF(
   COUNTIF(AC313:AC317,"SI")&gt;0,
   1.8,
   IF(
      COUNTIF(AD313:AD317,"SI")&gt;0,
      1.6,
      2
   )
)</f>
        <v>2</v>
      </c>
      <c r="AK313" s="678">
        <f t="shared" si="225"/>
        <v>0</v>
      </c>
      <c r="AL313" s="674">
        <v>46132</v>
      </c>
      <c r="AM313" s="24"/>
      <c r="AN313" s="31">
        <v>705</v>
      </c>
      <c r="AO313" s="31">
        <v>5403</v>
      </c>
      <c r="AP313" s="24">
        <v>5501</v>
      </c>
      <c r="AQ313" s="26"/>
      <c r="AR313" s="657"/>
      <c r="AS313" s="62">
        <f t="shared" ref="AS313:AS337" si="231">AP313-AO313-AQ313</f>
        <v>98</v>
      </c>
      <c r="AT313" s="650">
        <f>SUM(AS313:AS317)+AR313</f>
        <v>1085</v>
      </c>
      <c r="AU313" s="29" t="s">
        <v>51</v>
      </c>
      <c r="AV313" s="640">
        <v>7.5</v>
      </c>
      <c r="AW313" s="29" t="s">
        <v>51</v>
      </c>
      <c r="AX313" s="657">
        <v>0.5</v>
      </c>
      <c r="AY313" s="633">
        <f>SUM(AV313,AX313)</f>
        <v>8</v>
      </c>
      <c r="AZ313" s="657">
        <v>0.15</v>
      </c>
      <c r="BA313" s="657">
        <f>AV313*60</f>
        <v>450</v>
      </c>
      <c r="BB313" s="657">
        <f>IF(
   COUNTIF(AU313:AU317,"SI")&gt;0,
   1.8,
   IF(
      COUNTIF(AV313:AV317,"SI")&gt;0,
      1.6,
      2
   )
)</f>
        <v>1.8</v>
      </c>
      <c r="BC313" s="672">
        <f t="shared" si="228"/>
        <v>2.411111111111111</v>
      </c>
      <c r="BD313" s="663"/>
      <c r="BE313" s="116"/>
      <c r="BF313" s="118"/>
      <c r="BG313" s="118"/>
      <c r="BH313" s="118"/>
      <c r="BI313" s="118"/>
      <c r="BJ313" s="118"/>
      <c r="BK313" s="118"/>
      <c r="BL313" s="118"/>
      <c r="BM313" s="118"/>
      <c r="BN313" s="118"/>
      <c r="BO313" s="118"/>
      <c r="BP313" s="118"/>
      <c r="BQ313" s="118"/>
      <c r="BR313" s="118"/>
      <c r="BS313" s="118"/>
      <c r="BT313" s="118"/>
      <c r="BU313" s="118"/>
      <c r="BV313" s="118"/>
      <c r="BW313" s="118"/>
      <c r="BX313" s="118"/>
      <c r="BY313" s="118"/>
      <c r="BZ313" s="118"/>
      <c r="CA313" s="118"/>
      <c r="CB313" s="118"/>
      <c r="CC313" s="118"/>
      <c r="CD313" s="118"/>
      <c r="CE313" s="118"/>
      <c r="CF313" s="118"/>
      <c r="CG313" s="118"/>
      <c r="CH313" s="118"/>
      <c r="CI313" s="118"/>
      <c r="CJ313" s="118"/>
      <c r="CK313" s="118"/>
      <c r="CL313" s="118"/>
      <c r="CM313" s="118"/>
      <c r="CN313" s="92"/>
      <c r="CO313" s="93"/>
      <c r="CP313" s="93"/>
      <c r="CQ313" s="93"/>
      <c r="CR313" s="93"/>
      <c r="CS313" s="93"/>
      <c r="CT313" s="93"/>
      <c r="CU313" s="93"/>
      <c r="CV313" s="93"/>
      <c r="CW313" s="93"/>
      <c r="CX313" s="93"/>
      <c r="CY313" s="93"/>
      <c r="CZ313" s="93"/>
      <c r="DA313" s="93"/>
      <c r="DB313" s="93"/>
      <c r="DC313" s="94"/>
      <c r="DD313" s="118"/>
      <c r="DE313" s="118"/>
      <c r="DF313" s="118"/>
      <c r="DG313" s="118"/>
      <c r="DH313" s="118"/>
      <c r="DI313" s="118"/>
      <c r="DJ313" s="118"/>
      <c r="DK313" s="118"/>
      <c r="DL313" s="118"/>
      <c r="DM313" s="118"/>
      <c r="DN313" s="118"/>
      <c r="DO313" s="118"/>
      <c r="DP313" s="118"/>
      <c r="DQ313" s="118"/>
      <c r="DR313" s="118"/>
      <c r="DS313" s="118"/>
      <c r="DT313" s="118"/>
      <c r="DU313" s="19"/>
      <c r="DV313" s="19"/>
      <c r="DW313" s="19"/>
      <c r="DX313" s="19"/>
      <c r="DY313" s="19"/>
      <c r="DZ313" s="19"/>
    </row>
    <row r="314" spans="1:130" ht="12.75" x14ac:dyDescent="0.2">
      <c r="A314" s="647"/>
      <c r="B314" s="647"/>
      <c r="C314" s="30"/>
      <c r="D314" s="158"/>
      <c r="E314" s="158"/>
      <c r="F314" s="158"/>
      <c r="G314" s="158"/>
      <c r="H314" s="634"/>
      <c r="I314" s="159">
        <f t="shared" si="229"/>
        <v>0</v>
      </c>
      <c r="J314" s="634"/>
      <c r="K314" s="30"/>
      <c r="L314" s="142"/>
      <c r="M314" s="634"/>
      <c r="N314" s="634"/>
      <c r="O314" s="634"/>
      <c r="P314" s="634"/>
      <c r="Q314" s="634"/>
      <c r="R314" s="634"/>
      <c r="S314" s="659"/>
      <c r="T314" s="647"/>
      <c r="U314" s="30"/>
      <c r="V314" s="30"/>
      <c r="W314" s="30"/>
      <c r="X314" s="30"/>
      <c r="Y314" s="30"/>
      <c r="Z314" s="634"/>
      <c r="AA314" s="51">
        <f t="shared" si="230"/>
        <v>0</v>
      </c>
      <c r="AB314" s="634"/>
      <c r="AC314" s="30"/>
      <c r="AD314" s="142"/>
      <c r="AE314" s="634"/>
      <c r="AF314" s="634"/>
      <c r="AG314" s="634"/>
      <c r="AH314" s="634"/>
      <c r="AI314" s="634"/>
      <c r="AJ314" s="634"/>
      <c r="AK314" s="659"/>
      <c r="AL314" s="647"/>
      <c r="AM314" s="28">
        <v>123</v>
      </c>
      <c r="AN314" s="28">
        <v>707</v>
      </c>
      <c r="AO314" s="28">
        <v>6008</v>
      </c>
      <c r="AP314" s="28">
        <v>6501</v>
      </c>
      <c r="AQ314" s="29">
        <v>5</v>
      </c>
      <c r="AR314" s="634"/>
      <c r="AS314" s="159">
        <f t="shared" si="231"/>
        <v>488</v>
      </c>
      <c r="AT314" s="634"/>
      <c r="AU314" s="29" t="s">
        <v>51</v>
      </c>
      <c r="AV314" s="634"/>
      <c r="AW314" s="29" t="s">
        <v>51</v>
      </c>
      <c r="AX314" s="634"/>
      <c r="AY314" s="634"/>
      <c r="AZ314" s="634"/>
      <c r="BA314" s="634"/>
      <c r="BB314" s="634"/>
      <c r="BC314" s="634"/>
      <c r="BD314" s="662"/>
      <c r="BE314" s="116"/>
      <c r="BF314" s="118"/>
      <c r="BG314" s="118"/>
      <c r="BH314" s="118"/>
      <c r="BI314" s="118"/>
      <c r="BJ314" s="118"/>
      <c r="BK314" s="118"/>
      <c r="BL314" s="118"/>
      <c r="BM314" s="118"/>
      <c r="BN314" s="118"/>
      <c r="BO314" s="118"/>
      <c r="BP314" s="118"/>
      <c r="BQ314" s="118"/>
      <c r="BR314" s="118"/>
      <c r="BS314" s="118"/>
      <c r="BT314" s="118"/>
      <c r="BU314" s="118"/>
      <c r="BV314" s="118"/>
      <c r="BW314" s="118"/>
      <c r="BX314" s="118"/>
      <c r="BY314" s="118"/>
      <c r="BZ314" s="118"/>
      <c r="CA314" s="118"/>
      <c r="CB314" s="118"/>
      <c r="CC314" s="118"/>
      <c r="CD314" s="118"/>
      <c r="CE314" s="118"/>
      <c r="CF314" s="118"/>
      <c r="CG314" s="118"/>
      <c r="CH314" s="118"/>
      <c r="CI314" s="118"/>
      <c r="CJ314" s="118"/>
      <c r="CK314" s="118"/>
      <c r="CL314" s="118"/>
      <c r="CM314" s="118"/>
      <c r="CN314" s="92"/>
      <c r="CO314" s="93"/>
      <c r="CP314" s="93"/>
      <c r="CQ314" s="93"/>
      <c r="CR314" s="93"/>
      <c r="CS314" s="93"/>
      <c r="CT314" s="93"/>
      <c r="CU314" s="93"/>
      <c r="CV314" s="93"/>
      <c r="CW314" s="93"/>
      <c r="CX314" s="93"/>
      <c r="CY314" s="93"/>
      <c r="CZ314" s="93"/>
      <c r="DA314" s="93"/>
      <c r="DB314" s="93"/>
      <c r="DC314" s="94"/>
      <c r="DD314" s="118"/>
      <c r="DE314" s="118"/>
      <c r="DF314" s="118"/>
      <c r="DG314" s="118"/>
      <c r="DH314" s="118"/>
      <c r="DI314" s="118"/>
      <c r="DJ314" s="118"/>
      <c r="DK314" s="118"/>
      <c r="DL314" s="118"/>
      <c r="DM314" s="118"/>
      <c r="DN314" s="118"/>
      <c r="DO314" s="118"/>
      <c r="DP314" s="118"/>
      <c r="DQ314" s="118"/>
      <c r="DR314" s="118"/>
      <c r="DS314" s="118"/>
      <c r="DT314" s="118"/>
      <c r="DU314" s="19"/>
      <c r="DV314" s="19"/>
      <c r="DW314" s="19"/>
      <c r="DX314" s="19"/>
      <c r="DY314" s="19"/>
      <c r="DZ314" s="19"/>
    </row>
    <row r="315" spans="1:130" ht="12.75" x14ac:dyDescent="0.2">
      <c r="A315" s="647"/>
      <c r="B315" s="647"/>
      <c r="C315" s="30"/>
      <c r="D315" s="158"/>
      <c r="E315" s="158"/>
      <c r="F315" s="158"/>
      <c r="G315" s="158"/>
      <c r="H315" s="634"/>
      <c r="I315" s="159">
        <f t="shared" si="229"/>
        <v>0</v>
      </c>
      <c r="J315" s="634"/>
      <c r="K315" s="158"/>
      <c r="L315" s="161"/>
      <c r="M315" s="634"/>
      <c r="N315" s="634"/>
      <c r="O315" s="634"/>
      <c r="P315" s="634"/>
      <c r="Q315" s="634"/>
      <c r="R315" s="634"/>
      <c r="S315" s="659"/>
      <c r="T315" s="647"/>
      <c r="U315" s="30"/>
      <c r="V315" s="158"/>
      <c r="W315" s="30"/>
      <c r="X315" s="30"/>
      <c r="Y315" s="30"/>
      <c r="Z315" s="634"/>
      <c r="AA315" s="51">
        <f t="shared" si="230"/>
        <v>0</v>
      </c>
      <c r="AB315" s="634"/>
      <c r="AC315" s="158"/>
      <c r="AD315" s="161"/>
      <c r="AE315" s="634"/>
      <c r="AF315" s="634"/>
      <c r="AG315" s="634"/>
      <c r="AH315" s="634"/>
      <c r="AI315" s="634"/>
      <c r="AJ315" s="634"/>
      <c r="AK315" s="659"/>
      <c r="AL315" s="647"/>
      <c r="AM315" s="28">
        <v>122</v>
      </c>
      <c r="AN315" s="28">
        <v>708</v>
      </c>
      <c r="AO315" s="28">
        <v>6502</v>
      </c>
      <c r="AP315" s="28">
        <v>7004</v>
      </c>
      <c r="AQ315" s="28">
        <v>3</v>
      </c>
      <c r="AR315" s="634"/>
      <c r="AS315" s="159">
        <f t="shared" si="231"/>
        <v>499</v>
      </c>
      <c r="AT315" s="634"/>
      <c r="AU315" s="29" t="s">
        <v>51</v>
      </c>
      <c r="AV315" s="634"/>
      <c r="AW315" s="29" t="s">
        <v>51</v>
      </c>
      <c r="AX315" s="634"/>
      <c r="AY315" s="634"/>
      <c r="AZ315" s="634"/>
      <c r="BA315" s="634"/>
      <c r="BB315" s="634"/>
      <c r="BC315" s="634"/>
      <c r="BD315" s="118"/>
      <c r="BE315" s="116"/>
      <c r="BF315" s="118"/>
      <c r="BG315" s="118"/>
      <c r="BH315" s="118"/>
      <c r="BI315" s="118"/>
      <c r="BJ315" s="118"/>
      <c r="BK315" s="118"/>
      <c r="BL315" s="118"/>
      <c r="BM315" s="118"/>
      <c r="BN315" s="118"/>
      <c r="BO315" s="118"/>
      <c r="BP315" s="118"/>
      <c r="BQ315" s="118"/>
      <c r="BR315" s="118"/>
      <c r="BS315" s="118"/>
      <c r="BT315" s="118"/>
      <c r="BU315" s="118"/>
      <c r="BV315" s="118"/>
      <c r="BW315" s="118"/>
      <c r="BX315" s="118"/>
      <c r="BY315" s="118"/>
      <c r="BZ315" s="118"/>
      <c r="CA315" s="118"/>
      <c r="CB315" s="118"/>
      <c r="CC315" s="118"/>
      <c r="CD315" s="118"/>
      <c r="CE315" s="118"/>
      <c r="CF315" s="118"/>
      <c r="CG315" s="118"/>
      <c r="CH315" s="118"/>
      <c r="CI315" s="118"/>
      <c r="CJ315" s="118"/>
      <c r="CK315" s="118"/>
      <c r="CL315" s="118"/>
      <c r="CM315" s="118"/>
      <c r="CN315" s="92"/>
      <c r="CO315" s="93"/>
      <c r="CP315" s="93"/>
      <c r="CQ315" s="93"/>
      <c r="CR315" s="93"/>
      <c r="CS315" s="93"/>
      <c r="CT315" s="93"/>
      <c r="CU315" s="93"/>
      <c r="CV315" s="93"/>
      <c r="CW315" s="93"/>
      <c r="CX315" s="93"/>
      <c r="CY315" s="93"/>
      <c r="CZ315" s="93"/>
      <c r="DA315" s="93"/>
      <c r="DB315" s="93"/>
      <c r="DC315" s="94"/>
      <c r="DD315" s="118"/>
      <c r="DE315" s="118"/>
      <c r="DF315" s="118"/>
      <c r="DG315" s="118"/>
      <c r="DH315" s="118"/>
      <c r="DI315" s="118"/>
      <c r="DJ315" s="118"/>
      <c r="DK315" s="118"/>
      <c r="DL315" s="118"/>
      <c r="DM315" s="118"/>
      <c r="DN315" s="118"/>
      <c r="DO315" s="118"/>
      <c r="DP315" s="118"/>
      <c r="DQ315" s="118"/>
      <c r="DR315" s="118"/>
      <c r="DS315" s="118"/>
      <c r="DT315" s="118"/>
      <c r="DU315" s="19"/>
      <c r="DV315" s="19"/>
      <c r="DW315" s="19"/>
      <c r="DX315" s="19"/>
      <c r="DY315" s="19"/>
      <c r="DZ315" s="19"/>
    </row>
    <row r="316" spans="1:130" ht="12.75" x14ac:dyDescent="0.2">
      <c r="A316" s="647"/>
      <c r="B316" s="647"/>
      <c r="C316" s="30"/>
      <c r="D316" s="30"/>
      <c r="E316" s="30"/>
      <c r="F316" s="30"/>
      <c r="G316" s="30"/>
      <c r="H316" s="634"/>
      <c r="I316" s="30"/>
      <c r="J316" s="634"/>
      <c r="K316" s="30"/>
      <c r="L316" s="142"/>
      <c r="M316" s="634"/>
      <c r="N316" s="634"/>
      <c r="O316" s="634"/>
      <c r="P316" s="634"/>
      <c r="Q316" s="634"/>
      <c r="R316" s="634"/>
      <c r="S316" s="659"/>
      <c r="T316" s="647"/>
      <c r="U316" s="30"/>
      <c r="V316" s="30"/>
      <c r="W316" s="30"/>
      <c r="X316" s="30"/>
      <c r="Y316" s="30"/>
      <c r="Z316" s="634"/>
      <c r="AA316" s="51">
        <f t="shared" si="230"/>
        <v>0</v>
      </c>
      <c r="AB316" s="634"/>
      <c r="AC316" s="30"/>
      <c r="AD316" s="142"/>
      <c r="AE316" s="634"/>
      <c r="AF316" s="634"/>
      <c r="AG316" s="634"/>
      <c r="AH316" s="634"/>
      <c r="AI316" s="634"/>
      <c r="AJ316" s="634"/>
      <c r="AK316" s="659"/>
      <c r="AL316" s="647"/>
      <c r="AM316" s="29"/>
      <c r="AN316" s="29"/>
      <c r="AO316" s="29"/>
      <c r="AP316" s="29"/>
      <c r="AQ316" s="30"/>
      <c r="AR316" s="634"/>
      <c r="AS316" s="51">
        <f t="shared" si="231"/>
        <v>0</v>
      </c>
      <c r="AT316" s="635"/>
      <c r="AU316" s="30"/>
      <c r="AV316" s="635"/>
      <c r="AW316" s="142"/>
      <c r="AX316" s="634"/>
      <c r="AY316" s="634"/>
      <c r="AZ316" s="634"/>
      <c r="BA316" s="634"/>
      <c r="BB316" s="634"/>
      <c r="BC316" s="634"/>
      <c r="BD316" s="663"/>
      <c r="BE316" s="668"/>
      <c r="BF316" s="118"/>
      <c r="BG316" s="118"/>
      <c r="BH316" s="118"/>
      <c r="BI316" s="118"/>
      <c r="BJ316" s="118"/>
      <c r="BK316" s="663"/>
      <c r="BL316" s="118"/>
      <c r="BM316" s="663"/>
      <c r="BN316" s="118"/>
      <c r="BO316" s="118"/>
      <c r="BP316" s="663"/>
      <c r="BQ316" s="663"/>
      <c r="BR316" s="663"/>
      <c r="BS316" s="663"/>
      <c r="BT316" s="118"/>
      <c r="BU316" s="663"/>
      <c r="BV316" s="663"/>
      <c r="BW316" s="118"/>
      <c r="BX316" s="118"/>
      <c r="BY316" s="118"/>
      <c r="BZ316" s="118"/>
      <c r="CA316" s="118"/>
      <c r="CB316" s="118"/>
      <c r="CC316" s="118"/>
      <c r="CD316" s="118"/>
      <c r="CE316" s="118"/>
      <c r="CF316" s="118"/>
      <c r="CG316" s="118"/>
      <c r="CH316" s="118"/>
      <c r="CI316" s="118"/>
      <c r="CJ316" s="118"/>
      <c r="CK316" s="118"/>
      <c r="CL316" s="118"/>
      <c r="CM316" s="118"/>
      <c r="CN316" s="92"/>
      <c r="CO316" s="93"/>
      <c r="CP316" s="93"/>
      <c r="CQ316" s="93"/>
      <c r="CR316" s="93"/>
      <c r="CS316" s="93"/>
      <c r="CT316" s="93"/>
      <c r="CU316" s="93"/>
      <c r="CV316" s="93"/>
      <c r="CW316" s="93"/>
      <c r="CX316" s="93"/>
      <c r="CY316" s="93"/>
      <c r="CZ316" s="93"/>
      <c r="DA316" s="93"/>
      <c r="DB316" s="93"/>
      <c r="DC316" s="94"/>
      <c r="DD316" s="118"/>
      <c r="DE316" s="118"/>
      <c r="DF316" s="118"/>
      <c r="DG316" s="118"/>
      <c r="DH316" s="118"/>
      <c r="DI316" s="118"/>
      <c r="DJ316" s="118"/>
      <c r="DK316" s="118"/>
      <c r="DL316" s="118"/>
      <c r="DM316" s="118"/>
      <c r="DN316" s="118"/>
      <c r="DO316" s="118"/>
      <c r="DP316" s="118"/>
      <c r="DQ316" s="118"/>
      <c r="DR316" s="118"/>
      <c r="DS316" s="118"/>
      <c r="DT316" s="118"/>
      <c r="DU316" s="19"/>
      <c r="DV316" s="19"/>
      <c r="DW316" s="19"/>
      <c r="DX316" s="19"/>
      <c r="DY316" s="19"/>
      <c r="DZ316" s="19"/>
    </row>
    <row r="317" spans="1:130" ht="12.75" x14ac:dyDescent="0.2">
      <c r="A317" s="648"/>
      <c r="B317" s="648"/>
      <c r="C317" s="30"/>
      <c r="D317" s="30"/>
      <c r="E317" s="30"/>
      <c r="F317" s="30"/>
      <c r="G317" s="30"/>
      <c r="H317" s="635"/>
      <c r="I317" s="51">
        <f t="shared" ref="I317:I337" si="232">F317-E317-G317</f>
        <v>0</v>
      </c>
      <c r="J317" s="635"/>
      <c r="K317" s="30"/>
      <c r="L317" s="142"/>
      <c r="M317" s="635"/>
      <c r="N317" s="635"/>
      <c r="O317" s="635"/>
      <c r="P317" s="635"/>
      <c r="Q317" s="635"/>
      <c r="R317" s="635"/>
      <c r="S317" s="660"/>
      <c r="T317" s="648"/>
      <c r="U317" s="30"/>
      <c r="V317" s="30"/>
      <c r="W317" s="30"/>
      <c r="X317" s="30"/>
      <c r="Y317" s="30"/>
      <c r="Z317" s="635"/>
      <c r="AA317" s="51">
        <f t="shared" si="230"/>
        <v>0</v>
      </c>
      <c r="AB317" s="635"/>
      <c r="AC317" s="30"/>
      <c r="AD317" s="142"/>
      <c r="AE317" s="635"/>
      <c r="AF317" s="635"/>
      <c r="AG317" s="635"/>
      <c r="AH317" s="635"/>
      <c r="AI317" s="635"/>
      <c r="AJ317" s="635"/>
      <c r="AK317" s="660"/>
      <c r="AL317" s="648"/>
      <c r="AM317" s="30"/>
      <c r="AN317" s="30"/>
      <c r="AO317" s="30"/>
      <c r="AP317" s="30"/>
      <c r="AQ317" s="30"/>
      <c r="AR317" s="635"/>
      <c r="AS317" s="51">
        <f t="shared" si="231"/>
        <v>0</v>
      </c>
      <c r="AT317" s="146">
        <f>AS317</f>
        <v>0</v>
      </c>
      <c r="AU317" s="30"/>
      <c r="AV317" s="142"/>
      <c r="AW317" s="142"/>
      <c r="AX317" s="635"/>
      <c r="AY317" s="635"/>
      <c r="AZ317" s="635"/>
      <c r="BA317" s="147">
        <f t="shared" ref="BA317:BA318" si="233">AV317*60</f>
        <v>0</v>
      </c>
      <c r="BB317" s="635"/>
      <c r="BC317" s="148">
        <f t="shared" ref="BC317:BC318" si="234">IF(BA317=0,0,AT317/BA317)</f>
        <v>0</v>
      </c>
      <c r="BD317" s="662"/>
      <c r="BE317" s="662"/>
      <c r="BF317" s="118"/>
      <c r="BG317" s="118"/>
      <c r="BH317" s="118"/>
      <c r="BI317" s="118"/>
      <c r="BJ317" s="118"/>
      <c r="BK317" s="662"/>
      <c r="BL317" s="118"/>
      <c r="BM317" s="662"/>
      <c r="BN317" s="118"/>
      <c r="BO317" s="118"/>
      <c r="BP317" s="662"/>
      <c r="BQ317" s="662"/>
      <c r="BR317" s="662"/>
      <c r="BS317" s="662"/>
      <c r="BT317" s="118"/>
      <c r="BU317" s="662"/>
      <c r="BV317" s="662"/>
      <c r="BW317" s="118"/>
      <c r="BX317" s="118"/>
      <c r="BY317" s="118"/>
      <c r="BZ317" s="118"/>
      <c r="CA317" s="118"/>
      <c r="CB317" s="118"/>
      <c r="CC317" s="118"/>
      <c r="CD317" s="118"/>
      <c r="CE317" s="118"/>
      <c r="CF317" s="118"/>
      <c r="CG317" s="118"/>
      <c r="CH317" s="118"/>
      <c r="CI317" s="118"/>
      <c r="CJ317" s="118"/>
      <c r="CK317" s="118"/>
      <c r="CL317" s="118"/>
      <c r="CM317" s="118"/>
      <c r="CN317" s="92"/>
      <c r="CO317" s="93"/>
      <c r="CP317" s="93"/>
      <c r="CQ317" s="93"/>
      <c r="CR317" s="93"/>
      <c r="CS317" s="93"/>
      <c r="CT317" s="93"/>
      <c r="CU317" s="93"/>
      <c r="CV317" s="93"/>
      <c r="CW317" s="93"/>
      <c r="CX317" s="93"/>
      <c r="CY317" s="93"/>
      <c r="CZ317" s="93"/>
      <c r="DA317" s="93"/>
      <c r="DB317" s="93"/>
      <c r="DC317" s="94"/>
      <c r="DD317" s="118"/>
      <c r="DE317" s="118"/>
      <c r="DF317" s="118"/>
      <c r="DG317" s="118"/>
      <c r="DH317" s="118"/>
      <c r="DI317" s="118"/>
      <c r="DJ317" s="118"/>
      <c r="DK317" s="118"/>
      <c r="DL317" s="118"/>
      <c r="DM317" s="118"/>
      <c r="DN317" s="118"/>
      <c r="DO317" s="118"/>
      <c r="DP317" s="118"/>
      <c r="DQ317" s="118"/>
      <c r="DR317" s="118"/>
      <c r="DS317" s="118"/>
      <c r="DT317" s="118"/>
      <c r="DU317" s="19"/>
      <c r="DV317" s="19"/>
      <c r="DW317" s="19"/>
      <c r="DX317" s="19"/>
      <c r="DY317" s="19"/>
      <c r="DZ317" s="19"/>
    </row>
    <row r="318" spans="1:130" ht="12.75" x14ac:dyDescent="0.2">
      <c r="A318" s="651"/>
      <c r="B318" s="646">
        <v>46133</v>
      </c>
      <c r="C318" s="40"/>
      <c r="D318" s="40"/>
      <c r="E318" s="40"/>
      <c r="F318" s="40"/>
      <c r="G318" s="40"/>
      <c r="H318" s="653"/>
      <c r="I318" s="150">
        <f t="shared" si="232"/>
        <v>0</v>
      </c>
      <c r="J318" s="650">
        <f>SUM(I318:I321,H318)</f>
        <v>0</v>
      </c>
      <c r="K318" s="40"/>
      <c r="L318" s="40"/>
      <c r="M318" s="653"/>
      <c r="N318" s="653"/>
      <c r="O318" s="633">
        <f>SUM(M318:N321)</f>
        <v>0</v>
      </c>
      <c r="P318" s="653"/>
      <c r="Q318" s="636">
        <f>M318*60</f>
        <v>0</v>
      </c>
      <c r="R318" s="657">
        <f>IF(
   COUNTIF(K318:K321,"SI")&gt;0,
   1.8,
   IF(
      COUNTIF(L318:L321,"SI")&gt;0,
      1.6,
      2
   )
)</f>
        <v>2</v>
      </c>
      <c r="S318" s="678">
        <f>IF(Q318=0,0,J318/Q318)</f>
        <v>0</v>
      </c>
      <c r="T318" s="646">
        <v>46133</v>
      </c>
      <c r="U318" s="40"/>
      <c r="V318" s="38">
        <v>706</v>
      </c>
      <c r="W318" s="38">
        <v>5975</v>
      </c>
      <c r="X318" s="38">
        <v>6000</v>
      </c>
      <c r="Y318" s="38">
        <v>0</v>
      </c>
      <c r="Z318" s="653">
        <v>22</v>
      </c>
      <c r="AA318" s="51">
        <f t="shared" ref="AA318:AA320" si="235">X318-W318-Y318+1</f>
        <v>26</v>
      </c>
      <c r="AB318" s="650">
        <f>SUM(AA318:AA321)+Z318</f>
        <v>746</v>
      </c>
      <c r="AC318" s="38" t="s">
        <v>51</v>
      </c>
      <c r="AD318" s="38" t="s">
        <v>51</v>
      </c>
      <c r="AE318" s="636">
        <v>6</v>
      </c>
      <c r="AF318" s="636">
        <v>1.5</v>
      </c>
      <c r="AG318" s="633">
        <f>SUM(AE318:AF321)</f>
        <v>7.5</v>
      </c>
      <c r="AH318" s="636">
        <v>0</v>
      </c>
      <c r="AI318" s="636">
        <f>AE318*60</f>
        <v>360</v>
      </c>
      <c r="AJ318" s="657">
        <f>IF(
   COUNTIF(AC318:AC321,"SI")&gt;0,
   1.8,
   IF(
      COUNTIF(AD318:AD321,"SI")&gt;0,
      1.6,
      2
   )
)</f>
        <v>1.8</v>
      </c>
      <c r="AK318" s="658">
        <f>AB318/AI318</f>
        <v>2.0722222222222224</v>
      </c>
      <c r="AL318" s="646">
        <v>46133</v>
      </c>
      <c r="AM318" s="40"/>
      <c r="AN318" s="40"/>
      <c r="AO318" s="40"/>
      <c r="AP318" s="40"/>
      <c r="AQ318" s="40"/>
      <c r="AR318" s="653"/>
      <c r="AS318" s="151">
        <f t="shared" si="231"/>
        <v>0</v>
      </c>
      <c r="AT318" s="650"/>
      <c r="AU318" s="653"/>
      <c r="AV318" s="653"/>
      <c r="AW318" s="40"/>
      <c r="AX318" s="653"/>
      <c r="AY318" s="633">
        <f>SUM(AV318:AX321)</f>
        <v>0</v>
      </c>
      <c r="AZ318" s="636">
        <v>1.5</v>
      </c>
      <c r="BA318" s="636">
        <f t="shared" si="233"/>
        <v>0</v>
      </c>
      <c r="BB318" s="657">
        <f>IF(
   COUNTIF(AU318:AU321,"SI")&gt;0,
   1.8,
   IF(
      COUNTIF(AV318:AV321,"SI")&gt;0,
      1.6,
      2
   )
)</f>
        <v>2</v>
      </c>
      <c r="BC318" s="667">
        <f t="shared" si="234"/>
        <v>0</v>
      </c>
      <c r="BD318" s="662"/>
      <c r="BE318" s="662"/>
      <c r="BF318" s="118"/>
      <c r="BG318" s="118"/>
      <c r="BH318" s="118"/>
      <c r="BI318" s="118"/>
      <c r="BJ318" s="118"/>
      <c r="BK318" s="662"/>
      <c r="BL318" s="118"/>
      <c r="BM318" s="662"/>
      <c r="BN318" s="118"/>
      <c r="BO318" s="118"/>
      <c r="BP318" s="662"/>
      <c r="BQ318" s="662"/>
      <c r="BR318" s="662"/>
      <c r="BS318" s="662"/>
      <c r="BT318" s="118"/>
      <c r="BU318" s="662"/>
      <c r="BV318" s="662"/>
      <c r="BW318" s="118"/>
      <c r="BX318" s="118"/>
      <c r="BY318" s="118"/>
      <c r="BZ318" s="118"/>
      <c r="CA318" s="118"/>
      <c r="CB318" s="118"/>
      <c r="CC318" s="118"/>
      <c r="CD318" s="118"/>
      <c r="CE318" s="118"/>
      <c r="CF318" s="118"/>
      <c r="CG318" s="118"/>
      <c r="CH318" s="118"/>
      <c r="CI318" s="118"/>
      <c r="CJ318" s="118"/>
      <c r="CK318" s="118"/>
      <c r="CL318" s="118"/>
      <c r="CM318" s="118"/>
      <c r="CN318" s="92"/>
      <c r="CO318" s="93"/>
      <c r="CP318" s="93"/>
      <c r="CQ318" s="93"/>
      <c r="CR318" s="93"/>
      <c r="CS318" s="93"/>
      <c r="CT318" s="93"/>
      <c r="CU318" s="93"/>
      <c r="CV318" s="93"/>
      <c r="CW318" s="93"/>
      <c r="CX318" s="93"/>
      <c r="CY318" s="93"/>
      <c r="CZ318" s="93"/>
      <c r="DA318" s="93"/>
      <c r="DB318" s="93"/>
      <c r="DC318" s="94"/>
      <c r="DD318" s="118"/>
      <c r="DE318" s="118"/>
      <c r="DF318" s="118"/>
      <c r="DG318" s="118"/>
      <c r="DH318" s="118"/>
      <c r="DI318" s="118"/>
      <c r="DJ318" s="118"/>
      <c r="DK318" s="118"/>
      <c r="DL318" s="118"/>
      <c r="DM318" s="118"/>
      <c r="DN318" s="118"/>
      <c r="DO318" s="118"/>
      <c r="DP318" s="118"/>
      <c r="DQ318" s="118"/>
      <c r="DR318" s="118"/>
      <c r="DS318" s="118"/>
      <c r="DT318" s="118"/>
      <c r="DU318" s="19"/>
      <c r="DV318" s="19"/>
      <c r="DW318" s="19"/>
      <c r="DX318" s="19"/>
      <c r="DY318" s="19"/>
      <c r="DZ318" s="19"/>
    </row>
    <row r="319" spans="1:130" ht="12.75" x14ac:dyDescent="0.2">
      <c r="A319" s="647"/>
      <c r="B319" s="647"/>
      <c r="C319" s="40"/>
      <c r="D319" s="40"/>
      <c r="E319" s="40"/>
      <c r="F319" s="40"/>
      <c r="G319" s="40"/>
      <c r="H319" s="634"/>
      <c r="I319" s="150">
        <f t="shared" si="232"/>
        <v>0</v>
      </c>
      <c r="J319" s="634"/>
      <c r="K319" s="40"/>
      <c r="L319" s="40"/>
      <c r="M319" s="634"/>
      <c r="N319" s="634"/>
      <c r="O319" s="634"/>
      <c r="P319" s="634"/>
      <c r="Q319" s="634"/>
      <c r="R319" s="634"/>
      <c r="S319" s="659"/>
      <c r="T319" s="647"/>
      <c r="U319" s="40"/>
      <c r="V319" s="31">
        <v>709</v>
      </c>
      <c r="W319" s="31">
        <v>7003</v>
      </c>
      <c r="X319" s="31">
        <v>7500</v>
      </c>
      <c r="Y319" s="31">
        <v>0</v>
      </c>
      <c r="Z319" s="634"/>
      <c r="AA319" s="51">
        <f t="shared" si="235"/>
        <v>498</v>
      </c>
      <c r="AB319" s="634"/>
      <c r="AC319" s="38" t="s">
        <v>51</v>
      </c>
      <c r="AD319" s="38" t="s">
        <v>51</v>
      </c>
      <c r="AE319" s="634"/>
      <c r="AF319" s="634"/>
      <c r="AG319" s="634"/>
      <c r="AH319" s="634"/>
      <c r="AI319" s="634"/>
      <c r="AJ319" s="634"/>
      <c r="AK319" s="659"/>
      <c r="AL319" s="647"/>
      <c r="AM319" s="40"/>
      <c r="AN319" s="40"/>
      <c r="AO319" s="40"/>
      <c r="AP319" s="40"/>
      <c r="AQ319" s="40"/>
      <c r="AR319" s="634"/>
      <c r="AS319" s="151">
        <f t="shared" si="231"/>
        <v>0</v>
      </c>
      <c r="AT319" s="634"/>
      <c r="AU319" s="634"/>
      <c r="AV319" s="634"/>
      <c r="AW319" s="40"/>
      <c r="AX319" s="634"/>
      <c r="AY319" s="634"/>
      <c r="AZ319" s="634"/>
      <c r="BA319" s="634"/>
      <c r="BB319" s="634"/>
      <c r="BC319" s="634"/>
      <c r="BD319" s="662"/>
      <c r="BE319" s="662"/>
      <c r="BF319" s="120"/>
      <c r="BG319" s="120"/>
      <c r="BH319" s="120"/>
      <c r="BI319" s="120"/>
      <c r="BJ319" s="120"/>
      <c r="BK319" s="662"/>
      <c r="BL319" s="118"/>
      <c r="BM319" s="662"/>
      <c r="BN319" s="120"/>
      <c r="BO319" s="120"/>
      <c r="BP319" s="662"/>
      <c r="BQ319" s="662"/>
      <c r="BR319" s="662"/>
      <c r="BS319" s="662"/>
      <c r="BT319" s="118"/>
      <c r="BU319" s="662"/>
      <c r="BV319" s="662"/>
      <c r="BW319" s="118"/>
      <c r="BX319" s="118"/>
      <c r="BY319" s="118"/>
      <c r="BZ319" s="118"/>
      <c r="CA319" s="118"/>
      <c r="CB319" s="118"/>
      <c r="CC319" s="118"/>
      <c r="CD319" s="118"/>
      <c r="CE319" s="118"/>
      <c r="CF319" s="118"/>
      <c r="CG319" s="118"/>
      <c r="CH319" s="118"/>
      <c r="CI319" s="118"/>
      <c r="CJ319" s="118"/>
      <c r="CK319" s="118"/>
      <c r="CL319" s="118"/>
      <c r="CM319" s="118"/>
      <c r="CN319" s="92"/>
      <c r="CO319" s="93"/>
      <c r="CP319" s="93"/>
      <c r="CQ319" s="93"/>
      <c r="CR319" s="93"/>
      <c r="CS319" s="93"/>
      <c r="CT319" s="93"/>
      <c r="CU319" s="93"/>
      <c r="CV319" s="93"/>
      <c r="CW319" s="93"/>
      <c r="CX319" s="93"/>
      <c r="CY319" s="93"/>
      <c r="CZ319" s="93"/>
      <c r="DA319" s="93"/>
      <c r="DB319" s="93"/>
      <c r="DC319" s="94"/>
      <c r="DD319" s="118"/>
      <c r="DE319" s="118"/>
      <c r="DF319" s="118"/>
      <c r="DG319" s="118"/>
      <c r="DH319" s="118"/>
      <c r="DI319" s="118"/>
      <c r="DJ319" s="118"/>
      <c r="DK319" s="118"/>
      <c r="DL319" s="118"/>
      <c r="DM319" s="118"/>
      <c r="DN319" s="118"/>
      <c r="DO319" s="118"/>
      <c r="DP319" s="118"/>
      <c r="DQ319" s="118"/>
      <c r="DR319" s="118"/>
      <c r="DS319" s="118"/>
      <c r="DT319" s="118"/>
      <c r="DU319" s="19"/>
      <c r="DV319" s="19"/>
      <c r="DW319" s="19"/>
      <c r="DX319" s="19"/>
      <c r="DY319" s="19"/>
      <c r="DZ319" s="19"/>
    </row>
    <row r="320" spans="1:130" ht="12.75" x14ac:dyDescent="0.2">
      <c r="A320" s="647"/>
      <c r="B320" s="647"/>
      <c r="C320" s="40"/>
      <c r="D320" s="40"/>
      <c r="E320" s="40"/>
      <c r="F320" s="40"/>
      <c r="G320" s="40"/>
      <c r="H320" s="634"/>
      <c r="I320" s="150">
        <f t="shared" si="232"/>
        <v>0</v>
      </c>
      <c r="J320" s="634"/>
      <c r="K320" s="40"/>
      <c r="L320" s="40"/>
      <c r="M320" s="634"/>
      <c r="N320" s="634"/>
      <c r="O320" s="634"/>
      <c r="P320" s="634"/>
      <c r="Q320" s="634"/>
      <c r="R320" s="634"/>
      <c r="S320" s="659"/>
      <c r="T320" s="647"/>
      <c r="U320" s="40"/>
      <c r="V320" s="31">
        <v>710</v>
      </c>
      <c r="W320" s="31">
        <v>7501</v>
      </c>
      <c r="X320" s="31">
        <v>7700</v>
      </c>
      <c r="Y320" s="31">
        <v>0</v>
      </c>
      <c r="Z320" s="634"/>
      <c r="AA320" s="51">
        <f t="shared" si="235"/>
        <v>200</v>
      </c>
      <c r="AB320" s="634"/>
      <c r="AC320" s="38" t="s">
        <v>51</v>
      </c>
      <c r="AD320" s="38" t="s">
        <v>51</v>
      </c>
      <c r="AE320" s="634"/>
      <c r="AF320" s="634"/>
      <c r="AG320" s="634"/>
      <c r="AH320" s="634"/>
      <c r="AI320" s="634"/>
      <c r="AJ320" s="634"/>
      <c r="AK320" s="659"/>
      <c r="AL320" s="647"/>
      <c r="AM320" s="40"/>
      <c r="AN320" s="40"/>
      <c r="AO320" s="40"/>
      <c r="AP320" s="40"/>
      <c r="AQ320" s="40"/>
      <c r="AR320" s="634"/>
      <c r="AS320" s="151">
        <f t="shared" si="231"/>
        <v>0</v>
      </c>
      <c r="AT320" s="635"/>
      <c r="AU320" s="635"/>
      <c r="AV320" s="635"/>
      <c r="AW320" s="40"/>
      <c r="AX320" s="634"/>
      <c r="AY320" s="634"/>
      <c r="AZ320" s="634"/>
      <c r="BA320" s="634"/>
      <c r="BB320" s="634"/>
      <c r="BC320" s="635"/>
      <c r="BD320" s="663"/>
      <c r="BE320" s="668"/>
      <c r="BF320" s="120"/>
      <c r="BG320" s="120"/>
      <c r="BH320" s="120"/>
      <c r="BI320" s="120"/>
      <c r="BJ320" s="120"/>
      <c r="BK320" s="661"/>
      <c r="BL320" s="118"/>
      <c r="BM320" s="663"/>
      <c r="BN320" s="120"/>
      <c r="BO320" s="120"/>
      <c r="BP320" s="661"/>
      <c r="BQ320" s="661"/>
      <c r="BR320" s="663"/>
      <c r="BS320" s="661"/>
      <c r="BT320" s="120"/>
      <c r="BU320" s="663"/>
      <c r="BV320" s="663"/>
      <c r="BW320" s="118"/>
      <c r="BX320" s="118"/>
      <c r="BY320" s="118"/>
      <c r="BZ320" s="118"/>
      <c r="CA320" s="118"/>
      <c r="CB320" s="118"/>
      <c r="CC320" s="118"/>
      <c r="CD320" s="118"/>
      <c r="CE320" s="118"/>
      <c r="CF320" s="118"/>
      <c r="CG320" s="118"/>
      <c r="CH320" s="118"/>
      <c r="CI320" s="118"/>
      <c r="CJ320" s="118"/>
      <c r="CK320" s="118"/>
      <c r="CL320" s="118"/>
      <c r="CM320" s="118"/>
      <c r="CN320" s="92"/>
      <c r="CO320" s="93"/>
      <c r="CP320" s="93"/>
      <c r="CQ320" s="93"/>
      <c r="CR320" s="93"/>
      <c r="CS320" s="93"/>
      <c r="CT320" s="93"/>
      <c r="CU320" s="93"/>
      <c r="CV320" s="93"/>
      <c r="CW320" s="93"/>
      <c r="CX320" s="93"/>
      <c r="CY320" s="93"/>
      <c r="CZ320" s="93"/>
      <c r="DA320" s="93"/>
      <c r="DB320" s="93"/>
      <c r="DC320" s="94"/>
      <c r="DD320" s="118"/>
      <c r="DE320" s="118"/>
      <c r="DF320" s="118"/>
      <c r="DG320" s="118"/>
      <c r="DH320" s="118"/>
      <c r="DI320" s="118"/>
      <c r="DJ320" s="118"/>
      <c r="DK320" s="118"/>
      <c r="DL320" s="118"/>
      <c r="DM320" s="118"/>
      <c r="DN320" s="118"/>
      <c r="DO320" s="118"/>
      <c r="DP320" s="118"/>
      <c r="DQ320" s="118"/>
      <c r="DR320" s="118"/>
      <c r="DS320" s="118"/>
      <c r="DT320" s="118"/>
      <c r="DU320" s="19"/>
      <c r="DV320" s="19"/>
      <c r="DW320" s="19"/>
      <c r="DX320" s="19"/>
      <c r="DY320" s="19"/>
      <c r="DZ320" s="19"/>
    </row>
    <row r="321" spans="1:130" ht="12.75" x14ac:dyDescent="0.2">
      <c r="A321" s="648"/>
      <c r="B321" s="648"/>
      <c r="C321" s="40"/>
      <c r="D321" s="40"/>
      <c r="E321" s="40"/>
      <c r="F321" s="40"/>
      <c r="G321" s="40"/>
      <c r="H321" s="635"/>
      <c r="I321" s="150">
        <f t="shared" si="232"/>
        <v>0</v>
      </c>
      <c r="J321" s="635"/>
      <c r="K321" s="40"/>
      <c r="L321" s="40"/>
      <c r="M321" s="635"/>
      <c r="N321" s="635"/>
      <c r="O321" s="635"/>
      <c r="P321" s="635"/>
      <c r="Q321" s="635"/>
      <c r="R321" s="635"/>
      <c r="S321" s="660"/>
      <c r="T321" s="648"/>
      <c r="U321" s="40"/>
      <c r="V321" s="40"/>
      <c r="W321" s="40"/>
      <c r="X321" s="40"/>
      <c r="Y321" s="40"/>
      <c r="Z321" s="635"/>
      <c r="AA321" s="51">
        <f t="shared" ref="AA321:AA325" si="236">X321-W321-Y321</f>
        <v>0</v>
      </c>
      <c r="AB321" s="634"/>
      <c r="AC321" s="40"/>
      <c r="AD321" s="40"/>
      <c r="AE321" s="634"/>
      <c r="AF321" s="635"/>
      <c r="AG321" s="635"/>
      <c r="AH321" s="635"/>
      <c r="AI321" s="634"/>
      <c r="AJ321" s="635"/>
      <c r="AK321" s="659"/>
      <c r="AL321" s="648"/>
      <c r="AM321" s="40"/>
      <c r="AN321" s="40"/>
      <c r="AO321" s="40"/>
      <c r="AP321" s="40"/>
      <c r="AQ321" s="40"/>
      <c r="AR321" s="635"/>
      <c r="AS321" s="151">
        <f t="shared" si="231"/>
        <v>0</v>
      </c>
      <c r="AT321" s="153"/>
      <c r="AU321" s="40"/>
      <c r="AV321" s="154"/>
      <c r="AW321" s="154"/>
      <c r="AX321" s="635"/>
      <c r="AY321" s="635"/>
      <c r="AZ321" s="635"/>
      <c r="BA321" s="154"/>
      <c r="BB321" s="635"/>
      <c r="BC321" s="155"/>
      <c r="BD321" s="662"/>
      <c r="BE321" s="662"/>
      <c r="BF321" s="120"/>
      <c r="BG321" s="120"/>
      <c r="BH321" s="120"/>
      <c r="BI321" s="120"/>
      <c r="BJ321" s="120"/>
      <c r="BK321" s="662"/>
      <c r="BL321" s="118"/>
      <c r="BM321" s="662"/>
      <c r="BN321" s="120"/>
      <c r="BO321" s="120"/>
      <c r="BP321" s="662"/>
      <c r="BQ321" s="662"/>
      <c r="BR321" s="662"/>
      <c r="BS321" s="662"/>
      <c r="BT321" s="120"/>
      <c r="BU321" s="662"/>
      <c r="BV321" s="662"/>
      <c r="BW321" s="118"/>
      <c r="BX321" s="118"/>
      <c r="BY321" s="118"/>
      <c r="BZ321" s="118"/>
      <c r="CA321" s="118"/>
      <c r="CB321" s="118"/>
      <c r="CC321" s="118"/>
      <c r="CD321" s="118"/>
      <c r="CE321" s="118"/>
      <c r="CF321" s="118"/>
      <c r="CG321" s="118"/>
      <c r="CH321" s="118"/>
      <c r="CI321" s="118"/>
      <c r="CJ321" s="118"/>
      <c r="CK321" s="118"/>
      <c r="CL321" s="118"/>
      <c r="CM321" s="118"/>
      <c r="CN321" s="92"/>
      <c r="CO321" s="93"/>
      <c r="CP321" s="93"/>
      <c r="CQ321" s="93"/>
      <c r="CR321" s="93"/>
      <c r="CS321" s="93"/>
      <c r="CT321" s="93"/>
      <c r="CU321" s="93"/>
      <c r="CV321" s="93"/>
      <c r="CW321" s="93"/>
      <c r="CX321" s="93"/>
      <c r="CY321" s="93"/>
      <c r="CZ321" s="93"/>
      <c r="DA321" s="93"/>
      <c r="DB321" s="93"/>
      <c r="DC321" s="94"/>
      <c r="DD321" s="118"/>
      <c r="DE321" s="118"/>
      <c r="DF321" s="118"/>
      <c r="DG321" s="118"/>
      <c r="DH321" s="118"/>
      <c r="DI321" s="118"/>
      <c r="DJ321" s="118"/>
      <c r="DK321" s="118"/>
      <c r="DL321" s="118"/>
      <c r="DM321" s="118"/>
      <c r="DN321" s="118"/>
      <c r="DO321" s="118"/>
      <c r="DP321" s="118"/>
      <c r="DQ321" s="118"/>
      <c r="DR321" s="118"/>
      <c r="DS321" s="118"/>
      <c r="DT321" s="118"/>
      <c r="DU321" s="19"/>
      <c r="DV321" s="19"/>
      <c r="DW321" s="19"/>
      <c r="DX321" s="19"/>
      <c r="DY321" s="19"/>
      <c r="DZ321" s="19"/>
    </row>
    <row r="322" spans="1:130" ht="12.75" x14ac:dyDescent="0.2">
      <c r="A322" s="654"/>
      <c r="B322" s="655">
        <v>46134</v>
      </c>
      <c r="C322" s="29"/>
      <c r="D322" s="29"/>
      <c r="E322" s="29"/>
      <c r="F322" s="29"/>
      <c r="G322" s="30"/>
      <c r="H322" s="649"/>
      <c r="I322" s="51">
        <f t="shared" si="232"/>
        <v>0</v>
      </c>
      <c r="J322" s="650">
        <f>SUM(I322:I325,H322)</f>
        <v>0</v>
      </c>
      <c r="K322" s="30"/>
      <c r="L322" s="30"/>
      <c r="M322" s="649"/>
      <c r="N322" s="649"/>
      <c r="O322" s="656">
        <f>SUM(M322:N325)</f>
        <v>0</v>
      </c>
      <c r="P322" s="649"/>
      <c r="Q322" s="644">
        <f>M322*60</f>
        <v>0</v>
      </c>
      <c r="R322" s="657">
        <f>IF(
   COUNTIF(K322:K325,"SI")&gt;0,
   1.8,
   IF(
      COUNTIF(L322:L325,"SI")&gt;0,
      1.6,
      2
   )
)</f>
        <v>2</v>
      </c>
      <c r="S322" s="658">
        <f>IF(Q322=0,0,J322/Q322)</f>
        <v>0</v>
      </c>
      <c r="T322" s="655">
        <v>46134</v>
      </c>
      <c r="U322" s="30"/>
      <c r="V322" s="28"/>
      <c r="W322" s="28"/>
      <c r="X322" s="28"/>
      <c r="Y322" s="29"/>
      <c r="Z322" s="640"/>
      <c r="AA322" s="51">
        <f t="shared" si="236"/>
        <v>0</v>
      </c>
      <c r="AB322" s="650">
        <f>SUM(AA322:AA325,Z322)</f>
        <v>0</v>
      </c>
      <c r="AC322" s="28"/>
      <c r="AD322" s="28"/>
      <c r="AE322" s="640"/>
      <c r="AF322" s="640"/>
      <c r="AG322" s="633">
        <f>SUM(AE322:AF325)</f>
        <v>0</v>
      </c>
      <c r="AH322" s="640"/>
      <c r="AI322" s="640">
        <f>AE322*60</f>
        <v>0</v>
      </c>
      <c r="AJ322" s="657">
        <f>IF(
   COUNTIF(AC322:AC325,"SI")&gt;0,
   1.8,
   IF(
      COUNTIF(AD322:AD325,"SI")&gt;0,
      1.6,
      2
   )
)</f>
        <v>2</v>
      </c>
      <c r="AK322" s="679" t="e">
        <f>AB322/AI322</f>
        <v>#DIV/0!</v>
      </c>
      <c r="AL322" s="655">
        <v>46134</v>
      </c>
      <c r="AM322" s="29">
        <v>124</v>
      </c>
      <c r="AN322" s="31">
        <v>711</v>
      </c>
      <c r="AO322" s="31">
        <v>8003</v>
      </c>
      <c r="AP322" s="31">
        <v>8500</v>
      </c>
      <c r="AQ322" s="31">
        <v>1</v>
      </c>
      <c r="AR322" s="653"/>
      <c r="AS322" s="150">
        <f t="shared" si="231"/>
        <v>496</v>
      </c>
      <c r="AT322" s="650">
        <f>SUM(AS322:AS324,AR322)</f>
        <v>647</v>
      </c>
      <c r="AU322" s="653" t="s">
        <v>51</v>
      </c>
      <c r="AV322" s="653">
        <v>4.5</v>
      </c>
      <c r="AW322" s="31" t="s">
        <v>51</v>
      </c>
      <c r="AX322" s="653">
        <v>2</v>
      </c>
      <c r="AY322" s="633">
        <f>SUM(AV322:AX325)</f>
        <v>6.5</v>
      </c>
      <c r="AZ322" s="636"/>
      <c r="BA322" s="640">
        <f>AV322*60</f>
        <v>270</v>
      </c>
      <c r="BB322" s="657">
        <f>IF(
   COUNTIF(AU322:AU325,"SI")&gt;0,
   1.8,
   IF(
      COUNTIF(AV322:AV325,"SI")&gt;0,
      1.6,
      2
   )
)</f>
        <v>1.8</v>
      </c>
      <c r="BC322" s="666">
        <f>IF(BA322=0,0,AT322/BA322)</f>
        <v>2.3962962962962964</v>
      </c>
      <c r="BD322" s="662"/>
      <c r="BE322" s="662"/>
      <c r="BF322" s="120"/>
      <c r="BG322" s="120"/>
      <c r="BH322" s="120"/>
      <c r="BI322" s="120"/>
      <c r="BJ322" s="120"/>
      <c r="BK322" s="662"/>
      <c r="BL322" s="118"/>
      <c r="BM322" s="662"/>
      <c r="BN322" s="120"/>
      <c r="BO322" s="120"/>
      <c r="BP322" s="662"/>
      <c r="BQ322" s="662"/>
      <c r="BR322" s="662"/>
      <c r="BS322" s="662"/>
      <c r="BT322" s="120"/>
      <c r="BU322" s="662"/>
      <c r="BV322" s="662"/>
      <c r="BW322" s="118"/>
      <c r="BX322" s="118"/>
      <c r="BY322" s="118"/>
      <c r="BZ322" s="118"/>
      <c r="CA322" s="118"/>
      <c r="CB322" s="118"/>
      <c r="CC322" s="118"/>
      <c r="CD322" s="118"/>
      <c r="CE322" s="118"/>
      <c r="CF322" s="118"/>
      <c r="CG322" s="118"/>
      <c r="CH322" s="118"/>
      <c r="CI322" s="118"/>
      <c r="CJ322" s="118"/>
      <c r="CK322" s="118"/>
      <c r="CL322" s="118"/>
      <c r="CM322" s="118"/>
      <c r="CN322" s="92"/>
      <c r="CO322" s="93"/>
      <c r="CP322" s="93"/>
      <c r="CQ322" s="93"/>
      <c r="CR322" s="93"/>
      <c r="CS322" s="93"/>
      <c r="CT322" s="93"/>
      <c r="CU322" s="93"/>
      <c r="CV322" s="93"/>
      <c r="CW322" s="93"/>
      <c r="CX322" s="93"/>
      <c r="CY322" s="93"/>
      <c r="CZ322" s="93"/>
      <c r="DA322" s="93"/>
      <c r="DB322" s="93"/>
      <c r="DC322" s="94"/>
      <c r="DD322" s="118"/>
      <c r="DE322" s="118"/>
      <c r="DF322" s="118"/>
      <c r="DG322" s="118"/>
      <c r="DH322" s="118"/>
      <c r="DI322" s="118"/>
      <c r="DJ322" s="118"/>
      <c r="DK322" s="118"/>
      <c r="DL322" s="118"/>
      <c r="DM322" s="118"/>
      <c r="DN322" s="118"/>
      <c r="DO322" s="118"/>
      <c r="DP322" s="118"/>
      <c r="DQ322" s="118"/>
      <c r="DR322" s="118"/>
      <c r="DS322" s="118"/>
      <c r="DT322" s="118"/>
      <c r="DU322" s="19"/>
      <c r="DV322" s="19"/>
      <c r="DW322" s="19"/>
      <c r="DX322" s="19"/>
      <c r="DY322" s="19"/>
      <c r="DZ322" s="19"/>
    </row>
    <row r="323" spans="1:130" ht="12.75" x14ac:dyDescent="0.2">
      <c r="A323" s="647"/>
      <c r="B323" s="647"/>
      <c r="C323" s="29"/>
      <c r="D323" s="29"/>
      <c r="E323" s="29"/>
      <c r="F323" s="29"/>
      <c r="G323" s="30"/>
      <c r="H323" s="634"/>
      <c r="I323" s="51">
        <f t="shared" si="232"/>
        <v>0</v>
      </c>
      <c r="J323" s="634"/>
      <c r="K323" s="30"/>
      <c r="L323" s="30"/>
      <c r="M323" s="634"/>
      <c r="N323" s="634"/>
      <c r="O323" s="634"/>
      <c r="P323" s="634"/>
      <c r="Q323" s="634"/>
      <c r="R323" s="634"/>
      <c r="S323" s="659"/>
      <c r="T323" s="647"/>
      <c r="U323" s="30"/>
      <c r="V323" s="28"/>
      <c r="W323" s="28"/>
      <c r="X323" s="28"/>
      <c r="Y323" s="29"/>
      <c r="Z323" s="634"/>
      <c r="AA323" s="51">
        <f t="shared" si="236"/>
        <v>0</v>
      </c>
      <c r="AB323" s="634"/>
      <c r="AC323" s="28"/>
      <c r="AD323" s="28"/>
      <c r="AE323" s="634"/>
      <c r="AF323" s="634"/>
      <c r="AG323" s="634"/>
      <c r="AH323" s="634"/>
      <c r="AI323" s="634"/>
      <c r="AJ323" s="634"/>
      <c r="AK323" s="659"/>
      <c r="AL323" s="647"/>
      <c r="AM323" s="29">
        <v>32</v>
      </c>
      <c r="AN323" s="31">
        <v>712</v>
      </c>
      <c r="AO323" s="31">
        <v>8501</v>
      </c>
      <c r="AP323" s="31">
        <v>8652</v>
      </c>
      <c r="AQ323" s="31"/>
      <c r="AR323" s="634"/>
      <c r="AS323" s="150">
        <f t="shared" si="231"/>
        <v>151</v>
      </c>
      <c r="AT323" s="634"/>
      <c r="AU323" s="634"/>
      <c r="AV323" s="634"/>
      <c r="AW323" s="31" t="s">
        <v>51</v>
      </c>
      <c r="AX323" s="634"/>
      <c r="AY323" s="634"/>
      <c r="AZ323" s="634"/>
      <c r="BA323" s="634"/>
      <c r="BB323" s="634"/>
      <c r="BC323" s="634"/>
      <c r="BD323" s="662"/>
      <c r="BE323" s="662"/>
      <c r="BF323" s="120"/>
      <c r="BG323" s="120"/>
      <c r="BH323" s="120"/>
      <c r="BI323" s="120"/>
      <c r="BJ323" s="120"/>
      <c r="BK323" s="662"/>
      <c r="BL323" s="118"/>
      <c r="BM323" s="662"/>
      <c r="BN323" s="120"/>
      <c r="BO323" s="120"/>
      <c r="BP323" s="662"/>
      <c r="BQ323" s="662"/>
      <c r="BR323" s="662"/>
      <c r="BS323" s="662"/>
      <c r="BT323" s="120"/>
      <c r="BU323" s="662"/>
      <c r="BV323" s="662"/>
      <c r="BW323" s="118"/>
      <c r="BX323" s="118"/>
      <c r="BY323" s="118"/>
      <c r="BZ323" s="118"/>
      <c r="CA323" s="118"/>
      <c r="CB323" s="118"/>
      <c r="CC323" s="118"/>
      <c r="CD323" s="118"/>
      <c r="CE323" s="118"/>
      <c r="CF323" s="118"/>
      <c r="CG323" s="118"/>
      <c r="CH323" s="118"/>
      <c r="CI323" s="118"/>
      <c r="CJ323" s="118"/>
      <c r="CK323" s="118"/>
      <c r="CL323" s="118"/>
      <c r="CM323" s="118"/>
      <c r="CN323" s="92"/>
      <c r="CO323" s="93"/>
      <c r="CP323" s="93"/>
      <c r="CQ323" s="93"/>
      <c r="CR323" s="93"/>
      <c r="CS323" s="93"/>
      <c r="CT323" s="93"/>
      <c r="CU323" s="93"/>
      <c r="CV323" s="93"/>
      <c r="CW323" s="93"/>
      <c r="CX323" s="93"/>
      <c r="CY323" s="93"/>
      <c r="CZ323" s="93"/>
      <c r="DA323" s="93"/>
      <c r="DB323" s="93"/>
      <c r="DC323" s="94"/>
      <c r="DD323" s="118"/>
      <c r="DE323" s="118"/>
      <c r="DF323" s="118"/>
      <c r="DG323" s="118"/>
      <c r="DH323" s="118"/>
      <c r="DI323" s="118"/>
      <c r="DJ323" s="118"/>
      <c r="DK323" s="118"/>
      <c r="DL323" s="118"/>
      <c r="DM323" s="118"/>
      <c r="DN323" s="118"/>
      <c r="DO323" s="118"/>
      <c r="DP323" s="118"/>
      <c r="DQ323" s="118"/>
      <c r="DR323" s="118"/>
      <c r="DS323" s="118"/>
      <c r="DT323" s="118"/>
      <c r="DU323" s="19"/>
      <c r="DV323" s="19"/>
      <c r="DW323" s="19"/>
      <c r="DX323" s="19"/>
      <c r="DY323" s="19"/>
      <c r="DZ323" s="19"/>
    </row>
    <row r="324" spans="1:130" ht="12.75" x14ac:dyDescent="0.2">
      <c r="A324" s="647"/>
      <c r="B324" s="647"/>
      <c r="C324" s="30"/>
      <c r="D324" s="30"/>
      <c r="E324" s="30"/>
      <c r="F324" s="30"/>
      <c r="G324" s="30"/>
      <c r="H324" s="634"/>
      <c r="I324" s="51">
        <f t="shared" si="232"/>
        <v>0</v>
      </c>
      <c r="J324" s="634"/>
      <c r="K324" s="30"/>
      <c r="L324" s="30"/>
      <c r="M324" s="634"/>
      <c r="N324" s="634"/>
      <c r="O324" s="634"/>
      <c r="P324" s="634"/>
      <c r="Q324" s="634"/>
      <c r="R324" s="634"/>
      <c r="S324" s="659"/>
      <c r="T324" s="647"/>
      <c r="U324" s="30"/>
      <c r="V324" s="28"/>
      <c r="W324" s="28"/>
      <c r="X324" s="28"/>
      <c r="Y324" s="29"/>
      <c r="Z324" s="634"/>
      <c r="AA324" s="51">
        <f t="shared" si="236"/>
        <v>0</v>
      </c>
      <c r="AB324" s="634"/>
      <c r="AC324" s="51"/>
      <c r="AD324" s="51"/>
      <c r="AE324" s="634"/>
      <c r="AF324" s="634"/>
      <c r="AG324" s="634"/>
      <c r="AH324" s="634"/>
      <c r="AI324" s="634"/>
      <c r="AJ324" s="634"/>
      <c r="AK324" s="659"/>
      <c r="AL324" s="647"/>
      <c r="AM324" s="29"/>
      <c r="AN324" s="31"/>
      <c r="AO324" s="31"/>
      <c r="AP324" s="31"/>
      <c r="AQ324" s="40"/>
      <c r="AR324" s="634"/>
      <c r="AS324" s="150">
        <f t="shared" si="231"/>
        <v>0</v>
      </c>
      <c r="AT324" s="635"/>
      <c r="AU324" s="635"/>
      <c r="AV324" s="635"/>
      <c r="AW324" s="31"/>
      <c r="AX324" s="634"/>
      <c r="AY324" s="634"/>
      <c r="AZ324" s="634"/>
      <c r="BA324" s="634"/>
      <c r="BB324" s="634"/>
      <c r="BC324" s="634"/>
      <c r="BD324" s="122"/>
      <c r="BE324" s="462"/>
      <c r="BF324" s="121"/>
      <c r="BG324" s="122"/>
      <c r="BH324" s="122"/>
      <c r="BI324" s="122"/>
      <c r="BJ324" s="121"/>
      <c r="BK324" s="121"/>
      <c r="BL324" s="121"/>
      <c r="BM324" s="121"/>
      <c r="BN324" s="122"/>
      <c r="BO324" s="122"/>
      <c r="BP324" s="121"/>
      <c r="BQ324" s="121"/>
      <c r="BR324" s="121"/>
      <c r="BS324" s="121"/>
      <c r="BT324" s="121"/>
      <c r="BU324" s="121"/>
      <c r="BV324" s="122"/>
      <c r="BW324" s="118"/>
      <c r="BX324" s="118"/>
      <c r="BY324" s="118"/>
      <c r="BZ324" s="118"/>
      <c r="CA324" s="118"/>
      <c r="CB324" s="118"/>
      <c r="CC324" s="118"/>
      <c r="CD324" s="118"/>
      <c r="CE324" s="118"/>
      <c r="CF324" s="118"/>
      <c r="CG324" s="118"/>
      <c r="CH324" s="118"/>
      <c r="CI324" s="118"/>
      <c r="CJ324" s="118"/>
      <c r="CK324" s="118"/>
      <c r="CL324" s="118"/>
      <c r="CM324" s="118"/>
      <c r="CN324" s="92"/>
      <c r="CO324" s="93"/>
      <c r="CP324" s="93"/>
      <c r="CQ324" s="93"/>
      <c r="CR324" s="93"/>
      <c r="CS324" s="93"/>
      <c r="CT324" s="93"/>
      <c r="CU324" s="93"/>
      <c r="CV324" s="93"/>
      <c r="CW324" s="93"/>
      <c r="CX324" s="93"/>
      <c r="CY324" s="93"/>
      <c r="CZ324" s="93"/>
      <c r="DA324" s="93"/>
      <c r="DB324" s="93"/>
      <c r="DC324" s="94"/>
      <c r="DD324" s="118"/>
      <c r="DE324" s="118"/>
      <c r="DF324" s="118"/>
      <c r="DG324" s="118"/>
      <c r="DH324" s="118"/>
      <c r="DI324" s="118"/>
      <c r="DJ324" s="118"/>
      <c r="DK324" s="118"/>
      <c r="DL324" s="118"/>
      <c r="DM324" s="118"/>
      <c r="DN324" s="118"/>
      <c r="DO324" s="118"/>
      <c r="DP324" s="118"/>
      <c r="DQ324" s="118"/>
      <c r="DR324" s="118"/>
      <c r="DS324" s="118"/>
      <c r="DT324" s="118"/>
      <c r="DU324" s="19"/>
      <c r="DV324" s="19"/>
      <c r="DW324" s="19"/>
      <c r="DX324" s="19"/>
      <c r="DY324" s="19"/>
      <c r="DZ324" s="19"/>
    </row>
    <row r="325" spans="1:130" ht="12.75" x14ac:dyDescent="0.2">
      <c r="A325" s="648"/>
      <c r="B325" s="648"/>
      <c r="C325" s="30"/>
      <c r="D325" s="30"/>
      <c r="E325" s="30"/>
      <c r="F325" s="30"/>
      <c r="G325" s="30"/>
      <c r="H325" s="635"/>
      <c r="I325" s="51">
        <f t="shared" si="232"/>
        <v>0</v>
      </c>
      <c r="J325" s="635"/>
      <c r="K325" s="30"/>
      <c r="L325" s="30"/>
      <c r="M325" s="635"/>
      <c r="N325" s="635"/>
      <c r="O325" s="635"/>
      <c r="P325" s="635"/>
      <c r="Q325" s="635"/>
      <c r="R325" s="635"/>
      <c r="S325" s="660"/>
      <c r="T325" s="648"/>
      <c r="U325" s="30"/>
      <c r="V325" s="30"/>
      <c r="W325" s="30"/>
      <c r="X325" s="30"/>
      <c r="Y325" s="30"/>
      <c r="Z325" s="635"/>
      <c r="AA325" s="51">
        <f t="shared" si="236"/>
        <v>0</v>
      </c>
      <c r="AB325" s="635"/>
      <c r="AC325" s="30"/>
      <c r="AD325" s="30"/>
      <c r="AE325" s="635"/>
      <c r="AF325" s="635"/>
      <c r="AG325" s="635"/>
      <c r="AH325" s="635"/>
      <c r="AI325" s="634"/>
      <c r="AJ325" s="635"/>
      <c r="AK325" s="659"/>
      <c r="AL325" s="648"/>
      <c r="AM325" s="30"/>
      <c r="AN325" s="40"/>
      <c r="AO325" s="40"/>
      <c r="AP325" s="40"/>
      <c r="AQ325" s="40"/>
      <c r="AR325" s="635"/>
      <c r="AS325" s="150">
        <f t="shared" si="231"/>
        <v>0</v>
      </c>
      <c r="AT325" s="153"/>
      <c r="AU325" s="40"/>
      <c r="AV325" s="154"/>
      <c r="AW325" s="154"/>
      <c r="AX325" s="635"/>
      <c r="AY325" s="635"/>
      <c r="AZ325" s="635"/>
      <c r="BA325" s="635"/>
      <c r="BB325" s="635"/>
      <c r="BC325" s="635"/>
      <c r="BD325" s="663"/>
      <c r="BE325" s="668"/>
      <c r="BF325" s="118"/>
      <c r="BG325" s="118"/>
      <c r="BH325" s="118"/>
      <c r="BI325" s="118"/>
      <c r="BJ325" s="118"/>
      <c r="BK325" s="663"/>
      <c r="BL325" s="118"/>
      <c r="BM325" s="663"/>
      <c r="BN325" s="118"/>
      <c r="BO325" s="118"/>
      <c r="BP325" s="663"/>
      <c r="BQ325" s="663"/>
      <c r="BR325" s="663"/>
      <c r="BS325" s="663"/>
      <c r="BT325" s="118"/>
      <c r="BU325" s="663"/>
      <c r="BV325" s="663"/>
      <c r="BW325" s="118"/>
      <c r="BX325" s="118"/>
      <c r="BY325" s="118"/>
      <c r="BZ325" s="118"/>
      <c r="CA325" s="118"/>
      <c r="CB325" s="118"/>
      <c r="CC325" s="118"/>
      <c r="CD325" s="118"/>
      <c r="CE325" s="118"/>
      <c r="CF325" s="118"/>
      <c r="CG325" s="118"/>
      <c r="CH325" s="118"/>
      <c r="CI325" s="118"/>
      <c r="CJ325" s="118"/>
      <c r="CK325" s="118"/>
      <c r="CL325" s="118"/>
      <c r="CM325" s="118"/>
      <c r="CN325" s="92"/>
      <c r="CO325" s="93"/>
      <c r="CP325" s="93"/>
      <c r="CQ325" s="93"/>
      <c r="CR325" s="93"/>
      <c r="CS325" s="93"/>
      <c r="CT325" s="93"/>
      <c r="CU325" s="93"/>
      <c r="CV325" s="93"/>
      <c r="CW325" s="93"/>
      <c r="CX325" s="93"/>
      <c r="CY325" s="93"/>
      <c r="CZ325" s="93"/>
      <c r="DA325" s="93"/>
      <c r="DB325" s="93"/>
      <c r="DC325" s="94"/>
      <c r="DD325" s="118"/>
      <c r="DE325" s="118"/>
      <c r="DF325" s="118"/>
      <c r="DG325" s="118"/>
      <c r="DH325" s="118"/>
      <c r="DI325" s="118"/>
      <c r="DJ325" s="118"/>
      <c r="DK325" s="118"/>
      <c r="DL325" s="118"/>
      <c r="DM325" s="118"/>
      <c r="DN325" s="118"/>
      <c r="DO325" s="118"/>
      <c r="DP325" s="118"/>
      <c r="DQ325" s="118"/>
      <c r="DR325" s="118"/>
      <c r="DS325" s="118"/>
      <c r="DT325" s="118"/>
      <c r="DU325" s="19"/>
      <c r="DV325" s="19"/>
      <c r="DW325" s="19"/>
      <c r="DX325" s="19"/>
      <c r="DY325" s="19"/>
      <c r="DZ325" s="19"/>
    </row>
    <row r="326" spans="1:130" ht="12.75" x14ac:dyDescent="0.2">
      <c r="A326" s="651"/>
      <c r="B326" s="646">
        <v>46135</v>
      </c>
      <c r="C326" s="31"/>
      <c r="D326" s="31"/>
      <c r="E326" s="31"/>
      <c r="F326" s="31"/>
      <c r="G326" s="142"/>
      <c r="H326" s="652"/>
      <c r="I326" s="150">
        <f t="shared" si="232"/>
        <v>0</v>
      </c>
      <c r="J326" s="650">
        <f>SUM(I326:I329,H326)</f>
        <v>0</v>
      </c>
      <c r="K326" s="40"/>
      <c r="L326" s="40"/>
      <c r="M326" s="653"/>
      <c r="N326" s="653"/>
      <c r="O326" s="633">
        <f>SUM(M326:N329)</f>
        <v>0</v>
      </c>
      <c r="P326" s="653"/>
      <c r="Q326" s="636">
        <f>M326*60</f>
        <v>0</v>
      </c>
      <c r="R326" s="657">
        <f>IF(
   COUNTIF(K326:K329,"SI")&gt;0,
   1.8,
   IF(
      COUNTIF(L326:L329,"SI")&gt;0,
      1.6,
      2
   )
)</f>
        <v>2</v>
      </c>
      <c r="S326" s="658">
        <f>IF(Q326=0,0,J326/Q326)</f>
        <v>0</v>
      </c>
      <c r="T326" s="646">
        <v>46135</v>
      </c>
      <c r="U326" s="40"/>
      <c r="V326" s="31">
        <v>710</v>
      </c>
      <c r="W326" s="31">
        <v>7701</v>
      </c>
      <c r="X326" s="31">
        <v>8000</v>
      </c>
      <c r="Y326" s="31">
        <v>3</v>
      </c>
      <c r="Z326" s="653">
        <v>0</v>
      </c>
      <c r="AA326" s="51">
        <f t="shared" ref="AA326:AA327" si="237">X326-W326-Y326+1</f>
        <v>297</v>
      </c>
      <c r="AB326" s="650">
        <f>SUM(AA326:AA329,Z326)</f>
        <v>476</v>
      </c>
      <c r="AC326" s="31" t="s">
        <v>51</v>
      </c>
      <c r="AD326" s="31" t="s">
        <v>51</v>
      </c>
      <c r="AE326" s="653">
        <v>3.75</v>
      </c>
      <c r="AF326" s="636">
        <v>0.25</v>
      </c>
      <c r="AG326" s="633">
        <f>SUM(AE326:AF329)</f>
        <v>4</v>
      </c>
      <c r="AH326" s="636">
        <v>0</v>
      </c>
      <c r="AI326" s="636">
        <f>AE326*60</f>
        <v>225</v>
      </c>
      <c r="AJ326" s="657">
        <f>IF(
   COUNTIF(AC326:AC329,"SI")&gt;0,
   1.8,
   IF(
      COUNTIF(AD326:AD329,"SI")&gt;0,
      1.6,
      2
   )
)</f>
        <v>1.8</v>
      </c>
      <c r="AK326" s="658">
        <f>IF(AI326=0,0,AB326/AI326)</f>
        <v>2.1155555555555554</v>
      </c>
      <c r="AL326" s="646">
        <v>46135</v>
      </c>
      <c r="AM326" s="28">
        <f>127-32</f>
        <v>95</v>
      </c>
      <c r="AN326" s="28">
        <v>712</v>
      </c>
      <c r="AO326" s="28">
        <v>8653</v>
      </c>
      <c r="AP326" s="41">
        <v>9001</v>
      </c>
      <c r="AQ326" s="28">
        <v>3</v>
      </c>
      <c r="AR326" s="649">
        <v>73</v>
      </c>
      <c r="AS326" s="39">
        <f t="shared" si="231"/>
        <v>345</v>
      </c>
      <c r="AT326" s="650">
        <f>SUM(AS326:AS329)+AR326</f>
        <v>915</v>
      </c>
      <c r="AU326" s="38" t="s">
        <v>51</v>
      </c>
      <c r="AV326" s="640">
        <v>6</v>
      </c>
      <c r="AW326" s="28" t="s">
        <v>51</v>
      </c>
      <c r="AX326" s="640">
        <v>2.5</v>
      </c>
      <c r="AY326" s="633">
        <f>SUM(AV326,AX326)</f>
        <v>8.5</v>
      </c>
      <c r="AZ326" s="636">
        <v>0.2</v>
      </c>
      <c r="BA326" s="636">
        <f>AV326*60</f>
        <v>360</v>
      </c>
      <c r="BB326" s="657">
        <f>IF(
   COUNTIF(AU326:AU329,"SI")&gt;0,
   1.8,
   IF(
      COUNTIF(AV326:AV329,"SI")&gt;0,
      1.6,
      2
   )
)</f>
        <v>1.8</v>
      </c>
      <c r="BC326" s="645">
        <f>IF(BA326=0,0,AT326/BA326)</f>
        <v>2.5416666666666665</v>
      </c>
      <c r="BD326" s="662"/>
      <c r="BE326" s="662"/>
      <c r="BF326" s="118"/>
      <c r="BG326" s="118"/>
      <c r="BH326" s="118"/>
      <c r="BI326" s="118"/>
      <c r="BJ326" s="118"/>
      <c r="BK326" s="662"/>
      <c r="BL326" s="118"/>
      <c r="BM326" s="662"/>
      <c r="BN326" s="118"/>
      <c r="BO326" s="118"/>
      <c r="BP326" s="662"/>
      <c r="BQ326" s="662"/>
      <c r="BR326" s="662"/>
      <c r="BS326" s="662"/>
      <c r="BT326" s="118"/>
      <c r="BU326" s="662"/>
      <c r="BV326" s="662"/>
      <c r="BW326" s="118"/>
      <c r="BX326" s="118"/>
      <c r="BY326" s="118"/>
      <c r="BZ326" s="118"/>
      <c r="CA326" s="118"/>
      <c r="CB326" s="118"/>
      <c r="CC326" s="118"/>
      <c r="CD326" s="118"/>
      <c r="CE326" s="118"/>
      <c r="CF326" s="118"/>
      <c r="CG326" s="118"/>
      <c r="CH326" s="118"/>
      <c r="CI326" s="118"/>
      <c r="CJ326" s="118"/>
      <c r="CK326" s="118"/>
      <c r="CL326" s="118"/>
      <c r="CM326" s="118"/>
      <c r="CN326" s="92"/>
      <c r="CO326" s="93"/>
      <c r="CP326" s="93"/>
      <c r="CQ326" s="93"/>
      <c r="CR326" s="93"/>
      <c r="CS326" s="93"/>
      <c r="CT326" s="93"/>
      <c r="CU326" s="93"/>
      <c r="CV326" s="93"/>
      <c r="CW326" s="93"/>
      <c r="CX326" s="93"/>
      <c r="CY326" s="93"/>
      <c r="CZ326" s="93"/>
      <c r="DA326" s="93"/>
      <c r="DB326" s="93"/>
      <c r="DC326" s="94"/>
      <c r="DD326" s="118"/>
      <c r="DE326" s="118"/>
      <c r="DF326" s="118"/>
      <c r="DG326" s="118"/>
      <c r="DH326" s="118"/>
      <c r="DI326" s="118"/>
      <c r="DJ326" s="118"/>
      <c r="DK326" s="118"/>
      <c r="DL326" s="118"/>
      <c r="DM326" s="118"/>
      <c r="DN326" s="118"/>
      <c r="DO326" s="118"/>
      <c r="DP326" s="118"/>
      <c r="DQ326" s="118"/>
      <c r="DR326" s="118"/>
      <c r="DS326" s="118"/>
      <c r="DT326" s="118"/>
      <c r="DU326" s="19"/>
      <c r="DV326" s="19"/>
      <c r="DW326" s="19"/>
      <c r="DX326" s="19"/>
      <c r="DY326" s="19"/>
      <c r="DZ326" s="19"/>
    </row>
    <row r="327" spans="1:130" ht="12.75" x14ac:dyDescent="0.2">
      <c r="A327" s="647"/>
      <c r="B327" s="647"/>
      <c r="C327" s="40"/>
      <c r="D327" s="40"/>
      <c r="E327" s="40"/>
      <c r="F327" s="40"/>
      <c r="G327" s="40"/>
      <c r="H327" s="634"/>
      <c r="I327" s="150">
        <f t="shared" si="232"/>
        <v>0</v>
      </c>
      <c r="J327" s="634"/>
      <c r="K327" s="40"/>
      <c r="L327" s="40"/>
      <c r="M327" s="634"/>
      <c r="N327" s="634"/>
      <c r="O327" s="634"/>
      <c r="P327" s="634"/>
      <c r="Q327" s="634"/>
      <c r="R327" s="634"/>
      <c r="S327" s="659"/>
      <c r="T327" s="647"/>
      <c r="U327" s="40"/>
      <c r="V327" s="31">
        <v>713</v>
      </c>
      <c r="W327" s="31">
        <v>9002</v>
      </c>
      <c r="X327" s="31">
        <v>9180</v>
      </c>
      <c r="Y327" s="31">
        <v>0</v>
      </c>
      <c r="Z327" s="634"/>
      <c r="AA327" s="51">
        <f t="shared" si="237"/>
        <v>179</v>
      </c>
      <c r="AB327" s="634"/>
      <c r="AC327" s="31" t="s">
        <v>51</v>
      </c>
      <c r="AD327" s="31" t="s">
        <v>51</v>
      </c>
      <c r="AE327" s="634"/>
      <c r="AF327" s="634"/>
      <c r="AG327" s="634"/>
      <c r="AH327" s="634"/>
      <c r="AI327" s="634"/>
      <c r="AJ327" s="634"/>
      <c r="AK327" s="659"/>
      <c r="AL327" s="647"/>
      <c r="AM327" s="28">
        <v>133</v>
      </c>
      <c r="AN327" s="28">
        <v>714</v>
      </c>
      <c r="AO327" s="28">
        <v>9503</v>
      </c>
      <c r="AP327" s="28">
        <v>10000</v>
      </c>
      <c r="AQ327" s="29"/>
      <c r="AR327" s="634"/>
      <c r="AS327" s="51">
        <f t="shared" si="231"/>
        <v>497</v>
      </c>
      <c r="AT327" s="634"/>
      <c r="AU327" s="38" t="s">
        <v>51</v>
      </c>
      <c r="AV327" s="634"/>
      <c r="AW327" s="28" t="s">
        <v>51</v>
      </c>
      <c r="AX327" s="634"/>
      <c r="AY327" s="634"/>
      <c r="AZ327" s="634"/>
      <c r="BA327" s="634"/>
      <c r="BB327" s="634"/>
      <c r="BC327" s="634"/>
      <c r="BD327" s="662"/>
      <c r="BE327" s="662"/>
      <c r="BF327" s="118"/>
      <c r="BG327" s="118"/>
      <c r="BH327" s="118"/>
      <c r="BI327" s="118"/>
      <c r="BJ327" s="118"/>
      <c r="BK327" s="662"/>
      <c r="BL327" s="118"/>
      <c r="BM327" s="662"/>
      <c r="BN327" s="118"/>
      <c r="BO327" s="118"/>
      <c r="BP327" s="662"/>
      <c r="BQ327" s="662"/>
      <c r="BR327" s="662"/>
      <c r="BS327" s="662"/>
      <c r="BT327" s="118"/>
      <c r="BU327" s="662"/>
      <c r="BV327" s="662"/>
      <c r="BW327" s="118"/>
      <c r="BX327" s="118"/>
      <c r="BY327" s="118"/>
      <c r="BZ327" s="118"/>
      <c r="CA327" s="118"/>
      <c r="CB327" s="118"/>
      <c r="CC327" s="118"/>
      <c r="CD327" s="118"/>
      <c r="CE327" s="118"/>
      <c r="CF327" s="118"/>
      <c r="CG327" s="118"/>
      <c r="CH327" s="118"/>
      <c r="CI327" s="118"/>
      <c r="CJ327" s="118"/>
      <c r="CK327" s="118"/>
      <c r="CL327" s="118"/>
      <c r="CM327" s="118"/>
      <c r="CN327" s="92"/>
      <c r="CO327" s="93"/>
      <c r="CP327" s="93"/>
      <c r="CQ327" s="93"/>
      <c r="CR327" s="93"/>
      <c r="CS327" s="93"/>
      <c r="CT327" s="93"/>
      <c r="CU327" s="93"/>
      <c r="CV327" s="93"/>
      <c r="CW327" s="93"/>
      <c r="CX327" s="93"/>
      <c r="CY327" s="93"/>
      <c r="CZ327" s="93"/>
      <c r="DA327" s="93"/>
      <c r="DB327" s="93"/>
      <c r="DC327" s="94"/>
      <c r="DD327" s="118"/>
      <c r="DE327" s="118"/>
      <c r="DF327" s="118"/>
      <c r="DG327" s="118"/>
      <c r="DH327" s="118"/>
      <c r="DI327" s="118"/>
      <c r="DJ327" s="118"/>
      <c r="DK327" s="118"/>
      <c r="DL327" s="118"/>
      <c r="DM327" s="118"/>
      <c r="DN327" s="118"/>
      <c r="DO327" s="118"/>
      <c r="DP327" s="118"/>
      <c r="DQ327" s="118"/>
      <c r="DR327" s="118"/>
      <c r="DS327" s="118"/>
      <c r="DT327" s="118"/>
      <c r="DU327" s="19"/>
      <c r="DV327" s="19"/>
      <c r="DW327" s="19"/>
      <c r="DX327" s="19"/>
      <c r="DY327" s="19"/>
      <c r="DZ327" s="19"/>
    </row>
    <row r="328" spans="1:130" ht="12.75" x14ac:dyDescent="0.2">
      <c r="A328" s="647"/>
      <c r="B328" s="647"/>
      <c r="C328" s="40"/>
      <c r="D328" s="160"/>
      <c r="E328" s="160"/>
      <c r="F328" s="160"/>
      <c r="G328" s="160"/>
      <c r="H328" s="634"/>
      <c r="I328" s="39">
        <f t="shared" si="232"/>
        <v>0</v>
      </c>
      <c r="J328" s="634"/>
      <c r="K328" s="40"/>
      <c r="L328" s="40"/>
      <c r="M328" s="634"/>
      <c r="N328" s="634"/>
      <c r="O328" s="634"/>
      <c r="P328" s="634"/>
      <c r="Q328" s="634"/>
      <c r="R328" s="634"/>
      <c r="S328" s="659"/>
      <c r="T328" s="647"/>
      <c r="U328" s="40"/>
      <c r="V328" s="31"/>
      <c r="W328" s="40"/>
      <c r="X328" s="40"/>
      <c r="Y328" s="40"/>
      <c r="Z328" s="634"/>
      <c r="AA328" s="51">
        <f t="shared" ref="AA328:AA333" si="238">X328-W328-Y328</f>
        <v>0</v>
      </c>
      <c r="AB328" s="634"/>
      <c r="AC328" s="40"/>
      <c r="AD328" s="40"/>
      <c r="AE328" s="634"/>
      <c r="AF328" s="634"/>
      <c r="AG328" s="634"/>
      <c r="AH328" s="634"/>
      <c r="AI328" s="634"/>
      <c r="AJ328" s="634"/>
      <c r="AK328" s="659"/>
      <c r="AL328" s="647"/>
      <c r="AM328" s="41"/>
      <c r="AN328" s="41"/>
      <c r="AO328" s="41"/>
      <c r="AP328" s="41"/>
      <c r="AQ328" s="48"/>
      <c r="AR328" s="634"/>
      <c r="AS328" s="51">
        <f t="shared" si="231"/>
        <v>0</v>
      </c>
      <c r="AT328" s="634"/>
      <c r="AU328" s="145"/>
      <c r="AV328" s="634"/>
      <c r="AW328" s="145"/>
      <c r="AX328" s="634"/>
      <c r="AY328" s="634"/>
      <c r="AZ328" s="634"/>
      <c r="BA328" s="634"/>
      <c r="BB328" s="634"/>
      <c r="BC328" s="634"/>
      <c r="BD328" s="662"/>
      <c r="BE328" s="662"/>
      <c r="BF328" s="118"/>
      <c r="BG328" s="118"/>
      <c r="BH328" s="118"/>
      <c r="BI328" s="118"/>
      <c r="BJ328" s="118"/>
      <c r="BK328" s="662"/>
      <c r="BL328" s="118"/>
      <c r="BM328" s="662"/>
      <c r="BN328" s="118"/>
      <c r="BO328" s="118"/>
      <c r="BP328" s="662"/>
      <c r="BQ328" s="662"/>
      <c r="BR328" s="662"/>
      <c r="BS328" s="662"/>
      <c r="BT328" s="118"/>
      <c r="BU328" s="662"/>
      <c r="BV328" s="662"/>
      <c r="BW328" s="118"/>
      <c r="BX328" s="118"/>
      <c r="BY328" s="118"/>
      <c r="BZ328" s="118"/>
      <c r="CA328" s="118"/>
      <c r="CB328" s="118"/>
      <c r="CC328" s="118"/>
      <c r="CD328" s="118"/>
      <c r="CE328" s="118"/>
      <c r="CF328" s="118"/>
      <c r="CG328" s="118"/>
      <c r="CH328" s="118"/>
      <c r="CI328" s="118"/>
      <c r="CJ328" s="118"/>
      <c r="CK328" s="118"/>
      <c r="CL328" s="118"/>
      <c r="CM328" s="118"/>
      <c r="CN328" s="92"/>
      <c r="CO328" s="93"/>
      <c r="CP328" s="93"/>
      <c r="CQ328" s="93"/>
      <c r="CR328" s="93"/>
      <c r="CS328" s="93"/>
      <c r="CT328" s="93"/>
      <c r="CU328" s="93"/>
      <c r="CV328" s="93"/>
      <c r="CW328" s="93"/>
      <c r="CX328" s="93"/>
      <c r="CY328" s="93"/>
      <c r="CZ328" s="93"/>
      <c r="DA328" s="93"/>
      <c r="DB328" s="93"/>
      <c r="DC328" s="94"/>
      <c r="DD328" s="118"/>
      <c r="DE328" s="118"/>
      <c r="DF328" s="118"/>
      <c r="DG328" s="118"/>
      <c r="DH328" s="118"/>
      <c r="DI328" s="118"/>
      <c r="DJ328" s="118"/>
      <c r="DK328" s="118"/>
      <c r="DL328" s="118"/>
      <c r="DM328" s="118"/>
      <c r="DN328" s="118"/>
      <c r="DO328" s="118"/>
      <c r="DP328" s="118"/>
      <c r="DQ328" s="118"/>
      <c r="DR328" s="118"/>
      <c r="DS328" s="118"/>
      <c r="DT328" s="118"/>
      <c r="DU328" s="19"/>
      <c r="DV328" s="19"/>
      <c r="DW328" s="19"/>
      <c r="DX328" s="19"/>
      <c r="DY328" s="19"/>
      <c r="DZ328" s="19"/>
    </row>
    <row r="329" spans="1:130" ht="12.75" x14ac:dyDescent="0.2">
      <c r="A329" s="648"/>
      <c r="B329" s="648"/>
      <c r="C329" s="40"/>
      <c r="D329" s="160"/>
      <c r="E329" s="160"/>
      <c r="F329" s="160"/>
      <c r="G329" s="160"/>
      <c r="H329" s="635"/>
      <c r="I329" s="39">
        <f t="shared" si="232"/>
        <v>0</v>
      </c>
      <c r="J329" s="635"/>
      <c r="K329" s="40"/>
      <c r="L329" s="40"/>
      <c r="M329" s="635"/>
      <c r="N329" s="635"/>
      <c r="O329" s="635"/>
      <c r="P329" s="635"/>
      <c r="Q329" s="635"/>
      <c r="R329" s="635"/>
      <c r="S329" s="660"/>
      <c r="T329" s="648"/>
      <c r="U329" s="40"/>
      <c r="V329" s="40"/>
      <c r="W329" s="40"/>
      <c r="X329" s="40"/>
      <c r="Y329" s="40"/>
      <c r="Z329" s="635"/>
      <c r="AA329" s="51">
        <f t="shared" si="238"/>
        <v>0</v>
      </c>
      <c r="AB329" s="635"/>
      <c r="AC329" s="40"/>
      <c r="AD329" s="40"/>
      <c r="AE329" s="635"/>
      <c r="AF329" s="635"/>
      <c r="AG329" s="635"/>
      <c r="AH329" s="635"/>
      <c r="AI329" s="635"/>
      <c r="AJ329" s="635"/>
      <c r="AK329" s="660"/>
      <c r="AL329" s="648"/>
      <c r="AM329" s="51"/>
      <c r="AN329" s="28"/>
      <c r="AO329" s="28"/>
      <c r="AP329" s="28"/>
      <c r="AQ329" s="51"/>
      <c r="AR329" s="635"/>
      <c r="AS329" s="51">
        <f t="shared" si="231"/>
        <v>0</v>
      </c>
      <c r="AT329" s="635"/>
      <c r="AU329" s="150"/>
      <c r="AV329" s="635"/>
      <c r="AW329" s="51"/>
      <c r="AX329" s="635"/>
      <c r="AY329" s="635"/>
      <c r="AZ329" s="635"/>
      <c r="BA329" s="634"/>
      <c r="BB329" s="635"/>
      <c r="BC329" s="635"/>
      <c r="BD329" s="133"/>
      <c r="BE329" s="668"/>
      <c r="BF329" s="118"/>
      <c r="BG329" s="118"/>
      <c r="BH329" s="118"/>
      <c r="BI329" s="118"/>
      <c r="BJ329" s="118"/>
      <c r="BK329" s="663"/>
      <c r="BL329" s="118"/>
      <c r="BM329" s="663"/>
      <c r="BN329" s="118"/>
      <c r="BO329" s="118"/>
      <c r="BP329" s="663"/>
      <c r="BQ329" s="663"/>
      <c r="BR329" s="663"/>
      <c r="BS329" s="663"/>
      <c r="BT329" s="118"/>
      <c r="BU329" s="663"/>
      <c r="BV329" s="663"/>
      <c r="BW329" s="118"/>
      <c r="BX329" s="118"/>
      <c r="BY329" s="118"/>
      <c r="BZ329" s="118"/>
      <c r="CA329" s="118"/>
      <c r="CB329" s="118"/>
      <c r="CC329" s="118"/>
      <c r="CD329" s="118"/>
      <c r="CE329" s="118"/>
      <c r="CF329" s="118"/>
      <c r="CG329" s="118"/>
      <c r="CH329" s="118"/>
      <c r="CI329" s="118"/>
      <c r="CJ329" s="118"/>
      <c r="CK329" s="118"/>
      <c r="CL329" s="118"/>
      <c r="CM329" s="118"/>
      <c r="CN329" s="92"/>
      <c r="CO329" s="93"/>
      <c r="CP329" s="93"/>
      <c r="CQ329" s="93"/>
      <c r="CR329" s="93"/>
      <c r="CS329" s="93"/>
      <c r="CT329" s="93"/>
      <c r="CU329" s="93"/>
      <c r="CV329" s="93"/>
      <c r="CW329" s="93"/>
      <c r="CX329" s="93"/>
      <c r="CY329" s="93"/>
      <c r="CZ329" s="93"/>
      <c r="DA329" s="93"/>
      <c r="DB329" s="93"/>
      <c r="DC329" s="94"/>
      <c r="DD329" s="118"/>
      <c r="DE329" s="118"/>
      <c r="DF329" s="118"/>
      <c r="DG329" s="118"/>
      <c r="DH329" s="118"/>
      <c r="DI329" s="118"/>
      <c r="DJ329" s="118"/>
      <c r="DK329" s="118"/>
      <c r="DL329" s="118"/>
      <c r="DM329" s="118"/>
      <c r="DN329" s="118"/>
      <c r="DO329" s="118"/>
      <c r="DP329" s="118"/>
      <c r="DQ329" s="118"/>
      <c r="DR329" s="118"/>
      <c r="DS329" s="118"/>
      <c r="DT329" s="118"/>
      <c r="DU329" s="19"/>
      <c r="DV329" s="19"/>
      <c r="DW329" s="19"/>
      <c r="DX329" s="19"/>
      <c r="DY329" s="19"/>
      <c r="DZ329" s="19"/>
    </row>
    <row r="330" spans="1:130" ht="12.75" x14ac:dyDescent="0.2">
      <c r="A330" s="654"/>
      <c r="B330" s="655">
        <v>46136</v>
      </c>
      <c r="C330" s="29"/>
      <c r="D330" s="29"/>
      <c r="E330" s="29"/>
      <c r="F330" s="29"/>
      <c r="G330" s="158"/>
      <c r="H330" s="649"/>
      <c r="I330" s="159">
        <f t="shared" si="232"/>
        <v>0</v>
      </c>
      <c r="J330" s="650">
        <f>SUM(I330:I333,H330)</f>
        <v>0</v>
      </c>
      <c r="K330" s="158"/>
      <c r="L330" s="158"/>
      <c r="M330" s="653"/>
      <c r="N330" s="653"/>
      <c r="O330" s="633">
        <f>SUM(M330:N333)</f>
        <v>0</v>
      </c>
      <c r="P330" s="649"/>
      <c r="Q330" s="640">
        <f>M330*60</f>
        <v>0</v>
      </c>
      <c r="R330" s="657">
        <f>IF(
   COUNTIF(K330:K333,"SI")&gt;0,
   1.8,
   IF(
      COUNTIF(L330:L333,"SI")&gt;0,
      1.6,
      2
   )
)</f>
        <v>2</v>
      </c>
      <c r="S330" s="658">
        <f>IF(Q330=0,0,J330/Q330)</f>
        <v>0</v>
      </c>
      <c r="T330" s="655">
        <v>46136</v>
      </c>
      <c r="U330" s="30"/>
      <c r="V330" s="28">
        <v>713</v>
      </c>
      <c r="W330" s="28">
        <v>9181</v>
      </c>
      <c r="X330" s="28">
        <v>9500</v>
      </c>
      <c r="Y330" s="28"/>
      <c r="Z330" s="640"/>
      <c r="AA330" s="51">
        <f t="shared" si="238"/>
        <v>319</v>
      </c>
      <c r="AB330" s="650">
        <f>SUM(AA330:AA333,Z330)</f>
        <v>548</v>
      </c>
      <c r="AC330" s="28" t="s">
        <v>51</v>
      </c>
      <c r="AD330" s="28" t="s">
        <v>51</v>
      </c>
      <c r="AE330" s="640">
        <v>4.5</v>
      </c>
      <c r="AF330" s="640">
        <v>0.5</v>
      </c>
      <c r="AG330" s="633">
        <f>SUM(AE330:AF333)</f>
        <v>5</v>
      </c>
      <c r="AH330" s="640"/>
      <c r="AI330" s="640">
        <f>AE330*60</f>
        <v>270</v>
      </c>
      <c r="AJ330" s="657">
        <f>IF(
   COUNTIF(AC330:AC333,"SI")&gt;0,
   1.8,
   IF(
      COUNTIF(AD330:AD333,"SI")&gt;0,
      1.6,
      2
   )
)</f>
        <v>1.8</v>
      </c>
      <c r="AK330" s="679">
        <f>IF(AI330=0,0,AB330/AI330)</f>
        <v>2.0296296296296297</v>
      </c>
      <c r="AL330" s="655">
        <v>46136</v>
      </c>
      <c r="AM330" s="28">
        <v>118</v>
      </c>
      <c r="AN330" s="28">
        <v>716</v>
      </c>
      <c r="AO330" s="28">
        <v>10502</v>
      </c>
      <c r="AP330" s="41">
        <v>11003</v>
      </c>
      <c r="AQ330" s="28">
        <v>4</v>
      </c>
      <c r="AR330" s="649"/>
      <c r="AS330" s="39">
        <f t="shared" si="231"/>
        <v>497</v>
      </c>
      <c r="AT330" s="650">
        <f>SUM(AS330:AS333)+AR330</f>
        <v>596</v>
      </c>
      <c r="AU330" s="38" t="s">
        <v>51</v>
      </c>
      <c r="AV330" s="640">
        <v>3.9</v>
      </c>
      <c r="AW330" s="28" t="s">
        <v>51</v>
      </c>
      <c r="AX330" s="640">
        <v>2.1</v>
      </c>
      <c r="AY330" s="633">
        <f>SUM(AV330+AV333+AX330)</f>
        <v>6</v>
      </c>
      <c r="AZ330" s="649">
        <v>0.15</v>
      </c>
      <c r="BA330" s="640">
        <f>AV330*60</f>
        <v>234</v>
      </c>
      <c r="BB330" s="644">
        <f>IF(
   COUNTIF(AU330:AU333,"SI")&gt;0,
   1.8,
   IF(
      COUNTIF(AV330:AV333,"SI")&gt;0,
      1.6,
      2
   )
)</f>
        <v>1.8</v>
      </c>
      <c r="BC330" s="645">
        <f>IF(BA330=0,0,AT330/BA330)</f>
        <v>2.5470085470085468</v>
      </c>
      <c r="BD330" s="663"/>
      <c r="BE330" s="662"/>
      <c r="BF330" s="118"/>
      <c r="BG330" s="118"/>
      <c r="BH330" s="118"/>
      <c r="BI330" s="118"/>
      <c r="BJ330" s="118"/>
      <c r="BK330" s="662"/>
      <c r="BL330" s="118"/>
      <c r="BM330" s="662"/>
      <c r="BN330" s="118"/>
      <c r="BO330" s="118"/>
      <c r="BP330" s="662"/>
      <c r="BQ330" s="662"/>
      <c r="BR330" s="662"/>
      <c r="BS330" s="662"/>
      <c r="BT330" s="118"/>
      <c r="BU330" s="662"/>
      <c r="BV330" s="662"/>
      <c r="BW330" s="118"/>
      <c r="BX330" s="118"/>
      <c r="BY330" s="118"/>
      <c r="BZ330" s="118"/>
      <c r="CA330" s="118"/>
      <c r="CB330" s="118"/>
      <c r="CC330" s="118"/>
      <c r="CD330" s="118"/>
      <c r="CE330" s="118"/>
      <c r="CF330" s="118"/>
      <c r="CG330" s="118"/>
      <c r="CH330" s="118"/>
      <c r="CI330" s="118"/>
      <c r="CJ330" s="118"/>
      <c r="CK330" s="118"/>
      <c r="CL330" s="118"/>
      <c r="CM330" s="118"/>
      <c r="CN330" s="92"/>
      <c r="CO330" s="93"/>
      <c r="CP330" s="93"/>
      <c r="CQ330" s="93"/>
      <c r="CR330" s="93"/>
      <c r="CS330" s="93"/>
      <c r="CT330" s="93"/>
      <c r="CU330" s="93"/>
      <c r="CV330" s="93"/>
      <c r="CW330" s="93"/>
      <c r="CX330" s="93"/>
      <c r="CY330" s="93"/>
      <c r="CZ330" s="93"/>
      <c r="DA330" s="93"/>
      <c r="DB330" s="93"/>
      <c r="DC330" s="94"/>
      <c r="DD330" s="118"/>
      <c r="DE330" s="118"/>
      <c r="DF330" s="118"/>
      <c r="DG330" s="118"/>
      <c r="DH330" s="118"/>
      <c r="DI330" s="118"/>
      <c r="DJ330" s="118"/>
      <c r="DK330" s="118"/>
      <c r="DL330" s="118"/>
      <c r="DM330" s="118"/>
      <c r="DN330" s="118"/>
      <c r="DO330" s="118"/>
      <c r="DP330" s="118"/>
      <c r="DQ330" s="118"/>
      <c r="DR330" s="118"/>
      <c r="DS330" s="118"/>
      <c r="DT330" s="118"/>
      <c r="DU330" s="19"/>
      <c r="DV330" s="19"/>
      <c r="DW330" s="19"/>
      <c r="DX330" s="19"/>
      <c r="DY330" s="19"/>
      <c r="DZ330" s="19"/>
    </row>
    <row r="331" spans="1:130" ht="12.75" x14ac:dyDescent="0.2">
      <c r="A331" s="647"/>
      <c r="B331" s="647"/>
      <c r="C331" s="29"/>
      <c r="D331" s="30"/>
      <c r="E331" s="29"/>
      <c r="F331" s="29"/>
      <c r="G331" s="30"/>
      <c r="H331" s="634"/>
      <c r="I331" s="51">
        <f t="shared" si="232"/>
        <v>0</v>
      </c>
      <c r="J331" s="634"/>
      <c r="K331" s="30"/>
      <c r="L331" s="30"/>
      <c r="M331" s="634"/>
      <c r="N331" s="634"/>
      <c r="O331" s="634"/>
      <c r="P331" s="634"/>
      <c r="Q331" s="634"/>
      <c r="R331" s="634"/>
      <c r="S331" s="659"/>
      <c r="T331" s="647"/>
      <c r="U331" s="30"/>
      <c r="V331" s="28">
        <v>715</v>
      </c>
      <c r="W331" s="28">
        <v>10001</v>
      </c>
      <c r="X331" s="28">
        <v>10230</v>
      </c>
      <c r="Y331" s="29"/>
      <c r="Z331" s="634"/>
      <c r="AA331" s="51">
        <f t="shared" si="238"/>
        <v>229</v>
      </c>
      <c r="AB331" s="634"/>
      <c r="AC331" s="28" t="s">
        <v>51</v>
      </c>
      <c r="AD331" s="28" t="s">
        <v>51</v>
      </c>
      <c r="AE331" s="634"/>
      <c r="AF331" s="634"/>
      <c r="AG331" s="634"/>
      <c r="AH331" s="634"/>
      <c r="AI331" s="634"/>
      <c r="AJ331" s="634"/>
      <c r="AK331" s="659"/>
      <c r="AL331" s="647"/>
      <c r="AM331" s="28">
        <v>27</v>
      </c>
      <c r="AN331" s="28">
        <v>717</v>
      </c>
      <c r="AO331" s="28">
        <v>11004</v>
      </c>
      <c r="AP331" s="28">
        <v>11103</v>
      </c>
      <c r="AQ331" s="30"/>
      <c r="AR331" s="634"/>
      <c r="AS331" s="51">
        <f t="shared" si="231"/>
        <v>99</v>
      </c>
      <c r="AT331" s="634"/>
      <c r="AU331" s="150"/>
      <c r="AV331" s="634"/>
      <c r="AW331" s="51"/>
      <c r="AX331" s="634"/>
      <c r="AY331" s="634"/>
      <c r="AZ331" s="634"/>
      <c r="BA331" s="634"/>
      <c r="BB331" s="634"/>
      <c r="BC331" s="634"/>
      <c r="BD331" s="662"/>
      <c r="BE331" s="662"/>
      <c r="BF331" s="118"/>
      <c r="BG331" s="118"/>
      <c r="BH331" s="118"/>
      <c r="BI331" s="118"/>
      <c r="BJ331" s="118"/>
      <c r="BK331" s="662"/>
      <c r="BL331" s="118"/>
      <c r="BM331" s="662"/>
      <c r="BN331" s="118"/>
      <c r="BO331" s="118"/>
      <c r="BP331" s="662"/>
      <c r="BQ331" s="662"/>
      <c r="BR331" s="662"/>
      <c r="BS331" s="662"/>
      <c r="BT331" s="118"/>
      <c r="BU331" s="662"/>
      <c r="BV331" s="662"/>
      <c r="BW331" s="118"/>
      <c r="BX331" s="118"/>
      <c r="BY331" s="118"/>
      <c r="BZ331" s="118"/>
      <c r="CA331" s="118"/>
      <c r="CB331" s="118"/>
      <c r="CC331" s="118"/>
      <c r="CD331" s="118"/>
      <c r="CE331" s="118"/>
      <c r="CF331" s="118"/>
      <c r="CG331" s="118"/>
      <c r="CH331" s="118"/>
      <c r="CI331" s="118"/>
      <c r="CJ331" s="118"/>
      <c r="CK331" s="118"/>
      <c r="CL331" s="118"/>
      <c r="CM331" s="118"/>
      <c r="CN331" s="92"/>
      <c r="CO331" s="93"/>
      <c r="CP331" s="93"/>
      <c r="CQ331" s="93"/>
      <c r="CR331" s="93"/>
      <c r="CS331" s="93"/>
      <c r="CT331" s="93"/>
      <c r="CU331" s="93"/>
      <c r="CV331" s="93"/>
      <c r="CW331" s="93"/>
      <c r="CX331" s="93"/>
      <c r="CY331" s="93"/>
      <c r="CZ331" s="93"/>
      <c r="DA331" s="93"/>
      <c r="DB331" s="93"/>
      <c r="DC331" s="94"/>
      <c r="DD331" s="118"/>
      <c r="DE331" s="118"/>
      <c r="DF331" s="118"/>
      <c r="DG331" s="118"/>
      <c r="DH331" s="118"/>
      <c r="DI331" s="118"/>
      <c r="DJ331" s="118"/>
      <c r="DK331" s="118"/>
      <c r="DL331" s="118"/>
      <c r="DM331" s="118"/>
      <c r="DN331" s="118"/>
      <c r="DO331" s="118"/>
      <c r="DP331" s="118"/>
      <c r="DQ331" s="118"/>
      <c r="DR331" s="118"/>
      <c r="DS331" s="118"/>
      <c r="DT331" s="118"/>
      <c r="DU331" s="19"/>
      <c r="DV331" s="19"/>
      <c r="DW331" s="19"/>
      <c r="DX331" s="19"/>
      <c r="DY331" s="19"/>
      <c r="DZ331" s="19"/>
    </row>
    <row r="332" spans="1:130" ht="12.75" x14ac:dyDescent="0.2">
      <c r="A332" s="647"/>
      <c r="B332" s="647"/>
      <c r="C332" s="30"/>
      <c r="D332" s="30"/>
      <c r="E332" s="30"/>
      <c r="F332" s="30"/>
      <c r="G332" s="30"/>
      <c r="H332" s="634"/>
      <c r="I332" s="51">
        <f t="shared" si="232"/>
        <v>0</v>
      </c>
      <c r="J332" s="634"/>
      <c r="K332" s="30"/>
      <c r="L332" s="30"/>
      <c r="M332" s="634"/>
      <c r="N332" s="634"/>
      <c r="O332" s="634"/>
      <c r="P332" s="634"/>
      <c r="Q332" s="634"/>
      <c r="R332" s="634"/>
      <c r="S332" s="659"/>
      <c r="T332" s="647"/>
      <c r="U332" s="30"/>
      <c r="V332" s="29"/>
      <c r="W332" s="29"/>
      <c r="X332" s="29"/>
      <c r="Y332" s="29"/>
      <c r="Z332" s="634"/>
      <c r="AA332" s="51">
        <f t="shared" si="238"/>
        <v>0</v>
      </c>
      <c r="AB332" s="634"/>
      <c r="AC332" s="29"/>
      <c r="AD332" s="29"/>
      <c r="AE332" s="634"/>
      <c r="AF332" s="634"/>
      <c r="AG332" s="634"/>
      <c r="AH332" s="634"/>
      <c r="AI332" s="634"/>
      <c r="AJ332" s="634"/>
      <c r="AK332" s="659"/>
      <c r="AL332" s="647"/>
      <c r="AM332" s="41"/>
      <c r="AN332" s="41"/>
      <c r="AO332" s="41"/>
      <c r="AP332" s="41"/>
      <c r="AQ332" s="48"/>
      <c r="AR332" s="634"/>
      <c r="AS332" s="51">
        <f t="shared" si="231"/>
        <v>0</v>
      </c>
      <c r="AT332" s="634"/>
      <c r="AU332" s="145"/>
      <c r="AV332" s="634"/>
      <c r="AW332" s="145"/>
      <c r="AX332" s="634"/>
      <c r="AY332" s="634"/>
      <c r="AZ332" s="634"/>
      <c r="BA332" s="634"/>
      <c r="BB332" s="634"/>
      <c r="BC332" s="634"/>
      <c r="BD332" s="118"/>
      <c r="BE332" s="662"/>
      <c r="BF332" s="118"/>
      <c r="BG332" s="118"/>
      <c r="BH332" s="118"/>
      <c r="BI332" s="118"/>
      <c r="BJ332" s="118"/>
      <c r="BK332" s="662"/>
      <c r="BL332" s="118"/>
      <c r="BM332" s="662"/>
      <c r="BN332" s="118"/>
      <c r="BO332" s="118"/>
      <c r="BP332" s="662"/>
      <c r="BQ332" s="662"/>
      <c r="BR332" s="662"/>
      <c r="BS332" s="662"/>
      <c r="BT332" s="118"/>
      <c r="BU332" s="662"/>
      <c r="BV332" s="662"/>
      <c r="BW332" s="118"/>
      <c r="BX332" s="118"/>
      <c r="BY332" s="118"/>
      <c r="BZ332" s="118"/>
      <c r="CA332" s="118"/>
      <c r="CB332" s="118"/>
      <c r="CC332" s="118"/>
      <c r="CD332" s="118"/>
      <c r="CE332" s="118"/>
      <c r="CF332" s="118"/>
      <c r="CG332" s="118"/>
      <c r="CH332" s="118"/>
      <c r="CI332" s="118"/>
      <c r="CJ332" s="118"/>
      <c r="CK332" s="118"/>
      <c r="CL332" s="118"/>
      <c r="CM332" s="118"/>
      <c r="CN332" s="92"/>
      <c r="CO332" s="93"/>
      <c r="CP332" s="93"/>
      <c r="CQ332" s="93"/>
      <c r="CR332" s="93"/>
      <c r="CS332" s="93"/>
      <c r="CT332" s="93"/>
      <c r="CU332" s="93"/>
      <c r="CV332" s="93"/>
      <c r="CW332" s="93"/>
      <c r="CX332" s="93"/>
      <c r="CY332" s="93"/>
      <c r="CZ332" s="93"/>
      <c r="DA332" s="93"/>
      <c r="DB332" s="93"/>
      <c r="DC332" s="94"/>
      <c r="DD332" s="118"/>
      <c r="DE332" s="118"/>
      <c r="DF332" s="118"/>
      <c r="DG332" s="118"/>
      <c r="DH332" s="118"/>
      <c r="DI332" s="118"/>
      <c r="DJ332" s="118"/>
      <c r="DK332" s="118"/>
      <c r="DL332" s="118"/>
      <c r="DM332" s="118"/>
      <c r="DN332" s="118"/>
      <c r="DO332" s="118"/>
      <c r="DP332" s="118"/>
      <c r="DQ332" s="118"/>
      <c r="DR332" s="118"/>
      <c r="DS332" s="118"/>
      <c r="DT332" s="118"/>
      <c r="DU332" s="19"/>
      <c r="DV332" s="19"/>
      <c r="DW332" s="19"/>
      <c r="DX332" s="19"/>
      <c r="DY332" s="19"/>
      <c r="DZ332" s="19"/>
    </row>
    <row r="333" spans="1:130" ht="12.75" x14ac:dyDescent="0.2">
      <c r="A333" s="648"/>
      <c r="B333" s="648"/>
      <c r="C333" s="30"/>
      <c r="D333" s="30"/>
      <c r="E333" s="30"/>
      <c r="F333" s="30"/>
      <c r="G333" s="30"/>
      <c r="H333" s="635"/>
      <c r="I333" s="51">
        <f t="shared" si="232"/>
        <v>0</v>
      </c>
      <c r="J333" s="635"/>
      <c r="K333" s="30"/>
      <c r="L333" s="30"/>
      <c r="M333" s="635"/>
      <c r="N333" s="635"/>
      <c r="O333" s="635"/>
      <c r="P333" s="635"/>
      <c r="Q333" s="635"/>
      <c r="R333" s="635"/>
      <c r="S333" s="660"/>
      <c r="T333" s="648"/>
      <c r="U333" s="30"/>
      <c r="V333" s="30"/>
      <c r="W333" s="30"/>
      <c r="X333" s="30"/>
      <c r="Y333" s="30"/>
      <c r="Z333" s="635"/>
      <c r="AA333" s="51">
        <f t="shared" si="238"/>
        <v>0</v>
      </c>
      <c r="AB333" s="635"/>
      <c r="AC333" s="30"/>
      <c r="AD333" s="30"/>
      <c r="AE333" s="635"/>
      <c r="AF333" s="635"/>
      <c r="AG333" s="635"/>
      <c r="AH333" s="635"/>
      <c r="AI333" s="635"/>
      <c r="AJ333" s="635"/>
      <c r="AK333" s="660"/>
      <c r="AL333" s="648"/>
      <c r="AM333" s="51"/>
      <c r="AN333" s="28"/>
      <c r="AO333" s="28"/>
      <c r="AP333" s="28"/>
      <c r="AQ333" s="51"/>
      <c r="AR333" s="635"/>
      <c r="AS333" s="51">
        <f t="shared" si="231"/>
        <v>0</v>
      </c>
      <c r="AT333" s="635"/>
      <c r="AU333" s="150"/>
      <c r="AV333" s="635"/>
      <c r="AW333" s="51"/>
      <c r="AX333" s="635"/>
      <c r="AY333" s="635"/>
      <c r="AZ333" s="635"/>
      <c r="BA333" s="635"/>
      <c r="BB333" s="635"/>
      <c r="BC333" s="635"/>
      <c r="BD333" s="663"/>
      <c r="BE333" s="668"/>
      <c r="BF333" s="118"/>
      <c r="BG333" s="118"/>
      <c r="BH333" s="118"/>
      <c r="BI333" s="118"/>
      <c r="BJ333" s="118"/>
      <c r="BK333" s="663"/>
      <c r="BL333" s="118"/>
      <c r="BM333" s="663"/>
      <c r="BN333" s="118"/>
      <c r="BO333" s="118"/>
      <c r="BP333" s="663"/>
      <c r="BQ333" s="663"/>
      <c r="BR333" s="663"/>
      <c r="BS333" s="663"/>
      <c r="BT333" s="118"/>
      <c r="BU333" s="663"/>
      <c r="BV333" s="663"/>
      <c r="BW333" s="118"/>
      <c r="BX333" s="118"/>
      <c r="BY333" s="118"/>
      <c r="BZ333" s="118"/>
      <c r="CA333" s="118"/>
      <c r="CB333" s="118"/>
      <c r="CC333" s="118"/>
      <c r="CD333" s="118"/>
      <c r="CE333" s="118"/>
      <c r="CF333" s="118"/>
      <c r="CG333" s="118"/>
      <c r="CH333" s="118"/>
      <c r="CI333" s="118"/>
      <c r="CJ333" s="118"/>
      <c r="CK333" s="118"/>
      <c r="CL333" s="118"/>
      <c r="CM333" s="118"/>
      <c r="CN333" s="92"/>
      <c r="CO333" s="93"/>
      <c r="CP333" s="93"/>
      <c r="CQ333" s="93"/>
      <c r="CR333" s="93"/>
      <c r="CS333" s="93"/>
      <c r="CT333" s="93"/>
      <c r="CU333" s="93"/>
      <c r="CV333" s="93"/>
      <c r="CW333" s="93"/>
      <c r="CX333" s="93"/>
      <c r="CY333" s="93"/>
      <c r="CZ333" s="93"/>
      <c r="DA333" s="93"/>
      <c r="DB333" s="93"/>
      <c r="DC333" s="94"/>
      <c r="DD333" s="118"/>
      <c r="DE333" s="118"/>
      <c r="DF333" s="118"/>
      <c r="DG333" s="118"/>
      <c r="DH333" s="118"/>
      <c r="DI333" s="118"/>
      <c r="DJ333" s="118"/>
      <c r="DK333" s="118"/>
      <c r="DL333" s="118"/>
      <c r="DM333" s="118"/>
      <c r="DN333" s="118"/>
      <c r="DO333" s="118"/>
      <c r="DP333" s="118"/>
      <c r="DQ333" s="118"/>
      <c r="DR333" s="118"/>
      <c r="DS333" s="118"/>
      <c r="DT333" s="118"/>
      <c r="DU333" s="19"/>
      <c r="DV333" s="19"/>
      <c r="DW333" s="19"/>
      <c r="DX333" s="19"/>
      <c r="DY333" s="19"/>
      <c r="DZ333" s="19"/>
    </row>
    <row r="334" spans="1:130" ht="12.75" x14ac:dyDescent="0.2">
      <c r="A334" s="651"/>
      <c r="B334" s="646">
        <v>46137</v>
      </c>
      <c r="C334" s="40"/>
      <c r="D334" s="40"/>
      <c r="E334" s="40"/>
      <c r="F334" s="40"/>
      <c r="G334" s="40"/>
      <c r="H334" s="653"/>
      <c r="I334" s="150">
        <f t="shared" si="232"/>
        <v>0</v>
      </c>
      <c r="J334" s="650">
        <f>SUM(I334:I337,H334)</f>
        <v>0</v>
      </c>
      <c r="K334" s="40"/>
      <c r="L334" s="40"/>
      <c r="M334" s="653"/>
      <c r="N334" s="653"/>
      <c r="O334" s="633">
        <f>SUM(M334:N337)</f>
        <v>0</v>
      </c>
      <c r="P334" s="653"/>
      <c r="Q334" s="636">
        <f>M334*60</f>
        <v>0</v>
      </c>
      <c r="R334" s="657">
        <f>IF(
   COUNTIF(K334:K337,"SI")&gt;0,
   1.8,
   IF(
      COUNTIF(L334:L337,"SI")&gt;0,
      1.6,
      2
   )
)</f>
        <v>2</v>
      </c>
      <c r="S334" s="658">
        <f>IF(Q334=0,0,J334/Q334)</f>
        <v>0</v>
      </c>
      <c r="T334" s="646">
        <v>46137</v>
      </c>
      <c r="U334" s="40"/>
      <c r="V334" s="31">
        <v>715</v>
      </c>
      <c r="W334" s="31">
        <v>10231</v>
      </c>
      <c r="X334" s="31">
        <v>10500</v>
      </c>
      <c r="Y334" s="31">
        <v>2</v>
      </c>
      <c r="Z334" s="653">
        <v>0</v>
      </c>
      <c r="AA334" s="51">
        <f t="shared" ref="AA334:AA335" si="239">X334-W334-Y334+1</f>
        <v>268</v>
      </c>
      <c r="AB334" s="650">
        <f>SUM(AA334:AA337,Z334)</f>
        <v>615</v>
      </c>
      <c r="AC334" s="31" t="s">
        <v>51</v>
      </c>
      <c r="AD334" s="31" t="s">
        <v>51</v>
      </c>
      <c r="AE334" s="653">
        <v>6</v>
      </c>
      <c r="AF334" s="653">
        <v>2.5</v>
      </c>
      <c r="AG334" s="633">
        <f>SUM(AE334:AF337)</f>
        <v>8.5</v>
      </c>
      <c r="AH334" s="653"/>
      <c r="AI334" s="636">
        <f>AE334*60</f>
        <v>360</v>
      </c>
      <c r="AJ334" s="657">
        <f>IF(
   COUNTIF(AC334:AC337,"SI")&gt;0,
   1.8,
   IF(
      COUNTIF(AD334:AD337,"SI")&gt;0,
      1.6,
      2
   )
)</f>
        <v>1.8</v>
      </c>
      <c r="AK334" s="679">
        <f>IF(AI334=0,0,AB334/AI334)</f>
        <v>1.7083333333333333</v>
      </c>
      <c r="AL334" s="646">
        <v>46137</v>
      </c>
      <c r="AM334" s="40"/>
      <c r="AN334" s="30"/>
      <c r="AO334" s="40"/>
      <c r="AP334" s="40"/>
      <c r="AQ334" s="40"/>
      <c r="AR334" s="653"/>
      <c r="AS334" s="150">
        <f t="shared" si="231"/>
        <v>0</v>
      </c>
      <c r="AT334" s="650">
        <f>SUM(AS334:AS337,AR334)</f>
        <v>0</v>
      </c>
      <c r="AU334" s="40"/>
      <c r="AV334" s="653"/>
      <c r="AW334" s="40"/>
      <c r="AX334" s="653"/>
      <c r="AY334" s="633">
        <f>SUM(AV334:AX337)</f>
        <v>0</v>
      </c>
      <c r="AZ334" s="653">
        <v>0.5</v>
      </c>
      <c r="BA334" s="636">
        <f>AV334*60</f>
        <v>0</v>
      </c>
      <c r="BB334" s="657">
        <f>IF(
   COUNTIF(AU334:AU337,"SI")&gt;0,
   1.8,
   IF(
      COUNTIF(AV334:AV337,"SI")&gt;0,
      1.6,
      2
   )
)</f>
        <v>2</v>
      </c>
      <c r="BC334" s="666">
        <f>IF(BA334=0,0,AT334/BA334)</f>
        <v>0</v>
      </c>
      <c r="BD334" s="662"/>
      <c r="BE334" s="662"/>
      <c r="BF334" s="118"/>
      <c r="BG334" s="118"/>
      <c r="BH334" s="118"/>
      <c r="BI334" s="118"/>
      <c r="BJ334" s="118"/>
      <c r="BK334" s="662"/>
      <c r="BL334" s="118"/>
      <c r="BM334" s="662"/>
      <c r="BN334" s="118"/>
      <c r="BO334" s="118"/>
      <c r="BP334" s="662"/>
      <c r="BQ334" s="662"/>
      <c r="BR334" s="662"/>
      <c r="BS334" s="662"/>
      <c r="BT334" s="118"/>
      <c r="BU334" s="662"/>
      <c r="BV334" s="662"/>
      <c r="BW334" s="118"/>
      <c r="BX334" s="118"/>
      <c r="BY334" s="118"/>
      <c r="BZ334" s="118"/>
      <c r="CA334" s="118"/>
      <c r="CB334" s="118"/>
      <c r="CC334" s="118"/>
      <c r="CD334" s="118"/>
      <c r="CE334" s="118"/>
      <c r="CF334" s="118"/>
      <c r="CG334" s="118"/>
      <c r="CH334" s="118"/>
      <c r="CI334" s="118"/>
      <c r="CJ334" s="118"/>
      <c r="CK334" s="118"/>
      <c r="CL334" s="118"/>
      <c r="CM334" s="118"/>
      <c r="CN334" s="92"/>
      <c r="CO334" s="93"/>
      <c r="CP334" s="93"/>
      <c r="CQ334" s="93"/>
      <c r="CR334" s="93"/>
      <c r="CS334" s="93"/>
      <c r="CT334" s="93"/>
      <c r="CU334" s="93"/>
      <c r="CV334" s="93"/>
      <c r="CW334" s="93"/>
      <c r="CX334" s="93"/>
      <c r="CY334" s="93"/>
      <c r="CZ334" s="93"/>
      <c r="DA334" s="93"/>
      <c r="DB334" s="93"/>
      <c r="DC334" s="94"/>
      <c r="DD334" s="118"/>
      <c r="DE334" s="118"/>
      <c r="DF334" s="118"/>
      <c r="DG334" s="118"/>
      <c r="DH334" s="118"/>
      <c r="DI334" s="118"/>
      <c r="DJ334" s="118"/>
      <c r="DK334" s="118"/>
      <c r="DL334" s="118"/>
      <c r="DM334" s="118"/>
      <c r="DN334" s="118"/>
      <c r="DO334" s="118"/>
      <c r="DP334" s="118"/>
      <c r="DQ334" s="118"/>
      <c r="DR334" s="118"/>
      <c r="DS334" s="118"/>
      <c r="DT334" s="118"/>
      <c r="DU334" s="19"/>
      <c r="DV334" s="19"/>
      <c r="DW334" s="19"/>
      <c r="DX334" s="19"/>
      <c r="DY334" s="19"/>
      <c r="DZ334" s="19"/>
    </row>
    <row r="335" spans="1:130" ht="12.75" x14ac:dyDescent="0.2">
      <c r="A335" s="647"/>
      <c r="B335" s="647"/>
      <c r="C335" s="40"/>
      <c r="D335" s="40"/>
      <c r="E335" s="40"/>
      <c r="F335" s="40"/>
      <c r="G335" s="40"/>
      <c r="H335" s="634"/>
      <c r="I335" s="150">
        <f t="shared" si="232"/>
        <v>0</v>
      </c>
      <c r="J335" s="634"/>
      <c r="K335" s="40"/>
      <c r="L335" s="40"/>
      <c r="M335" s="634"/>
      <c r="N335" s="634"/>
      <c r="O335" s="634"/>
      <c r="P335" s="634"/>
      <c r="Q335" s="634"/>
      <c r="R335" s="634"/>
      <c r="S335" s="659"/>
      <c r="T335" s="647"/>
      <c r="U335" s="40"/>
      <c r="V335" s="31">
        <v>718</v>
      </c>
      <c r="W335" s="31">
        <v>11501</v>
      </c>
      <c r="X335" s="31">
        <v>11850</v>
      </c>
      <c r="Y335" s="31">
        <v>3</v>
      </c>
      <c r="Z335" s="634"/>
      <c r="AA335" s="51">
        <f t="shared" si="239"/>
        <v>347</v>
      </c>
      <c r="AB335" s="634"/>
      <c r="AC335" s="31" t="s">
        <v>51</v>
      </c>
      <c r="AD335" s="31" t="s">
        <v>51</v>
      </c>
      <c r="AE335" s="634"/>
      <c r="AF335" s="634"/>
      <c r="AG335" s="634"/>
      <c r="AH335" s="634"/>
      <c r="AI335" s="634"/>
      <c r="AJ335" s="634"/>
      <c r="AK335" s="659"/>
      <c r="AL335" s="647"/>
      <c r="AM335" s="40"/>
      <c r="AN335" s="40"/>
      <c r="AO335" s="40"/>
      <c r="AP335" s="40"/>
      <c r="AQ335" s="40"/>
      <c r="AR335" s="634"/>
      <c r="AS335" s="150">
        <f t="shared" si="231"/>
        <v>0</v>
      </c>
      <c r="AT335" s="634"/>
      <c r="AU335" s="40"/>
      <c r="AV335" s="634"/>
      <c r="AW335" s="40"/>
      <c r="AX335" s="634"/>
      <c r="AY335" s="634"/>
      <c r="AZ335" s="634"/>
      <c r="BA335" s="634"/>
      <c r="BB335" s="634"/>
      <c r="BC335" s="634"/>
      <c r="BD335" s="662"/>
      <c r="BE335" s="662"/>
      <c r="BF335" s="118"/>
      <c r="BG335" s="118"/>
      <c r="BH335" s="118"/>
      <c r="BI335" s="118"/>
      <c r="BJ335" s="118"/>
      <c r="BK335" s="662"/>
      <c r="BL335" s="118"/>
      <c r="BM335" s="662"/>
      <c r="BN335" s="118"/>
      <c r="BO335" s="118"/>
      <c r="BP335" s="662"/>
      <c r="BQ335" s="662"/>
      <c r="BR335" s="662"/>
      <c r="BS335" s="662"/>
      <c r="BT335" s="118"/>
      <c r="BU335" s="662"/>
      <c r="BV335" s="662"/>
      <c r="BW335" s="118"/>
      <c r="BX335" s="118"/>
      <c r="BY335" s="118"/>
      <c r="BZ335" s="118"/>
      <c r="CA335" s="118"/>
      <c r="CB335" s="118"/>
      <c r="CC335" s="118"/>
      <c r="CD335" s="118"/>
      <c r="CE335" s="118"/>
      <c r="CF335" s="118"/>
      <c r="CG335" s="118"/>
      <c r="CH335" s="118"/>
      <c r="CI335" s="118"/>
      <c r="CJ335" s="118"/>
      <c r="CK335" s="118"/>
      <c r="CL335" s="118"/>
      <c r="CM335" s="118"/>
      <c r="CN335" s="92"/>
      <c r="CO335" s="93"/>
      <c r="CP335" s="93"/>
      <c r="CQ335" s="93"/>
      <c r="CR335" s="93"/>
      <c r="CS335" s="93"/>
      <c r="CT335" s="93"/>
      <c r="CU335" s="93"/>
      <c r="CV335" s="93"/>
      <c r="CW335" s="93"/>
      <c r="CX335" s="93"/>
      <c r="CY335" s="93"/>
      <c r="CZ335" s="93"/>
      <c r="DA335" s="93"/>
      <c r="DB335" s="93"/>
      <c r="DC335" s="94"/>
      <c r="DD335" s="118"/>
      <c r="DE335" s="118"/>
      <c r="DF335" s="118"/>
      <c r="DG335" s="118"/>
      <c r="DH335" s="118"/>
      <c r="DI335" s="118"/>
      <c r="DJ335" s="118"/>
      <c r="DK335" s="118"/>
      <c r="DL335" s="118"/>
      <c r="DM335" s="118"/>
      <c r="DN335" s="118"/>
      <c r="DO335" s="118"/>
      <c r="DP335" s="118"/>
      <c r="DQ335" s="118"/>
      <c r="DR335" s="118"/>
      <c r="DS335" s="118"/>
      <c r="DT335" s="118"/>
      <c r="DU335" s="19"/>
      <c r="DV335" s="19"/>
      <c r="DW335" s="19"/>
      <c r="DX335" s="19"/>
      <c r="DY335" s="19"/>
      <c r="DZ335" s="19"/>
    </row>
    <row r="336" spans="1:130" ht="12.75" x14ac:dyDescent="0.2">
      <c r="A336" s="647"/>
      <c r="B336" s="647"/>
      <c r="C336" s="40"/>
      <c r="D336" s="40"/>
      <c r="E336" s="40"/>
      <c r="F336" s="40"/>
      <c r="G336" s="40"/>
      <c r="H336" s="634"/>
      <c r="I336" s="150">
        <f t="shared" si="232"/>
        <v>0</v>
      </c>
      <c r="J336" s="634"/>
      <c r="K336" s="40"/>
      <c r="L336" s="40"/>
      <c r="M336" s="634"/>
      <c r="N336" s="634"/>
      <c r="O336" s="634"/>
      <c r="P336" s="634"/>
      <c r="Q336" s="634"/>
      <c r="R336" s="634"/>
      <c r="S336" s="659"/>
      <c r="T336" s="647"/>
      <c r="U336" s="40"/>
      <c r="V336" s="31"/>
      <c r="W336" s="31"/>
      <c r="X336" s="31"/>
      <c r="Y336" s="31"/>
      <c r="Z336" s="634"/>
      <c r="AA336" s="51">
        <f t="shared" ref="AA336:AA337" si="240">X336-W336-Y336</f>
        <v>0</v>
      </c>
      <c r="AB336" s="634"/>
      <c r="AC336" s="31"/>
      <c r="AD336" s="31"/>
      <c r="AE336" s="634"/>
      <c r="AF336" s="634"/>
      <c r="AG336" s="634"/>
      <c r="AH336" s="634"/>
      <c r="AI336" s="634"/>
      <c r="AJ336" s="634"/>
      <c r="AK336" s="659"/>
      <c r="AL336" s="647"/>
      <c r="AM336" s="40"/>
      <c r="AN336" s="40"/>
      <c r="AO336" s="40"/>
      <c r="AP336" s="40"/>
      <c r="AQ336" s="40"/>
      <c r="AR336" s="634"/>
      <c r="AS336" s="150">
        <f t="shared" si="231"/>
        <v>0</v>
      </c>
      <c r="AT336" s="634"/>
      <c r="AU336" s="40"/>
      <c r="AV336" s="634"/>
      <c r="AW336" s="40"/>
      <c r="AX336" s="634"/>
      <c r="AY336" s="634"/>
      <c r="AZ336" s="634"/>
      <c r="BA336" s="634"/>
      <c r="BB336" s="634"/>
      <c r="BC336" s="634"/>
      <c r="BD336" s="662"/>
      <c r="BE336" s="662"/>
      <c r="BF336" s="118"/>
      <c r="BG336" s="118"/>
      <c r="BH336" s="118"/>
      <c r="BI336" s="118"/>
      <c r="BJ336" s="118"/>
      <c r="BK336" s="662"/>
      <c r="BL336" s="118"/>
      <c r="BM336" s="662"/>
      <c r="BN336" s="118"/>
      <c r="BO336" s="118"/>
      <c r="BP336" s="662"/>
      <c r="BQ336" s="662"/>
      <c r="BR336" s="662"/>
      <c r="BS336" s="662"/>
      <c r="BT336" s="118"/>
      <c r="BU336" s="662"/>
      <c r="BV336" s="662"/>
      <c r="BW336" s="118"/>
      <c r="BX336" s="118"/>
      <c r="BY336" s="118"/>
      <c r="BZ336" s="118"/>
      <c r="CA336" s="118"/>
      <c r="CB336" s="118"/>
      <c r="CC336" s="118"/>
      <c r="CD336" s="118"/>
      <c r="CE336" s="118"/>
      <c r="CF336" s="118"/>
      <c r="CG336" s="118"/>
      <c r="CH336" s="118"/>
      <c r="CI336" s="118"/>
      <c r="CJ336" s="118"/>
      <c r="CK336" s="118"/>
      <c r="CL336" s="118"/>
      <c r="CM336" s="118"/>
      <c r="CN336" s="92"/>
      <c r="CO336" s="93"/>
      <c r="CP336" s="93"/>
      <c r="CQ336" s="93"/>
      <c r="CR336" s="93"/>
      <c r="CS336" s="93"/>
      <c r="CT336" s="93"/>
      <c r="CU336" s="93"/>
      <c r="CV336" s="93"/>
      <c r="CW336" s="93"/>
      <c r="CX336" s="93"/>
      <c r="CY336" s="93"/>
      <c r="CZ336" s="93"/>
      <c r="DA336" s="93"/>
      <c r="DB336" s="93"/>
      <c r="DC336" s="94"/>
      <c r="DD336" s="118"/>
      <c r="DE336" s="118"/>
      <c r="DF336" s="118"/>
      <c r="DG336" s="118"/>
      <c r="DH336" s="118"/>
      <c r="DI336" s="118"/>
      <c r="DJ336" s="118"/>
      <c r="DK336" s="118"/>
      <c r="DL336" s="118"/>
      <c r="DM336" s="118"/>
      <c r="DN336" s="118"/>
      <c r="DO336" s="118"/>
      <c r="DP336" s="118"/>
      <c r="DQ336" s="118"/>
      <c r="DR336" s="118"/>
      <c r="DS336" s="118"/>
      <c r="DT336" s="118"/>
      <c r="DU336" s="19"/>
      <c r="DV336" s="19"/>
      <c r="DW336" s="19"/>
      <c r="DX336" s="19"/>
      <c r="DY336" s="19"/>
      <c r="DZ336" s="19"/>
    </row>
    <row r="337" spans="1:130" ht="12.75" x14ac:dyDescent="0.2">
      <c r="A337" s="648"/>
      <c r="B337" s="648"/>
      <c r="C337" s="40"/>
      <c r="D337" s="40"/>
      <c r="E337" s="40"/>
      <c r="F337" s="40"/>
      <c r="G337" s="40"/>
      <c r="H337" s="635"/>
      <c r="I337" s="150">
        <f t="shared" si="232"/>
        <v>0</v>
      </c>
      <c r="J337" s="635"/>
      <c r="K337" s="40"/>
      <c r="L337" s="40"/>
      <c r="M337" s="635"/>
      <c r="N337" s="635"/>
      <c r="O337" s="635"/>
      <c r="P337" s="635"/>
      <c r="Q337" s="635"/>
      <c r="R337" s="635"/>
      <c r="S337" s="660"/>
      <c r="T337" s="648"/>
      <c r="U337" s="40"/>
      <c r="V337" s="40"/>
      <c r="W337" s="40"/>
      <c r="X337" s="40"/>
      <c r="Y337" s="40"/>
      <c r="Z337" s="635"/>
      <c r="AA337" s="51">
        <f t="shared" si="240"/>
        <v>0</v>
      </c>
      <c r="AB337" s="635"/>
      <c r="AC337" s="40"/>
      <c r="AD337" s="40"/>
      <c r="AE337" s="635"/>
      <c r="AF337" s="635"/>
      <c r="AG337" s="635"/>
      <c r="AH337" s="635"/>
      <c r="AI337" s="635"/>
      <c r="AJ337" s="635"/>
      <c r="AK337" s="660"/>
      <c r="AL337" s="648"/>
      <c r="AM337" s="40"/>
      <c r="AN337" s="40"/>
      <c r="AO337" s="40"/>
      <c r="AP337" s="40"/>
      <c r="AQ337" s="40"/>
      <c r="AR337" s="635"/>
      <c r="AS337" s="150">
        <f t="shared" si="231"/>
        <v>0</v>
      </c>
      <c r="AT337" s="635"/>
      <c r="AU337" s="40"/>
      <c r="AV337" s="635"/>
      <c r="AW337" s="40"/>
      <c r="AX337" s="635"/>
      <c r="AY337" s="635"/>
      <c r="AZ337" s="635"/>
      <c r="BA337" s="635"/>
      <c r="BB337" s="635"/>
      <c r="BC337" s="635"/>
      <c r="BD337" s="133"/>
      <c r="BE337" s="668"/>
      <c r="BF337" s="118"/>
      <c r="BG337" s="118"/>
      <c r="BH337" s="118"/>
      <c r="BI337" s="118"/>
      <c r="BJ337" s="118"/>
      <c r="BK337" s="663"/>
      <c r="BL337" s="118"/>
      <c r="BM337" s="663"/>
      <c r="BN337" s="118"/>
      <c r="BO337" s="118"/>
      <c r="BP337" s="663"/>
      <c r="BQ337" s="663"/>
      <c r="BR337" s="663"/>
      <c r="BS337" s="663"/>
      <c r="BT337" s="118"/>
      <c r="BU337" s="663"/>
      <c r="BV337" s="663"/>
      <c r="BW337" s="118"/>
      <c r="BX337" s="118"/>
      <c r="BY337" s="118"/>
      <c r="BZ337" s="118"/>
      <c r="CA337" s="118"/>
      <c r="CB337" s="118"/>
      <c r="CC337" s="118"/>
      <c r="CD337" s="118"/>
      <c r="CE337" s="118"/>
      <c r="CF337" s="118"/>
      <c r="CG337" s="118"/>
      <c r="CH337" s="118"/>
      <c r="CI337" s="118"/>
      <c r="CJ337" s="118"/>
      <c r="CK337" s="118"/>
      <c r="CL337" s="118"/>
      <c r="CM337" s="118"/>
      <c r="CN337" s="92"/>
      <c r="CO337" s="93"/>
      <c r="CP337" s="93"/>
      <c r="CQ337" s="93"/>
      <c r="CR337" s="93"/>
      <c r="CS337" s="93"/>
      <c r="CT337" s="93"/>
      <c r="CU337" s="93"/>
      <c r="CV337" s="93"/>
      <c r="CW337" s="93"/>
      <c r="CX337" s="93"/>
      <c r="CY337" s="93"/>
      <c r="CZ337" s="93"/>
      <c r="DA337" s="93"/>
      <c r="DB337" s="93"/>
      <c r="DC337" s="94"/>
      <c r="DD337" s="118"/>
      <c r="DE337" s="118"/>
      <c r="DF337" s="118"/>
      <c r="DG337" s="118"/>
      <c r="DH337" s="118"/>
      <c r="DI337" s="118"/>
      <c r="DJ337" s="118"/>
      <c r="DK337" s="118"/>
      <c r="DL337" s="118"/>
      <c r="DM337" s="118"/>
      <c r="DN337" s="118"/>
      <c r="DO337" s="118"/>
      <c r="DP337" s="118"/>
      <c r="DQ337" s="118"/>
      <c r="DR337" s="118"/>
      <c r="DS337" s="118"/>
      <c r="DT337" s="118"/>
      <c r="DU337" s="19"/>
      <c r="DV337" s="19"/>
      <c r="DW337" s="19"/>
      <c r="DX337" s="19"/>
      <c r="DY337" s="19"/>
      <c r="DZ337" s="19"/>
    </row>
    <row r="338" spans="1:130" ht="12.75" x14ac:dyDescent="0.2">
      <c r="A338" s="166"/>
      <c r="B338" s="167" t="s">
        <v>40</v>
      </c>
      <c r="C338" s="168">
        <f>SUM(C313:C337)</f>
        <v>0</v>
      </c>
      <c r="D338" s="168" t="s">
        <v>49</v>
      </c>
      <c r="E338" s="168" t="s">
        <v>49</v>
      </c>
      <c r="F338" s="168" t="s">
        <v>49</v>
      </c>
      <c r="G338" s="168">
        <f t="shared" ref="G338:J338" si="241">SUM(G313:G337)</f>
        <v>0</v>
      </c>
      <c r="H338" s="168">
        <f t="shared" si="241"/>
        <v>0</v>
      </c>
      <c r="I338" s="177">
        <f t="shared" si="241"/>
        <v>374</v>
      </c>
      <c r="J338" s="168">
        <f t="shared" si="241"/>
        <v>374</v>
      </c>
      <c r="K338" s="168" t="s">
        <v>49</v>
      </c>
      <c r="L338" s="168"/>
      <c r="M338" s="168">
        <f>SUM(M313:M337)</f>
        <v>3</v>
      </c>
      <c r="N338" s="168">
        <f>SUM(N313:N333)</f>
        <v>2</v>
      </c>
      <c r="O338" s="169">
        <f t="shared" ref="O338:Q338" si="242">SUM(O313:O337)</f>
        <v>5</v>
      </c>
      <c r="P338" s="168">
        <f t="shared" si="242"/>
        <v>0</v>
      </c>
      <c r="Q338" s="168">
        <f t="shared" si="242"/>
        <v>180</v>
      </c>
      <c r="R338" s="170"/>
      <c r="S338" s="171">
        <f>AVERAGE(S322:S333)</f>
        <v>0</v>
      </c>
      <c r="T338" s="167" t="s">
        <v>40</v>
      </c>
      <c r="U338" s="168">
        <f>SUM(U313:U337)</f>
        <v>0</v>
      </c>
      <c r="V338" s="168" t="s">
        <v>49</v>
      </c>
      <c r="W338" s="168" t="s">
        <v>49</v>
      </c>
      <c r="X338" s="168" t="s">
        <v>49</v>
      </c>
      <c r="Y338" s="168">
        <f t="shared" ref="Y338:AB338" si="243">SUM(Y313:Y337)</f>
        <v>8</v>
      </c>
      <c r="Z338" s="168">
        <f t="shared" si="243"/>
        <v>22</v>
      </c>
      <c r="AA338" s="177">
        <f t="shared" si="243"/>
        <v>2363</v>
      </c>
      <c r="AB338" s="168">
        <f t="shared" si="243"/>
        <v>2385</v>
      </c>
      <c r="AC338" s="168" t="s">
        <v>49</v>
      </c>
      <c r="AD338" s="168" t="s">
        <v>49</v>
      </c>
      <c r="AE338" s="168">
        <f t="shared" ref="AE338:AI338" si="244">SUM(AE313:AE337)</f>
        <v>20.25</v>
      </c>
      <c r="AF338" s="168">
        <f t="shared" si="244"/>
        <v>4.75</v>
      </c>
      <c r="AG338" s="169">
        <f t="shared" si="244"/>
        <v>25</v>
      </c>
      <c r="AH338" s="168">
        <f t="shared" si="244"/>
        <v>2.5</v>
      </c>
      <c r="AI338" s="168">
        <f t="shared" si="244"/>
        <v>1215</v>
      </c>
      <c r="AJ338" s="463"/>
      <c r="AK338" s="171">
        <f t="shared" ref="AK338:AK339" si="245">IF(AI338=0,0,AB338/AI338)</f>
        <v>1.962962962962963</v>
      </c>
      <c r="AL338" s="167" t="s">
        <v>40</v>
      </c>
      <c r="AM338" s="168">
        <f>SUM(AM313:AM337)</f>
        <v>774</v>
      </c>
      <c r="AN338" s="168" t="s">
        <v>49</v>
      </c>
      <c r="AO338" s="168" t="s">
        <v>49</v>
      </c>
      <c r="AP338" s="168" t="s">
        <v>49</v>
      </c>
      <c r="AQ338" s="168">
        <f t="shared" ref="AQ338:AT338" si="246">SUM(AQ313:AQ337)</f>
        <v>16</v>
      </c>
      <c r="AR338" s="168">
        <f t="shared" si="246"/>
        <v>73</v>
      </c>
      <c r="AS338" s="177">
        <f t="shared" si="246"/>
        <v>3170</v>
      </c>
      <c r="AT338" s="168">
        <f t="shared" si="246"/>
        <v>3243</v>
      </c>
      <c r="AU338" s="168" t="s">
        <v>49</v>
      </c>
      <c r="AV338" s="168">
        <f>SUM(AV313:AV337)</f>
        <v>21.9</v>
      </c>
      <c r="AW338" s="168"/>
      <c r="AX338" s="172">
        <f t="shared" ref="AX338:BA338" si="247">SUM(AX313:AX337)</f>
        <v>7.1</v>
      </c>
      <c r="AY338" s="173">
        <f t="shared" si="247"/>
        <v>29</v>
      </c>
      <c r="AZ338" s="172">
        <f t="shared" si="247"/>
        <v>2.5</v>
      </c>
      <c r="BA338" s="168">
        <f t="shared" si="247"/>
        <v>1314</v>
      </c>
      <c r="BB338" s="170"/>
      <c r="BC338" s="174">
        <f t="shared" ref="BC338:BC339" si="248">IF(BA338=0,0,AT338/BA338)</f>
        <v>2.4680365296803655</v>
      </c>
      <c r="BD338" s="663"/>
      <c r="BE338" s="662"/>
      <c r="BF338" s="118"/>
      <c r="BG338" s="118"/>
      <c r="BH338" s="118"/>
      <c r="BI338" s="118"/>
      <c r="BJ338" s="118"/>
      <c r="BK338" s="662"/>
      <c r="BL338" s="118"/>
      <c r="BM338" s="662"/>
      <c r="BN338" s="118"/>
      <c r="BO338" s="118"/>
      <c r="BP338" s="662"/>
      <c r="BQ338" s="662"/>
      <c r="BR338" s="662"/>
      <c r="BS338" s="662"/>
      <c r="BT338" s="118"/>
      <c r="BU338" s="662"/>
      <c r="BV338" s="662"/>
      <c r="BW338" s="118"/>
      <c r="BX338" s="118"/>
      <c r="BY338" s="118"/>
      <c r="BZ338" s="118"/>
      <c r="CA338" s="118"/>
      <c r="CB338" s="118"/>
      <c r="CC338" s="118"/>
      <c r="CD338" s="118"/>
      <c r="CE338" s="118"/>
      <c r="CF338" s="118"/>
      <c r="CG338" s="118"/>
      <c r="CH338" s="118"/>
      <c r="CI338" s="118"/>
      <c r="CJ338" s="118"/>
      <c r="CK338" s="118"/>
      <c r="CL338" s="118"/>
      <c r="CM338" s="118"/>
      <c r="CN338" s="92"/>
      <c r="CO338" s="93"/>
      <c r="CP338" s="93"/>
      <c r="CQ338" s="93"/>
      <c r="CR338" s="93"/>
      <c r="CS338" s="93"/>
      <c r="CT338" s="93"/>
      <c r="CU338" s="93"/>
      <c r="CV338" s="93"/>
      <c r="CW338" s="93"/>
      <c r="CX338" s="93"/>
      <c r="CY338" s="93"/>
      <c r="CZ338" s="93"/>
      <c r="DA338" s="93"/>
      <c r="DB338" s="93"/>
      <c r="DC338" s="94"/>
      <c r="DD338" s="118"/>
      <c r="DE338" s="118"/>
      <c r="DF338" s="118"/>
      <c r="DG338" s="118"/>
      <c r="DH338" s="118"/>
      <c r="DI338" s="118"/>
      <c r="DJ338" s="118"/>
      <c r="DK338" s="118"/>
      <c r="DL338" s="118"/>
      <c r="DM338" s="118"/>
      <c r="DN338" s="118"/>
      <c r="DO338" s="118"/>
      <c r="DP338" s="118"/>
      <c r="DQ338" s="118"/>
      <c r="DR338" s="118"/>
      <c r="DS338" s="118"/>
      <c r="DT338" s="118"/>
      <c r="DU338" s="19"/>
      <c r="DV338" s="19"/>
      <c r="DW338" s="19"/>
      <c r="DX338" s="19"/>
      <c r="DY338" s="19"/>
      <c r="DZ338" s="19"/>
    </row>
    <row r="339" spans="1:130" ht="12.75" x14ac:dyDescent="0.2">
      <c r="A339" s="673"/>
      <c r="B339" s="674">
        <v>46139</v>
      </c>
      <c r="C339" s="175"/>
      <c r="D339" s="26"/>
      <c r="E339" s="26"/>
      <c r="F339" s="26"/>
      <c r="G339" s="137"/>
      <c r="H339" s="675"/>
      <c r="I339" s="62">
        <f t="shared" ref="I339:I363" si="249">IF(E339=0,0,F339-E339+1-G339)</f>
        <v>0</v>
      </c>
      <c r="J339" s="676">
        <f>SUM(I339:I343,H339)</f>
        <v>0</v>
      </c>
      <c r="K339" s="175"/>
      <c r="L339" s="175"/>
      <c r="M339" s="675"/>
      <c r="N339" s="675"/>
      <c r="O339" s="677">
        <f>SUM(M339:N343)</f>
        <v>0</v>
      </c>
      <c r="P339" s="675"/>
      <c r="Q339" s="657">
        <f>M339*60</f>
        <v>0</v>
      </c>
      <c r="R339" s="657">
        <f>IF(
   COUNTIF(K339:K343,"SI")&gt;0,
   1.8,
   IF(
      COUNTIF(L339:L343,"SI")&gt;0,
      1.6,
      2
   )
)</f>
        <v>2</v>
      </c>
      <c r="S339" s="678">
        <f>IF(Q339=0,0,J339/Q339)</f>
        <v>0</v>
      </c>
      <c r="T339" s="674">
        <v>46139</v>
      </c>
      <c r="U339" s="175"/>
      <c r="V339" s="26"/>
      <c r="W339" s="175"/>
      <c r="X339" s="175"/>
      <c r="Y339" s="175"/>
      <c r="Z339" s="680"/>
      <c r="AA339" s="151">
        <f t="shared" ref="AA339:AA363" si="250">IF(X339=0,0,X339-W339+1-Y339)</f>
        <v>0</v>
      </c>
      <c r="AB339" s="669">
        <f>SUM(AA339:AA343,Z339)</f>
        <v>0</v>
      </c>
      <c r="AC339" s="175"/>
      <c r="AD339" s="175"/>
      <c r="AE339" s="675">
        <v>0</v>
      </c>
      <c r="AF339" s="675">
        <v>2.25</v>
      </c>
      <c r="AG339" s="677">
        <f>SUM(AE339:AF343)</f>
        <v>2.25</v>
      </c>
      <c r="AH339" s="675">
        <v>0</v>
      </c>
      <c r="AI339" s="681">
        <f>AE339*60</f>
        <v>0</v>
      </c>
      <c r="AJ339" s="657">
        <f>IF(
   COUNTIF(AC339:AC343,"SI")&gt;0,
   1.8,
   IF(
      COUNTIF(AD339:AD343,"SI")&gt;0,
      1.6,
      2
   )
)</f>
        <v>2</v>
      </c>
      <c r="AK339" s="682">
        <f t="shared" si="245"/>
        <v>0</v>
      </c>
      <c r="AL339" s="674">
        <v>46139</v>
      </c>
      <c r="AM339" s="24">
        <v>90</v>
      </c>
      <c r="AN339" s="31">
        <v>717</v>
      </c>
      <c r="AO339" s="31">
        <v>11104</v>
      </c>
      <c r="AP339" s="24">
        <v>11503</v>
      </c>
      <c r="AQ339" s="26">
        <v>4</v>
      </c>
      <c r="AR339" s="681"/>
      <c r="AS339" s="62">
        <f t="shared" ref="AS339:AS363" si="251">IF(AO339=0,0,AP339-AO339+1-AQ339)</f>
        <v>396</v>
      </c>
      <c r="AT339" s="683">
        <f>SUM(AS339:AS343)+AR339</f>
        <v>1205</v>
      </c>
      <c r="AU339" s="29" t="s">
        <v>51</v>
      </c>
      <c r="AV339" s="640">
        <v>8</v>
      </c>
      <c r="AW339" s="29" t="s">
        <v>51</v>
      </c>
      <c r="AX339" s="657">
        <v>0.5</v>
      </c>
      <c r="AY339" s="633">
        <f>SUM(AV339,AX339)</f>
        <v>8.5</v>
      </c>
      <c r="AZ339" s="657">
        <v>0.2</v>
      </c>
      <c r="BA339" s="657">
        <f>AV339*60</f>
        <v>480</v>
      </c>
      <c r="BB339" s="657">
        <f>IF(
   COUNTIF(AU339:AU343,"SI")&gt;0,
   1.8,
   IF(
      COUNTIF(AV339:AV343,"SI")&gt;0,
      1.6,
      2
   )
)</f>
        <v>1.8</v>
      </c>
      <c r="BC339" s="672">
        <f t="shared" si="248"/>
        <v>2.5104166666666665</v>
      </c>
      <c r="BD339" s="662"/>
      <c r="BE339" s="662"/>
      <c r="BF339" s="118"/>
      <c r="BG339" s="118"/>
      <c r="BH339" s="118"/>
      <c r="BI339" s="118"/>
      <c r="BJ339" s="118"/>
      <c r="BK339" s="662"/>
      <c r="BL339" s="118"/>
      <c r="BM339" s="662"/>
      <c r="BN339" s="118"/>
      <c r="BO339" s="118"/>
      <c r="BP339" s="662"/>
      <c r="BQ339" s="662"/>
      <c r="BR339" s="662"/>
      <c r="BS339" s="662"/>
      <c r="BT339" s="118"/>
      <c r="BU339" s="662"/>
      <c r="BV339" s="662"/>
      <c r="BW339" s="118"/>
      <c r="BX339" s="118"/>
      <c r="BY339" s="118"/>
      <c r="BZ339" s="118"/>
      <c r="CA339" s="118"/>
      <c r="CB339" s="118"/>
      <c r="CC339" s="118"/>
      <c r="CD339" s="118"/>
      <c r="CE339" s="118"/>
      <c r="CF339" s="118"/>
      <c r="CG339" s="118"/>
      <c r="CH339" s="118"/>
      <c r="CI339" s="118"/>
      <c r="CJ339" s="118"/>
      <c r="CK339" s="118"/>
      <c r="CL339" s="118"/>
      <c r="CM339" s="118"/>
      <c r="CN339" s="92"/>
      <c r="CO339" s="93"/>
      <c r="CP339" s="93"/>
      <c r="CQ339" s="93"/>
      <c r="CR339" s="93"/>
      <c r="CS339" s="93"/>
      <c r="CT339" s="93"/>
      <c r="CU339" s="93"/>
      <c r="CV339" s="93"/>
      <c r="CW339" s="93"/>
      <c r="CX339" s="93"/>
      <c r="CY339" s="93"/>
      <c r="CZ339" s="93"/>
      <c r="DA339" s="93"/>
      <c r="DB339" s="93"/>
      <c r="DC339" s="94"/>
      <c r="DD339" s="118"/>
      <c r="DE339" s="118"/>
      <c r="DF339" s="118"/>
      <c r="DG339" s="118"/>
      <c r="DH339" s="118"/>
      <c r="DI339" s="118"/>
      <c r="DJ339" s="118"/>
      <c r="DK339" s="118"/>
      <c r="DL339" s="118"/>
      <c r="DM339" s="118"/>
      <c r="DN339" s="118"/>
      <c r="DO339" s="118"/>
      <c r="DP339" s="118"/>
      <c r="DQ339" s="118"/>
      <c r="DR339" s="118"/>
      <c r="DS339" s="118"/>
      <c r="DT339" s="118"/>
      <c r="DU339" s="19"/>
      <c r="DV339" s="19"/>
      <c r="DW339" s="19"/>
      <c r="DX339" s="19"/>
      <c r="DY339" s="19"/>
      <c r="DZ339" s="19"/>
    </row>
    <row r="340" spans="1:130" ht="12.75" x14ac:dyDescent="0.2">
      <c r="A340" s="647"/>
      <c r="B340" s="647"/>
      <c r="C340" s="30"/>
      <c r="D340" s="158"/>
      <c r="E340" s="158"/>
      <c r="F340" s="158"/>
      <c r="G340" s="158"/>
      <c r="H340" s="634"/>
      <c r="I340" s="159">
        <f t="shared" si="249"/>
        <v>0</v>
      </c>
      <c r="J340" s="634"/>
      <c r="K340" s="30"/>
      <c r="L340" s="142"/>
      <c r="M340" s="634"/>
      <c r="N340" s="634"/>
      <c r="O340" s="634"/>
      <c r="P340" s="634"/>
      <c r="Q340" s="634"/>
      <c r="R340" s="634"/>
      <c r="S340" s="659"/>
      <c r="T340" s="647"/>
      <c r="U340" s="30"/>
      <c r="V340" s="30"/>
      <c r="W340" s="30"/>
      <c r="X340" s="30"/>
      <c r="Y340" s="30"/>
      <c r="Z340" s="638"/>
      <c r="AA340" s="51">
        <f t="shared" si="250"/>
        <v>0</v>
      </c>
      <c r="AB340" s="670"/>
      <c r="AC340" s="30"/>
      <c r="AD340" s="142"/>
      <c r="AE340" s="634"/>
      <c r="AF340" s="634"/>
      <c r="AG340" s="634"/>
      <c r="AH340" s="634"/>
      <c r="AI340" s="638"/>
      <c r="AJ340" s="634"/>
      <c r="AK340" s="642"/>
      <c r="AL340" s="647"/>
      <c r="AM340" s="28">
        <v>118</v>
      </c>
      <c r="AN340" s="28">
        <v>719</v>
      </c>
      <c r="AO340" s="28">
        <v>12005</v>
      </c>
      <c r="AP340" s="28">
        <v>12502</v>
      </c>
      <c r="AQ340" s="29">
        <v>4</v>
      </c>
      <c r="AR340" s="638"/>
      <c r="AS340" s="159">
        <f t="shared" si="251"/>
        <v>494</v>
      </c>
      <c r="AT340" s="670"/>
      <c r="AU340" s="29" t="s">
        <v>51</v>
      </c>
      <c r="AV340" s="634"/>
      <c r="AW340" s="29" t="s">
        <v>51</v>
      </c>
      <c r="AX340" s="634"/>
      <c r="AY340" s="634"/>
      <c r="AZ340" s="634"/>
      <c r="BA340" s="634"/>
      <c r="BB340" s="634"/>
      <c r="BC340" s="634"/>
      <c r="BD340" s="118"/>
      <c r="BE340" s="662"/>
      <c r="BF340" s="118"/>
      <c r="BG340" s="118"/>
      <c r="BH340" s="118"/>
      <c r="BI340" s="118"/>
      <c r="BJ340" s="118"/>
      <c r="BK340" s="662"/>
      <c r="BL340" s="118"/>
      <c r="BM340" s="662"/>
      <c r="BN340" s="118"/>
      <c r="BO340" s="118"/>
      <c r="BP340" s="662"/>
      <c r="BQ340" s="662"/>
      <c r="BR340" s="662"/>
      <c r="BS340" s="662"/>
      <c r="BT340" s="118"/>
      <c r="BU340" s="662"/>
      <c r="BV340" s="662"/>
      <c r="BW340" s="118"/>
      <c r="BX340" s="118"/>
      <c r="BY340" s="118"/>
      <c r="BZ340" s="118"/>
      <c r="CA340" s="118"/>
      <c r="CB340" s="118"/>
      <c r="CC340" s="118"/>
      <c r="CD340" s="118"/>
      <c r="CE340" s="118"/>
      <c r="CF340" s="118"/>
      <c r="CG340" s="118"/>
      <c r="CH340" s="118"/>
      <c r="CI340" s="118"/>
      <c r="CJ340" s="118"/>
      <c r="CK340" s="118"/>
      <c r="CL340" s="118"/>
      <c r="CM340" s="118"/>
      <c r="CN340" s="92"/>
      <c r="CO340" s="93"/>
      <c r="CP340" s="93"/>
      <c r="CQ340" s="93"/>
      <c r="CR340" s="93"/>
      <c r="CS340" s="93"/>
      <c r="CT340" s="93"/>
      <c r="CU340" s="93"/>
      <c r="CV340" s="93"/>
      <c r="CW340" s="93"/>
      <c r="CX340" s="93"/>
      <c r="CY340" s="93"/>
      <c r="CZ340" s="93"/>
      <c r="DA340" s="93"/>
      <c r="DB340" s="93"/>
      <c r="DC340" s="94"/>
      <c r="DD340" s="118"/>
      <c r="DE340" s="118"/>
      <c r="DF340" s="118"/>
      <c r="DG340" s="118"/>
      <c r="DH340" s="118"/>
      <c r="DI340" s="118"/>
      <c r="DJ340" s="118"/>
      <c r="DK340" s="118"/>
      <c r="DL340" s="118"/>
      <c r="DM340" s="118"/>
      <c r="DN340" s="118"/>
      <c r="DO340" s="118"/>
      <c r="DP340" s="118"/>
      <c r="DQ340" s="118"/>
      <c r="DR340" s="118"/>
      <c r="DS340" s="118"/>
      <c r="DT340" s="118"/>
      <c r="DU340" s="19"/>
      <c r="DV340" s="19"/>
      <c r="DW340" s="19"/>
      <c r="DX340" s="19"/>
      <c r="DY340" s="19"/>
      <c r="DZ340" s="19"/>
    </row>
    <row r="341" spans="1:130" ht="12.75" x14ac:dyDescent="0.2">
      <c r="A341" s="647"/>
      <c r="B341" s="647"/>
      <c r="C341" s="30"/>
      <c r="D341" s="158"/>
      <c r="E341" s="158"/>
      <c r="F341" s="158"/>
      <c r="G341" s="158"/>
      <c r="H341" s="634"/>
      <c r="I341" s="159">
        <f t="shared" si="249"/>
        <v>0</v>
      </c>
      <c r="J341" s="634"/>
      <c r="K341" s="158"/>
      <c r="L341" s="161"/>
      <c r="M341" s="634"/>
      <c r="N341" s="634"/>
      <c r="O341" s="634"/>
      <c r="P341" s="634"/>
      <c r="Q341" s="634"/>
      <c r="R341" s="634"/>
      <c r="S341" s="659"/>
      <c r="T341" s="647"/>
      <c r="U341" s="30"/>
      <c r="V341" s="158"/>
      <c r="W341" s="30"/>
      <c r="X341" s="30"/>
      <c r="Y341" s="30"/>
      <c r="Z341" s="638"/>
      <c r="AA341" s="51">
        <f t="shared" si="250"/>
        <v>0</v>
      </c>
      <c r="AB341" s="670"/>
      <c r="AC341" s="158"/>
      <c r="AD341" s="161"/>
      <c r="AE341" s="634"/>
      <c r="AF341" s="634"/>
      <c r="AG341" s="634"/>
      <c r="AH341" s="634"/>
      <c r="AI341" s="638"/>
      <c r="AJ341" s="634"/>
      <c r="AK341" s="642"/>
      <c r="AL341" s="647"/>
      <c r="AM341" s="28">
        <v>101</v>
      </c>
      <c r="AN341" s="28">
        <v>720</v>
      </c>
      <c r="AO341" s="28">
        <v>12503</v>
      </c>
      <c r="AP341" s="28">
        <v>12820</v>
      </c>
      <c r="AQ341" s="28">
        <v>3</v>
      </c>
      <c r="AR341" s="638"/>
      <c r="AS341" s="159">
        <f t="shared" si="251"/>
        <v>315</v>
      </c>
      <c r="AT341" s="670"/>
      <c r="AU341" s="29" t="s">
        <v>51</v>
      </c>
      <c r="AV341" s="634"/>
      <c r="AW341" s="29" t="s">
        <v>51</v>
      </c>
      <c r="AX341" s="634"/>
      <c r="AY341" s="634"/>
      <c r="AZ341" s="634"/>
      <c r="BA341" s="634"/>
      <c r="BB341" s="634"/>
      <c r="BC341" s="634"/>
      <c r="BD341" s="663"/>
      <c r="BE341" s="668"/>
      <c r="BF341" s="118"/>
      <c r="BG341" s="118"/>
      <c r="BH341" s="118"/>
      <c r="BI341" s="118"/>
      <c r="BJ341" s="118"/>
      <c r="BK341" s="663"/>
      <c r="BL341" s="118"/>
      <c r="BM341" s="663"/>
      <c r="BN341" s="118"/>
      <c r="BO341" s="118"/>
      <c r="BP341" s="663"/>
      <c r="BQ341" s="663"/>
      <c r="BR341" s="663"/>
      <c r="BS341" s="663"/>
      <c r="BT341" s="118"/>
      <c r="BU341" s="663"/>
      <c r="BV341" s="663"/>
      <c r="BW341" s="118"/>
      <c r="BX341" s="118"/>
      <c r="BY341" s="118"/>
      <c r="BZ341" s="118"/>
      <c r="CA341" s="118"/>
      <c r="CB341" s="118"/>
      <c r="CC341" s="118"/>
      <c r="CD341" s="118"/>
      <c r="CE341" s="118"/>
      <c r="CF341" s="118"/>
      <c r="CG341" s="118"/>
      <c r="CH341" s="118"/>
      <c r="CI341" s="118"/>
      <c r="CJ341" s="118"/>
      <c r="CK341" s="118"/>
      <c r="CL341" s="118"/>
      <c r="CM341" s="118"/>
      <c r="CN341" s="92"/>
      <c r="CO341" s="93"/>
      <c r="CP341" s="93"/>
      <c r="CQ341" s="93"/>
      <c r="CR341" s="93"/>
      <c r="CS341" s="93"/>
      <c r="CT341" s="93"/>
      <c r="CU341" s="93"/>
      <c r="CV341" s="93"/>
      <c r="CW341" s="93"/>
      <c r="CX341" s="93"/>
      <c r="CY341" s="93"/>
      <c r="CZ341" s="93"/>
      <c r="DA341" s="93"/>
      <c r="DB341" s="93"/>
      <c r="DC341" s="94"/>
      <c r="DD341" s="118"/>
      <c r="DE341" s="118"/>
      <c r="DF341" s="118"/>
      <c r="DG341" s="118"/>
      <c r="DH341" s="118"/>
      <c r="DI341" s="118"/>
      <c r="DJ341" s="118"/>
      <c r="DK341" s="118"/>
      <c r="DL341" s="118"/>
      <c r="DM341" s="118"/>
      <c r="DN341" s="118"/>
      <c r="DO341" s="118"/>
      <c r="DP341" s="118"/>
      <c r="DQ341" s="118"/>
      <c r="DR341" s="118"/>
      <c r="DS341" s="118"/>
      <c r="DT341" s="118"/>
      <c r="DU341" s="19"/>
      <c r="DV341" s="19"/>
      <c r="DW341" s="19"/>
      <c r="DX341" s="19"/>
      <c r="DY341" s="19"/>
      <c r="DZ341" s="19"/>
    </row>
    <row r="342" spans="1:130" ht="12.75" x14ac:dyDescent="0.2">
      <c r="A342" s="647"/>
      <c r="B342" s="647"/>
      <c r="C342" s="30"/>
      <c r="D342" s="30"/>
      <c r="E342" s="30"/>
      <c r="F342" s="30"/>
      <c r="G342" s="30"/>
      <c r="H342" s="634"/>
      <c r="I342" s="159">
        <f t="shared" si="249"/>
        <v>0</v>
      </c>
      <c r="J342" s="634"/>
      <c r="K342" s="30"/>
      <c r="L342" s="142"/>
      <c r="M342" s="634"/>
      <c r="N342" s="634"/>
      <c r="O342" s="634"/>
      <c r="P342" s="634"/>
      <c r="Q342" s="634"/>
      <c r="R342" s="634"/>
      <c r="S342" s="659"/>
      <c r="T342" s="647"/>
      <c r="U342" s="30"/>
      <c r="V342" s="30"/>
      <c r="W342" s="30"/>
      <c r="X342" s="30"/>
      <c r="Y342" s="30"/>
      <c r="Z342" s="638"/>
      <c r="AA342" s="51">
        <f t="shared" si="250"/>
        <v>0</v>
      </c>
      <c r="AB342" s="670"/>
      <c r="AC342" s="30"/>
      <c r="AD342" s="142"/>
      <c r="AE342" s="634"/>
      <c r="AF342" s="634"/>
      <c r="AG342" s="634"/>
      <c r="AH342" s="634"/>
      <c r="AI342" s="638"/>
      <c r="AJ342" s="634"/>
      <c r="AK342" s="642"/>
      <c r="AL342" s="647"/>
      <c r="AM342" s="29"/>
      <c r="AN342" s="29"/>
      <c r="AO342" s="29"/>
      <c r="AP342" s="29"/>
      <c r="AQ342" s="30"/>
      <c r="AR342" s="638"/>
      <c r="AS342" s="159">
        <f t="shared" si="251"/>
        <v>0</v>
      </c>
      <c r="AT342" s="671"/>
      <c r="AU342" s="30"/>
      <c r="AV342" s="635"/>
      <c r="AW342" s="142"/>
      <c r="AX342" s="634"/>
      <c r="AY342" s="634"/>
      <c r="AZ342" s="634"/>
      <c r="BA342" s="634"/>
      <c r="BB342" s="634"/>
      <c r="BC342" s="634"/>
      <c r="BD342" s="662"/>
      <c r="BE342" s="662"/>
      <c r="BF342" s="118"/>
      <c r="BG342" s="118"/>
      <c r="BH342" s="118"/>
      <c r="BI342" s="118"/>
      <c r="BJ342" s="118"/>
      <c r="BK342" s="662"/>
      <c r="BL342" s="118"/>
      <c r="BM342" s="662"/>
      <c r="BN342" s="118"/>
      <c r="BO342" s="118"/>
      <c r="BP342" s="662"/>
      <c r="BQ342" s="662"/>
      <c r="BR342" s="662"/>
      <c r="BS342" s="662"/>
      <c r="BT342" s="118"/>
      <c r="BU342" s="662"/>
      <c r="BV342" s="662"/>
      <c r="BW342" s="118"/>
      <c r="BX342" s="118"/>
      <c r="BY342" s="118"/>
      <c r="BZ342" s="118"/>
      <c r="CA342" s="118"/>
      <c r="CB342" s="118"/>
      <c r="CC342" s="118"/>
      <c r="CD342" s="118"/>
      <c r="CE342" s="118"/>
      <c r="CF342" s="118"/>
      <c r="CG342" s="118"/>
      <c r="CH342" s="118"/>
      <c r="CI342" s="118"/>
      <c r="CJ342" s="118"/>
      <c r="CK342" s="118"/>
      <c r="CL342" s="118"/>
      <c r="CM342" s="118"/>
      <c r="CN342" s="92"/>
      <c r="CO342" s="93"/>
      <c r="CP342" s="93"/>
      <c r="CQ342" s="93"/>
      <c r="CR342" s="93"/>
      <c r="CS342" s="93"/>
      <c r="CT342" s="93"/>
      <c r="CU342" s="93"/>
      <c r="CV342" s="93"/>
      <c r="CW342" s="93"/>
      <c r="CX342" s="93"/>
      <c r="CY342" s="93"/>
      <c r="CZ342" s="93"/>
      <c r="DA342" s="93"/>
      <c r="DB342" s="93"/>
      <c r="DC342" s="94"/>
      <c r="DD342" s="118"/>
      <c r="DE342" s="118"/>
      <c r="DF342" s="118"/>
      <c r="DG342" s="118"/>
      <c r="DH342" s="118"/>
      <c r="DI342" s="118"/>
      <c r="DJ342" s="118"/>
      <c r="DK342" s="118"/>
      <c r="DL342" s="118"/>
      <c r="DM342" s="118"/>
      <c r="DN342" s="118"/>
      <c r="DO342" s="118"/>
      <c r="DP342" s="118"/>
      <c r="DQ342" s="118"/>
      <c r="DR342" s="118"/>
      <c r="DS342" s="118"/>
      <c r="DT342" s="118"/>
      <c r="DU342" s="19"/>
      <c r="DV342" s="19"/>
      <c r="DW342" s="19"/>
      <c r="DX342" s="19"/>
      <c r="DY342" s="19"/>
      <c r="DZ342" s="19"/>
    </row>
    <row r="343" spans="1:130" ht="12.75" x14ac:dyDescent="0.2">
      <c r="A343" s="648"/>
      <c r="B343" s="648"/>
      <c r="C343" s="30"/>
      <c r="D343" s="30"/>
      <c r="E343" s="30"/>
      <c r="F343" s="30"/>
      <c r="G343" s="30"/>
      <c r="H343" s="635"/>
      <c r="I343" s="159">
        <f t="shared" si="249"/>
        <v>0</v>
      </c>
      <c r="J343" s="635"/>
      <c r="K343" s="30"/>
      <c r="L343" s="142"/>
      <c r="M343" s="635"/>
      <c r="N343" s="635"/>
      <c r="O343" s="635"/>
      <c r="P343" s="635"/>
      <c r="Q343" s="635"/>
      <c r="R343" s="635"/>
      <c r="S343" s="660"/>
      <c r="T343" s="648"/>
      <c r="U343" s="30"/>
      <c r="V343" s="30"/>
      <c r="W343" s="30"/>
      <c r="X343" s="30"/>
      <c r="Y343" s="30"/>
      <c r="Z343" s="639"/>
      <c r="AA343" s="51">
        <f t="shared" si="250"/>
        <v>0</v>
      </c>
      <c r="AB343" s="671"/>
      <c r="AC343" s="30"/>
      <c r="AD343" s="142"/>
      <c r="AE343" s="635"/>
      <c r="AF343" s="635"/>
      <c r="AG343" s="635"/>
      <c r="AH343" s="635"/>
      <c r="AI343" s="639"/>
      <c r="AJ343" s="635"/>
      <c r="AK343" s="643"/>
      <c r="AL343" s="648"/>
      <c r="AM343" s="30"/>
      <c r="AN343" s="30"/>
      <c r="AO343" s="30"/>
      <c r="AP343" s="30"/>
      <c r="AQ343" s="30"/>
      <c r="AR343" s="639"/>
      <c r="AS343" s="159">
        <f t="shared" si="251"/>
        <v>0</v>
      </c>
      <c r="AT343" s="146">
        <f>AS343</f>
        <v>0</v>
      </c>
      <c r="AU343" s="30"/>
      <c r="AV343" s="142"/>
      <c r="AW343" s="142"/>
      <c r="AX343" s="635"/>
      <c r="AY343" s="635"/>
      <c r="AZ343" s="635"/>
      <c r="BA343" s="147">
        <f t="shared" ref="BA343:BA344" si="252">AV343*60</f>
        <v>0</v>
      </c>
      <c r="BB343" s="635"/>
      <c r="BC343" s="148">
        <f t="shared" ref="BC343:BC344" si="253">IF(BA343=0,0,AT343/BA343)</f>
        <v>0</v>
      </c>
      <c r="BD343" s="662"/>
      <c r="BE343" s="662"/>
      <c r="BF343" s="118"/>
      <c r="BG343" s="118"/>
      <c r="BH343" s="118"/>
      <c r="BI343" s="118"/>
      <c r="BJ343" s="118"/>
      <c r="BK343" s="662"/>
      <c r="BL343" s="118"/>
      <c r="BM343" s="662"/>
      <c r="BN343" s="118"/>
      <c r="BO343" s="118"/>
      <c r="BP343" s="662"/>
      <c r="BQ343" s="662"/>
      <c r="BR343" s="662"/>
      <c r="BS343" s="662"/>
      <c r="BT343" s="118"/>
      <c r="BU343" s="662"/>
      <c r="BV343" s="662"/>
      <c r="BW343" s="118"/>
      <c r="BX343" s="118"/>
      <c r="BY343" s="118"/>
      <c r="BZ343" s="118"/>
      <c r="CA343" s="118"/>
      <c r="CB343" s="118"/>
      <c r="CC343" s="118"/>
      <c r="CD343" s="118"/>
      <c r="CE343" s="118"/>
      <c r="CF343" s="118"/>
      <c r="CG343" s="118"/>
      <c r="CH343" s="118"/>
      <c r="CI343" s="118"/>
      <c r="CJ343" s="118"/>
      <c r="CK343" s="118"/>
      <c r="CL343" s="118"/>
      <c r="CM343" s="118"/>
      <c r="CN343" s="92"/>
      <c r="CO343" s="93"/>
      <c r="CP343" s="93"/>
      <c r="CQ343" s="93"/>
      <c r="CR343" s="93"/>
      <c r="CS343" s="93"/>
      <c r="CT343" s="93"/>
      <c r="CU343" s="93"/>
      <c r="CV343" s="93"/>
      <c r="CW343" s="93"/>
      <c r="CX343" s="93"/>
      <c r="CY343" s="93"/>
      <c r="CZ343" s="93"/>
      <c r="DA343" s="93"/>
      <c r="DB343" s="93"/>
      <c r="DC343" s="94"/>
      <c r="DD343" s="118"/>
      <c r="DE343" s="118"/>
      <c r="DF343" s="118"/>
      <c r="DG343" s="118"/>
      <c r="DH343" s="118"/>
      <c r="DI343" s="118"/>
      <c r="DJ343" s="118"/>
      <c r="DK343" s="118"/>
      <c r="DL343" s="118"/>
      <c r="DM343" s="118"/>
      <c r="DN343" s="118"/>
      <c r="DO343" s="118"/>
      <c r="DP343" s="118"/>
      <c r="DQ343" s="118"/>
      <c r="DR343" s="118"/>
      <c r="DS343" s="118"/>
      <c r="DT343" s="118"/>
      <c r="DU343" s="19"/>
      <c r="DV343" s="19"/>
      <c r="DW343" s="19"/>
      <c r="DX343" s="19"/>
      <c r="DY343" s="19"/>
      <c r="DZ343" s="19"/>
    </row>
    <row r="344" spans="1:130" ht="12.75" x14ac:dyDescent="0.2">
      <c r="A344" s="651"/>
      <c r="B344" s="646">
        <v>46140</v>
      </c>
      <c r="C344" s="40"/>
      <c r="D344" s="40"/>
      <c r="E344" s="40"/>
      <c r="F344" s="40"/>
      <c r="G344" s="40"/>
      <c r="H344" s="653"/>
      <c r="I344" s="159">
        <f t="shared" si="249"/>
        <v>0</v>
      </c>
      <c r="J344" s="650">
        <f>SUM(I344:I347,H344)</f>
        <v>0</v>
      </c>
      <c r="K344" s="40"/>
      <c r="L344" s="40"/>
      <c r="M344" s="653"/>
      <c r="N344" s="653">
        <v>3.43</v>
      </c>
      <c r="O344" s="633">
        <f>SUM(M344:N347)</f>
        <v>3.43</v>
      </c>
      <c r="P344" s="653"/>
      <c r="Q344" s="636">
        <f>M344*60</f>
        <v>0</v>
      </c>
      <c r="R344" s="657">
        <f>IF(
   COUNTIF(K344:K347,"SI")&gt;0,
   1.8,
   IF(
      COUNTIF(L344:L347,"SI")&gt;0,
      1.6,
      2
   )
)</f>
        <v>2</v>
      </c>
      <c r="S344" s="678">
        <f>IF(Q344=0,0,J344/Q344)</f>
        <v>0</v>
      </c>
      <c r="T344" s="646">
        <v>46140</v>
      </c>
      <c r="U344" s="40"/>
      <c r="V344" s="38">
        <v>718</v>
      </c>
      <c r="W344" s="38">
        <v>11851</v>
      </c>
      <c r="X344" s="38">
        <v>12000</v>
      </c>
      <c r="Y344" s="38">
        <v>2</v>
      </c>
      <c r="Z344" s="653">
        <v>86</v>
      </c>
      <c r="AA344" s="51">
        <f t="shared" si="250"/>
        <v>148</v>
      </c>
      <c r="AB344" s="650">
        <f>SUM(AA344:AA347)+Z344</f>
        <v>884</v>
      </c>
      <c r="AC344" s="38" t="s">
        <v>51</v>
      </c>
      <c r="AD344" s="38" t="s">
        <v>51</v>
      </c>
      <c r="AE344" s="636">
        <v>8</v>
      </c>
      <c r="AF344" s="636">
        <v>0.75</v>
      </c>
      <c r="AG344" s="633">
        <f>SUM(AE344:AF347)</f>
        <v>8.75</v>
      </c>
      <c r="AH344" s="636">
        <v>0</v>
      </c>
      <c r="AI344" s="637">
        <f>AE344*60</f>
        <v>480</v>
      </c>
      <c r="AJ344" s="640">
        <f>IF(
   COUNTIF(AC344:AC347,"SI")&gt;0,
   1.8,
   IF(
      COUNTIF(AD344:AD347,"SI")&gt;0,
      1.6,
      2
   )
)</f>
        <v>1.8</v>
      </c>
      <c r="AK344" s="641">
        <f>AB344/AI344</f>
        <v>1.8416666666666666</v>
      </c>
      <c r="AL344" s="646">
        <v>46140</v>
      </c>
      <c r="AM344" s="40"/>
      <c r="AN344" s="40"/>
      <c r="AO344" s="40"/>
      <c r="AP344" s="40"/>
      <c r="AQ344" s="40"/>
      <c r="AR344" s="653"/>
      <c r="AS344" s="159">
        <f t="shared" si="251"/>
        <v>0</v>
      </c>
      <c r="AT344" s="650"/>
      <c r="AU344" s="653"/>
      <c r="AV344" s="653"/>
      <c r="AW344" s="40"/>
      <c r="AX344" s="653">
        <v>5.5</v>
      </c>
      <c r="AY344" s="633">
        <f>SUM(AV344:AX347)</f>
        <v>5.5</v>
      </c>
      <c r="AZ344" s="636">
        <v>0.3</v>
      </c>
      <c r="BA344" s="636">
        <f t="shared" si="252"/>
        <v>0</v>
      </c>
      <c r="BB344" s="657">
        <f>IF(
   COUNTIF(AU344:AU347,"SI")&gt;0,
   1.8,
   IF(
      COUNTIF(AV344:AV347,"SI")&gt;0,
      1.6,
      2
   )
)</f>
        <v>2</v>
      </c>
      <c r="BC344" s="667">
        <f t="shared" si="253"/>
        <v>0</v>
      </c>
      <c r="BD344" s="662"/>
      <c r="BE344" s="662"/>
      <c r="BF344" s="120"/>
      <c r="BG344" s="120"/>
      <c r="BH344" s="120"/>
      <c r="BI344" s="120"/>
      <c r="BJ344" s="120"/>
      <c r="BK344" s="662"/>
      <c r="BL344" s="118"/>
      <c r="BM344" s="662"/>
      <c r="BN344" s="120"/>
      <c r="BO344" s="120"/>
      <c r="BP344" s="662"/>
      <c r="BQ344" s="662"/>
      <c r="BR344" s="662"/>
      <c r="BS344" s="662"/>
      <c r="BT344" s="118"/>
      <c r="BU344" s="662"/>
      <c r="BV344" s="662"/>
      <c r="BW344" s="118"/>
      <c r="BX344" s="118"/>
      <c r="BY344" s="118"/>
      <c r="BZ344" s="118"/>
      <c r="CA344" s="118"/>
      <c r="CB344" s="118"/>
      <c r="CC344" s="118"/>
      <c r="CD344" s="118"/>
      <c r="CE344" s="118"/>
      <c r="CF344" s="118"/>
      <c r="CG344" s="118"/>
      <c r="CH344" s="118"/>
      <c r="CI344" s="118"/>
      <c r="CJ344" s="118"/>
      <c r="CK344" s="118"/>
      <c r="CL344" s="118"/>
      <c r="CM344" s="118"/>
      <c r="CN344" s="92"/>
      <c r="CO344" s="93"/>
      <c r="CP344" s="93"/>
      <c r="CQ344" s="93"/>
      <c r="CR344" s="93"/>
      <c r="CS344" s="93"/>
      <c r="CT344" s="93"/>
      <c r="CU344" s="93"/>
      <c r="CV344" s="93"/>
      <c r="CW344" s="93"/>
      <c r="CX344" s="93"/>
      <c r="CY344" s="93"/>
      <c r="CZ344" s="93"/>
      <c r="DA344" s="93"/>
      <c r="DB344" s="93"/>
      <c r="DC344" s="94"/>
      <c r="DD344" s="118"/>
      <c r="DE344" s="118"/>
      <c r="DF344" s="118"/>
      <c r="DG344" s="118"/>
      <c r="DH344" s="118"/>
      <c r="DI344" s="118"/>
      <c r="DJ344" s="118"/>
      <c r="DK344" s="118"/>
      <c r="DL344" s="118"/>
      <c r="DM344" s="118"/>
      <c r="DN344" s="118"/>
      <c r="DO344" s="118"/>
      <c r="DP344" s="118"/>
      <c r="DQ344" s="118"/>
      <c r="DR344" s="118"/>
      <c r="DS344" s="118"/>
      <c r="DT344" s="118"/>
      <c r="DU344" s="19"/>
      <c r="DV344" s="19"/>
      <c r="DW344" s="19"/>
      <c r="DX344" s="19"/>
      <c r="DY344" s="19"/>
      <c r="DZ344" s="19"/>
    </row>
    <row r="345" spans="1:130" ht="12.75" x14ac:dyDescent="0.2">
      <c r="A345" s="647"/>
      <c r="B345" s="647"/>
      <c r="C345" s="40"/>
      <c r="D345" s="40"/>
      <c r="E345" s="40"/>
      <c r="F345" s="40"/>
      <c r="G345" s="40"/>
      <c r="H345" s="634"/>
      <c r="I345" s="159">
        <f t="shared" si="249"/>
        <v>0</v>
      </c>
      <c r="J345" s="634"/>
      <c r="K345" s="40"/>
      <c r="L345" s="40"/>
      <c r="M345" s="634"/>
      <c r="N345" s="634"/>
      <c r="O345" s="634"/>
      <c r="P345" s="634"/>
      <c r="Q345" s="634"/>
      <c r="R345" s="634"/>
      <c r="S345" s="659"/>
      <c r="T345" s="647"/>
      <c r="U345" s="40"/>
      <c r="V345" s="31">
        <v>721</v>
      </c>
      <c r="W345" s="31">
        <v>13005</v>
      </c>
      <c r="X345" s="31">
        <v>13500</v>
      </c>
      <c r="Y345" s="31">
        <v>0</v>
      </c>
      <c r="Z345" s="634"/>
      <c r="AA345" s="51">
        <f t="shared" si="250"/>
        <v>496</v>
      </c>
      <c r="AB345" s="634"/>
      <c r="AC345" s="38" t="s">
        <v>51</v>
      </c>
      <c r="AD345" s="38" t="s">
        <v>51</v>
      </c>
      <c r="AE345" s="634"/>
      <c r="AF345" s="634"/>
      <c r="AG345" s="634"/>
      <c r="AH345" s="634"/>
      <c r="AI345" s="638"/>
      <c r="AJ345" s="634"/>
      <c r="AK345" s="642"/>
      <c r="AL345" s="647"/>
      <c r="AM345" s="40"/>
      <c r="AN345" s="40"/>
      <c r="AO345" s="40"/>
      <c r="AP345" s="40"/>
      <c r="AQ345" s="40"/>
      <c r="AR345" s="634"/>
      <c r="AS345" s="159">
        <f t="shared" si="251"/>
        <v>0</v>
      </c>
      <c r="AT345" s="634"/>
      <c r="AU345" s="634"/>
      <c r="AV345" s="634"/>
      <c r="AW345" s="40"/>
      <c r="AX345" s="634"/>
      <c r="AY345" s="634"/>
      <c r="AZ345" s="634"/>
      <c r="BA345" s="634"/>
      <c r="BB345" s="634"/>
      <c r="BC345" s="634"/>
      <c r="BD345" s="663"/>
      <c r="BE345" s="668"/>
      <c r="BF345" s="120"/>
      <c r="BG345" s="120"/>
      <c r="BH345" s="120"/>
      <c r="BI345" s="120"/>
      <c r="BJ345" s="120"/>
      <c r="BK345" s="661"/>
      <c r="BL345" s="118"/>
      <c r="BM345" s="663"/>
      <c r="BN345" s="120"/>
      <c r="BO345" s="120"/>
      <c r="BP345" s="661"/>
      <c r="BQ345" s="661"/>
      <c r="BR345" s="663"/>
      <c r="BS345" s="661"/>
      <c r="BT345" s="120"/>
      <c r="BU345" s="663"/>
      <c r="BV345" s="663"/>
      <c r="BW345" s="118"/>
      <c r="BX345" s="118"/>
      <c r="BY345" s="118"/>
      <c r="BZ345" s="118"/>
      <c r="CA345" s="118"/>
      <c r="CB345" s="118"/>
      <c r="CC345" s="118"/>
      <c r="CD345" s="118"/>
      <c r="CE345" s="118"/>
      <c r="CF345" s="118"/>
      <c r="CG345" s="118"/>
      <c r="CH345" s="118"/>
      <c r="CI345" s="118"/>
      <c r="CJ345" s="118"/>
      <c r="CK345" s="118"/>
      <c r="CL345" s="118"/>
      <c r="CM345" s="118"/>
      <c r="CN345" s="92"/>
      <c r="CO345" s="93"/>
      <c r="CP345" s="93"/>
      <c r="CQ345" s="93"/>
      <c r="CR345" s="93"/>
      <c r="CS345" s="93"/>
      <c r="CT345" s="93"/>
      <c r="CU345" s="93"/>
      <c r="CV345" s="93"/>
      <c r="CW345" s="93"/>
      <c r="CX345" s="93"/>
      <c r="CY345" s="93"/>
      <c r="CZ345" s="93"/>
      <c r="DA345" s="93"/>
      <c r="DB345" s="93"/>
      <c r="DC345" s="94"/>
      <c r="DD345" s="118"/>
      <c r="DE345" s="118"/>
      <c r="DF345" s="118"/>
      <c r="DG345" s="118"/>
      <c r="DH345" s="118"/>
      <c r="DI345" s="118"/>
      <c r="DJ345" s="118"/>
      <c r="DK345" s="118"/>
      <c r="DL345" s="118"/>
      <c r="DM345" s="118"/>
      <c r="DN345" s="118"/>
      <c r="DO345" s="118"/>
      <c r="DP345" s="118"/>
      <c r="DQ345" s="118"/>
      <c r="DR345" s="118"/>
      <c r="DS345" s="118"/>
      <c r="DT345" s="118"/>
      <c r="DU345" s="19"/>
      <c r="DV345" s="19"/>
      <c r="DW345" s="19"/>
      <c r="DX345" s="19"/>
      <c r="DY345" s="19"/>
      <c r="DZ345" s="19"/>
    </row>
    <row r="346" spans="1:130" ht="12.75" x14ac:dyDescent="0.2">
      <c r="A346" s="647"/>
      <c r="B346" s="647"/>
      <c r="C346" s="40"/>
      <c r="D346" s="40"/>
      <c r="E346" s="40"/>
      <c r="F346" s="40"/>
      <c r="G346" s="40"/>
      <c r="H346" s="634"/>
      <c r="I346" s="159">
        <f t="shared" si="249"/>
        <v>0</v>
      </c>
      <c r="J346" s="634"/>
      <c r="K346" s="40"/>
      <c r="L346" s="40"/>
      <c r="M346" s="634"/>
      <c r="N346" s="634"/>
      <c r="O346" s="634"/>
      <c r="P346" s="634"/>
      <c r="Q346" s="634"/>
      <c r="R346" s="634"/>
      <c r="S346" s="659"/>
      <c r="T346" s="647"/>
      <c r="U346" s="40"/>
      <c r="V346" s="31">
        <v>722</v>
      </c>
      <c r="W346" s="31">
        <v>13501</v>
      </c>
      <c r="X346" s="31">
        <v>13657</v>
      </c>
      <c r="Y346" s="31">
        <v>3</v>
      </c>
      <c r="Z346" s="634"/>
      <c r="AA346" s="51">
        <f t="shared" si="250"/>
        <v>154</v>
      </c>
      <c r="AB346" s="634"/>
      <c r="AC346" s="38" t="s">
        <v>51</v>
      </c>
      <c r="AD346" s="38" t="s">
        <v>51</v>
      </c>
      <c r="AE346" s="634"/>
      <c r="AF346" s="634"/>
      <c r="AG346" s="634"/>
      <c r="AH346" s="634"/>
      <c r="AI346" s="638"/>
      <c r="AJ346" s="634"/>
      <c r="AK346" s="642"/>
      <c r="AL346" s="647"/>
      <c r="AM346" s="40"/>
      <c r="AN346" s="40"/>
      <c r="AO346" s="40"/>
      <c r="AP346" s="40"/>
      <c r="AQ346" s="40"/>
      <c r="AR346" s="634"/>
      <c r="AS346" s="159">
        <f t="shared" si="251"/>
        <v>0</v>
      </c>
      <c r="AT346" s="635"/>
      <c r="AU346" s="635"/>
      <c r="AV346" s="635"/>
      <c r="AW346" s="40"/>
      <c r="AX346" s="634"/>
      <c r="AY346" s="634"/>
      <c r="AZ346" s="634"/>
      <c r="BA346" s="634"/>
      <c r="BB346" s="634"/>
      <c r="BC346" s="635"/>
      <c r="BD346" s="662"/>
      <c r="BE346" s="662"/>
      <c r="BF346" s="120"/>
      <c r="BG346" s="120"/>
      <c r="BH346" s="120"/>
      <c r="BI346" s="120"/>
      <c r="BJ346" s="120"/>
      <c r="BK346" s="662"/>
      <c r="BL346" s="118"/>
      <c r="BM346" s="662"/>
      <c r="BN346" s="120"/>
      <c r="BO346" s="120"/>
      <c r="BP346" s="662"/>
      <c r="BQ346" s="662"/>
      <c r="BR346" s="662"/>
      <c r="BS346" s="662"/>
      <c r="BT346" s="120"/>
      <c r="BU346" s="662"/>
      <c r="BV346" s="662"/>
      <c r="BW346" s="118"/>
      <c r="BX346" s="118"/>
      <c r="BY346" s="118"/>
      <c r="BZ346" s="118"/>
      <c r="CA346" s="118"/>
      <c r="CB346" s="118"/>
      <c r="CC346" s="118"/>
      <c r="CD346" s="118"/>
      <c r="CE346" s="118"/>
      <c r="CF346" s="118"/>
      <c r="CG346" s="118"/>
      <c r="CH346" s="118"/>
      <c r="CI346" s="118"/>
      <c r="CJ346" s="118"/>
      <c r="CK346" s="118"/>
      <c r="CL346" s="118"/>
      <c r="CM346" s="118"/>
      <c r="CN346" s="92"/>
      <c r="CO346" s="93"/>
      <c r="CP346" s="93"/>
      <c r="CQ346" s="93"/>
      <c r="CR346" s="93"/>
      <c r="CS346" s="93"/>
      <c r="CT346" s="93"/>
      <c r="CU346" s="93"/>
      <c r="CV346" s="93"/>
      <c r="CW346" s="93"/>
      <c r="CX346" s="93"/>
      <c r="CY346" s="93"/>
      <c r="CZ346" s="93"/>
      <c r="DA346" s="93"/>
      <c r="DB346" s="93"/>
      <c r="DC346" s="94"/>
      <c r="DD346" s="118"/>
      <c r="DE346" s="118"/>
      <c r="DF346" s="118"/>
      <c r="DG346" s="118"/>
      <c r="DH346" s="118"/>
      <c r="DI346" s="118"/>
      <c r="DJ346" s="118"/>
      <c r="DK346" s="118"/>
      <c r="DL346" s="118"/>
      <c r="DM346" s="118"/>
      <c r="DN346" s="118"/>
      <c r="DO346" s="118"/>
      <c r="DP346" s="118"/>
      <c r="DQ346" s="118"/>
      <c r="DR346" s="118"/>
      <c r="DS346" s="118"/>
      <c r="DT346" s="118"/>
      <c r="DU346" s="19"/>
      <c r="DV346" s="19"/>
      <c r="DW346" s="19"/>
      <c r="DX346" s="19"/>
      <c r="DY346" s="19"/>
      <c r="DZ346" s="19"/>
    </row>
    <row r="347" spans="1:130" ht="12.75" x14ac:dyDescent="0.2">
      <c r="A347" s="648"/>
      <c r="B347" s="648"/>
      <c r="C347" s="40"/>
      <c r="D347" s="40"/>
      <c r="E347" s="40"/>
      <c r="F347" s="40"/>
      <c r="G347" s="40"/>
      <c r="H347" s="635"/>
      <c r="I347" s="159">
        <f t="shared" si="249"/>
        <v>0</v>
      </c>
      <c r="J347" s="635"/>
      <c r="K347" s="40"/>
      <c r="L347" s="40"/>
      <c r="M347" s="635"/>
      <c r="N347" s="635"/>
      <c r="O347" s="635"/>
      <c r="P347" s="635"/>
      <c r="Q347" s="635"/>
      <c r="R347" s="635"/>
      <c r="S347" s="660"/>
      <c r="T347" s="648"/>
      <c r="U347" s="40"/>
      <c r="V347" s="40"/>
      <c r="W347" s="40"/>
      <c r="X347" s="40"/>
      <c r="Y347" s="40"/>
      <c r="Z347" s="635"/>
      <c r="AA347" s="51">
        <f t="shared" si="250"/>
        <v>0</v>
      </c>
      <c r="AB347" s="634"/>
      <c r="AC347" s="40"/>
      <c r="AD347" s="40"/>
      <c r="AE347" s="634"/>
      <c r="AF347" s="635"/>
      <c r="AG347" s="635"/>
      <c r="AH347" s="635"/>
      <c r="AI347" s="638"/>
      <c r="AJ347" s="635"/>
      <c r="AK347" s="642"/>
      <c r="AL347" s="648"/>
      <c r="AM347" s="40"/>
      <c r="AN347" s="40"/>
      <c r="AO347" s="40"/>
      <c r="AP347" s="40"/>
      <c r="AQ347" s="40"/>
      <c r="AR347" s="635"/>
      <c r="AS347" s="159">
        <f t="shared" si="251"/>
        <v>0</v>
      </c>
      <c r="AT347" s="153"/>
      <c r="AU347" s="40"/>
      <c r="AV347" s="154"/>
      <c r="AW347" s="154"/>
      <c r="AX347" s="635"/>
      <c r="AY347" s="635"/>
      <c r="AZ347" s="635"/>
      <c r="BA347" s="154"/>
      <c r="BB347" s="635"/>
      <c r="BC347" s="155"/>
      <c r="BD347" s="662"/>
      <c r="BE347" s="662"/>
      <c r="BF347" s="120"/>
      <c r="BG347" s="120"/>
      <c r="BH347" s="120"/>
      <c r="BI347" s="120"/>
      <c r="BJ347" s="120"/>
      <c r="BK347" s="662"/>
      <c r="BL347" s="118"/>
      <c r="BM347" s="662"/>
      <c r="BN347" s="120"/>
      <c r="BO347" s="120"/>
      <c r="BP347" s="662"/>
      <c r="BQ347" s="662"/>
      <c r="BR347" s="662"/>
      <c r="BS347" s="662"/>
      <c r="BT347" s="120"/>
      <c r="BU347" s="662"/>
      <c r="BV347" s="662"/>
      <c r="BW347" s="118"/>
      <c r="BX347" s="118"/>
      <c r="BY347" s="118"/>
      <c r="BZ347" s="118"/>
      <c r="CA347" s="118"/>
      <c r="CB347" s="118"/>
      <c r="CC347" s="118"/>
      <c r="CD347" s="118"/>
      <c r="CE347" s="118"/>
      <c r="CF347" s="118"/>
      <c r="CG347" s="118"/>
      <c r="CH347" s="118"/>
      <c r="CI347" s="118"/>
      <c r="CJ347" s="118"/>
      <c r="CK347" s="118"/>
      <c r="CL347" s="118"/>
      <c r="CM347" s="118"/>
      <c r="CN347" s="92"/>
      <c r="CO347" s="93"/>
      <c r="CP347" s="93"/>
      <c r="CQ347" s="93"/>
      <c r="CR347" s="93"/>
      <c r="CS347" s="93"/>
      <c r="CT347" s="93"/>
      <c r="CU347" s="93"/>
      <c r="CV347" s="93"/>
      <c r="CW347" s="93"/>
      <c r="CX347" s="93"/>
      <c r="CY347" s="93"/>
      <c r="CZ347" s="93"/>
      <c r="DA347" s="93"/>
      <c r="DB347" s="93"/>
      <c r="DC347" s="94"/>
      <c r="DD347" s="118"/>
      <c r="DE347" s="118"/>
      <c r="DF347" s="118"/>
      <c r="DG347" s="118"/>
      <c r="DH347" s="118"/>
      <c r="DI347" s="118"/>
      <c r="DJ347" s="118"/>
      <c r="DK347" s="118"/>
      <c r="DL347" s="118"/>
      <c r="DM347" s="118"/>
      <c r="DN347" s="118"/>
      <c r="DO347" s="118"/>
      <c r="DP347" s="118"/>
      <c r="DQ347" s="118"/>
      <c r="DR347" s="118"/>
      <c r="DS347" s="118"/>
      <c r="DT347" s="118"/>
      <c r="DU347" s="19"/>
      <c r="DV347" s="19"/>
      <c r="DW347" s="19"/>
      <c r="DX347" s="19"/>
      <c r="DY347" s="19"/>
      <c r="DZ347" s="19"/>
    </row>
    <row r="348" spans="1:130" ht="12.75" x14ac:dyDescent="0.2">
      <c r="A348" s="654"/>
      <c r="B348" s="655">
        <v>46141</v>
      </c>
      <c r="C348" s="29">
        <v>110</v>
      </c>
      <c r="D348" s="29">
        <v>726</v>
      </c>
      <c r="E348" s="29">
        <v>15500</v>
      </c>
      <c r="F348" s="29">
        <v>15902</v>
      </c>
      <c r="G348" s="30"/>
      <c r="H348" s="649"/>
      <c r="I348" s="159">
        <f t="shared" si="249"/>
        <v>403</v>
      </c>
      <c r="J348" s="650">
        <f>SUM(I348:I351,H348)</f>
        <v>403</v>
      </c>
      <c r="K348" s="29" t="s">
        <v>51</v>
      </c>
      <c r="L348" s="29" t="s">
        <v>51</v>
      </c>
      <c r="M348" s="649">
        <v>3.5</v>
      </c>
      <c r="N348" s="649">
        <v>1.33</v>
      </c>
      <c r="O348" s="656">
        <f>SUM(M348:N351)</f>
        <v>4.83</v>
      </c>
      <c r="P348" s="649"/>
      <c r="Q348" s="644">
        <f>M348*60</f>
        <v>210</v>
      </c>
      <c r="R348" s="657">
        <f>IF(
   COUNTIF(K348:K351,"SI")&gt;0,
   1.8,
   IF(
      COUNTIF(L348:L351,"SI")&gt;0,
      1.6,
      2
   )
)</f>
        <v>1.8</v>
      </c>
      <c r="S348" s="658">
        <f>IF(Q348=0,0,J348/Q348)</f>
        <v>1.9190476190476191</v>
      </c>
      <c r="T348" s="655">
        <v>46141</v>
      </c>
      <c r="U348" s="30"/>
      <c r="V348" s="28">
        <v>722</v>
      </c>
      <c r="W348" s="28">
        <v>13658</v>
      </c>
      <c r="X348" s="28">
        <v>14000</v>
      </c>
      <c r="Y348" s="29">
        <v>0</v>
      </c>
      <c r="Z348" s="640">
        <v>0</v>
      </c>
      <c r="AA348" s="51">
        <f t="shared" si="250"/>
        <v>343</v>
      </c>
      <c r="AB348" s="650">
        <f>SUM(AA348:AA351,Z348)</f>
        <v>343</v>
      </c>
      <c r="AC348" s="28" t="s">
        <v>51</v>
      </c>
      <c r="AD348" s="28" t="s">
        <v>51</v>
      </c>
      <c r="AE348" s="640">
        <v>3</v>
      </c>
      <c r="AF348" s="640">
        <v>2</v>
      </c>
      <c r="AG348" s="633">
        <f>SUM(AE348:AF351)</f>
        <v>5</v>
      </c>
      <c r="AH348" s="640">
        <v>0</v>
      </c>
      <c r="AI348" s="664">
        <f>AE348*60</f>
        <v>180</v>
      </c>
      <c r="AJ348" s="640">
        <f>IF(
   COUNTIF(AC348:AC351,"SI")&gt;0,
   1.8,
   IF(
      COUNTIF(AD348:AD351,"SI")&gt;0,
      1.6,
      2
   )
)</f>
        <v>1.8</v>
      </c>
      <c r="AK348" s="665">
        <f>AB348/AI348</f>
        <v>1.9055555555555554</v>
      </c>
      <c r="AL348" s="655">
        <v>46141</v>
      </c>
      <c r="AM348" s="29">
        <v>27</v>
      </c>
      <c r="AN348" s="31">
        <v>720</v>
      </c>
      <c r="AO348" s="31">
        <v>12821</v>
      </c>
      <c r="AP348" s="31">
        <v>13002</v>
      </c>
      <c r="AQ348" s="31"/>
      <c r="AR348" s="653">
        <v>6</v>
      </c>
      <c r="AS348" s="159">
        <f t="shared" si="251"/>
        <v>182</v>
      </c>
      <c r="AT348" s="650">
        <f>SUM(AS348:AS350,AR348)</f>
        <v>688</v>
      </c>
      <c r="AU348" s="653" t="s">
        <v>51</v>
      </c>
      <c r="AV348" s="653">
        <v>4.5</v>
      </c>
      <c r="AW348" s="31" t="s">
        <v>51</v>
      </c>
      <c r="AX348" s="653">
        <v>2.6</v>
      </c>
      <c r="AY348" s="633">
        <f>SUM(AV348:AX351)</f>
        <v>8.5</v>
      </c>
      <c r="AZ348" s="636">
        <v>0.25</v>
      </c>
      <c r="BA348" s="640">
        <f>AV348*60</f>
        <v>270</v>
      </c>
      <c r="BB348" s="657">
        <f>IF(
   COUNTIF(AU348:AU351,"SI")&gt;0,
   1.8,
   IF(
      COUNTIF(AV348:AV351,"SI")&gt;0,
      1.6,
      2
   )
)</f>
        <v>1.8</v>
      </c>
      <c r="BC348" s="666">
        <f>IF(BA348=0,0,AT348/BA348)</f>
        <v>2.5481481481481483</v>
      </c>
      <c r="BD348" s="662"/>
      <c r="BE348" s="662"/>
      <c r="BF348" s="120"/>
      <c r="BG348" s="120"/>
      <c r="BH348" s="120"/>
      <c r="BI348" s="120"/>
      <c r="BJ348" s="120"/>
      <c r="BK348" s="662"/>
      <c r="BL348" s="118"/>
      <c r="BM348" s="662"/>
      <c r="BN348" s="120"/>
      <c r="BO348" s="120"/>
      <c r="BP348" s="662"/>
      <c r="BQ348" s="662"/>
      <c r="BR348" s="662"/>
      <c r="BS348" s="662"/>
      <c r="BT348" s="120"/>
      <c r="BU348" s="662"/>
      <c r="BV348" s="662"/>
      <c r="BW348" s="118"/>
      <c r="BX348" s="118"/>
      <c r="BY348" s="118"/>
      <c r="BZ348" s="118"/>
      <c r="CA348" s="118"/>
      <c r="CB348" s="118"/>
      <c r="CC348" s="118"/>
      <c r="CD348" s="118"/>
      <c r="CE348" s="118"/>
      <c r="CF348" s="118"/>
      <c r="CG348" s="118"/>
      <c r="CH348" s="118"/>
      <c r="CI348" s="118"/>
      <c r="CJ348" s="118"/>
      <c r="CK348" s="118"/>
      <c r="CL348" s="118"/>
      <c r="CM348" s="118"/>
      <c r="CN348" s="92"/>
      <c r="CO348" s="93"/>
      <c r="CP348" s="93"/>
      <c r="CQ348" s="93"/>
      <c r="CR348" s="93"/>
      <c r="CS348" s="93"/>
      <c r="CT348" s="93"/>
      <c r="CU348" s="93"/>
      <c r="CV348" s="93"/>
      <c r="CW348" s="93"/>
      <c r="CX348" s="93"/>
      <c r="CY348" s="93"/>
      <c r="CZ348" s="93"/>
      <c r="DA348" s="93"/>
      <c r="DB348" s="93"/>
      <c r="DC348" s="94"/>
      <c r="DD348" s="118"/>
      <c r="DE348" s="118"/>
      <c r="DF348" s="118"/>
      <c r="DG348" s="118"/>
      <c r="DH348" s="118"/>
      <c r="DI348" s="118"/>
      <c r="DJ348" s="118"/>
      <c r="DK348" s="118"/>
      <c r="DL348" s="118"/>
      <c r="DM348" s="118"/>
      <c r="DN348" s="118"/>
      <c r="DO348" s="118"/>
      <c r="DP348" s="118"/>
      <c r="DQ348" s="118"/>
      <c r="DR348" s="118"/>
      <c r="DS348" s="118"/>
      <c r="DT348" s="118"/>
      <c r="DU348" s="19"/>
      <c r="DV348" s="19"/>
      <c r="DW348" s="19"/>
      <c r="DX348" s="19"/>
      <c r="DY348" s="19"/>
      <c r="DZ348" s="19"/>
    </row>
    <row r="349" spans="1:130" ht="12.75" x14ac:dyDescent="0.2">
      <c r="A349" s="647"/>
      <c r="B349" s="647"/>
      <c r="C349" s="29"/>
      <c r="D349" s="29"/>
      <c r="E349" s="29"/>
      <c r="F349" s="29"/>
      <c r="G349" s="30"/>
      <c r="H349" s="634"/>
      <c r="I349" s="159">
        <f t="shared" si="249"/>
        <v>0</v>
      </c>
      <c r="J349" s="634"/>
      <c r="K349" s="30"/>
      <c r="L349" s="30"/>
      <c r="M349" s="634"/>
      <c r="N349" s="634"/>
      <c r="O349" s="634"/>
      <c r="P349" s="634"/>
      <c r="Q349" s="634"/>
      <c r="R349" s="634"/>
      <c r="S349" s="659"/>
      <c r="T349" s="647"/>
      <c r="U349" s="30"/>
      <c r="V349" s="28"/>
      <c r="W349" s="28"/>
      <c r="X349" s="28"/>
      <c r="Y349" s="29"/>
      <c r="Z349" s="634"/>
      <c r="AA349" s="51">
        <f t="shared" si="250"/>
        <v>0</v>
      </c>
      <c r="AB349" s="634"/>
      <c r="AC349" s="28"/>
      <c r="AD349" s="28"/>
      <c r="AE349" s="634"/>
      <c r="AF349" s="634"/>
      <c r="AG349" s="634"/>
      <c r="AH349" s="634"/>
      <c r="AI349" s="638"/>
      <c r="AJ349" s="634"/>
      <c r="AK349" s="642"/>
      <c r="AL349" s="647"/>
      <c r="AM349" s="29">
        <v>124</v>
      </c>
      <c r="AN349" s="31">
        <v>723</v>
      </c>
      <c r="AO349" s="31">
        <v>14001</v>
      </c>
      <c r="AP349" s="31">
        <v>14500</v>
      </c>
      <c r="AQ349" s="31"/>
      <c r="AR349" s="634"/>
      <c r="AS349" s="159">
        <f t="shared" si="251"/>
        <v>500</v>
      </c>
      <c r="AT349" s="634"/>
      <c r="AU349" s="634"/>
      <c r="AV349" s="634"/>
      <c r="AW349" s="31" t="s">
        <v>51</v>
      </c>
      <c r="AX349" s="634"/>
      <c r="AY349" s="634"/>
      <c r="AZ349" s="634"/>
      <c r="BA349" s="634"/>
      <c r="BB349" s="634"/>
      <c r="BC349" s="634"/>
      <c r="BD349" s="122"/>
      <c r="BE349" s="462"/>
      <c r="BF349" s="121"/>
      <c r="BG349" s="122"/>
      <c r="BH349" s="122"/>
      <c r="BI349" s="122"/>
      <c r="BJ349" s="121"/>
      <c r="BK349" s="121"/>
      <c r="BL349" s="121"/>
      <c r="BM349" s="121"/>
      <c r="BN349" s="122"/>
      <c r="BO349" s="122"/>
      <c r="BP349" s="121"/>
      <c r="BQ349" s="121"/>
      <c r="BR349" s="121"/>
      <c r="BS349" s="121"/>
      <c r="BT349" s="121"/>
      <c r="BU349" s="121"/>
      <c r="BV349" s="122"/>
      <c r="BW349" s="118"/>
      <c r="BX349" s="118"/>
      <c r="BY349" s="118"/>
      <c r="BZ349" s="118"/>
      <c r="CA349" s="118"/>
      <c r="CB349" s="118"/>
      <c r="CC349" s="118"/>
      <c r="CD349" s="118"/>
      <c r="CE349" s="118"/>
      <c r="CF349" s="118"/>
      <c r="CG349" s="118"/>
      <c r="CH349" s="118"/>
      <c r="CI349" s="118"/>
      <c r="CJ349" s="118"/>
      <c r="CK349" s="118"/>
      <c r="CL349" s="118"/>
      <c r="CM349" s="118"/>
      <c r="CN349" s="92"/>
      <c r="CO349" s="93"/>
      <c r="CP349" s="93"/>
      <c r="CQ349" s="93"/>
      <c r="CR349" s="93"/>
      <c r="CS349" s="93"/>
      <c r="CT349" s="93"/>
      <c r="CU349" s="93"/>
      <c r="CV349" s="93"/>
      <c r="CW349" s="93"/>
      <c r="CX349" s="93"/>
      <c r="CY349" s="93"/>
      <c r="CZ349" s="93"/>
      <c r="DA349" s="93"/>
      <c r="DB349" s="93"/>
      <c r="DC349" s="94"/>
      <c r="DD349" s="118"/>
      <c r="DE349" s="118"/>
      <c r="DF349" s="118"/>
      <c r="DG349" s="118"/>
      <c r="DH349" s="118"/>
      <c r="DI349" s="118"/>
      <c r="DJ349" s="118"/>
      <c r="DK349" s="118"/>
      <c r="DL349" s="118"/>
      <c r="DM349" s="118"/>
      <c r="DN349" s="118"/>
      <c r="DO349" s="118"/>
      <c r="DP349" s="118"/>
      <c r="DQ349" s="118"/>
      <c r="DR349" s="118"/>
      <c r="DS349" s="118"/>
      <c r="DT349" s="118"/>
      <c r="DU349" s="19"/>
      <c r="DV349" s="19"/>
      <c r="DW349" s="19"/>
      <c r="DX349" s="19"/>
      <c r="DY349" s="19"/>
      <c r="DZ349" s="19"/>
    </row>
    <row r="350" spans="1:130" ht="12.75" x14ac:dyDescent="0.2">
      <c r="A350" s="647"/>
      <c r="B350" s="647"/>
      <c r="C350" s="30"/>
      <c r="D350" s="30"/>
      <c r="E350" s="30"/>
      <c r="F350" s="30"/>
      <c r="G350" s="30"/>
      <c r="H350" s="634"/>
      <c r="I350" s="159">
        <f t="shared" si="249"/>
        <v>0</v>
      </c>
      <c r="J350" s="634"/>
      <c r="K350" s="30"/>
      <c r="L350" s="30"/>
      <c r="M350" s="634"/>
      <c r="N350" s="634"/>
      <c r="O350" s="634"/>
      <c r="P350" s="634"/>
      <c r="Q350" s="634"/>
      <c r="R350" s="634"/>
      <c r="S350" s="659"/>
      <c r="T350" s="647"/>
      <c r="U350" s="30"/>
      <c r="V350" s="28"/>
      <c r="W350" s="28"/>
      <c r="X350" s="28"/>
      <c r="Y350" s="29"/>
      <c r="Z350" s="634"/>
      <c r="AA350" s="51">
        <f t="shared" si="250"/>
        <v>0</v>
      </c>
      <c r="AB350" s="634"/>
      <c r="AC350" s="51"/>
      <c r="AD350" s="51"/>
      <c r="AE350" s="634"/>
      <c r="AF350" s="634"/>
      <c r="AG350" s="634"/>
      <c r="AH350" s="634"/>
      <c r="AI350" s="638"/>
      <c r="AJ350" s="634"/>
      <c r="AK350" s="642"/>
      <c r="AL350" s="647"/>
      <c r="AM350" s="29"/>
      <c r="AN350" s="31"/>
      <c r="AO350" s="31"/>
      <c r="AP350" s="31"/>
      <c r="AQ350" s="40"/>
      <c r="AR350" s="634"/>
      <c r="AS350" s="159">
        <f t="shared" si="251"/>
        <v>0</v>
      </c>
      <c r="AT350" s="635"/>
      <c r="AU350" s="635"/>
      <c r="AV350" s="635"/>
      <c r="AW350" s="31" t="s">
        <v>51</v>
      </c>
      <c r="AX350" s="634"/>
      <c r="AY350" s="634"/>
      <c r="AZ350" s="634"/>
      <c r="BA350" s="634"/>
      <c r="BB350" s="634"/>
      <c r="BC350" s="634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18"/>
      <c r="BX350" s="118"/>
      <c r="BY350" s="118"/>
      <c r="BZ350" s="118"/>
      <c r="CA350" s="118"/>
      <c r="CB350" s="118"/>
      <c r="CC350" s="118"/>
      <c r="CD350" s="118"/>
      <c r="CE350" s="118"/>
      <c r="CF350" s="118"/>
      <c r="CG350" s="118"/>
      <c r="CH350" s="118"/>
      <c r="CI350" s="118"/>
      <c r="CJ350" s="118"/>
      <c r="CK350" s="118"/>
      <c r="CL350" s="118"/>
      <c r="CM350" s="118"/>
      <c r="CN350" s="92"/>
      <c r="CO350" s="93"/>
      <c r="CP350" s="93"/>
      <c r="CQ350" s="93"/>
      <c r="CR350" s="93"/>
      <c r="CS350" s="93"/>
      <c r="CT350" s="93"/>
      <c r="CU350" s="93"/>
      <c r="CV350" s="93"/>
      <c r="CW350" s="93"/>
      <c r="CX350" s="93"/>
      <c r="CY350" s="93"/>
      <c r="CZ350" s="93"/>
      <c r="DA350" s="93"/>
      <c r="DB350" s="93"/>
      <c r="DC350" s="94"/>
      <c r="DD350" s="118"/>
      <c r="DE350" s="118"/>
      <c r="DF350" s="118"/>
      <c r="DG350" s="118"/>
      <c r="DH350" s="118"/>
      <c r="DI350" s="118"/>
      <c r="DJ350" s="118"/>
      <c r="DK350" s="118"/>
      <c r="DL350" s="118"/>
      <c r="DM350" s="118"/>
      <c r="DN350" s="118"/>
      <c r="DO350" s="118"/>
      <c r="DP350" s="118"/>
      <c r="DQ350" s="118"/>
      <c r="DR350" s="118"/>
      <c r="DS350" s="118"/>
      <c r="DT350" s="118"/>
      <c r="DU350" s="19"/>
      <c r="DV350" s="19"/>
      <c r="DW350" s="19"/>
      <c r="DX350" s="19"/>
      <c r="DY350" s="19"/>
      <c r="DZ350" s="19"/>
    </row>
    <row r="351" spans="1:130" ht="12.75" x14ac:dyDescent="0.2">
      <c r="A351" s="648"/>
      <c r="B351" s="648"/>
      <c r="C351" s="30"/>
      <c r="D351" s="30"/>
      <c r="E351" s="30"/>
      <c r="F351" s="30"/>
      <c r="G351" s="30"/>
      <c r="H351" s="635"/>
      <c r="I351" s="159">
        <f t="shared" si="249"/>
        <v>0</v>
      </c>
      <c r="J351" s="635"/>
      <c r="K351" s="30"/>
      <c r="L351" s="30"/>
      <c r="M351" s="635"/>
      <c r="N351" s="635"/>
      <c r="O351" s="635"/>
      <c r="P351" s="635"/>
      <c r="Q351" s="635"/>
      <c r="R351" s="635"/>
      <c r="S351" s="660"/>
      <c r="T351" s="648"/>
      <c r="U351" s="30"/>
      <c r="V351" s="30"/>
      <c r="W351" s="30"/>
      <c r="X351" s="30"/>
      <c r="Y351" s="30"/>
      <c r="Z351" s="635"/>
      <c r="AA351" s="51">
        <f t="shared" si="250"/>
        <v>0</v>
      </c>
      <c r="AB351" s="635"/>
      <c r="AC351" s="30"/>
      <c r="AD351" s="30"/>
      <c r="AE351" s="635"/>
      <c r="AF351" s="635"/>
      <c r="AG351" s="635"/>
      <c r="AH351" s="635"/>
      <c r="AI351" s="638"/>
      <c r="AJ351" s="635"/>
      <c r="AK351" s="642"/>
      <c r="AL351" s="648"/>
      <c r="AM351" s="29">
        <v>24</v>
      </c>
      <c r="AN351" s="31">
        <v>484</v>
      </c>
      <c r="AO351" s="31">
        <v>18007</v>
      </c>
      <c r="AP351" s="31">
        <v>18260</v>
      </c>
      <c r="AQ351" s="40"/>
      <c r="AR351" s="635"/>
      <c r="AS351" s="159">
        <f t="shared" si="251"/>
        <v>254</v>
      </c>
      <c r="AT351" s="153">
        <f>AS351</f>
        <v>254</v>
      </c>
      <c r="AU351" s="31" t="s">
        <v>52</v>
      </c>
      <c r="AV351" s="35">
        <v>1.4</v>
      </c>
      <c r="AW351" s="35" t="s">
        <v>52</v>
      </c>
      <c r="AX351" s="635"/>
      <c r="AY351" s="635"/>
      <c r="AZ351" s="635"/>
      <c r="BA351" s="147">
        <f t="shared" ref="BA351:BA352" si="254">AV351*60</f>
        <v>84</v>
      </c>
      <c r="BB351" s="165"/>
      <c r="BC351" s="95">
        <f t="shared" ref="BC351:BC352" si="255">IF(BA351=0,0,AT351/BA351)</f>
        <v>3.0238095238095237</v>
      </c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18"/>
      <c r="BX351" s="118"/>
      <c r="BY351" s="118"/>
      <c r="BZ351" s="118"/>
      <c r="CA351" s="118"/>
      <c r="CB351" s="118"/>
      <c r="CC351" s="118"/>
      <c r="CD351" s="118"/>
      <c r="CE351" s="118"/>
      <c r="CF351" s="118"/>
      <c r="CG351" s="118"/>
      <c r="CH351" s="118"/>
      <c r="CI351" s="118"/>
      <c r="CJ351" s="118"/>
      <c r="CK351" s="118"/>
      <c r="CL351" s="118"/>
      <c r="CM351" s="118"/>
      <c r="CN351" s="92"/>
      <c r="CO351" s="93"/>
      <c r="CP351" s="93"/>
      <c r="CQ351" s="93"/>
      <c r="CR351" s="93"/>
      <c r="CS351" s="93"/>
      <c r="CT351" s="93"/>
      <c r="CU351" s="93"/>
      <c r="CV351" s="93"/>
      <c r="CW351" s="93"/>
      <c r="CX351" s="93"/>
      <c r="CY351" s="93"/>
      <c r="CZ351" s="93"/>
      <c r="DA351" s="93"/>
      <c r="DB351" s="93"/>
      <c r="DC351" s="94"/>
      <c r="DD351" s="118"/>
      <c r="DE351" s="118"/>
      <c r="DF351" s="118"/>
      <c r="DG351" s="118"/>
      <c r="DH351" s="118"/>
      <c r="DI351" s="118"/>
      <c r="DJ351" s="118"/>
      <c r="DK351" s="118"/>
      <c r="DL351" s="118"/>
      <c r="DM351" s="118"/>
      <c r="DN351" s="118"/>
      <c r="DO351" s="118"/>
      <c r="DP351" s="118"/>
      <c r="DQ351" s="118"/>
      <c r="DR351" s="118"/>
      <c r="DS351" s="118"/>
      <c r="DT351" s="118"/>
      <c r="DU351" s="19"/>
      <c r="DV351" s="19"/>
      <c r="DW351" s="19"/>
      <c r="DX351" s="19"/>
      <c r="DY351" s="19"/>
      <c r="DZ351" s="19"/>
    </row>
    <row r="352" spans="1:130" ht="12.75" x14ac:dyDescent="0.2">
      <c r="A352" s="651"/>
      <c r="B352" s="646">
        <v>46142</v>
      </c>
      <c r="C352" s="31"/>
      <c r="D352" s="31"/>
      <c r="E352" s="31"/>
      <c r="F352" s="31"/>
      <c r="G352" s="142"/>
      <c r="H352" s="652"/>
      <c r="I352" s="159">
        <f t="shared" si="249"/>
        <v>0</v>
      </c>
      <c r="J352" s="650">
        <f>SUM(I352:I355,H352)</f>
        <v>0</v>
      </c>
      <c r="K352" s="40"/>
      <c r="L352" s="40"/>
      <c r="M352" s="653"/>
      <c r="N352" s="653"/>
      <c r="O352" s="633">
        <f>SUM(M352:N355)</f>
        <v>0</v>
      </c>
      <c r="P352" s="653"/>
      <c r="Q352" s="636">
        <f>M352*60</f>
        <v>0</v>
      </c>
      <c r="R352" s="657">
        <f>IF(
   COUNTIF(K352:K355,"SI")&gt;0,
   1.8,
   IF(
      COUNTIF(L352:L355,"SI")&gt;0,
      1.6,
      2
   )
)</f>
        <v>2</v>
      </c>
      <c r="S352" s="658">
        <f>IF(Q352=0,0,J352/Q352)</f>
        <v>0</v>
      </c>
      <c r="T352" s="646">
        <v>46142</v>
      </c>
      <c r="U352" s="40"/>
      <c r="V352" s="31"/>
      <c r="W352" s="31"/>
      <c r="X352" s="31"/>
      <c r="Y352" s="31"/>
      <c r="Z352" s="653">
        <v>0</v>
      </c>
      <c r="AA352" s="51">
        <f t="shared" si="250"/>
        <v>0</v>
      </c>
      <c r="AB352" s="650">
        <f>SUM(AA352:AA355,Z352)</f>
        <v>0</v>
      </c>
      <c r="AC352" s="31"/>
      <c r="AD352" s="31"/>
      <c r="AE352" s="653"/>
      <c r="AF352" s="636"/>
      <c r="AG352" s="633">
        <f>SUM(AE352:AF355)</f>
        <v>0</v>
      </c>
      <c r="AH352" s="636">
        <v>0</v>
      </c>
      <c r="AI352" s="637">
        <f>AE352*60</f>
        <v>0</v>
      </c>
      <c r="AJ352" s="640">
        <f>IF(
   COUNTIF(AC352:AC355,"SI")&gt;0,
   1.8,
   IF(
      COUNTIF(AD352:AD355,"SI")&gt;0,
      1.6,
      2
   )
)</f>
        <v>2</v>
      </c>
      <c r="AK352" s="641">
        <f>IF(AI352=0,0,AB352/AI352)</f>
        <v>0</v>
      </c>
      <c r="AL352" s="646">
        <v>46142</v>
      </c>
      <c r="AM352" s="28">
        <v>103</v>
      </c>
      <c r="AN352" s="31">
        <v>724</v>
      </c>
      <c r="AO352" s="28">
        <v>14501</v>
      </c>
      <c r="AP352" s="41">
        <v>15001</v>
      </c>
      <c r="AQ352" s="28">
        <v>10</v>
      </c>
      <c r="AR352" s="649"/>
      <c r="AS352" s="159">
        <f t="shared" si="251"/>
        <v>491</v>
      </c>
      <c r="AT352" s="650">
        <f>SUM(AS352:AS353)+AR352</f>
        <v>743</v>
      </c>
      <c r="AU352" s="38" t="s">
        <v>51</v>
      </c>
      <c r="AV352" s="640">
        <v>5</v>
      </c>
      <c r="AW352" s="28" t="s">
        <v>51</v>
      </c>
      <c r="AX352" s="640">
        <v>1.2</v>
      </c>
      <c r="AY352" s="633">
        <f>SUM(AV352:AV354,AX352)</f>
        <v>7.5</v>
      </c>
      <c r="AZ352" s="636">
        <v>0.25</v>
      </c>
      <c r="BA352" s="636">
        <f t="shared" si="254"/>
        <v>300</v>
      </c>
      <c r="BB352" s="644">
        <f>IF(
   COUNTIF(AU352:AU353,"SI")&gt;0,
   1.8,
   IF(
      COUNTIF(AW352:AW353,"SI")&gt;0,
      1.6,
      2
   )
)</f>
        <v>1.8</v>
      </c>
      <c r="BC352" s="645">
        <f t="shared" si="255"/>
        <v>2.4766666666666666</v>
      </c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18"/>
      <c r="BX352" s="118"/>
      <c r="BY352" s="118"/>
      <c r="BZ352" s="118"/>
      <c r="CA352" s="118"/>
      <c r="CB352" s="118"/>
      <c r="CC352" s="118"/>
      <c r="CD352" s="118"/>
      <c r="CE352" s="118"/>
      <c r="CF352" s="118"/>
      <c r="CG352" s="118"/>
      <c r="CH352" s="118"/>
      <c r="CI352" s="118"/>
      <c r="CJ352" s="118"/>
      <c r="CK352" s="118"/>
      <c r="CL352" s="118"/>
      <c r="CM352" s="118"/>
      <c r="CN352" s="92"/>
      <c r="CO352" s="93"/>
      <c r="CP352" s="93"/>
      <c r="CQ352" s="93"/>
      <c r="CR352" s="93"/>
      <c r="CS352" s="93"/>
      <c r="CT352" s="93"/>
      <c r="CU352" s="93"/>
      <c r="CV352" s="93"/>
      <c r="CW352" s="93"/>
      <c r="CX352" s="93"/>
      <c r="CY352" s="93"/>
      <c r="CZ352" s="93"/>
      <c r="DA352" s="93"/>
      <c r="DB352" s="93"/>
      <c r="DC352" s="94"/>
      <c r="DD352" s="118"/>
      <c r="DE352" s="118"/>
      <c r="DF352" s="118"/>
      <c r="DG352" s="118"/>
      <c r="DH352" s="118"/>
      <c r="DI352" s="118"/>
      <c r="DJ352" s="118"/>
      <c r="DK352" s="118"/>
      <c r="DL352" s="118"/>
      <c r="DM352" s="118"/>
      <c r="DN352" s="118"/>
      <c r="DO352" s="118"/>
      <c r="DP352" s="118"/>
      <c r="DQ352" s="118"/>
      <c r="DR352" s="118"/>
      <c r="DS352" s="118"/>
      <c r="DT352" s="118"/>
      <c r="DU352" s="19"/>
      <c r="DV352" s="19"/>
      <c r="DW352" s="19"/>
      <c r="DX352" s="19"/>
      <c r="DY352" s="19"/>
      <c r="DZ352" s="19"/>
    </row>
    <row r="353" spans="1:130" ht="12.75" x14ac:dyDescent="0.2">
      <c r="A353" s="647"/>
      <c r="B353" s="647"/>
      <c r="C353" s="40"/>
      <c r="D353" s="40"/>
      <c r="E353" s="40"/>
      <c r="F353" s="40"/>
      <c r="G353" s="40"/>
      <c r="H353" s="634"/>
      <c r="I353" s="159">
        <f t="shared" si="249"/>
        <v>0</v>
      </c>
      <c r="J353" s="634"/>
      <c r="K353" s="40"/>
      <c r="L353" s="40"/>
      <c r="M353" s="634"/>
      <c r="N353" s="634"/>
      <c r="O353" s="634"/>
      <c r="P353" s="634"/>
      <c r="Q353" s="634"/>
      <c r="R353" s="634"/>
      <c r="S353" s="659"/>
      <c r="T353" s="647"/>
      <c r="U353" s="40"/>
      <c r="V353" s="31"/>
      <c r="W353" s="31"/>
      <c r="X353" s="31"/>
      <c r="Y353" s="31"/>
      <c r="Z353" s="634"/>
      <c r="AA353" s="51">
        <f t="shared" si="250"/>
        <v>0</v>
      </c>
      <c r="AB353" s="634"/>
      <c r="AC353" s="31"/>
      <c r="AD353" s="31"/>
      <c r="AE353" s="634"/>
      <c r="AF353" s="634"/>
      <c r="AG353" s="634"/>
      <c r="AH353" s="634"/>
      <c r="AI353" s="638"/>
      <c r="AJ353" s="634"/>
      <c r="AK353" s="642"/>
      <c r="AL353" s="647"/>
      <c r="AM353" s="28"/>
      <c r="AN353" s="28">
        <v>725</v>
      </c>
      <c r="AO353" s="28">
        <v>15002</v>
      </c>
      <c r="AP353" s="28">
        <v>15253</v>
      </c>
      <c r="AQ353" s="29"/>
      <c r="AR353" s="634"/>
      <c r="AS353" s="159">
        <f t="shared" si="251"/>
        <v>252</v>
      </c>
      <c r="AT353" s="634"/>
      <c r="AU353" s="38" t="s">
        <v>51</v>
      </c>
      <c r="AV353" s="634"/>
      <c r="AW353" s="28" t="s">
        <v>51</v>
      </c>
      <c r="AX353" s="634"/>
      <c r="AY353" s="634"/>
      <c r="AZ353" s="634"/>
      <c r="BA353" s="635"/>
      <c r="BB353" s="634"/>
      <c r="BC353" s="634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18"/>
      <c r="BX353" s="118"/>
      <c r="BY353" s="118"/>
      <c r="BZ353" s="118"/>
      <c r="CA353" s="118"/>
      <c r="CB353" s="118"/>
      <c r="CC353" s="118"/>
      <c r="CD353" s="118"/>
      <c r="CE353" s="118"/>
      <c r="CF353" s="118"/>
      <c r="CG353" s="118"/>
      <c r="CH353" s="118"/>
      <c r="CI353" s="118"/>
      <c r="CJ353" s="118"/>
      <c r="CK353" s="118"/>
      <c r="CL353" s="118"/>
      <c r="CM353" s="118"/>
      <c r="CN353" s="92"/>
      <c r="CO353" s="93"/>
      <c r="CP353" s="93"/>
      <c r="CQ353" s="93"/>
      <c r="CR353" s="93"/>
      <c r="CS353" s="93"/>
      <c r="CT353" s="93"/>
      <c r="CU353" s="93"/>
      <c r="CV353" s="93"/>
      <c r="CW353" s="93"/>
      <c r="CX353" s="93"/>
      <c r="CY353" s="93"/>
      <c r="CZ353" s="93"/>
      <c r="DA353" s="93"/>
      <c r="DB353" s="93"/>
      <c r="DC353" s="94"/>
      <c r="DD353" s="118"/>
      <c r="DE353" s="118"/>
      <c r="DF353" s="118"/>
      <c r="DG353" s="118"/>
      <c r="DH353" s="118"/>
      <c r="DI353" s="118"/>
      <c r="DJ353" s="118"/>
      <c r="DK353" s="118"/>
      <c r="DL353" s="118"/>
      <c r="DM353" s="118"/>
      <c r="DN353" s="118"/>
      <c r="DO353" s="118"/>
      <c r="DP353" s="118"/>
      <c r="DQ353" s="118"/>
      <c r="DR353" s="118"/>
      <c r="DS353" s="118"/>
      <c r="DT353" s="118"/>
      <c r="DU353" s="19"/>
      <c r="DV353" s="19"/>
      <c r="DW353" s="19"/>
      <c r="DX353" s="19"/>
      <c r="DY353" s="19"/>
      <c r="DZ353" s="19"/>
    </row>
    <row r="354" spans="1:130" ht="12.75" x14ac:dyDescent="0.2">
      <c r="A354" s="647"/>
      <c r="B354" s="647"/>
      <c r="C354" s="40"/>
      <c r="D354" s="160"/>
      <c r="E354" s="160"/>
      <c r="F354" s="160"/>
      <c r="G354" s="160"/>
      <c r="H354" s="634"/>
      <c r="I354" s="159">
        <f t="shared" si="249"/>
        <v>0</v>
      </c>
      <c r="J354" s="634"/>
      <c r="K354" s="40"/>
      <c r="L354" s="40"/>
      <c r="M354" s="634"/>
      <c r="N354" s="634"/>
      <c r="O354" s="634"/>
      <c r="P354" s="634"/>
      <c r="Q354" s="634"/>
      <c r="R354" s="634"/>
      <c r="S354" s="659"/>
      <c r="T354" s="647"/>
      <c r="U354" s="40"/>
      <c r="V354" s="31"/>
      <c r="W354" s="40"/>
      <c r="X354" s="40"/>
      <c r="Y354" s="40"/>
      <c r="Z354" s="634"/>
      <c r="AA354" s="51">
        <f t="shared" si="250"/>
        <v>0</v>
      </c>
      <c r="AB354" s="634"/>
      <c r="AC354" s="40"/>
      <c r="AD354" s="40"/>
      <c r="AE354" s="634"/>
      <c r="AF354" s="634"/>
      <c r="AG354" s="634"/>
      <c r="AH354" s="634"/>
      <c r="AI354" s="638"/>
      <c r="AJ354" s="634"/>
      <c r="AK354" s="642"/>
      <c r="AL354" s="647"/>
      <c r="AM354" s="41"/>
      <c r="AN354" s="41">
        <v>484</v>
      </c>
      <c r="AO354" s="41">
        <v>18261</v>
      </c>
      <c r="AP354" s="41">
        <v>18501</v>
      </c>
      <c r="AQ354" s="41">
        <v>4</v>
      </c>
      <c r="AR354" s="634"/>
      <c r="AS354" s="159">
        <f t="shared" si="251"/>
        <v>237</v>
      </c>
      <c r="AT354" s="146">
        <f>AS354</f>
        <v>237</v>
      </c>
      <c r="AU354" s="152" t="s">
        <v>52</v>
      </c>
      <c r="AV354" s="28">
        <v>1.3</v>
      </c>
      <c r="AW354" s="152" t="s">
        <v>52</v>
      </c>
      <c r="AX354" s="634"/>
      <c r="AY354" s="634"/>
      <c r="AZ354" s="634"/>
      <c r="BA354" s="150">
        <f>AV354*60</f>
        <v>78</v>
      </c>
      <c r="BB354" s="156"/>
      <c r="BC354" s="95">
        <f>IF(BA354=0,0,AT354/BA354)</f>
        <v>3.0384615384615383</v>
      </c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18"/>
      <c r="BX354" s="118"/>
      <c r="BY354" s="118"/>
      <c r="BZ354" s="118"/>
      <c r="CA354" s="118"/>
      <c r="CB354" s="118"/>
      <c r="CC354" s="118"/>
      <c r="CD354" s="118"/>
      <c r="CE354" s="118"/>
      <c r="CF354" s="118"/>
      <c r="CG354" s="118"/>
      <c r="CH354" s="118"/>
      <c r="CI354" s="118"/>
      <c r="CJ354" s="118"/>
      <c r="CK354" s="118"/>
      <c r="CL354" s="118"/>
      <c r="CM354" s="118"/>
      <c r="CN354" s="92"/>
      <c r="CO354" s="93"/>
      <c r="CP354" s="93"/>
      <c r="CQ354" s="93"/>
      <c r="CR354" s="93"/>
      <c r="CS354" s="93"/>
      <c r="CT354" s="93"/>
      <c r="CU354" s="93"/>
      <c r="CV354" s="93"/>
      <c r="CW354" s="93"/>
      <c r="CX354" s="93"/>
      <c r="CY354" s="93"/>
      <c r="CZ354" s="93"/>
      <c r="DA354" s="93"/>
      <c r="DB354" s="93"/>
      <c r="DC354" s="94"/>
      <c r="DD354" s="118"/>
      <c r="DE354" s="118"/>
      <c r="DF354" s="118"/>
      <c r="DG354" s="118"/>
      <c r="DH354" s="118"/>
      <c r="DI354" s="118"/>
      <c r="DJ354" s="118"/>
      <c r="DK354" s="118"/>
      <c r="DL354" s="118"/>
      <c r="DM354" s="118"/>
      <c r="DN354" s="118"/>
      <c r="DO354" s="118"/>
      <c r="DP354" s="118"/>
      <c r="DQ354" s="118"/>
      <c r="DR354" s="118"/>
      <c r="DS354" s="118"/>
      <c r="DT354" s="118"/>
      <c r="DU354" s="19"/>
      <c r="DV354" s="19"/>
      <c r="DW354" s="19"/>
      <c r="DX354" s="19"/>
      <c r="DY354" s="19"/>
      <c r="DZ354" s="19"/>
    </row>
    <row r="355" spans="1:130" ht="12.75" x14ac:dyDescent="0.2">
      <c r="A355" s="648"/>
      <c r="B355" s="648"/>
      <c r="C355" s="40"/>
      <c r="D355" s="160"/>
      <c r="E355" s="160"/>
      <c r="F355" s="160"/>
      <c r="G355" s="160"/>
      <c r="H355" s="635"/>
      <c r="I355" s="159">
        <f t="shared" si="249"/>
        <v>0</v>
      </c>
      <c r="J355" s="635"/>
      <c r="K355" s="40"/>
      <c r="L355" s="40"/>
      <c r="M355" s="635"/>
      <c r="N355" s="635"/>
      <c r="O355" s="635"/>
      <c r="P355" s="635"/>
      <c r="Q355" s="635"/>
      <c r="R355" s="635"/>
      <c r="S355" s="660"/>
      <c r="T355" s="648"/>
      <c r="U355" s="40"/>
      <c r="V355" s="40"/>
      <c r="W355" s="40"/>
      <c r="X355" s="40"/>
      <c r="Y355" s="40"/>
      <c r="Z355" s="635"/>
      <c r="AA355" s="51">
        <f t="shared" si="250"/>
        <v>0</v>
      </c>
      <c r="AB355" s="635"/>
      <c r="AC355" s="40"/>
      <c r="AD355" s="40"/>
      <c r="AE355" s="635"/>
      <c r="AF355" s="635"/>
      <c r="AG355" s="635"/>
      <c r="AH355" s="635"/>
      <c r="AI355" s="639"/>
      <c r="AJ355" s="635"/>
      <c r="AK355" s="643"/>
      <c r="AL355" s="648"/>
      <c r="AM355" s="51"/>
      <c r="AN355" s="28"/>
      <c r="AO355" s="28"/>
      <c r="AP355" s="28"/>
      <c r="AQ355" s="51"/>
      <c r="AR355" s="635"/>
      <c r="AS355" s="159">
        <f t="shared" si="251"/>
        <v>0</v>
      </c>
      <c r="AT355" s="464"/>
      <c r="AU355" s="150"/>
      <c r="AV355" s="50"/>
      <c r="AW355" s="51"/>
      <c r="AX355" s="635"/>
      <c r="AY355" s="635"/>
      <c r="AZ355" s="635"/>
      <c r="BA355" s="465"/>
      <c r="BB355" s="165"/>
      <c r="BC355" s="466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18"/>
      <c r="BX355" s="118"/>
      <c r="BY355" s="118"/>
      <c r="BZ355" s="118"/>
      <c r="CA355" s="118"/>
      <c r="CB355" s="118"/>
      <c r="CC355" s="118"/>
      <c r="CD355" s="118"/>
      <c r="CE355" s="118"/>
      <c r="CF355" s="118"/>
      <c r="CG355" s="118"/>
      <c r="CH355" s="118"/>
      <c r="CI355" s="118"/>
      <c r="CJ355" s="118"/>
      <c r="CK355" s="118"/>
      <c r="CL355" s="118"/>
      <c r="CM355" s="118"/>
      <c r="CN355" s="92"/>
      <c r="CO355" s="93"/>
      <c r="CP355" s="93"/>
      <c r="CQ355" s="93"/>
      <c r="CR355" s="93"/>
      <c r="CS355" s="93"/>
      <c r="CT355" s="93"/>
      <c r="CU355" s="93"/>
      <c r="CV355" s="93"/>
      <c r="CW355" s="93"/>
      <c r="CX355" s="93"/>
      <c r="CY355" s="93"/>
      <c r="CZ355" s="93"/>
      <c r="DA355" s="93"/>
      <c r="DB355" s="93"/>
      <c r="DC355" s="94"/>
      <c r="DD355" s="118"/>
      <c r="DE355" s="118"/>
      <c r="DF355" s="118"/>
      <c r="DG355" s="118"/>
      <c r="DH355" s="118"/>
      <c r="DI355" s="118"/>
      <c r="DJ355" s="118"/>
      <c r="DK355" s="118"/>
      <c r="DL355" s="118"/>
      <c r="DM355" s="118"/>
      <c r="DN355" s="118"/>
      <c r="DO355" s="118"/>
      <c r="DP355" s="118"/>
      <c r="DQ355" s="118"/>
      <c r="DR355" s="118"/>
      <c r="DS355" s="118"/>
      <c r="DT355" s="118"/>
      <c r="DU355" s="19"/>
      <c r="DV355" s="19"/>
      <c r="DW355" s="19"/>
      <c r="DX355" s="19"/>
      <c r="DY355" s="19"/>
      <c r="DZ355" s="19"/>
    </row>
    <row r="356" spans="1:130" ht="12.75" x14ac:dyDescent="0.2">
      <c r="A356" s="654"/>
      <c r="B356" s="655">
        <v>46143</v>
      </c>
      <c r="C356" s="29"/>
      <c r="D356" s="29"/>
      <c r="E356" s="29"/>
      <c r="F356" s="29"/>
      <c r="G356" s="158"/>
      <c r="H356" s="649"/>
      <c r="I356" s="159">
        <f t="shared" si="249"/>
        <v>0</v>
      </c>
      <c r="J356" s="650">
        <f>SUM(I356:I359,H356)</f>
        <v>0</v>
      </c>
      <c r="K356" s="158"/>
      <c r="L356" s="158"/>
      <c r="M356" s="653"/>
      <c r="N356" s="653"/>
      <c r="O356" s="633">
        <f>SUM(M356:N359)</f>
        <v>0</v>
      </c>
      <c r="P356" s="649"/>
      <c r="Q356" s="640">
        <f>M356*60</f>
        <v>0</v>
      </c>
      <c r="R356" s="657">
        <f>IF(
   COUNTIF(K356:K359,"SI")&gt;0,
   1.8,
   IF(
      COUNTIF(L356:L359,"SI")&gt;0,
      1.6,
      2
   )
)</f>
        <v>2</v>
      </c>
      <c r="S356" s="658">
        <f>IF(Q356=0,0,J356/Q356)</f>
        <v>0</v>
      </c>
      <c r="T356" s="655">
        <v>46143</v>
      </c>
      <c r="U356" s="30"/>
      <c r="V356" s="28"/>
      <c r="W356" s="28"/>
      <c r="X356" s="28"/>
      <c r="Y356" s="28"/>
      <c r="Z356" s="640"/>
      <c r="AA356" s="51">
        <f t="shared" si="250"/>
        <v>0</v>
      </c>
      <c r="AB356" s="650">
        <f>SUM(AA356:AA359,Z356)</f>
        <v>0</v>
      </c>
      <c r="AC356" s="28"/>
      <c r="AD356" s="28"/>
      <c r="AE356" s="640"/>
      <c r="AF356" s="640"/>
      <c r="AG356" s="633">
        <f>SUM(AE356:AF359)</f>
        <v>0</v>
      </c>
      <c r="AH356" s="640">
        <v>0</v>
      </c>
      <c r="AI356" s="664">
        <f>AE356*60</f>
        <v>0</v>
      </c>
      <c r="AJ356" s="640">
        <f>IF(
   COUNTIF(AC356:AC359,"SI")&gt;0,
   1.8,
   IF(
      COUNTIF(AD356:AD359,"SI")&gt;0,
      1.6,
      2
   )
)</f>
        <v>2</v>
      </c>
      <c r="AK356" s="665">
        <f>IF(AI356=0,0,AB356/AI356)</f>
        <v>0</v>
      </c>
      <c r="AL356" s="655">
        <v>46143</v>
      </c>
      <c r="AM356" s="28"/>
      <c r="AN356" s="28"/>
      <c r="AO356" s="28"/>
      <c r="AP356" s="41"/>
      <c r="AQ356" s="28"/>
      <c r="AR356" s="649"/>
      <c r="AS356" s="159">
        <f t="shared" si="251"/>
        <v>0</v>
      </c>
      <c r="AT356" s="650">
        <f>SUM(AS356:AS359)+AR356</f>
        <v>0</v>
      </c>
      <c r="AU356" s="38"/>
      <c r="AV356" s="640"/>
      <c r="AW356" s="28"/>
      <c r="AX356" s="640"/>
      <c r="AY356" s="633">
        <f>SUM(AV356+AV359+AX356)</f>
        <v>0</v>
      </c>
      <c r="AZ356" s="649"/>
      <c r="BA356" s="640">
        <f>AV356*60</f>
        <v>0</v>
      </c>
      <c r="BB356" s="644">
        <f>IF(
   COUNTIF(AU356:AU359,"SI")&gt;0,
   1.8,
   IF(
      COUNTIF(AV356:AV359,"SI")&gt;0,
      1.6,
      2
   )
)</f>
        <v>2</v>
      </c>
      <c r="BC356" s="645">
        <f>IF(BA356=0,0,AT356/BA356)</f>
        <v>0</v>
      </c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18"/>
      <c r="BX356" s="118"/>
      <c r="BY356" s="118"/>
      <c r="BZ356" s="118"/>
      <c r="CA356" s="118"/>
      <c r="CB356" s="118"/>
      <c r="CC356" s="118"/>
      <c r="CD356" s="118"/>
      <c r="CE356" s="118"/>
      <c r="CF356" s="118"/>
      <c r="CG356" s="118"/>
      <c r="CH356" s="118"/>
      <c r="CI356" s="118"/>
      <c r="CJ356" s="118"/>
      <c r="CK356" s="118"/>
      <c r="CL356" s="118"/>
      <c r="CM356" s="118"/>
      <c r="CN356" s="92"/>
      <c r="CO356" s="93"/>
      <c r="CP356" s="93"/>
      <c r="CQ356" s="93"/>
      <c r="CR356" s="93"/>
      <c r="CS356" s="93"/>
      <c r="CT356" s="93"/>
      <c r="CU356" s="93"/>
      <c r="CV356" s="93"/>
      <c r="CW356" s="93"/>
      <c r="CX356" s="93"/>
      <c r="CY356" s="93"/>
      <c r="CZ356" s="93"/>
      <c r="DA356" s="93"/>
      <c r="DB356" s="93"/>
      <c r="DC356" s="94"/>
      <c r="DD356" s="118"/>
      <c r="DE356" s="118"/>
      <c r="DF356" s="118"/>
      <c r="DG356" s="118"/>
      <c r="DH356" s="118"/>
      <c r="DI356" s="118"/>
      <c r="DJ356" s="118"/>
      <c r="DK356" s="118"/>
      <c r="DL356" s="118"/>
      <c r="DM356" s="118"/>
      <c r="DN356" s="118"/>
      <c r="DO356" s="118"/>
      <c r="DP356" s="118"/>
      <c r="DQ356" s="118"/>
      <c r="DR356" s="118"/>
      <c r="DS356" s="118"/>
      <c r="DT356" s="118"/>
      <c r="DU356" s="19"/>
      <c r="DV356" s="19"/>
      <c r="DW356" s="19"/>
      <c r="DX356" s="19"/>
      <c r="DY356" s="19"/>
      <c r="DZ356" s="19"/>
    </row>
    <row r="357" spans="1:130" ht="12.75" x14ac:dyDescent="0.2">
      <c r="A357" s="647"/>
      <c r="B357" s="647"/>
      <c r="C357" s="29"/>
      <c r="D357" s="30"/>
      <c r="E357" s="29"/>
      <c r="F357" s="29"/>
      <c r="G357" s="30"/>
      <c r="H357" s="634"/>
      <c r="I357" s="159">
        <f t="shared" si="249"/>
        <v>0</v>
      </c>
      <c r="J357" s="634"/>
      <c r="K357" s="30"/>
      <c r="L357" s="30"/>
      <c r="M357" s="634"/>
      <c r="N357" s="634"/>
      <c r="O357" s="634"/>
      <c r="P357" s="634"/>
      <c r="Q357" s="634"/>
      <c r="R357" s="634"/>
      <c r="S357" s="659"/>
      <c r="T357" s="647"/>
      <c r="U357" s="30"/>
      <c r="V357" s="28"/>
      <c r="W357" s="28"/>
      <c r="X357" s="28"/>
      <c r="Y357" s="29"/>
      <c r="Z357" s="634"/>
      <c r="AA357" s="51">
        <f t="shared" si="250"/>
        <v>0</v>
      </c>
      <c r="AB357" s="634"/>
      <c r="AC357" s="28"/>
      <c r="AD357" s="28"/>
      <c r="AE357" s="634"/>
      <c r="AF357" s="634"/>
      <c r="AG357" s="634"/>
      <c r="AH357" s="634"/>
      <c r="AI357" s="638"/>
      <c r="AJ357" s="634"/>
      <c r="AK357" s="642"/>
      <c r="AL357" s="647"/>
      <c r="AM357" s="28"/>
      <c r="AN357" s="28"/>
      <c r="AO357" s="28"/>
      <c r="AP357" s="28"/>
      <c r="AQ357" s="30"/>
      <c r="AR357" s="634"/>
      <c r="AS357" s="159">
        <f t="shared" si="251"/>
        <v>0</v>
      </c>
      <c r="AT357" s="634"/>
      <c r="AU357" s="150"/>
      <c r="AV357" s="634"/>
      <c r="AW357" s="51"/>
      <c r="AX357" s="634"/>
      <c r="AY357" s="634"/>
      <c r="AZ357" s="634"/>
      <c r="BA357" s="634"/>
      <c r="BB357" s="634"/>
      <c r="BC357" s="634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18"/>
      <c r="BX357" s="118"/>
      <c r="BY357" s="118"/>
      <c r="BZ357" s="118"/>
      <c r="CA357" s="118"/>
      <c r="CB357" s="118"/>
      <c r="CC357" s="118"/>
      <c r="CD357" s="118"/>
      <c r="CE357" s="118"/>
      <c r="CF357" s="118"/>
      <c r="CG357" s="118"/>
      <c r="CH357" s="118"/>
      <c r="CI357" s="118"/>
      <c r="CJ357" s="118"/>
      <c r="CK357" s="118"/>
      <c r="CL357" s="118"/>
      <c r="CM357" s="118"/>
      <c r="CN357" s="92"/>
      <c r="CO357" s="93"/>
      <c r="CP357" s="93"/>
      <c r="CQ357" s="93"/>
      <c r="CR357" s="93"/>
      <c r="CS357" s="93"/>
      <c r="CT357" s="93"/>
      <c r="CU357" s="93"/>
      <c r="CV357" s="93"/>
      <c r="CW357" s="93"/>
      <c r="CX357" s="93"/>
      <c r="CY357" s="93"/>
      <c r="CZ357" s="93"/>
      <c r="DA357" s="93"/>
      <c r="DB357" s="93"/>
      <c r="DC357" s="94"/>
      <c r="DD357" s="118"/>
      <c r="DE357" s="118"/>
      <c r="DF357" s="118"/>
      <c r="DG357" s="118"/>
      <c r="DH357" s="118"/>
      <c r="DI357" s="118"/>
      <c r="DJ357" s="118"/>
      <c r="DK357" s="118"/>
      <c r="DL357" s="118"/>
      <c r="DM357" s="118"/>
      <c r="DN357" s="118"/>
      <c r="DO357" s="118"/>
      <c r="DP357" s="118"/>
      <c r="DQ357" s="118"/>
      <c r="DR357" s="118"/>
      <c r="DS357" s="118"/>
      <c r="DT357" s="118"/>
      <c r="DU357" s="19"/>
      <c r="DV357" s="19"/>
      <c r="DW357" s="19"/>
      <c r="DX357" s="19"/>
      <c r="DY357" s="19"/>
      <c r="DZ357" s="19"/>
    </row>
    <row r="358" spans="1:130" ht="12.75" x14ac:dyDescent="0.2">
      <c r="A358" s="647"/>
      <c r="B358" s="647"/>
      <c r="C358" s="30"/>
      <c r="D358" s="30"/>
      <c r="E358" s="30"/>
      <c r="F358" s="30"/>
      <c r="G358" s="30"/>
      <c r="H358" s="634"/>
      <c r="I358" s="159">
        <f t="shared" si="249"/>
        <v>0</v>
      </c>
      <c r="J358" s="634"/>
      <c r="K358" s="30"/>
      <c r="L358" s="30"/>
      <c r="M358" s="634"/>
      <c r="N358" s="634"/>
      <c r="O358" s="634"/>
      <c r="P358" s="634"/>
      <c r="Q358" s="634"/>
      <c r="R358" s="634"/>
      <c r="S358" s="659"/>
      <c r="T358" s="647"/>
      <c r="U358" s="30"/>
      <c r="V358" s="29"/>
      <c r="W358" s="29"/>
      <c r="X358" s="29"/>
      <c r="Y358" s="29"/>
      <c r="Z358" s="634"/>
      <c r="AA358" s="51">
        <f t="shared" si="250"/>
        <v>0</v>
      </c>
      <c r="AB358" s="634"/>
      <c r="AC358" s="29"/>
      <c r="AD358" s="29"/>
      <c r="AE358" s="634"/>
      <c r="AF358" s="634"/>
      <c r="AG358" s="634"/>
      <c r="AH358" s="634"/>
      <c r="AI358" s="638"/>
      <c r="AJ358" s="634"/>
      <c r="AK358" s="642"/>
      <c r="AL358" s="647"/>
      <c r="AM358" s="41"/>
      <c r="AN358" s="41"/>
      <c r="AO358" s="41"/>
      <c r="AP358" s="41"/>
      <c r="AQ358" s="48"/>
      <c r="AR358" s="634"/>
      <c r="AS358" s="159">
        <f t="shared" si="251"/>
        <v>0</v>
      </c>
      <c r="AT358" s="634"/>
      <c r="AU358" s="145"/>
      <c r="AV358" s="634"/>
      <c r="AW358" s="145"/>
      <c r="AX358" s="634"/>
      <c r="AY358" s="634"/>
      <c r="AZ358" s="634"/>
      <c r="BA358" s="634"/>
      <c r="BB358" s="634"/>
      <c r="BC358" s="634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18"/>
      <c r="BX358" s="118"/>
      <c r="BY358" s="118"/>
      <c r="BZ358" s="118"/>
      <c r="CA358" s="118"/>
      <c r="CB358" s="118"/>
      <c r="CC358" s="118"/>
      <c r="CD358" s="118"/>
      <c r="CE358" s="118"/>
      <c r="CF358" s="118"/>
      <c r="CG358" s="118"/>
      <c r="CH358" s="118"/>
      <c r="CI358" s="118"/>
      <c r="CJ358" s="118"/>
      <c r="CK358" s="118"/>
      <c r="CL358" s="118"/>
      <c r="CM358" s="118"/>
      <c r="CN358" s="92"/>
      <c r="CO358" s="93"/>
      <c r="CP358" s="93"/>
      <c r="CQ358" s="93"/>
      <c r="CR358" s="93"/>
      <c r="CS358" s="93"/>
      <c r="CT358" s="93"/>
      <c r="CU358" s="93"/>
      <c r="CV358" s="93"/>
      <c r="CW358" s="93"/>
      <c r="CX358" s="93"/>
      <c r="CY358" s="93"/>
      <c r="CZ358" s="93"/>
      <c r="DA358" s="93"/>
      <c r="DB358" s="93"/>
      <c r="DC358" s="94"/>
      <c r="DD358" s="118"/>
      <c r="DE358" s="118"/>
      <c r="DF358" s="118"/>
      <c r="DG358" s="118"/>
      <c r="DH358" s="118"/>
      <c r="DI358" s="118"/>
      <c r="DJ358" s="118"/>
      <c r="DK358" s="118"/>
      <c r="DL358" s="118"/>
      <c r="DM358" s="118"/>
      <c r="DN358" s="118"/>
      <c r="DO358" s="118"/>
      <c r="DP358" s="118"/>
      <c r="DQ358" s="118"/>
      <c r="DR358" s="118"/>
      <c r="DS358" s="118"/>
      <c r="DT358" s="118"/>
      <c r="DU358" s="19"/>
      <c r="DV358" s="19"/>
      <c r="DW358" s="19"/>
      <c r="DX358" s="19"/>
      <c r="DY358" s="19"/>
      <c r="DZ358" s="19"/>
    </row>
    <row r="359" spans="1:130" ht="12.75" x14ac:dyDescent="0.2">
      <c r="A359" s="648"/>
      <c r="B359" s="648"/>
      <c r="C359" s="30"/>
      <c r="D359" s="30"/>
      <c r="E359" s="30"/>
      <c r="F359" s="30"/>
      <c r="G359" s="30"/>
      <c r="H359" s="635"/>
      <c r="I359" s="159">
        <f t="shared" si="249"/>
        <v>0</v>
      </c>
      <c r="J359" s="635"/>
      <c r="K359" s="30"/>
      <c r="L359" s="30"/>
      <c r="M359" s="635"/>
      <c r="N359" s="635"/>
      <c r="O359" s="635"/>
      <c r="P359" s="635"/>
      <c r="Q359" s="635"/>
      <c r="R359" s="635"/>
      <c r="S359" s="660"/>
      <c r="T359" s="648"/>
      <c r="U359" s="30"/>
      <c r="V359" s="30"/>
      <c r="W359" s="30"/>
      <c r="X359" s="30"/>
      <c r="Y359" s="30"/>
      <c r="Z359" s="635"/>
      <c r="AA359" s="51">
        <f t="shared" si="250"/>
        <v>0</v>
      </c>
      <c r="AB359" s="635"/>
      <c r="AC359" s="30"/>
      <c r="AD359" s="30"/>
      <c r="AE359" s="635"/>
      <c r="AF359" s="635"/>
      <c r="AG359" s="635"/>
      <c r="AH359" s="635"/>
      <c r="AI359" s="639"/>
      <c r="AJ359" s="635"/>
      <c r="AK359" s="643"/>
      <c r="AL359" s="648"/>
      <c r="AM359" s="51"/>
      <c r="AN359" s="28"/>
      <c r="AO359" s="28"/>
      <c r="AP359" s="28"/>
      <c r="AQ359" s="51"/>
      <c r="AR359" s="635"/>
      <c r="AS359" s="159">
        <f t="shared" si="251"/>
        <v>0</v>
      </c>
      <c r="AT359" s="635"/>
      <c r="AU359" s="150"/>
      <c r="AV359" s="635"/>
      <c r="AW359" s="51"/>
      <c r="AX359" s="635"/>
      <c r="AY359" s="635"/>
      <c r="AZ359" s="635"/>
      <c r="BA359" s="635"/>
      <c r="BB359" s="635"/>
      <c r="BC359" s="635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18"/>
      <c r="BX359" s="118"/>
      <c r="BY359" s="118"/>
      <c r="BZ359" s="118"/>
      <c r="CA359" s="118"/>
      <c r="CB359" s="118"/>
      <c r="CC359" s="118"/>
      <c r="CD359" s="118"/>
      <c r="CE359" s="118"/>
      <c r="CF359" s="118"/>
      <c r="CG359" s="118"/>
      <c r="CH359" s="118"/>
      <c r="CI359" s="118"/>
      <c r="CJ359" s="118"/>
      <c r="CK359" s="118"/>
      <c r="CL359" s="118"/>
      <c r="CM359" s="118"/>
      <c r="CN359" s="92"/>
      <c r="CO359" s="93"/>
      <c r="CP359" s="93"/>
      <c r="CQ359" s="93"/>
      <c r="CR359" s="93"/>
      <c r="CS359" s="93"/>
      <c r="CT359" s="93"/>
      <c r="CU359" s="93"/>
      <c r="CV359" s="93"/>
      <c r="CW359" s="93"/>
      <c r="CX359" s="93"/>
      <c r="CY359" s="93"/>
      <c r="CZ359" s="93"/>
      <c r="DA359" s="93"/>
      <c r="DB359" s="93"/>
      <c r="DC359" s="94"/>
      <c r="DD359" s="118"/>
      <c r="DE359" s="118"/>
      <c r="DF359" s="118"/>
      <c r="DG359" s="118"/>
      <c r="DH359" s="118"/>
      <c r="DI359" s="118"/>
      <c r="DJ359" s="118"/>
      <c r="DK359" s="118"/>
      <c r="DL359" s="118"/>
      <c r="DM359" s="118"/>
      <c r="DN359" s="118"/>
      <c r="DO359" s="118"/>
      <c r="DP359" s="118"/>
      <c r="DQ359" s="118"/>
      <c r="DR359" s="118"/>
      <c r="DS359" s="118"/>
      <c r="DT359" s="118"/>
      <c r="DU359" s="19"/>
      <c r="DV359" s="19"/>
      <c r="DW359" s="19"/>
      <c r="DX359" s="19"/>
      <c r="DY359" s="19"/>
      <c r="DZ359" s="19"/>
    </row>
    <row r="360" spans="1:130" ht="12.75" x14ac:dyDescent="0.2">
      <c r="A360" s="651"/>
      <c r="B360" s="646">
        <v>46144</v>
      </c>
      <c r="C360" s="31">
        <v>28</v>
      </c>
      <c r="D360" s="31">
        <v>694</v>
      </c>
      <c r="E360" s="31">
        <v>16501</v>
      </c>
      <c r="F360" s="31">
        <v>16620</v>
      </c>
      <c r="G360" s="40"/>
      <c r="H360" s="653"/>
      <c r="I360" s="159">
        <f t="shared" si="249"/>
        <v>120</v>
      </c>
      <c r="J360" s="650">
        <f>SUM(I360:I363,H360)</f>
        <v>120</v>
      </c>
      <c r="K360" s="40"/>
      <c r="L360" s="40"/>
      <c r="M360" s="653">
        <v>1</v>
      </c>
      <c r="N360" s="653">
        <v>0.5</v>
      </c>
      <c r="O360" s="633">
        <f>SUM(M360:N363)</f>
        <v>1.5</v>
      </c>
      <c r="P360" s="653"/>
      <c r="Q360" s="636">
        <f>M360*60</f>
        <v>60</v>
      </c>
      <c r="R360" s="657">
        <f>IF(
   COUNTIF(K360:K363,"SI")&gt;0,
   1.8,
   IF(
      COUNTIF(L360:L363,"SI")&gt;0,
      1.6,
      2
   )
)</f>
        <v>2</v>
      </c>
      <c r="S360" s="658">
        <f>IF(Q360=0,0,J360/Q360)</f>
        <v>2</v>
      </c>
      <c r="T360" s="646">
        <v>46144</v>
      </c>
      <c r="U360" s="40"/>
      <c r="V360" s="31">
        <v>661</v>
      </c>
      <c r="W360" s="31">
        <v>1</v>
      </c>
      <c r="X360" s="31">
        <v>502</v>
      </c>
      <c r="Y360" s="31">
        <v>0</v>
      </c>
      <c r="Z360" s="653">
        <v>0</v>
      </c>
      <c r="AA360" s="51">
        <f t="shared" si="250"/>
        <v>502</v>
      </c>
      <c r="AB360" s="650">
        <f>SUM(AA360:AA363,Z360)</f>
        <v>999</v>
      </c>
      <c r="AC360" s="31" t="s">
        <v>51</v>
      </c>
      <c r="AD360" s="31" t="s">
        <v>51</v>
      </c>
      <c r="AE360" s="653">
        <v>8</v>
      </c>
      <c r="AF360" s="653">
        <v>0.5</v>
      </c>
      <c r="AG360" s="633">
        <f>SUM(AE360:AF363)</f>
        <v>8.5</v>
      </c>
      <c r="AH360" s="653">
        <v>0</v>
      </c>
      <c r="AI360" s="637">
        <f>AE360*60</f>
        <v>480</v>
      </c>
      <c r="AJ360" s="640">
        <f>IF(
   COUNTIF(AC360:AC363,"SI")&gt;0,
   1.8,
   IF(
      COUNTIF(AD360:AD363,"SI")&gt;0,
      1.6,
      2
   )
)</f>
        <v>1.8</v>
      </c>
      <c r="AK360" s="665">
        <f>IF(AI360=0,0,AB360/AI360)</f>
        <v>2.0812499999999998</v>
      </c>
      <c r="AL360" s="646">
        <v>46144</v>
      </c>
      <c r="AM360" s="40"/>
      <c r="AN360" s="30"/>
      <c r="AO360" s="40"/>
      <c r="AP360" s="40"/>
      <c r="AQ360" s="40"/>
      <c r="AR360" s="653"/>
      <c r="AS360" s="159">
        <f t="shared" si="251"/>
        <v>0</v>
      </c>
      <c r="AT360" s="650">
        <f>SUM(AS360:AS363,AR360)</f>
        <v>0</v>
      </c>
      <c r="AU360" s="40"/>
      <c r="AV360" s="653"/>
      <c r="AW360" s="40"/>
      <c r="AX360" s="653"/>
      <c r="AY360" s="633">
        <f>SUM(AV360:AX363)</f>
        <v>0</v>
      </c>
      <c r="AZ360" s="653"/>
      <c r="BA360" s="636">
        <f>AV360*60</f>
        <v>0</v>
      </c>
      <c r="BB360" s="657">
        <f>IF(
   COUNTIF(AU360:AU363,"SI")&gt;0,
   1.8,
   IF(
      COUNTIF(AV360:AV363,"SI")&gt;0,
      1.6,
      2
   )
)</f>
        <v>2</v>
      </c>
      <c r="BC360" s="666">
        <f>IF(BA360=0,0,AT360/BA360)</f>
        <v>0</v>
      </c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18"/>
      <c r="BX360" s="118"/>
      <c r="BY360" s="118"/>
      <c r="BZ360" s="118"/>
      <c r="CA360" s="118"/>
      <c r="CB360" s="118"/>
      <c r="CC360" s="118"/>
      <c r="CD360" s="118"/>
      <c r="CE360" s="118"/>
      <c r="CF360" s="118"/>
      <c r="CG360" s="118"/>
      <c r="CH360" s="118"/>
      <c r="CI360" s="118"/>
      <c r="CJ360" s="118"/>
      <c r="CK360" s="118"/>
      <c r="CL360" s="118"/>
      <c r="CM360" s="118"/>
      <c r="CN360" s="92"/>
      <c r="CO360" s="93"/>
      <c r="CP360" s="93"/>
      <c r="CQ360" s="93"/>
      <c r="CR360" s="93"/>
      <c r="CS360" s="93"/>
      <c r="CT360" s="93"/>
      <c r="CU360" s="93"/>
      <c r="CV360" s="93"/>
      <c r="CW360" s="93"/>
      <c r="CX360" s="93"/>
      <c r="CY360" s="93"/>
      <c r="CZ360" s="93"/>
      <c r="DA360" s="93"/>
      <c r="DB360" s="93"/>
      <c r="DC360" s="94"/>
      <c r="DD360" s="118"/>
      <c r="DE360" s="118"/>
      <c r="DF360" s="118"/>
      <c r="DG360" s="118"/>
      <c r="DH360" s="118"/>
      <c r="DI360" s="118"/>
      <c r="DJ360" s="118"/>
      <c r="DK360" s="118"/>
      <c r="DL360" s="118"/>
      <c r="DM360" s="118"/>
      <c r="DN360" s="118"/>
      <c r="DO360" s="118"/>
      <c r="DP360" s="118"/>
      <c r="DQ360" s="118"/>
      <c r="DR360" s="118"/>
      <c r="DS360" s="118"/>
      <c r="DT360" s="118"/>
      <c r="DU360" s="19"/>
      <c r="DV360" s="19"/>
      <c r="DW360" s="19"/>
      <c r="DX360" s="19"/>
      <c r="DY360" s="19"/>
      <c r="DZ360" s="19"/>
    </row>
    <row r="361" spans="1:130" ht="12.75" x14ac:dyDescent="0.2">
      <c r="A361" s="647"/>
      <c r="B361" s="647"/>
      <c r="C361" s="40"/>
      <c r="D361" s="40"/>
      <c r="E361" s="40"/>
      <c r="F361" s="40"/>
      <c r="G361" s="40"/>
      <c r="H361" s="634"/>
      <c r="I361" s="159">
        <f t="shared" si="249"/>
        <v>0</v>
      </c>
      <c r="J361" s="634"/>
      <c r="K361" s="40"/>
      <c r="L361" s="40"/>
      <c r="M361" s="634"/>
      <c r="N361" s="634"/>
      <c r="O361" s="634"/>
      <c r="P361" s="634"/>
      <c r="Q361" s="634"/>
      <c r="R361" s="634"/>
      <c r="S361" s="659"/>
      <c r="T361" s="647"/>
      <c r="U361" s="40"/>
      <c r="V361" s="31">
        <v>662</v>
      </c>
      <c r="W361" s="31">
        <v>503</v>
      </c>
      <c r="X361" s="31">
        <v>999</v>
      </c>
      <c r="Y361" s="31">
        <v>0</v>
      </c>
      <c r="Z361" s="634"/>
      <c r="AA361" s="51">
        <f t="shared" si="250"/>
        <v>497</v>
      </c>
      <c r="AB361" s="634"/>
      <c r="AC361" s="31" t="s">
        <v>51</v>
      </c>
      <c r="AD361" s="31" t="s">
        <v>51</v>
      </c>
      <c r="AE361" s="634"/>
      <c r="AF361" s="634"/>
      <c r="AG361" s="634"/>
      <c r="AH361" s="634"/>
      <c r="AI361" s="638"/>
      <c r="AJ361" s="634"/>
      <c r="AK361" s="642"/>
      <c r="AL361" s="647"/>
      <c r="AM361" s="40"/>
      <c r="AN361" s="40"/>
      <c r="AO361" s="40"/>
      <c r="AP361" s="40"/>
      <c r="AQ361" s="40"/>
      <c r="AR361" s="634"/>
      <c r="AS361" s="159">
        <f t="shared" si="251"/>
        <v>0</v>
      </c>
      <c r="AT361" s="634"/>
      <c r="AU361" s="40"/>
      <c r="AV361" s="634"/>
      <c r="AW361" s="40"/>
      <c r="AX361" s="634"/>
      <c r="AY361" s="634"/>
      <c r="AZ361" s="634"/>
      <c r="BA361" s="634"/>
      <c r="BB361" s="634"/>
      <c r="BC361" s="634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18"/>
      <c r="BX361" s="118"/>
      <c r="BY361" s="118"/>
      <c r="BZ361" s="118"/>
      <c r="CA361" s="118"/>
      <c r="CB361" s="118"/>
      <c r="CC361" s="118"/>
      <c r="CD361" s="118"/>
      <c r="CE361" s="118"/>
      <c r="CF361" s="118"/>
      <c r="CG361" s="118"/>
      <c r="CH361" s="118"/>
      <c r="CI361" s="118"/>
      <c r="CJ361" s="118"/>
      <c r="CK361" s="118"/>
      <c r="CL361" s="118"/>
      <c r="CM361" s="118"/>
      <c r="CN361" s="92"/>
      <c r="CO361" s="93"/>
      <c r="CP361" s="93"/>
      <c r="CQ361" s="93"/>
      <c r="CR361" s="93"/>
      <c r="CS361" s="93"/>
      <c r="CT361" s="93"/>
      <c r="CU361" s="93"/>
      <c r="CV361" s="93"/>
      <c r="CW361" s="93"/>
      <c r="CX361" s="93"/>
      <c r="CY361" s="93"/>
      <c r="CZ361" s="93"/>
      <c r="DA361" s="93"/>
      <c r="DB361" s="93"/>
      <c r="DC361" s="94"/>
      <c r="DD361" s="118"/>
      <c r="DE361" s="118"/>
      <c r="DF361" s="118"/>
      <c r="DG361" s="118"/>
      <c r="DH361" s="118"/>
      <c r="DI361" s="118"/>
      <c r="DJ361" s="118"/>
      <c r="DK361" s="118"/>
      <c r="DL361" s="118"/>
      <c r="DM361" s="118"/>
      <c r="DN361" s="118"/>
      <c r="DO361" s="118"/>
      <c r="DP361" s="118"/>
      <c r="DQ361" s="118"/>
      <c r="DR361" s="118"/>
      <c r="DS361" s="118"/>
      <c r="DT361" s="118"/>
      <c r="DU361" s="19"/>
      <c r="DV361" s="19"/>
      <c r="DW361" s="19"/>
      <c r="DX361" s="19"/>
      <c r="DY361" s="19"/>
      <c r="DZ361" s="19"/>
    </row>
    <row r="362" spans="1:130" ht="12.75" x14ac:dyDescent="0.2">
      <c r="A362" s="647"/>
      <c r="B362" s="647"/>
      <c r="C362" s="40"/>
      <c r="D362" s="40"/>
      <c r="E362" s="40"/>
      <c r="F362" s="40"/>
      <c r="G362" s="40"/>
      <c r="H362" s="634"/>
      <c r="I362" s="159">
        <f t="shared" si="249"/>
        <v>0</v>
      </c>
      <c r="J362" s="634"/>
      <c r="K362" s="40"/>
      <c r="L362" s="40"/>
      <c r="M362" s="634"/>
      <c r="N362" s="634"/>
      <c r="O362" s="634"/>
      <c r="P362" s="634"/>
      <c r="Q362" s="634"/>
      <c r="R362" s="634"/>
      <c r="S362" s="659"/>
      <c r="T362" s="647"/>
      <c r="U362" s="40"/>
      <c r="V362" s="31"/>
      <c r="W362" s="31"/>
      <c r="X362" s="31"/>
      <c r="Y362" s="31"/>
      <c r="Z362" s="634"/>
      <c r="AA362" s="51">
        <f t="shared" si="250"/>
        <v>0</v>
      </c>
      <c r="AB362" s="634"/>
      <c r="AC362" s="31"/>
      <c r="AD362" s="31"/>
      <c r="AE362" s="634"/>
      <c r="AF362" s="634"/>
      <c r="AG362" s="634"/>
      <c r="AH362" s="634"/>
      <c r="AI362" s="638"/>
      <c r="AJ362" s="634"/>
      <c r="AK362" s="642"/>
      <c r="AL362" s="647"/>
      <c r="AM362" s="40"/>
      <c r="AN362" s="40"/>
      <c r="AO362" s="40"/>
      <c r="AP362" s="40"/>
      <c r="AQ362" s="40"/>
      <c r="AR362" s="634"/>
      <c r="AS362" s="159">
        <f t="shared" si="251"/>
        <v>0</v>
      </c>
      <c r="AT362" s="634"/>
      <c r="AU362" s="40"/>
      <c r="AV362" s="634"/>
      <c r="AW362" s="40"/>
      <c r="AX362" s="634"/>
      <c r="AY362" s="634"/>
      <c r="AZ362" s="634"/>
      <c r="BA362" s="634"/>
      <c r="BB362" s="634"/>
      <c r="BC362" s="634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18"/>
      <c r="BX362" s="118"/>
      <c r="BY362" s="118"/>
      <c r="BZ362" s="118"/>
      <c r="CA362" s="118"/>
      <c r="CB362" s="118"/>
      <c r="CC362" s="118"/>
      <c r="CD362" s="118"/>
      <c r="CE362" s="118"/>
      <c r="CF362" s="118"/>
      <c r="CG362" s="118"/>
      <c r="CH362" s="118"/>
      <c r="CI362" s="118"/>
      <c r="CJ362" s="118"/>
      <c r="CK362" s="118"/>
      <c r="CL362" s="118"/>
      <c r="CM362" s="118"/>
      <c r="CN362" s="92"/>
      <c r="CO362" s="93"/>
      <c r="CP362" s="93"/>
      <c r="CQ362" s="93"/>
      <c r="CR362" s="93"/>
      <c r="CS362" s="93"/>
      <c r="CT362" s="93"/>
      <c r="CU362" s="93"/>
      <c r="CV362" s="93"/>
      <c r="CW362" s="93"/>
      <c r="CX362" s="93"/>
      <c r="CY362" s="93"/>
      <c r="CZ362" s="93"/>
      <c r="DA362" s="93"/>
      <c r="DB362" s="93"/>
      <c r="DC362" s="94"/>
      <c r="DD362" s="118"/>
      <c r="DE362" s="118"/>
      <c r="DF362" s="118"/>
      <c r="DG362" s="118"/>
      <c r="DH362" s="118"/>
      <c r="DI362" s="118"/>
      <c r="DJ362" s="118"/>
      <c r="DK362" s="118"/>
      <c r="DL362" s="118"/>
      <c r="DM362" s="118"/>
      <c r="DN362" s="118"/>
      <c r="DO362" s="118"/>
      <c r="DP362" s="118"/>
      <c r="DQ362" s="118"/>
      <c r="DR362" s="118"/>
      <c r="DS362" s="118"/>
      <c r="DT362" s="118"/>
      <c r="DU362" s="19"/>
      <c r="DV362" s="19"/>
      <c r="DW362" s="19"/>
      <c r="DX362" s="19"/>
      <c r="DY362" s="19"/>
      <c r="DZ362" s="19"/>
    </row>
    <row r="363" spans="1:130" ht="12.75" x14ac:dyDescent="0.2">
      <c r="A363" s="648"/>
      <c r="B363" s="648"/>
      <c r="C363" s="40"/>
      <c r="D363" s="40"/>
      <c r="E363" s="40"/>
      <c r="F363" s="40"/>
      <c r="G363" s="40"/>
      <c r="H363" s="635"/>
      <c r="I363" s="159">
        <f t="shared" si="249"/>
        <v>0</v>
      </c>
      <c r="J363" s="635"/>
      <c r="K363" s="40"/>
      <c r="L363" s="40"/>
      <c r="M363" s="635"/>
      <c r="N363" s="635"/>
      <c r="O363" s="635"/>
      <c r="P363" s="635"/>
      <c r="Q363" s="635"/>
      <c r="R363" s="635"/>
      <c r="S363" s="660"/>
      <c r="T363" s="648"/>
      <c r="U363" s="40"/>
      <c r="V363" s="40"/>
      <c r="W363" s="40"/>
      <c r="X363" s="40"/>
      <c r="Y363" s="40"/>
      <c r="Z363" s="635"/>
      <c r="AA363" s="51">
        <f t="shared" si="250"/>
        <v>0</v>
      </c>
      <c r="AB363" s="635"/>
      <c r="AC363" s="40"/>
      <c r="AD363" s="40"/>
      <c r="AE363" s="635"/>
      <c r="AF363" s="635"/>
      <c r="AG363" s="635"/>
      <c r="AH363" s="635"/>
      <c r="AI363" s="639"/>
      <c r="AJ363" s="635"/>
      <c r="AK363" s="643"/>
      <c r="AL363" s="648"/>
      <c r="AM363" s="40"/>
      <c r="AN363" s="40"/>
      <c r="AO363" s="40"/>
      <c r="AP363" s="40"/>
      <c r="AQ363" s="40"/>
      <c r="AR363" s="635"/>
      <c r="AS363" s="159">
        <f t="shared" si="251"/>
        <v>0</v>
      </c>
      <c r="AT363" s="635"/>
      <c r="AU363" s="40"/>
      <c r="AV363" s="635"/>
      <c r="AW363" s="40"/>
      <c r="AX363" s="635"/>
      <c r="AY363" s="635"/>
      <c r="AZ363" s="635"/>
      <c r="BA363" s="635"/>
      <c r="BB363" s="635"/>
      <c r="BC363" s="635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18"/>
      <c r="BX363" s="118"/>
      <c r="BY363" s="118"/>
      <c r="BZ363" s="118"/>
      <c r="CA363" s="118"/>
      <c r="CB363" s="118"/>
      <c r="CC363" s="118"/>
      <c r="CD363" s="118"/>
      <c r="CE363" s="118"/>
      <c r="CF363" s="118"/>
      <c r="CG363" s="118"/>
      <c r="CH363" s="118"/>
      <c r="CI363" s="118"/>
      <c r="CJ363" s="118"/>
      <c r="CK363" s="118"/>
      <c r="CL363" s="118"/>
      <c r="CM363" s="118"/>
      <c r="CN363" s="92"/>
      <c r="CO363" s="93"/>
      <c r="CP363" s="93"/>
      <c r="CQ363" s="93"/>
      <c r="CR363" s="93"/>
      <c r="CS363" s="93"/>
      <c r="CT363" s="93"/>
      <c r="CU363" s="93"/>
      <c r="CV363" s="93"/>
      <c r="CW363" s="93"/>
      <c r="CX363" s="93"/>
      <c r="CY363" s="93"/>
      <c r="CZ363" s="93"/>
      <c r="DA363" s="93"/>
      <c r="DB363" s="93"/>
      <c r="DC363" s="94"/>
      <c r="DD363" s="118"/>
      <c r="DE363" s="118"/>
      <c r="DF363" s="118"/>
      <c r="DG363" s="118"/>
      <c r="DH363" s="118"/>
      <c r="DI363" s="118"/>
      <c r="DJ363" s="118"/>
      <c r="DK363" s="118"/>
      <c r="DL363" s="118"/>
      <c r="DM363" s="118"/>
      <c r="DN363" s="118"/>
      <c r="DO363" s="118"/>
      <c r="DP363" s="118"/>
      <c r="DQ363" s="118"/>
      <c r="DR363" s="118"/>
      <c r="DS363" s="118"/>
      <c r="DT363" s="118"/>
      <c r="DU363" s="19"/>
      <c r="DV363" s="19"/>
      <c r="DW363" s="19"/>
      <c r="DX363" s="19"/>
      <c r="DY363" s="19"/>
      <c r="DZ363" s="19"/>
    </row>
    <row r="364" spans="1:130" ht="12.75" x14ac:dyDescent="0.2">
      <c r="A364" s="166"/>
      <c r="B364" s="167" t="s">
        <v>40</v>
      </c>
      <c r="C364" s="168">
        <f>SUM(C339:C363)</f>
        <v>138</v>
      </c>
      <c r="D364" s="168" t="s">
        <v>49</v>
      </c>
      <c r="E364" s="168" t="s">
        <v>49</v>
      </c>
      <c r="F364" s="168" t="s">
        <v>49</v>
      </c>
      <c r="G364" s="168">
        <f t="shared" ref="G364:J364" si="256">SUM(G339:G363)</f>
        <v>0</v>
      </c>
      <c r="H364" s="168">
        <f t="shared" si="256"/>
        <v>0</v>
      </c>
      <c r="I364" s="168">
        <f t="shared" si="256"/>
        <v>523</v>
      </c>
      <c r="J364" s="168">
        <f t="shared" si="256"/>
        <v>523</v>
      </c>
      <c r="K364" s="168" t="s">
        <v>49</v>
      </c>
      <c r="L364" s="168"/>
      <c r="M364" s="168">
        <f>SUM(M339:M363)</f>
        <v>4.5</v>
      </c>
      <c r="N364" s="168">
        <f>SUM(N339:N359)</f>
        <v>4.76</v>
      </c>
      <c r="O364" s="169">
        <f t="shared" ref="O364:Q364" si="257">SUM(O339:O363)</f>
        <v>9.76</v>
      </c>
      <c r="P364" s="168">
        <f t="shared" si="257"/>
        <v>0</v>
      </c>
      <c r="Q364" s="168">
        <f t="shared" si="257"/>
        <v>270</v>
      </c>
      <c r="R364" s="170"/>
      <c r="S364" s="171">
        <f>AVERAGE(S348:S351,S360:S363)</f>
        <v>1.9595238095238097</v>
      </c>
      <c r="T364" s="167" t="s">
        <v>40</v>
      </c>
      <c r="U364" s="168">
        <f>SUM(U339:U363)</f>
        <v>0</v>
      </c>
      <c r="V364" s="168" t="s">
        <v>49</v>
      </c>
      <c r="W364" s="168" t="s">
        <v>49</v>
      </c>
      <c r="X364" s="168" t="s">
        <v>49</v>
      </c>
      <c r="Y364" s="168">
        <f t="shared" ref="Y364:AB364" si="258">SUM(Y339:Y363)</f>
        <v>5</v>
      </c>
      <c r="Z364" s="168">
        <f t="shared" si="258"/>
        <v>86</v>
      </c>
      <c r="AA364" s="168">
        <f t="shared" si="258"/>
        <v>2140</v>
      </c>
      <c r="AB364" s="168">
        <f t="shared" si="258"/>
        <v>2226</v>
      </c>
      <c r="AC364" s="168" t="s">
        <v>49</v>
      </c>
      <c r="AD364" s="168" t="s">
        <v>49</v>
      </c>
      <c r="AE364" s="168">
        <f t="shared" ref="AE364:AI364" si="259">SUM(AE339:AE363)</f>
        <v>19</v>
      </c>
      <c r="AF364" s="168">
        <f t="shared" si="259"/>
        <v>5.5</v>
      </c>
      <c r="AG364" s="169">
        <f t="shared" si="259"/>
        <v>24.5</v>
      </c>
      <c r="AH364" s="168">
        <f t="shared" si="259"/>
        <v>0</v>
      </c>
      <c r="AI364" s="168">
        <f t="shared" si="259"/>
        <v>1140</v>
      </c>
      <c r="AJ364" s="467"/>
      <c r="AK364" s="171">
        <f t="shared" ref="AK364:AK365" si="260">IF(AI364=0,0,AB364/AI364)</f>
        <v>1.9526315789473685</v>
      </c>
      <c r="AL364" s="167" t="s">
        <v>40</v>
      </c>
      <c r="AM364" s="168">
        <f>SUM(AM339:AM363)</f>
        <v>587</v>
      </c>
      <c r="AN364" s="168" t="s">
        <v>49</v>
      </c>
      <c r="AO364" s="168" t="s">
        <v>49</v>
      </c>
      <c r="AP364" s="168" t="s">
        <v>49</v>
      </c>
      <c r="AQ364" s="168">
        <f t="shared" ref="AQ364:AT364" si="261">SUM(AQ339:AQ363)</f>
        <v>25</v>
      </c>
      <c r="AR364" s="168">
        <f t="shared" si="261"/>
        <v>6</v>
      </c>
      <c r="AS364" s="168">
        <f t="shared" si="261"/>
        <v>3121</v>
      </c>
      <c r="AT364" s="168">
        <f t="shared" si="261"/>
        <v>3127</v>
      </c>
      <c r="AU364" s="168" t="s">
        <v>49</v>
      </c>
      <c r="AV364" s="168">
        <f>SUM(AV339:AV363)</f>
        <v>20.2</v>
      </c>
      <c r="AW364" s="168"/>
      <c r="AX364" s="172">
        <f t="shared" ref="AX364:BA364" si="262">SUM(AX339:AX363)</f>
        <v>9.7999999999999989</v>
      </c>
      <c r="AY364" s="173">
        <f t="shared" si="262"/>
        <v>30</v>
      </c>
      <c r="AZ364" s="172">
        <f t="shared" si="262"/>
        <v>1</v>
      </c>
      <c r="BA364" s="168">
        <f t="shared" si="262"/>
        <v>1212</v>
      </c>
      <c r="BB364" s="170"/>
      <c r="BC364" s="174">
        <f t="shared" ref="BC364:BC365" si="263">IF(BA364=0,0,AT364/BA364)</f>
        <v>2.58003300330033</v>
      </c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18"/>
      <c r="BX364" s="118"/>
      <c r="BY364" s="118"/>
      <c r="BZ364" s="118"/>
      <c r="CA364" s="118"/>
      <c r="CB364" s="118"/>
      <c r="CC364" s="118"/>
      <c r="CD364" s="118"/>
      <c r="CE364" s="118"/>
      <c r="CF364" s="118"/>
      <c r="CG364" s="118"/>
      <c r="CH364" s="118"/>
      <c r="CI364" s="118"/>
      <c r="CJ364" s="118"/>
      <c r="CK364" s="118"/>
      <c r="CL364" s="118"/>
      <c r="CM364" s="118"/>
      <c r="CN364" s="92"/>
      <c r="CO364" s="93"/>
      <c r="CP364" s="93"/>
      <c r="CQ364" s="93"/>
      <c r="CR364" s="93"/>
      <c r="CS364" s="93"/>
      <c r="CT364" s="93"/>
      <c r="CU364" s="93"/>
      <c r="CV364" s="93"/>
      <c r="CW364" s="93"/>
      <c r="CX364" s="93"/>
      <c r="CY364" s="93"/>
      <c r="CZ364" s="93"/>
      <c r="DA364" s="93"/>
      <c r="DB364" s="93"/>
      <c r="DC364" s="94"/>
      <c r="DD364" s="118"/>
      <c r="DE364" s="118"/>
      <c r="DF364" s="118"/>
      <c r="DG364" s="118"/>
      <c r="DH364" s="118"/>
      <c r="DI364" s="118"/>
      <c r="DJ364" s="118"/>
      <c r="DK364" s="118"/>
      <c r="DL364" s="118"/>
      <c r="DM364" s="118"/>
      <c r="DN364" s="118"/>
      <c r="DO364" s="118"/>
      <c r="DP364" s="118"/>
      <c r="DQ364" s="118"/>
      <c r="DR364" s="118"/>
      <c r="DS364" s="118"/>
      <c r="DT364" s="118"/>
      <c r="DU364" s="19"/>
      <c r="DV364" s="19"/>
      <c r="DW364" s="19"/>
      <c r="DX364" s="19"/>
      <c r="DY364" s="19"/>
      <c r="DZ364" s="19"/>
    </row>
    <row r="365" spans="1:130" ht="12.75" x14ac:dyDescent="0.2">
      <c r="A365" s="673"/>
      <c r="B365" s="674">
        <v>46146</v>
      </c>
      <c r="C365" s="175"/>
      <c r="D365" s="26"/>
      <c r="E365" s="26"/>
      <c r="F365" s="26"/>
      <c r="G365" s="137"/>
      <c r="H365" s="675"/>
      <c r="I365" s="62">
        <f t="shared" ref="I365:I389" si="264">IF(E365=0,0,F365-E365+1-G365)</f>
        <v>0</v>
      </c>
      <c r="J365" s="676">
        <f>SUM(I365:I369,H365)</f>
        <v>0</v>
      </c>
      <c r="K365" s="175"/>
      <c r="L365" s="175"/>
      <c r="M365" s="675"/>
      <c r="N365" s="675"/>
      <c r="O365" s="677">
        <f>SUM(M365:N369)</f>
        <v>0</v>
      </c>
      <c r="P365" s="675"/>
      <c r="Q365" s="657">
        <f>M365*60</f>
        <v>0</v>
      </c>
      <c r="R365" s="657">
        <f>IF(
   COUNTIF(K365:K369,"SI")&gt;0,
   1.8,
   IF(
      COUNTIF(L365:L369,"SI")&gt;0,
      1.6,
      2
   )
)</f>
        <v>2</v>
      </c>
      <c r="S365" s="678">
        <f>IF(Q365=0,0,J365/Q365)</f>
        <v>0</v>
      </c>
      <c r="T365" s="674">
        <v>46146</v>
      </c>
      <c r="U365" s="175"/>
      <c r="V365" s="26"/>
      <c r="W365" s="175"/>
      <c r="X365" s="175"/>
      <c r="Y365" s="175"/>
      <c r="Z365" s="680"/>
      <c r="AA365" s="151">
        <f t="shared" ref="AA365:AA389" si="265">IF(X365=0,0,X365-W365+1-Y365)</f>
        <v>0</v>
      </c>
      <c r="AB365" s="669">
        <f>SUM(AA365:AA369,Z365)</f>
        <v>0</v>
      </c>
      <c r="AC365" s="175"/>
      <c r="AD365" s="175"/>
      <c r="AE365" s="675">
        <v>0</v>
      </c>
      <c r="AF365" s="675">
        <v>4</v>
      </c>
      <c r="AG365" s="677">
        <f>SUM(AE365:AF369)</f>
        <v>4</v>
      </c>
      <c r="AH365" s="675">
        <v>0</v>
      </c>
      <c r="AI365" s="681">
        <f>AE365*60</f>
        <v>0</v>
      </c>
      <c r="AJ365" s="657">
        <f>IF(
   COUNTIF(AC365:AC369,"SI")&gt;0,
   1.8,
   IF(
      COUNTIF(AD365:AD369,"SI")&gt;0,
      1.6,
      2
   )
)</f>
        <v>2</v>
      </c>
      <c r="AK365" s="682">
        <f t="shared" si="260"/>
        <v>0</v>
      </c>
      <c r="AL365" s="674">
        <v>46146</v>
      </c>
      <c r="AM365" s="24">
        <v>130</v>
      </c>
      <c r="AN365" s="31">
        <v>663</v>
      </c>
      <c r="AO365" s="31">
        <v>1002</v>
      </c>
      <c r="AP365" s="24">
        <v>1501</v>
      </c>
      <c r="AQ365" s="26">
        <v>8</v>
      </c>
      <c r="AR365" s="681"/>
      <c r="AS365" s="62">
        <f t="shared" ref="AS365:AS389" si="266">IF(AO365=0,0,AP365-AO365+1-AQ365)</f>
        <v>492</v>
      </c>
      <c r="AT365" s="683">
        <f>SUM(AS365:AS369)+AR365</f>
        <v>1233</v>
      </c>
      <c r="AU365" s="29" t="s">
        <v>51</v>
      </c>
      <c r="AV365" s="640">
        <v>8</v>
      </c>
      <c r="AW365" s="29" t="s">
        <v>51</v>
      </c>
      <c r="AX365" s="657">
        <v>0.5</v>
      </c>
      <c r="AY365" s="633">
        <f>SUM(AV365,AX365)</f>
        <v>8.5</v>
      </c>
      <c r="AZ365" s="657">
        <v>0.2</v>
      </c>
      <c r="BA365" s="657">
        <f>AV365*60</f>
        <v>480</v>
      </c>
      <c r="BB365" s="657">
        <f>IF(
   COUNTIF(AU365:AU369,"SI")&gt;0,
   1.8,
   IF(
      COUNTIF(AV365:AV369,"SI")&gt;0,
      1.6,
      2
   )
)</f>
        <v>1.8</v>
      </c>
      <c r="BC365" s="672">
        <f t="shared" si="263"/>
        <v>2.5687500000000001</v>
      </c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18"/>
      <c r="BX365" s="118"/>
      <c r="BY365" s="118"/>
      <c r="BZ365" s="118"/>
      <c r="CA365" s="118"/>
      <c r="CB365" s="118"/>
      <c r="CC365" s="118"/>
      <c r="CD365" s="118"/>
      <c r="CE365" s="118"/>
      <c r="CF365" s="118"/>
      <c r="CG365" s="118"/>
      <c r="CH365" s="118"/>
      <c r="CI365" s="118"/>
      <c r="CJ365" s="118"/>
      <c r="CK365" s="118"/>
      <c r="CL365" s="118"/>
      <c r="CM365" s="118"/>
      <c r="CN365" s="92"/>
      <c r="CO365" s="93"/>
      <c r="CP365" s="93"/>
      <c r="CQ365" s="93"/>
      <c r="CR365" s="93"/>
      <c r="CS365" s="93"/>
      <c r="CT365" s="93"/>
      <c r="CU365" s="93"/>
      <c r="CV365" s="93"/>
      <c r="CW365" s="93"/>
      <c r="CX365" s="93"/>
      <c r="CY365" s="93"/>
      <c r="CZ365" s="93"/>
      <c r="DA365" s="93"/>
      <c r="DB365" s="93"/>
      <c r="DC365" s="94"/>
      <c r="DD365" s="118"/>
      <c r="DE365" s="118"/>
      <c r="DF365" s="118"/>
      <c r="DG365" s="118"/>
      <c r="DH365" s="118"/>
      <c r="DI365" s="118"/>
      <c r="DJ365" s="118"/>
      <c r="DK365" s="118"/>
      <c r="DL365" s="118"/>
      <c r="DM365" s="118"/>
      <c r="DN365" s="118"/>
      <c r="DO365" s="118"/>
      <c r="DP365" s="118"/>
      <c r="DQ365" s="118"/>
      <c r="DR365" s="118"/>
      <c r="DS365" s="118"/>
      <c r="DT365" s="118"/>
      <c r="DU365" s="19"/>
      <c r="DV365" s="19"/>
      <c r="DW365" s="19"/>
      <c r="DX365" s="19"/>
      <c r="DY365" s="19"/>
      <c r="DZ365" s="19"/>
    </row>
    <row r="366" spans="1:130" ht="12.75" x14ac:dyDescent="0.2">
      <c r="A366" s="647"/>
      <c r="B366" s="647"/>
      <c r="C366" s="30"/>
      <c r="D366" s="158"/>
      <c r="E366" s="158"/>
      <c r="F366" s="158"/>
      <c r="G366" s="158"/>
      <c r="H366" s="634"/>
      <c r="I366" s="159">
        <f t="shared" si="264"/>
        <v>0</v>
      </c>
      <c r="J366" s="634"/>
      <c r="K366" s="30"/>
      <c r="L366" s="142"/>
      <c r="M366" s="634"/>
      <c r="N366" s="634"/>
      <c r="O366" s="634"/>
      <c r="P366" s="634"/>
      <c r="Q366" s="634"/>
      <c r="R366" s="634"/>
      <c r="S366" s="659"/>
      <c r="T366" s="647"/>
      <c r="U366" s="30"/>
      <c r="V366" s="30"/>
      <c r="W366" s="30"/>
      <c r="X366" s="30"/>
      <c r="Y366" s="30"/>
      <c r="Z366" s="638"/>
      <c r="AA366" s="51">
        <f t="shared" si="265"/>
        <v>0</v>
      </c>
      <c r="AB366" s="670"/>
      <c r="AC366" s="30"/>
      <c r="AD366" s="142"/>
      <c r="AE366" s="634"/>
      <c r="AF366" s="634"/>
      <c r="AG366" s="634"/>
      <c r="AH366" s="634"/>
      <c r="AI366" s="638"/>
      <c r="AJ366" s="634"/>
      <c r="AK366" s="642"/>
      <c r="AL366" s="647"/>
      <c r="AM366" s="28">
        <v>131</v>
      </c>
      <c r="AN366" s="28">
        <v>664</v>
      </c>
      <c r="AO366" s="28">
        <v>1502</v>
      </c>
      <c r="AP366" s="28">
        <v>2002</v>
      </c>
      <c r="AQ366" s="29">
        <v>3</v>
      </c>
      <c r="AR366" s="638"/>
      <c r="AS366" s="159">
        <f t="shared" si="266"/>
        <v>498</v>
      </c>
      <c r="AT366" s="670"/>
      <c r="AU366" s="29" t="s">
        <v>51</v>
      </c>
      <c r="AV366" s="634"/>
      <c r="AW366" s="29" t="s">
        <v>51</v>
      </c>
      <c r="AX366" s="634"/>
      <c r="AY366" s="634"/>
      <c r="AZ366" s="634"/>
      <c r="BA366" s="634"/>
      <c r="BB366" s="634"/>
      <c r="BC366" s="634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18"/>
      <c r="BX366" s="118"/>
      <c r="BY366" s="118"/>
      <c r="BZ366" s="118"/>
      <c r="CA366" s="118"/>
      <c r="CB366" s="118"/>
      <c r="CC366" s="118"/>
      <c r="CD366" s="118"/>
      <c r="CE366" s="118"/>
      <c r="CF366" s="118"/>
      <c r="CG366" s="118"/>
      <c r="CH366" s="118"/>
      <c r="CI366" s="118"/>
      <c r="CJ366" s="118"/>
      <c r="CK366" s="118"/>
      <c r="CL366" s="118"/>
      <c r="CM366" s="118"/>
      <c r="CN366" s="92"/>
      <c r="CO366" s="93"/>
      <c r="CP366" s="93"/>
      <c r="CQ366" s="93"/>
      <c r="CR366" s="93"/>
      <c r="CS366" s="93"/>
      <c r="CT366" s="93"/>
      <c r="CU366" s="93"/>
      <c r="CV366" s="93"/>
      <c r="CW366" s="93"/>
      <c r="CX366" s="93"/>
      <c r="CY366" s="93"/>
      <c r="CZ366" s="93"/>
      <c r="DA366" s="93"/>
      <c r="DB366" s="93"/>
      <c r="DC366" s="94"/>
      <c r="DD366" s="118"/>
      <c r="DE366" s="118"/>
      <c r="DF366" s="118"/>
      <c r="DG366" s="118"/>
      <c r="DH366" s="118"/>
      <c r="DI366" s="118"/>
      <c r="DJ366" s="118"/>
      <c r="DK366" s="118"/>
      <c r="DL366" s="118"/>
      <c r="DM366" s="118"/>
      <c r="DN366" s="118"/>
      <c r="DO366" s="118"/>
      <c r="DP366" s="118"/>
      <c r="DQ366" s="118"/>
      <c r="DR366" s="118"/>
      <c r="DS366" s="118"/>
      <c r="DT366" s="118"/>
      <c r="DU366" s="19"/>
      <c r="DV366" s="19"/>
      <c r="DW366" s="19"/>
      <c r="DX366" s="19"/>
      <c r="DY366" s="19"/>
      <c r="DZ366" s="19"/>
    </row>
    <row r="367" spans="1:130" ht="12.75" x14ac:dyDescent="0.2">
      <c r="A367" s="647"/>
      <c r="B367" s="647"/>
      <c r="C367" s="30"/>
      <c r="D367" s="158"/>
      <c r="E367" s="158"/>
      <c r="F367" s="158"/>
      <c r="G367" s="158"/>
      <c r="H367" s="634"/>
      <c r="I367" s="159">
        <f t="shared" si="264"/>
        <v>0</v>
      </c>
      <c r="J367" s="634"/>
      <c r="K367" s="158"/>
      <c r="L367" s="161"/>
      <c r="M367" s="634"/>
      <c r="N367" s="634"/>
      <c r="O367" s="634"/>
      <c r="P367" s="634"/>
      <c r="Q367" s="634"/>
      <c r="R367" s="634"/>
      <c r="S367" s="659"/>
      <c r="T367" s="647"/>
      <c r="U367" s="30"/>
      <c r="V367" s="158"/>
      <c r="W367" s="30"/>
      <c r="X367" s="30"/>
      <c r="Y367" s="30"/>
      <c r="Z367" s="638"/>
      <c r="AA367" s="51">
        <f t="shared" si="265"/>
        <v>0</v>
      </c>
      <c r="AB367" s="670"/>
      <c r="AC367" s="158"/>
      <c r="AD367" s="161"/>
      <c r="AE367" s="634"/>
      <c r="AF367" s="634"/>
      <c r="AG367" s="634"/>
      <c r="AH367" s="634"/>
      <c r="AI367" s="638"/>
      <c r="AJ367" s="634"/>
      <c r="AK367" s="642"/>
      <c r="AL367" s="647"/>
      <c r="AM367" s="28">
        <v>62</v>
      </c>
      <c r="AN367" s="28">
        <v>665</v>
      </c>
      <c r="AO367" s="28">
        <v>2003</v>
      </c>
      <c r="AP367" s="28">
        <v>2250</v>
      </c>
      <c r="AQ367" s="28">
        <v>5</v>
      </c>
      <c r="AR367" s="638"/>
      <c r="AS367" s="159">
        <f t="shared" si="266"/>
        <v>243</v>
      </c>
      <c r="AT367" s="670"/>
      <c r="AU367" s="29" t="s">
        <v>51</v>
      </c>
      <c r="AV367" s="634"/>
      <c r="AW367" s="29" t="s">
        <v>51</v>
      </c>
      <c r="AX367" s="634"/>
      <c r="AY367" s="634"/>
      <c r="AZ367" s="634"/>
      <c r="BA367" s="634"/>
      <c r="BB367" s="634"/>
      <c r="BC367" s="634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18"/>
      <c r="BX367" s="118"/>
      <c r="BY367" s="118"/>
      <c r="BZ367" s="118"/>
      <c r="CA367" s="118"/>
      <c r="CB367" s="118"/>
      <c r="CC367" s="118"/>
      <c r="CD367" s="118"/>
      <c r="CE367" s="118"/>
      <c r="CF367" s="118"/>
      <c r="CG367" s="118"/>
      <c r="CH367" s="118"/>
      <c r="CI367" s="118"/>
      <c r="CJ367" s="118"/>
      <c r="CK367" s="118"/>
      <c r="CL367" s="118"/>
      <c r="CM367" s="118"/>
      <c r="CN367" s="92"/>
      <c r="CO367" s="93"/>
      <c r="CP367" s="93"/>
      <c r="CQ367" s="93"/>
      <c r="CR367" s="93"/>
      <c r="CS367" s="93"/>
      <c r="CT367" s="93"/>
      <c r="CU367" s="93"/>
      <c r="CV367" s="93"/>
      <c r="CW367" s="93"/>
      <c r="CX367" s="93"/>
      <c r="CY367" s="93"/>
      <c r="CZ367" s="93"/>
      <c r="DA367" s="93"/>
      <c r="DB367" s="93"/>
      <c r="DC367" s="94"/>
      <c r="DD367" s="118"/>
      <c r="DE367" s="118"/>
      <c r="DF367" s="118"/>
      <c r="DG367" s="118"/>
      <c r="DH367" s="118"/>
      <c r="DI367" s="118"/>
      <c r="DJ367" s="118"/>
      <c r="DK367" s="118"/>
      <c r="DL367" s="118"/>
      <c r="DM367" s="118"/>
      <c r="DN367" s="118"/>
      <c r="DO367" s="118"/>
      <c r="DP367" s="118"/>
      <c r="DQ367" s="118"/>
      <c r="DR367" s="118"/>
      <c r="DS367" s="118"/>
      <c r="DT367" s="118"/>
      <c r="DU367" s="19"/>
      <c r="DV367" s="19"/>
      <c r="DW367" s="19"/>
      <c r="DX367" s="19"/>
      <c r="DY367" s="19"/>
      <c r="DZ367" s="19"/>
    </row>
    <row r="368" spans="1:130" ht="12.75" x14ac:dyDescent="0.2">
      <c r="A368" s="647"/>
      <c r="B368" s="647"/>
      <c r="C368" s="30"/>
      <c r="D368" s="30"/>
      <c r="E368" s="30"/>
      <c r="F368" s="30"/>
      <c r="G368" s="30"/>
      <c r="H368" s="634"/>
      <c r="I368" s="159">
        <f t="shared" si="264"/>
        <v>0</v>
      </c>
      <c r="J368" s="634"/>
      <c r="K368" s="30"/>
      <c r="L368" s="142"/>
      <c r="M368" s="634"/>
      <c r="N368" s="634"/>
      <c r="O368" s="634"/>
      <c r="P368" s="634"/>
      <c r="Q368" s="634"/>
      <c r="R368" s="634"/>
      <c r="S368" s="659"/>
      <c r="T368" s="647"/>
      <c r="U368" s="30"/>
      <c r="V368" s="30"/>
      <c r="W368" s="30"/>
      <c r="X368" s="30"/>
      <c r="Y368" s="30"/>
      <c r="Z368" s="638"/>
      <c r="AA368" s="51">
        <f t="shared" si="265"/>
        <v>0</v>
      </c>
      <c r="AB368" s="670"/>
      <c r="AC368" s="30"/>
      <c r="AD368" s="142"/>
      <c r="AE368" s="634"/>
      <c r="AF368" s="634"/>
      <c r="AG368" s="634"/>
      <c r="AH368" s="634"/>
      <c r="AI368" s="638"/>
      <c r="AJ368" s="634"/>
      <c r="AK368" s="642"/>
      <c r="AL368" s="647"/>
      <c r="AM368" s="29"/>
      <c r="AN368" s="29"/>
      <c r="AO368" s="29"/>
      <c r="AP368" s="29"/>
      <c r="AQ368" s="30"/>
      <c r="AR368" s="638"/>
      <c r="AS368" s="159">
        <f t="shared" si="266"/>
        <v>0</v>
      </c>
      <c r="AT368" s="671"/>
      <c r="AU368" s="30"/>
      <c r="AV368" s="635"/>
      <c r="AW368" s="142"/>
      <c r="AX368" s="634"/>
      <c r="AY368" s="634"/>
      <c r="AZ368" s="634"/>
      <c r="BA368" s="634"/>
      <c r="BB368" s="634"/>
      <c r="BC368" s="634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18"/>
      <c r="BX368" s="118"/>
      <c r="BY368" s="118"/>
      <c r="BZ368" s="118"/>
      <c r="CA368" s="118"/>
      <c r="CB368" s="118"/>
      <c r="CC368" s="118"/>
      <c r="CD368" s="118"/>
      <c r="CE368" s="118"/>
      <c r="CF368" s="118"/>
      <c r="CG368" s="118"/>
      <c r="CH368" s="118"/>
      <c r="CI368" s="118"/>
      <c r="CJ368" s="118"/>
      <c r="CK368" s="118"/>
      <c r="CL368" s="118"/>
      <c r="CM368" s="118"/>
      <c r="CN368" s="92"/>
      <c r="CO368" s="93"/>
      <c r="CP368" s="93"/>
      <c r="CQ368" s="93"/>
      <c r="CR368" s="93"/>
      <c r="CS368" s="93"/>
      <c r="CT368" s="93"/>
      <c r="CU368" s="93"/>
      <c r="CV368" s="93"/>
      <c r="CW368" s="93"/>
      <c r="CX368" s="93"/>
      <c r="CY368" s="93"/>
      <c r="CZ368" s="93"/>
      <c r="DA368" s="93"/>
      <c r="DB368" s="93"/>
      <c r="DC368" s="94"/>
      <c r="DD368" s="118"/>
      <c r="DE368" s="118"/>
      <c r="DF368" s="118"/>
      <c r="DG368" s="118"/>
      <c r="DH368" s="118"/>
      <c r="DI368" s="118"/>
      <c r="DJ368" s="118"/>
      <c r="DK368" s="118"/>
      <c r="DL368" s="118"/>
      <c r="DM368" s="118"/>
      <c r="DN368" s="118"/>
      <c r="DO368" s="118"/>
      <c r="DP368" s="118"/>
      <c r="DQ368" s="118"/>
      <c r="DR368" s="118"/>
      <c r="DS368" s="118"/>
      <c r="DT368" s="118"/>
      <c r="DU368" s="19"/>
      <c r="DV368" s="19"/>
      <c r="DW368" s="19"/>
      <c r="DX368" s="19"/>
      <c r="DY368" s="19"/>
      <c r="DZ368" s="19"/>
    </row>
    <row r="369" spans="1:130" ht="12.75" x14ac:dyDescent="0.2">
      <c r="A369" s="648"/>
      <c r="B369" s="648"/>
      <c r="C369" s="30"/>
      <c r="D369" s="30"/>
      <c r="E369" s="30"/>
      <c r="F369" s="30"/>
      <c r="G369" s="30"/>
      <c r="H369" s="635"/>
      <c r="I369" s="159">
        <f t="shared" si="264"/>
        <v>0</v>
      </c>
      <c r="J369" s="635"/>
      <c r="K369" s="30"/>
      <c r="L369" s="142"/>
      <c r="M369" s="635"/>
      <c r="N369" s="635"/>
      <c r="O369" s="635"/>
      <c r="P369" s="635"/>
      <c r="Q369" s="635"/>
      <c r="R369" s="635"/>
      <c r="S369" s="660"/>
      <c r="T369" s="648"/>
      <c r="U369" s="30"/>
      <c r="V369" s="30"/>
      <c r="W369" s="30"/>
      <c r="X369" s="30"/>
      <c r="Y369" s="30"/>
      <c r="Z369" s="639"/>
      <c r="AA369" s="51">
        <f t="shared" si="265"/>
        <v>0</v>
      </c>
      <c r="AB369" s="671"/>
      <c r="AC369" s="30"/>
      <c r="AD369" s="142"/>
      <c r="AE369" s="635"/>
      <c r="AF369" s="635"/>
      <c r="AG369" s="635"/>
      <c r="AH369" s="635"/>
      <c r="AI369" s="639"/>
      <c r="AJ369" s="635"/>
      <c r="AK369" s="643"/>
      <c r="AL369" s="648"/>
      <c r="AM369" s="30"/>
      <c r="AN369" s="30"/>
      <c r="AO369" s="30"/>
      <c r="AP369" s="30"/>
      <c r="AQ369" s="30"/>
      <c r="AR369" s="639"/>
      <c r="AS369" s="159">
        <f t="shared" si="266"/>
        <v>0</v>
      </c>
      <c r="AT369" s="146">
        <f>AS369</f>
        <v>0</v>
      </c>
      <c r="AU369" s="30"/>
      <c r="AV369" s="142"/>
      <c r="AW369" s="142"/>
      <c r="AX369" s="635"/>
      <c r="AY369" s="635"/>
      <c r="AZ369" s="635"/>
      <c r="BA369" s="147">
        <f t="shared" ref="BA369:BA370" si="267">AV369*60</f>
        <v>0</v>
      </c>
      <c r="BB369" s="635"/>
      <c r="BC369" s="148">
        <f t="shared" ref="BC369:BC370" si="268">IF(BA369=0,0,AT369/BA369)</f>
        <v>0</v>
      </c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18"/>
      <c r="BX369" s="118"/>
      <c r="BY369" s="118"/>
      <c r="BZ369" s="118"/>
      <c r="CA369" s="118"/>
      <c r="CB369" s="118"/>
      <c r="CC369" s="118"/>
      <c r="CD369" s="118"/>
      <c r="CE369" s="118"/>
      <c r="CF369" s="118"/>
      <c r="CG369" s="118"/>
      <c r="CH369" s="118"/>
      <c r="CI369" s="118"/>
      <c r="CJ369" s="118"/>
      <c r="CK369" s="118"/>
      <c r="CL369" s="118"/>
      <c r="CM369" s="118"/>
      <c r="CN369" s="92"/>
      <c r="CO369" s="93"/>
      <c r="CP369" s="93"/>
      <c r="CQ369" s="93"/>
      <c r="CR369" s="93"/>
      <c r="CS369" s="93"/>
      <c r="CT369" s="93"/>
      <c r="CU369" s="93"/>
      <c r="CV369" s="93"/>
      <c r="CW369" s="93"/>
      <c r="CX369" s="93"/>
      <c r="CY369" s="93"/>
      <c r="CZ369" s="93"/>
      <c r="DA369" s="93"/>
      <c r="DB369" s="93"/>
      <c r="DC369" s="94"/>
      <c r="DD369" s="118"/>
      <c r="DE369" s="118"/>
      <c r="DF369" s="118"/>
      <c r="DG369" s="118"/>
      <c r="DH369" s="118"/>
      <c r="DI369" s="118"/>
      <c r="DJ369" s="118"/>
      <c r="DK369" s="118"/>
      <c r="DL369" s="118"/>
      <c r="DM369" s="118"/>
      <c r="DN369" s="118"/>
      <c r="DO369" s="118"/>
      <c r="DP369" s="118"/>
      <c r="DQ369" s="118"/>
      <c r="DR369" s="118"/>
      <c r="DS369" s="118"/>
      <c r="DT369" s="118"/>
      <c r="DU369" s="19"/>
      <c r="DV369" s="19"/>
      <c r="DW369" s="19"/>
      <c r="DX369" s="19"/>
      <c r="DY369" s="19"/>
      <c r="DZ369" s="19"/>
    </row>
    <row r="370" spans="1:130" ht="12.75" x14ac:dyDescent="0.2">
      <c r="A370" s="651"/>
      <c r="B370" s="646">
        <v>46147</v>
      </c>
      <c r="C370" s="40"/>
      <c r="D370" s="40"/>
      <c r="E370" s="40"/>
      <c r="F370" s="40"/>
      <c r="G370" s="40"/>
      <c r="H370" s="653"/>
      <c r="I370" s="159">
        <f t="shared" si="264"/>
        <v>0</v>
      </c>
      <c r="J370" s="650">
        <f>SUM(I370:I373,H370)</f>
        <v>0</v>
      </c>
      <c r="K370" s="40"/>
      <c r="L370" s="40"/>
      <c r="M370" s="653"/>
      <c r="N370" s="653"/>
      <c r="O370" s="633">
        <f>SUM(M370:N373)</f>
        <v>0</v>
      </c>
      <c r="P370" s="653"/>
      <c r="Q370" s="636">
        <f>M370*60</f>
        <v>0</v>
      </c>
      <c r="R370" s="657">
        <f>IF(
   COUNTIF(K370:K373,"SI")&gt;0,
   1.8,
   IF(
      COUNTIF(L370:L373,"SI")&gt;0,
      1.6,
      2
   )
)</f>
        <v>2</v>
      </c>
      <c r="S370" s="678">
        <f>IF(Q370=0,0,J370/Q370)</f>
        <v>0</v>
      </c>
      <c r="T370" s="646">
        <v>46147</v>
      </c>
      <c r="U370" s="40"/>
      <c r="V370" s="38">
        <v>666</v>
      </c>
      <c r="W370" s="38">
        <v>2504</v>
      </c>
      <c r="X370" s="38">
        <v>2900</v>
      </c>
      <c r="Y370" s="38">
        <v>3</v>
      </c>
      <c r="Z370" s="653">
        <v>0</v>
      </c>
      <c r="AA370" s="51">
        <f t="shared" si="265"/>
        <v>394</v>
      </c>
      <c r="AB370" s="650">
        <f>SUM(AA370:AA373)+Z370</f>
        <v>394</v>
      </c>
      <c r="AC370" s="38" t="s">
        <v>51</v>
      </c>
      <c r="AD370" s="38" t="s">
        <v>51</v>
      </c>
      <c r="AE370" s="636">
        <v>3</v>
      </c>
      <c r="AF370" s="636">
        <v>0.5</v>
      </c>
      <c r="AG370" s="633">
        <f>SUM(AE370:AF373)</f>
        <v>3.5</v>
      </c>
      <c r="AH370" s="636">
        <v>0</v>
      </c>
      <c r="AI370" s="637">
        <f>AE370*60</f>
        <v>180</v>
      </c>
      <c r="AJ370" s="640">
        <f>IF(
   COUNTIF(AC370:AC373,"SI")&gt;0,
   1.8,
   IF(
      COUNTIF(AD370:AD373,"SI")&gt;0,
      1.6,
      2
   )
)</f>
        <v>1.8</v>
      </c>
      <c r="AK370" s="641">
        <f>AB370/AI370</f>
        <v>2.1888888888888891</v>
      </c>
      <c r="AL370" s="646">
        <v>46147</v>
      </c>
      <c r="AM370" s="31">
        <v>60</v>
      </c>
      <c r="AN370" s="31">
        <v>665</v>
      </c>
      <c r="AO370" s="31">
        <v>2251</v>
      </c>
      <c r="AP370" s="31">
        <v>2503</v>
      </c>
      <c r="AQ370" s="31">
        <v>1</v>
      </c>
      <c r="AR370" s="653"/>
      <c r="AS370" s="159">
        <f t="shared" si="266"/>
        <v>252</v>
      </c>
      <c r="AT370" s="683">
        <f>SUM(AS370:AS373)+AR370</f>
        <v>481</v>
      </c>
      <c r="AU370" s="653" t="s">
        <v>51</v>
      </c>
      <c r="AV370" s="653">
        <v>3.2</v>
      </c>
      <c r="AW370" s="40"/>
      <c r="AX370" s="653">
        <v>1.3</v>
      </c>
      <c r="AY370" s="633">
        <f>SUM(AV370:AX373)</f>
        <v>4.5</v>
      </c>
      <c r="AZ370" s="636">
        <v>0.2</v>
      </c>
      <c r="BA370" s="636">
        <f t="shared" si="267"/>
        <v>192</v>
      </c>
      <c r="BB370" s="657">
        <f>IF(
   COUNTIF(AU370:AU373,"SI")&gt;0,
   1.8,
   IF(
      COUNTIF(AV370:AV373,"SI")&gt;0,
      1.6,
      2
   )
)</f>
        <v>1.8</v>
      </c>
      <c r="BC370" s="667">
        <f t="shared" si="268"/>
        <v>2.5052083333333335</v>
      </c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18"/>
      <c r="BX370" s="118"/>
      <c r="BY370" s="118"/>
      <c r="BZ370" s="118"/>
      <c r="CA370" s="118"/>
      <c r="CB370" s="118"/>
      <c r="CC370" s="118"/>
      <c r="CD370" s="118"/>
      <c r="CE370" s="118"/>
      <c r="CF370" s="118"/>
      <c r="CG370" s="118"/>
      <c r="CH370" s="118"/>
      <c r="CI370" s="118"/>
      <c r="CJ370" s="118"/>
      <c r="CK370" s="118"/>
      <c r="CL370" s="118"/>
      <c r="CM370" s="118"/>
      <c r="CN370" s="92"/>
      <c r="CO370" s="93"/>
      <c r="CP370" s="93"/>
      <c r="CQ370" s="93"/>
      <c r="CR370" s="93"/>
      <c r="CS370" s="93"/>
      <c r="CT370" s="93"/>
      <c r="CU370" s="93"/>
      <c r="CV370" s="93"/>
      <c r="CW370" s="93"/>
      <c r="CX370" s="93"/>
      <c r="CY370" s="93"/>
      <c r="CZ370" s="93"/>
      <c r="DA370" s="93"/>
      <c r="DB370" s="93"/>
      <c r="DC370" s="94"/>
      <c r="DD370" s="118"/>
      <c r="DE370" s="118"/>
      <c r="DF370" s="118"/>
      <c r="DG370" s="118"/>
      <c r="DH370" s="118"/>
      <c r="DI370" s="118"/>
      <c r="DJ370" s="118"/>
      <c r="DK370" s="118"/>
      <c r="DL370" s="118"/>
      <c r="DM370" s="118"/>
      <c r="DN370" s="118"/>
      <c r="DO370" s="118"/>
      <c r="DP370" s="118"/>
      <c r="DQ370" s="118"/>
      <c r="DR370" s="118"/>
      <c r="DS370" s="118"/>
      <c r="DT370" s="118"/>
      <c r="DU370" s="19"/>
      <c r="DV370" s="19"/>
      <c r="DW370" s="19"/>
      <c r="DX370" s="19"/>
      <c r="DY370" s="19"/>
      <c r="DZ370" s="19"/>
    </row>
    <row r="371" spans="1:130" ht="12.75" x14ac:dyDescent="0.2">
      <c r="A371" s="647"/>
      <c r="B371" s="647"/>
      <c r="C371" s="40"/>
      <c r="D371" s="40"/>
      <c r="E371" s="40"/>
      <c r="F371" s="40"/>
      <c r="G371" s="40"/>
      <c r="H371" s="634"/>
      <c r="I371" s="159">
        <f t="shared" si="264"/>
        <v>0</v>
      </c>
      <c r="J371" s="634"/>
      <c r="K371" s="40"/>
      <c r="L371" s="40"/>
      <c r="M371" s="634"/>
      <c r="N371" s="634"/>
      <c r="O371" s="634"/>
      <c r="P371" s="634"/>
      <c r="Q371" s="634"/>
      <c r="R371" s="634"/>
      <c r="S371" s="659"/>
      <c r="T371" s="647"/>
      <c r="U371" s="40"/>
      <c r="V371" s="31"/>
      <c r="W371" s="31"/>
      <c r="X371" s="31"/>
      <c r="Y371" s="31"/>
      <c r="Z371" s="634"/>
      <c r="AA371" s="51">
        <f t="shared" si="265"/>
        <v>0</v>
      </c>
      <c r="AB371" s="634"/>
      <c r="AC371" s="38"/>
      <c r="AD371" s="38"/>
      <c r="AE371" s="634"/>
      <c r="AF371" s="634"/>
      <c r="AG371" s="634"/>
      <c r="AH371" s="634"/>
      <c r="AI371" s="638"/>
      <c r="AJ371" s="634"/>
      <c r="AK371" s="642"/>
      <c r="AL371" s="647"/>
      <c r="AM371" s="31">
        <v>70</v>
      </c>
      <c r="AN371" s="31">
        <v>667</v>
      </c>
      <c r="AO371" s="31">
        <v>3002</v>
      </c>
      <c r="AP371" s="31">
        <v>3242</v>
      </c>
      <c r="AQ371" s="31">
        <v>12</v>
      </c>
      <c r="AR371" s="634"/>
      <c r="AS371" s="159">
        <f t="shared" si="266"/>
        <v>229</v>
      </c>
      <c r="AT371" s="670"/>
      <c r="AU371" s="634"/>
      <c r="AV371" s="634"/>
      <c r="AW371" s="40"/>
      <c r="AX371" s="634"/>
      <c r="AY371" s="634"/>
      <c r="AZ371" s="634"/>
      <c r="BA371" s="634"/>
      <c r="BB371" s="634"/>
      <c r="BC371" s="634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18"/>
      <c r="BX371" s="118"/>
      <c r="BY371" s="118"/>
      <c r="BZ371" s="118"/>
      <c r="CA371" s="118"/>
      <c r="CB371" s="118"/>
      <c r="CC371" s="118"/>
      <c r="CD371" s="118"/>
      <c r="CE371" s="118"/>
      <c r="CF371" s="118"/>
      <c r="CG371" s="118"/>
      <c r="CH371" s="118"/>
      <c r="CI371" s="118"/>
      <c r="CJ371" s="118"/>
      <c r="CK371" s="118"/>
      <c r="CL371" s="118"/>
      <c r="CM371" s="118"/>
      <c r="CN371" s="92"/>
      <c r="CO371" s="93"/>
      <c r="CP371" s="93"/>
      <c r="CQ371" s="93"/>
      <c r="CR371" s="93"/>
      <c r="CS371" s="93"/>
      <c r="CT371" s="93"/>
      <c r="CU371" s="93"/>
      <c r="CV371" s="93"/>
      <c r="CW371" s="93"/>
      <c r="CX371" s="93"/>
      <c r="CY371" s="93"/>
      <c r="CZ371" s="93"/>
      <c r="DA371" s="93"/>
      <c r="DB371" s="93"/>
      <c r="DC371" s="94"/>
      <c r="DD371" s="118"/>
      <c r="DE371" s="118"/>
      <c r="DF371" s="118"/>
      <c r="DG371" s="118"/>
      <c r="DH371" s="118"/>
      <c r="DI371" s="118"/>
      <c r="DJ371" s="118"/>
      <c r="DK371" s="118"/>
      <c r="DL371" s="118"/>
      <c r="DM371" s="118"/>
      <c r="DN371" s="118"/>
      <c r="DO371" s="118"/>
      <c r="DP371" s="118"/>
      <c r="DQ371" s="118"/>
      <c r="DR371" s="118"/>
      <c r="DS371" s="118"/>
      <c r="DT371" s="118"/>
      <c r="DU371" s="19"/>
      <c r="DV371" s="19"/>
      <c r="DW371" s="19"/>
      <c r="DX371" s="19"/>
      <c r="DY371" s="19"/>
      <c r="DZ371" s="19"/>
    </row>
    <row r="372" spans="1:130" ht="12.75" x14ac:dyDescent="0.2">
      <c r="A372" s="647"/>
      <c r="B372" s="647"/>
      <c r="C372" s="40"/>
      <c r="D372" s="40"/>
      <c r="E372" s="40"/>
      <c r="F372" s="40"/>
      <c r="G372" s="40"/>
      <c r="H372" s="634"/>
      <c r="I372" s="159">
        <f t="shared" si="264"/>
        <v>0</v>
      </c>
      <c r="J372" s="634"/>
      <c r="K372" s="40"/>
      <c r="L372" s="40"/>
      <c r="M372" s="634"/>
      <c r="N372" s="634"/>
      <c r="O372" s="634"/>
      <c r="P372" s="634"/>
      <c r="Q372" s="634"/>
      <c r="R372" s="634"/>
      <c r="S372" s="659"/>
      <c r="T372" s="647"/>
      <c r="U372" s="40"/>
      <c r="V372" s="31"/>
      <c r="W372" s="31"/>
      <c r="X372" s="31"/>
      <c r="Y372" s="31"/>
      <c r="Z372" s="634"/>
      <c r="AA372" s="51">
        <f t="shared" si="265"/>
        <v>0</v>
      </c>
      <c r="AB372" s="634"/>
      <c r="AC372" s="38"/>
      <c r="AD372" s="38"/>
      <c r="AE372" s="634"/>
      <c r="AF372" s="634"/>
      <c r="AG372" s="634"/>
      <c r="AH372" s="634"/>
      <c r="AI372" s="638"/>
      <c r="AJ372" s="634"/>
      <c r="AK372" s="642"/>
      <c r="AL372" s="647"/>
      <c r="AM372" s="40"/>
      <c r="AN372" s="31"/>
      <c r="AO372" s="31"/>
      <c r="AP372" s="31"/>
      <c r="AQ372" s="40"/>
      <c r="AR372" s="634"/>
      <c r="AS372" s="159">
        <f t="shared" si="266"/>
        <v>0</v>
      </c>
      <c r="AT372" s="671"/>
      <c r="AU372" s="635"/>
      <c r="AV372" s="635"/>
      <c r="AW372" s="40"/>
      <c r="AX372" s="634"/>
      <c r="AY372" s="634"/>
      <c r="AZ372" s="634"/>
      <c r="BA372" s="634"/>
      <c r="BB372" s="634"/>
      <c r="BC372" s="635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18"/>
      <c r="BX372" s="118"/>
      <c r="BY372" s="118"/>
      <c r="BZ372" s="118"/>
      <c r="CA372" s="118"/>
      <c r="CB372" s="118"/>
      <c r="CC372" s="118"/>
      <c r="CD372" s="118"/>
      <c r="CE372" s="118"/>
      <c r="CF372" s="118"/>
      <c r="CG372" s="118"/>
      <c r="CH372" s="118"/>
      <c r="CI372" s="118"/>
      <c r="CJ372" s="118"/>
      <c r="CK372" s="118"/>
      <c r="CL372" s="118"/>
      <c r="CM372" s="118"/>
      <c r="CN372" s="92"/>
      <c r="CO372" s="93"/>
      <c r="CP372" s="93"/>
      <c r="CQ372" s="93"/>
      <c r="CR372" s="93"/>
      <c r="CS372" s="93"/>
      <c r="CT372" s="93"/>
      <c r="CU372" s="93"/>
      <c r="CV372" s="93"/>
      <c r="CW372" s="93"/>
      <c r="CX372" s="93"/>
      <c r="CY372" s="93"/>
      <c r="CZ372" s="93"/>
      <c r="DA372" s="93"/>
      <c r="DB372" s="93"/>
      <c r="DC372" s="94"/>
      <c r="DD372" s="118"/>
      <c r="DE372" s="118"/>
      <c r="DF372" s="118"/>
      <c r="DG372" s="118"/>
      <c r="DH372" s="118"/>
      <c r="DI372" s="118"/>
      <c r="DJ372" s="118"/>
      <c r="DK372" s="118"/>
      <c r="DL372" s="118"/>
      <c r="DM372" s="118"/>
      <c r="DN372" s="118"/>
      <c r="DO372" s="118"/>
      <c r="DP372" s="118"/>
      <c r="DQ372" s="118"/>
      <c r="DR372" s="118"/>
      <c r="DS372" s="118"/>
      <c r="DT372" s="118"/>
      <c r="DU372" s="19"/>
      <c r="DV372" s="19"/>
      <c r="DW372" s="19"/>
      <c r="DX372" s="19"/>
      <c r="DY372" s="19"/>
      <c r="DZ372" s="19"/>
    </row>
    <row r="373" spans="1:130" ht="12.75" x14ac:dyDescent="0.2">
      <c r="A373" s="648"/>
      <c r="B373" s="648"/>
      <c r="C373" s="40"/>
      <c r="D373" s="40"/>
      <c r="E373" s="40"/>
      <c r="F373" s="40"/>
      <c r="G373" s="40"/>
      <c r="H373" s="635"/>
      <c r="I373" s="159">
        <f t="shared" si="264"/>
        <v>0</v>
      </c>
      <c r="J373" s="635"/>
      <c r="K373" s="40"/>
      <c r="L373" s="40"/>
      <c r="M373" s="635"/>
      <c r="N373" s="635"/>
      <c r="O373" s="635"/>
      <c r="P373" s="635"/>
      <c r="Q373" s="635"/>
      <c r="R373" s="635"/>
      <c r="S373" s="660"/>
      <c r="T373" s="648"/>
      <c r="U373" s="40"/>
      <c r="V373" s="40"/>
      <c r="W373" s="40"/>
      <c r="X373" s="40"/>
      <c r="Y373" s="40"/>
      <c r="Z373" s="635"/>
      <c r="AA373" s="51">
        <f t="shared" si="265"/>
        <v>0</v>
      </c>
      <c r="AB373" s="634"/>
      <c r="AC373" s="40"/>
      <c r="AD373" s="40"/>
      <c r="AE373" s="634"/>
      <c r="AF373" s="635"/>
      <c r="AG373" s="635"/>
      <c r="AH373" s="635"/>
      <c r="AI373" s="638"/>
      <c r="AJ373" s="635"/>
      <c r="AK373" s="642"/>
      <c r="AL373" s="648"/>
      <c r="AM373" s="40"/>
      <c r="AN373" s="31"/>
      <c r="AO373" s="31"/>
      <c r="AP373" s="31"/>
      <c r="AQ373" s="40"/>
      <c r="AR373" s="635"/>
      <c r="AS373" s="159">
        <f t="shared" si="266"/>
        <v>0</v>
      </c>
      <c r="AT373" s="153"/>
      <c r="AU373" s="40"/>
      <c r="AV373" s="154"/>
      <c r="AW373" s="154"/>
      <c r="AX373" s="635"/>
      <c r="AY373" s="635"/>
      <c r="AZ373" s="635"/>
      <c r="BA373" s="154"/>
      <c r="BB373" s="635"/>
      <c r="BC373" s="155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18"/>
      <c r="BX373" s="118"/>
      <c r="BY373" s="118"/>
      <c r="BZ373" s="118"/>
      <c r="CA373" s="118"/>
      <c r="CB373" s="118"/>
      <c r="CC373" s="118"/>
      <c r="CD373" s="118"/>
      <c r="CE373" s="118"/>
      <c r="CF373" s="118"/>
      <c r="CG373" s="118"/>
      <c r="CH373" s="118"/>
      <c r="CI373" s="118"/>
      <c r="CJ373" s="118"/>
      <c r="CK373" s="118"/>
      <c r="CL373" s="118"/>
      <c r="CM373" s="118"/>
      <c r="CN373" s="92"/>
      <c r="CO373" s="93"/>
      <c r="CP373" s="93"/>
      <c r="CQ373" s="93"/>
      <c r="CR373" s="93"/>
      <c r="CS373" s="93"/>
      <c r="CT373" s="93"/>
      <c r="CU373" s="93"/>
      <c r="CV373" s="93"/>
      <c r="CW373" s="93"/>
      <c r="CX373" s="93"/>
      <c r="CY373" s="93"/>
      <c r="CZ373" s="93"/>
      <c r="DA373" s="93"/>
      <c r="DB373" s="93"/>
      <c r="DC373" s="94"/>
      <c r="DD373" s="118"/>
      <c r="DE373" s="118"/>
      <c r="DF373" s="118"/>
      <c r="DG373" s="118"/>
      <c r="DH373" s="118"/>
      <c r="DI373" s="118"/>
      <c r="DJ373" s="118"/>
      <c r="DK373" s="118"/>
      <c r="DL373" s="118"/>
      <c r="DM373" s="118"/>
      <c r="DN373" s="118"/>
      <c r="DO373" s="118"/>
      <c r="DP373" s="118"/>
      <c r="DQ373" s="118"/>
      <c r="DR373" s="118"/>
      <c r="DS373" s="118"/>
      <c r="DT373" s="118"/>
      <c r="DU373" s="19"/>
      <c r="DV373" s="19"/>
      <c r="DW373" s="19"/>
      <c r="DX373" s="19"/>
      <c r="DY373" s="19"/>
      <c r="DZ373" s="19"/>
    </row>
    <row r="374" spans="1:130" ht="12.75" x14ac:dyDescent="0.2">
      <c r="A374" s="654"/>
      <c r="B374" s="655">
        <v>46148</v>
      </c>
      <c r="C374" s="29"/>
      <c r="D374" s="29"/>
      <c r="E374" s="29"/>
      <c r="F374" s="29"/>
      <c r="G374" s="30"/>
      <c r="H374" s="649"/>
      <c r="I374" s="159">
        <f t="shared" si="264"/>
        <v>0</v>
      </c>
      <c r="J374" s="650">
        <f>SUM(I374:I377,H374)</f>
        <v>0</v>
      </c>
      <c r="K374" s="29"/>
      <c r="L374" s="29"/>
      <c r="M374" s="649"/>
      <c r="N374" s="649"/>
      <c r="O374" s="656">
        <f>SUM(M374:N377)</f>
        <v>0</v>
      </c>
      <c r="P374" s="649"/>
      <c r="Q374" s="644">
        <f>M374*60</f>
        <v>0</v>
      </c>
      <c r="R374" s="657">
        <f>IF(
   COUNTIF(K374:K377,"SI")&gt;0,
   1.8,
   IF(
      COUNTIF(L374:L377,"SI")&gt;0,
      1.6,
      2
   )
)</f>
        <v>2</v>
      </c>
      <c r="S374" s="658">
        <f>IF(Q374=0,0,J374/Q374)</f>
        <v>0</v>
      </c>
      <c r="T374" s="655">
        <v>46148</v>
      </c>
      <c r="U374" s="30"/>
      <c r="V374" s="28">
        <v>666</v>
      </c>
      <c r="W374" s="28">
        <v>2901</v>
      </c>
      <c r="X374" s="28">
        <v>3001</v>
      </c>
      <c r="Y374" s="29">
        <v>1</v>
      </c>
      <c r="Z374" s="640">
        <v>0</v>
      </c>
      <c r="AA374" s="51">
        <f t="shared" si="265"/>
        <v>100</v>
      </c>
      <c r="AB374" s="650">
        <f>SUM(AA374:AA377,Z374)</f>
        <v>549</v>
      </c>
      <c r="AC374" s="28" t="s">
        <v>51</v>
      </c>
      <c r="AD374" s="28" t="s">
        <v>51</v>
      </c>
      <c r="AE374" s="640">
        <v>5</v>
      </c>
      <c r="AF374" s="640">
        <v>0.5</v>
      </c>
      <c r="AG374" s="633">
        <f>SUM(AE374:AF377)</f>
        <v>5.5</v>
      </c>
      <c r="AH374" s="640">
        <v>0</v>
      </c>
      <c r="AI374" s="664">
        <f>AE374*60</f>
        <v>300</v>
      </c>
      <c r="AJ374" s="640">
        <f>IF(
   COUNTIF(AC374:AC377,"SI")&gt;0,
   1.8,
   IF(
      COUNTIF(AD374:AD377,"SI")&gt;0,
      1.6,
      2
   )
)</f>
        <v>1.8</v>
      </c>
      <c r="AK374" s="665">
        <f>AB374/AI374</f>
        <v>1.83</v>
      </c>
      <c r="AL374" s="655">
        <v>46148</v>
      </c>
      <c r="AM374" s="29">
        <v>52</v>
      </c>
      <c r="AN374" s="31">
        <v>667</v>
      </c>
      <c r="AO374" s="31">
        <v>3243</v>
      </c>
      <c r="AP374" s="31">
        <v>3500</v>
      </c>
      <c r="AQ374" s="31"/>
      <c r="AR374" s="653"/>
      <c r="AS374" s="159">
        <f t="shared" si="266"/>
        <v>258</v>
      </c>
      <c r="AT374" s="650">
        <f>SUM(AS374:AS376,AR374)</f>
        <v>606</v>
      </c>
      <c r="AU374" s="653" t="s">
        <v>51</v>
      </c>
      <c r="AV374" s="653">
        <v>4</v>
      </c>
      <c r="AW374" s="31" t="s">
        <v>51</v>
      </c>
      <c r="AX374" s="653">
        <v>1.5</v>
      </c>
      <c r="AY374" s="633">
        <f>SUM(AV374:AX377)</f>
        <v>5.5</v>
      </c>
      <c r="AZ374" s="636">
        <v>0.25</v>
      </c>
      <c r="BA374" s="640">
        <f>AV374*60</f>
        <v>240</v>
      </c>
      <c r="BB374" s="657">
        <f>IF(
   COUNTIF(AU374:AU377,"SI")&gt;0,
   1.8,
   IF(
      COUNTIF(AV374:AV377,"SI")&gt;0,
      1.6,
      2
   )
)</f>
        <v>1.8</v>
      </c>
      <c r="BC374" s="666">
        <f>IF(BA374=0,0,AT374/BA374)</f>
        <v>2.5249999999999999</v>
      </c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18"/>
      <c r="BX374" s="118"/>
      <c r="BY374" s="118"/>
      <c r="BZ374" s="118"/>
      <c r="CA374" s="118"/>
      <c r="CB374" s="118"/>
      <c r="CC374" s="118"/>
      <c r="CD374" s="118"/>
      <c r="CE374" s="118"/>
      <c r="CF374" s="118"/>
      <c r="CG374" s="118"/>
      <c r="CH374" s="118"/>
      <c r="CI374" s="118"/>
      <c r="CJ374" s="118"/>
      <c r="CK374" s="118"/>
      <c r="CL374" s="118"/>
      <c r="CM374" s="118"/>
      <c r="CN374" s="92"/>
      <c r="CO374" s="93"/>
      <c r="CP374" s="93"/>
      <c r="CQ374" s="93"/>
      <c r="CR374" s="93"/>
      <c r="CS374" s="93"/>
      <c r="CT374" s="93"/>
      <c r="CU374" s="93"/>
      <c r="CV374" s="93"/>
      <c r="CW374" s="93"/>
      <c r="CX374" s="93"/>
      <c r="CY374" s="93"/>
      <c r="CZ374" s="93"/>
      <c r="DA374" s="93"/>
      <c r="DB374" s="93"/>
      <c r="DC374" s="94"/>
      <c r="DD374" s="118"/>
      <c r="DE374" s="118"/>
      <c r="DF374" s="118"/>
      <c r="DG374" s="118"/>
      <c r="DH374" s="118"/>
      <c r="DI374" s="118"/>
      <c r="DJ374" s="118"/>
      <c r="DK374" s="118"/>
      <c r="DL374" s="118"/>
      <c r="DM374" s="118"/>
      <c r="DN374" s="118"/>
      <c r="DO374" s="118"/>
      <c r="DP374" s="118"/>
      <c r="DQ374" s="118"/>
      <c r="DR374" s="118"/>
      <c r="DS374" s="118"/>
      <c r="DT374" s="118"/>
      <c r="DU374" s="19"/>
      <c r="DV374" s="19"/>
      <c r="DW374" s="19"/>
      <c r="DX374" s="19"/>
      <c r="DY374" s="19"/>
      <c r="DZ374" s="19"/>
    </row>
    <row r="375" spans="1:130" ht="12.75" x14ac:dyDescent="0.2">
      <c r="A375" s="647"/>
      <c r="B375" s="647"/>
      <c r="C375" s="29"/>
      <c r="D375" s="29"/>
      <c r="E375" s="29"/>
      <c r="F375" s="29"/>
      <c r="G375" s="30"/>
      <c r="H375" s="634"/>
      <c r="I375" s="159">
        <f t="shared" si="264"/>
        <v>0</v>
      </c>
      <c r="J375" s="634"/>
      <c r="K375" s="30"/>
      <c r="L375" s="30"/>
      <c r="M375" s="634"/>
      <c r="N375" s="634"/>
      <c r="O375" s="634"/>
      <c r="P375" s="634"/>
      <c r="Q375" s="634"/>
      <c r="R375" s="634"/>
      <c r="S375" s="659"/>
      <c r="T375" s="647"/>
      <c r="U375" s="30"/>
      <c r="V375" s="28">
        <v>669</v>
      </c>
      <c r="W375" s="28">
        <v>4001</v>
      </c>
      <c r="X375" s="28">
        <v>4450</v>
      </c>
      <c r="Y375" s="29">
        <v>1</v>
      </c>
      <c r="Z375" s="634"/>
      <c r="AA375" s="51">
        <f t="shared" si="265"/>
        <v>449</v>
      </c>
      <c r="AB375" s="634"/>
      <c r="AC375" s="28" t="s">
        <v>51</v>
      </c>
      <c r="AD375" s="28" t="s">
        <v>51</v>
      </c>
      <c r="AE375" s="634"/>
      <c r="AF375" s="634"/>
      <c r="AG375" s="634"/>
      <c r="AH375" s="634"/>
      <c r="AI375" s="638"/>
      <c r="AJ375" s="634"/>
      <c r="AK375" s="642"/>
      <c r="AL375" s="647"/>
      <c r="AM375" s="29">
        <v>99</v>
      </c>
      <c r="AN375" s="31">
        <v>668</v>
      </c>
      <c r="AO375" s="31">
        <v>3501</v>
      </c>
      <c r="AP375" s="31">
        <v>3850</v>
      </c>
      <c r="AQ375" s="31">
        <v>2</v>
      </c>
      <c r="AR375" s="634"/>
      <c r="AS375" s="159">
        <f t="shared" si="266"/>
        <v>348</v>
      </c>
      <c r="AT375" s="634"/>
      <c r="AU375" s="634"/>
      <c r="AV375" s="634"/>
      <c r="AW375" s="31" t="s">
        <v>51</v>
      </c>
      <c r="AX375" s="634"/>
      <c r="AY375" s="634"/>
      <c r="AZ375" s="634"/>
      <c r="BA375" s="634"/>
      <c r="BB375" s="634"/>
      <c r="BC375" s="634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18"/>
      <c r="BX375" s="118"/>
      <c r="BY375" s="118"/>
      <c r="BZ375" s="118"/>
      <c r="CA375" s="118"/>
      <c r="CB375" s="118"/>
      <c r="CC375" s="118"/>
      <c r="CD375" s="118"/>
      <c r="CE375" s="118"/>
      <c r="CF375" s="118"/>
      <c r="CG375" s="118"/>
      <c r="CH375" s="118"/>
      <c r="CI375" s="118"/>
      <c r="CJ375" s="118"/>
      <c r="CK375" s="118"/>
      <c r="CL375" s="118"/>
      <c r="CM375" s="118"/>
      <c r="CN375" s="92"/>
      <c r="CO375" s="93"/>
      <c r="CP375" s="93"/>
      <c r="CQ375" s="93"/>
      <c r="CR375" s="93"/>
      <c r="CS375" s="93"/>
      <c r="CT375" s="93"/>
      <c r="CU375" s="93"/>
      <c r="CV375" s="93"/>
      <c r="CW375" s="93"/>
      <c r="CX375" s="93"/>
      <c r="CY375" s="93"/>
      <c r="CZ375" s="93"/>
      <c r="DA375" s="93"/>
      <c r="DB375" s="93"/>
      <c r="DC375" s="94"/>
      <c r="DD375" s="118"/>
      <c r="DE375" s="118"/>
      <c r="DF375" s="118"/>
      <c r="DG375" s="118"/>
      <c r="DH375" s="118"/>
      <c r="DI375" s="118"/>
      <c r="DJ375" s="118"/>
      <c r="DK375" s="118"/>
      <c r="DL375" s="118"/>
      <c r="DM375" s="118"/>
      <c r="DN375" s="118"/>
      <c r="DO375" s="118"/>
      <c r="DP375" s="118"/>
      <c r="DQ375" s="118"/>
      <c r="DR375" s="118"/>
      <c r="DS375" s="118"/>
      <c r="DT375" s="118"/>
      <c r="DU375" s="19"/>
      <c r="DV375" s="19"/>
      <c r="DW375" s="19"/>
      <c r="DX375" s="19"/>
      <c r="DY375" s="19"/>
      <c r="DZ375" s="19"/>
    </row>
    <row r="376" spans="1:130" ht="12.75" x14ac:dyDescent="0.2">
      <c r="A376" s="647"/>
      <c r="B376" s="647"/>
      <c r="C376" s="30"/>
      <c r="D376" s="30"/>
      <c r="E376" s="30"/>
      <c r="F376" s="30"/>
      <c r="G376" s="30"/>
      <c r="H376" s="634"/>
      <c r="I376" s="159">
        <f t="shared" si="264"/>
        <v>0</v>
      </c>
      <c r="J376" s="634"/>
      <c r="K376" s="30"/>
      <c r="L376" s="30"/>
      <c r="M376" s="634"/>
      <c r="N376" s="634"/>
      <c r="O376" s="634"/>
      <c r="P376" s="634"/>
      <c r="Q376" s="634"/>
      <c r="R376" s="634"/>
      <c r="S376" s="659"/>
      <c r="T376" s="647"/>
      <c r="U376" s="30"/>
      <c r="V376" s="28"/>
      <c r="W376" s="28"/>
      <c r="X376" s="28"/>
      <c r="Y376" s="29"/>
      <c r="Z376" s="634"/>
      <c r="AA376" s="51">
        <f t="shared" si="265"/>
        <v>0</v>
      </c>
      <c r="AB376" s="634"/>
      <c r="AC376" s="51"/>
      <c r="AD376" s="51"/>
      <c r="AE376" s="634"/>
      <c r="AF376" s="634"/>
      <c r="AG376" s="634"/>
      <c r="AH376" s="634"/>
      <c r="AI376" s="638"/>
      <c r="AJ376" s="634"/>
      <c r="AK376" s="642"/>
      <c r="AL376" s="647"/>
      <c r="AM376" s="29"/>
      <c r="AN376" s="31"/>
      <c r="AO376" s="31"/>
      <c r="AP376" s="31"/>
      <c r="AQ376" s="40"/>
      <c r="AR376" s="634"/>
      <c r="AS376" s="159">
        <f t="shared" si="266"/>
        <v>0</v>
      </c>
      <c r="AT376" s="635"/>
      <c r="AU376" s="635"/>
      <c r="AV376" s="635"/>
      <c r="AW376" s="31"/>
      <c r="AX376" s="634"/>
      <c r="AY376" s="634"/>
      <c r="AZ376" s="634"/>
      <c r="BA376" s="634"/>
      <c r="BB376" s="634"/>
      <c r="BC376" s="634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18"/>
      <c r="BX376" s="118"/>
      <c r="BY376" s="118"/>
      <c r="BZ376" s="118"/>
      <c r="CA376" s="118"/>
      <c r="CB376" s="118"/>
      <c r="CC376" s="118"/>
      <c r="CD376" s="118"/>
      <c r="CE376" s="118"/>
      <c r="CF376" s="118"/>
      <c r="CG376" s="118"/>
      <c r="CH376" s="118"/>
      <c r="CI376" s="118"/>
      <c r="CJ376" s="118"/>
      <c r="CK376" s="118"/>
      <c r="CL376" s="118"/>
      <c r="CM376" s="118"/>
      <c r="CN376" s="92"/>
      <c r="CO376" s="93"/>
      <c r="CP376" s="93"/>
      <c r="CQ376" s="93"/>
      <c r="CR376" s="93"/>
      <c r="CS376" s="93"/>
      <c r="CT376" s="93"/>
      <c r="CU376" s="93"/>
      <c r="CV376" s="93"/>
      <c r="CW376" s="93"/>
      <c r="CX376" s="93"/>
      <c r="CY376" s="93"/>
      <c r="CZ376" s="93"/>
      <c r="DA376" s="93"/>
      <c r="DB376" s="93"/>
      <c r="DC376" s="94"/>
      <c r="DD376" s="118"/>
      <c r="DE376" s="118"/>
      <c r="DF376" s="118"/>
      <c r="DG376" s="118"/>
      <c r="DH376" s="118"/>
      <c r="DI376" s="118"/>
      <c r="DJ376" s="118"/>
      <c r="DK376" s="118"/>
      <c r="DL376" s="118"/>
      <c r="DM376" s="118"/>
      <c r="DN376" s="118"/>
      <c r="DO376" s="118"/>
      <c r="DP376" s="118"/>
      <c r="DQ376" s="118"/>
      <c r="DR376" s="118"/>
      <c r="DS376" s="118"/>
      <c r="DT376" s="118"/>
      <c r="DU376" s="19"/>
      <c r="DV376" s="19"/>
      <c r="DW376" s="19"/>
      <c r="DX376" s="19"/>
      <c r="DY376" s="19"/>
      <c r="DZ376" s="19"/>
    </row>
    <row r="377" spans="1:130" ht="12.75" x14ac:dyDescent="0.2">
      <c r="A377" s="648"/>
      <c r="B377" s="648"/>
      <c r="C377" s="30"/>
      <c r="D377" s="30"/>
      <c r="E377" s="30"/>
      <c r="F377" s="30"/>
      <c r="G377" s="30"/>
      <c r="H377" s="635"/>
      <c r="I377" s="159">
        <f t="shared" si="264"/>
        <v>0</v>
      </c>
      <c r="J377" s="635"/>
      <c r="K377" s="30"/>
      <c r="L377" s="30"/>
      <c r="M377" s="635"/>
      <c r="N377" s="635"/>
      <c r="O377" s="635"/>
      <c r="P377" s="635"/>
      <c r="Q377" s="635"/>
      <c r="R377" s="635"/>
      <c r="S377" s="660"/>
      <c r="T377" s="648"/>
      <c r="U377" s="30"/>
      <c r="V377" s="30"/>
      <c r="W377" s="30"/>
      <c r="X377" s="30"/>
      <c r="Y377" s="30"/>
      <c r="Z377" s="635"/>
      <c r="AA377" s="51">
        <f t="shared" si="265"/>
        <v>0</v>
      </c>
      <c r="AB377" s="635"/>
      <c r="AC377" s="30"/>
      <c r="AD377" s="30"/>
      <c r="AE377" s="635"/>
      <c r="AF377" s="635"/>
      <c r="AG377" s="635"/>
      <c r="AH377" s="635"/>
      <c r="AI377" s="638"/>
      <c r="AJ377" s="635"/>
      <c r="AK377" s="642"/>
      <c r="AL377" s="648"/>
      <c r="AM377" s="29"/>
      <c r="AN377" s="31"/>
      <c r="AO377" s="31"/>
      <c r="AP377" s="31"/>
      <c r="AQ377" s="40"/>
      <c r="AR377" s="635"/>
      <c r="AS377" s="159">
        <f t="shared" si="266"/>
        <v>0</v>
      </c>
      <c r="AT377" s="153">
        <f>AS377</f>
        <v>0</v>
      </c>
      <c r="AU377" s="31"/>
      <c r="AV377" s="35"/>
      <c r="AW377" s="35"/>
      <c r="AX377" s="635"/>
      <c r="AY377" s="635"/>
      <c r="AZ377" s="635"/>
      <c r="BA377" s="147">
        <f t="shared" ref="BA377:BA378" si="269">AV377*60</f>
        <v>0</v>
      </c>
      <c r="BB377" s="165"/>
      <c r="BC377" s="95">
        <f t="shared" ref="BC377:BC378" si="270">IF(BA377=0,0,AT377/BA377)</f>
        <v>0</v>
      </c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18"/>
      <c r="BX377" s="118"/>
      <c r="BY377" s="118"/>
      <c r="BZ377" s="118"/>
      <c r="CA377" s="118"/>
      <c r="CB377" s="118"/>
      <c r="CC377" s="118"/>
      <c r="CD377" s="118"/>
      <c r="CE377" s="118"/>
      <c r="CF377" s="118"/>
      <c r="CG377" s="118"/>
      <c r="CH377" s="118"/>
      <c r="CI377" s="118"/>
      <c r="CJ377" s="118"/>
      <c r="CK377" s="118"/>
      <c r="CL377" s="118"/>
      <c r="CM377" s="118"/>
      <c r="CN377" s="92"/>
      <c r="CO377" s="93"/>
      <c r="CP377" s="93"/>
      <c r="CQ377" s="93"/>
      <c r="CR377" s="93"/>
      <c r="CS377" s="93"/>
      <c r="CT377" s="93"/>
      <c r="CU377" s="93"/>
      <c r="CV377" s="93"/>
      <c r="CW377" s="93"/>
      <c r="CX377" s="93"/>
      <c r="CY377" s="93"/>
      <c r="CZ377" s="93"/>
      <c r="DA377" s="93"/>
      <c r="DB377" s="93"/>
      <c r="DC377" s="94"/>
      <c r="DD377" s="118"/>
      <c r="DE377" s="118"/>
      <c r="DF377" s="118"/>
      <c r="DG377" s="118"/>
      <c r="DH377" s="118"/>
      <c r="DI377" s="118"/>
      <c r="DJ377" s="118"/>
      <c r="DK377" s="118"/>
      <c r="DL377" s="118"/>
      <c r="DM377" s="118"/>
      <c r="DN377" s="118"/>
      <c r="DO377" s="118"/>
      <c r="DP377" s="118"/>
      <c r="DQ377" s="118"/>
      <c r="DR377" s="118"/>
      <c r="DS377" s="118"/>
      <c r="DT377" s="118"/>
      <c r="DU377" s="19"/>
      <c r="DV377" s="19"/>
      <c r="DW377" s="19"/>
      <c r="DX377" s="19"/>
      <c r="DY377" s="19"/>
      <c r="DZ377" s="19"/>
    </row>
    <row r="378" spans="1:130" ht="12.75" x14ac:dyDescent="0.2">
      <c r="A378" s="651"/>
      <c r="B378" s="646">
        <v>46149</v>
      </c>
      <c r="C378" s="31"/>
      <c r="D378" s="31"/>
      <c r="E378" s="31"/>
      <c r="F378" s="31"/>
      <c r="G378" s="142"/>
      <c r="H378" s="652"/>
      <c r="I378" s="159">
        <f t="shared" si="264"/>
        <v>0</v>
      </c>
      <c r="J378" s="650">
        <f>SUM(I378:I381,H378)</f>
        <v>0</v>
      </c>
      <c r="K378" s="40"/>
      <c r="L378" s="40"/>
      <c r="M378" s="653"/>
      <c r="N378" s="653"/>
      <c r="O378" s="633">
        <f>SUM(M378:N381)</f>
        <v>0</v>
      </c>
      <c r="P378" s="653"/>
      <c r="Q378" s="636">
        <f>M378*60</f>
        <v>0</v>
      </c>
      <c r="R378" s="657">
        <f>IF(
   COUNTIF(K378:K381,"SI")&gt;0,
   1.8,
   IF(
      COUNTIF(L378:L381,"SI")&gt;0,
      1.6,
      2
   )
)</f>
        <v>2</v>
      </c>
      <c r="S378" s="658">
        <f>IF(Q378=0,0,J378/Q378)</f>
        <v>0</v>
      </c>
      <c r="T378" s="646">
        <v>46149</v>
      </c>
      <c r="U378" s="40"/>
      <c r="V378" s="31">
        <v>669</v>
      </c>
      <c r="W378" s="31">
        <v>4451</v>
      </c>
      <c r="X378" s="31">
        <v>4500</v>
      </c>
      <c r="Y378" s="31">
        <v>1</v>
      </c>
      <c r="Z378" s="653">
        <v>0</v>
      </c>
      <c r="AA378" s="51">
        <f t="shared" si="265"/>
        <v>49</v>
      </c>
      <c r="AB378" s="650">
        <f>SUM(AA378:AA381,Z378)</f>
        <v>498</v>
      </c>
      <c r="AC378" s="31" t="s">
        <v>51</v>
      </c>
      <c r="AD378" s="31" t="s">
        <v>51</v>
      </c>
      <c r="AE378" s="653">
        <v>4</v>
      </c>
      <c r="AF378" s="636">
        <v>0.25</v>
      </c>
      <c r="AG378" s="633">
        <f>SUM(AE378:AF381)</f>
        <v>4.25</v>
      </c>
      <c r="AH378" s="636">
        <v>0</v>
      </c>
      <c r="AI378" s="637">
        <f>AE378*60</f>
        <v>240</v>
      </c>
      <c r="AJ378" s="640">
        <f>IF(
   COUNTIF(AC378:AC381,"SI")&gt;0,
   1.8,
   IF(
      COUNTIF(AD378:AD381,"SI")&gt;0,
      1.6,
      2
   )
)</f>
        <v>1.8</v>
      </c>
      <c r="AK378" s="641">
        <f>IF(AI378=0,0,AB378/AI378)</f>
        <v>2.0750000000000002</v>
      </c>
      <c r="AL378" s="646">
        <v>46149</v>
      </c>
      <c r="AM378" s="28">
        <v>14</v>
      </c>
      <c r="AN378" s="31">
        <v>668</v>
      </c>
      <c r="AO378" s="31">
        <v>3851</v>
      </c>
      <c r="AP378" s="31">
        <v>4000</v>
      </c>
      <c r="AQ378" s="28"/>
      <c r="AR378" s="649">
        <v>1</v>
      </c>
      <c r="AS378" s="159">
        <f t="shared" si="266"/>
        <v>150</v>
      </c>
      <c r="AT378" s="650">
        <f>SUM(AS378:AS379)+AR378</f>
        <v>602</v>
      </c>
      <c r="AU378" s="38" t="s">
        <v>51</v>
      </c>
      <c r="AV378" s="640">
        <v>4</v>
      </c>
      <c r="AW378" s="28" t="s">
        <v>51</v>
      </c>
      <c r="AX378" s="640">
        <v>0</v>
      </c>
      <c r="AY378" s="633">
        <f>SUM(AV378:AV380,AX378)</f>
        <v>4</v>
      </c>
      <c r="AZ378" s="636">
        <v>0.2</v>
      </c>
      <c r="BA378" s="636">
        <f t="shared" si="269"/>
        <v>240</v>
      </c>
      <c r="BB378" s="644">
        <f>IF(
   COUNTIF(AU378:AU379,"SI")&gt;0,
   1.8,
   IF(
      COUNTIF(AW378:AW379,"SI")&gt;0,
      1.6,
      2
   )
)</f>
        <v>1.8</v>
      </c>
      <c r="BC378" s="645">
        <f t="shared" si="270"/>
        <v>2.5083333333333333</v>
      </c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18"/>
      <c r="BX378" s="118"/>
      <c r="BY378" s="118"/>
      <c r="BZ378" s="118"/>
      <c r="CA378" s="118"/>
      <c r="CB378" s="118"/>
      <c r="CC378" s="118"/>
      <c r="CD378" s="118"/>
      <c r="CE378" s="118"/>
      <c r="CF378" s="118"/>
      <c r="CG378" s="118"/>
      <c r="CH378" s="118"/>
      <c r="CI378" s="118"/>
      <c r="CJ378" s="118"/>
      <c r="CK378" s="118"/>
      <c r="CL378" s="118"/>
      <c r="CM378" s="118"/>
      <c r="CN378" s="92"/>
      <c r="CO378" s="93"/>
      <c r="CP378" s="93"/>
      <c r="CQ378" s="93"/>
      <c r="CR378" s="93"/>
      <c r="CS378" s="93"/>
      <c r="CT378" s="93"/>
      <c r="CU378" s="93"/>
      <c r="CV378" s="93"/>
      <c r="CW378" s="93"/>
      <c r="CX378" s="93"/>
      <c r="CY378" s="93"/>
      <c r="CZ378" s="93"/>
      <c r="DA378" s="93"/>
      <c r="DB378" s="93"/>
      <c r="DC378" s="94"/>
      <c r="DD378" s="118"/>
      <c r="DE378" s="118"/>
      <c r="DF378" s="118"/>
      <c r="DG378" s="118"/>
      <c r="DH378" s="118"/>
      <c r="DI378" s="118"/>
      <c r="DJ378" s="118"/>
      <c r="DK378" s="118"/>
      <c r="DL378" s="118"/>
      <c r="DM378" s="118"/>
      <c r="DN378" s="118"/>
      <c r="DO378" s="118"/>
      <c r="DP378" s="118"/>
      <c r="DQ378" s="118"/>
      <c r="DR378" s="118"/>
      <c r="DS378" s="118"/>
      <c r="DT378" s="118"/>
      <c r="DU378" s="19"/>
      <c r="DV378" s="19"/>
      <c r="DW378" s="19"/>
      <c r="DX378" s="19"/>
      <c r="DY378" s="19"/>
      <c r="DZ378" s="19"/>
    </row>
    <row r="379" spans="1:130" ht="12.75" x14ac:dyDescent="0.2">
      <c r="A379" s="647"/>
      <c r="B379" s="647"/>
      <c r="C379" s="40"/>
      <c r="D379" s="40"/>
      <c r="E379" s="40"/>
      <c r="F379" s="40"/>
      <c r="G379" s="40"/>
      <c r="H379" s="634"/>
      <c r="I379" s="159">
        <f t="shared" si="264"/>
        <v>0</v>
      </c>
      <c r="J379" s="634"/>
      <c r="K379" s="40"/>
      <c r="L379" s="40"/>
      <c r="M379" s="634"/>
      <c r="N379" s="634"/>
      <c r="O379" s="634"/>
      <c r="P379" s="634"/>
      <c r="Q379" s="634"/>
      <c r="R379" s="634"/>
      <c r="S379" s="659"/>
      <c r="T379" s="647"/>
      <c r="U379" s="40"/>
      <c r="V379" s="31">
        <v>671</v>
      </c>
      <c r="W379" s="31">
        <v>5001</v>
      </c>
      <c r="X379" s="31">
        <v>5450</v>
      </c>
      <c r="Y379" s="31">
        <v>1</v>
      </c>
      <c r="Z379" s="634"/>
      <c r="AA379" s="51">
        <f t="shared" si="265"/>
        <v>449</v>
      </c>
      <c r="AB379" s="634"/>
      <c r="AC379" s="31" t="s">
        <v>51</v>
      </c>
      <c r="AD379" s="31" t="s">
        <v>51</v>
      </c>
      <c r="AE379" s="634"/>
      <c r="AF379" s="634"/>
      <c r="AG379" s="634"/>
      <c r="AH379" s="634"/>
      <c r="AI379" s="638"/>
      <c r="AJ379" s="634"/>
      <c r="AK379" s="642"/>
      <c r="AL379" s="647"/>
      <c r="AM379" s="28">
        <v>110</v>
      </c>
      <c r="AN379" s="28">
        <v>670</v>
      </c>
      <c r="AO379" s="28">
        <v>4506</v>
      </c>
      <c r="AP379" s="28">
        <v>4962</v>
      </c>
      <c r="AQ379" s="29">
        <v>6</v>
      </c>
      <c r="AR379" s="634"/>
      <c r="AS379" s="159">
        <f t="shared" si="266"/>
        <v>451</v>
      </c>
      <c r="AT379" s="634"/>
      <c r="AU379" s="38" t="s">
        <v>51</v>
      </c>
      <c r="AV379" s="634"/>
      <c r="AW379" s="28" t="s">
        <v>51</v>
      </c>
      <c r="AX379" s="634"/>
      <c r="AY379" s="634"/>
      <c r="AZ379" s="634"/>
      <c r="BA379" s="635"/>
      <c r="BB379" s="634"/>
      <c r="BC379" s="634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18"/>
      <c r="BX379" s="118"/>
      <c r="BY379" s="118"/>
      <c r="BZ379" s="118"/>
      <c r="CA379" s="118"/>
      <c r="CB379" s="118"/>
      <c r="CC379" s="118"/>
      <c r="CD379" s="118"/>
      <c r="CE379" s="118"/>
      <c r="CF379" s="118"/>
      <c r="CG379" s="118"/>
      <c r="CH379" s="118"/>
      <c r="CI379" s="118"/>
      <c r="CJ379" s="118"/>
      <c r="CK379" s="118"/>
      <c r="CL379" s="118"/>
      <c r="CM379" s="118"/>
      <c r="CN379" s="92"/>
      <c r="CO379" s="93"/>
      <c r="CP379" s="93"/>
      <c r="CQ379" s="93"/>
      <c r="CR379" s="93"/>
      <c r="CS379" s="93"/>
      <c r="CT379" s="93"/>
      <c r="CU379" s="93"/>
      <c r="CV379" s="93"/>
      <c r="CW379" s="93"/>
      <c r="CX379" s="93"/>
      <c r="CY379" s="93"/>
      <c r="CZ379" s="93"/>
      <c r="DA379" s="93"/>
      <c r="DB379" s="93"/>
      <c r="DC379" s="94"/>
      <c r="DD379" s="118"/>
      <c r="DE379" s="118"/>
      <c r="DF379" s="118"/>
      <c r="DG379" s="118"/>
      <c r="DH379" s="118"/>
      <c r="DI379" s="118"/>
      <c r="DJ379" s="118"/>
      <c r="DK379" s="118"/>
      <c r="DL379" s="118"/>
      <c r="DM379" s="118"/>
      <c r="DN379" s="118"/>
      <c r="DO379" s="118"/>
      <c r="DP379" s="118"/>
      <c r="DQ379" s="118"/>
      <c r="DR379" s="118"/>
      <c r="DS379" s="118"/>
      <c r="DT379" s="118"/>
      <c r="DU379" s="19"/>
      <c r="DV379" s="19"/>
      <c r="DW379" s="19"/>
      <c r="DX379" s="19"/>
      <c r="DY379" s="19"/>
      <c r="DZ379" s="19"/>
    </row>
    <row r="380" spans="1:130" ht="12.75" x14ac:dyDescent="0.2">
      <c r="A380" s="647"/>
      <c r="B380" s="647"/>
      <c r="C380" s="40"/>
      <c r="D380" s="160"/>
      <c r="E380" s="160"/>
      <c r="F380" s="160"/>
      <c r="G380" s="160"/>
      <c r="H380" s="634"/>
      <c r="I380" s="159">
        <f t="shared" si="264"/>
        <v>0</v>
      </c>
      <c r="J380" s="634"/>
      <c r="K380" s="40"/>
      <c r="L380" s="40"/>
      <c r="M380" s="634"/>
      <c r="N380" s="634"/>
      <c r="O380" s="634"/>
      <c r="P380" s="634"/>
      <c r="Q380" s="634"/>
      <c r="R380" s="634"/>
      <c r="S380" s="659"/>
      <c r="T380" s="647"/>
      <c r="U380" s="40"/>
      <c r="V380" s="31"/>
      <c r="W380" s="40"/>
      <c r="X380" s="40"/>
      <c r="Y380" s="40"/>
      <c r="Z380" s="634"/>
      <c r="AA380" s="51">
        <f t="shared" si="265"/>
        <v>0</v>
      </c>
      <c r="AB380" s="634"/>
      <c r="AC380" s="40"/>
      <c r="AD380" s="40"/>
      <c r="AE380" s="634"/>
      <c r="AF380" s="634"/>
      <c r="AG380" s="634"/>
      <c r="AH380" s="634"/>
      <c r="AI380" s="638"/>
      <c r="AJ380" s="634"/>
      <c r="AK380" s="642"/>
      <c r="AL380" s="647"/>
      <c r="AM380" s="41"/>
      <c r="AN380" s="41"/>
      <c r="AO380" s="41"/>
      <c r="AP380" s="41"/>
      <c r="AQ380" s="41"/>
      <c r="AR380" s="634"/>
      <c r="AS380" s="159">
        <f t="shared" si="266"/>
        <v>0</v>
      </c>
      <c r="AT380" s="146">
        <f>AS380</f>
        <v>0</v>
      </c>
      <c r="AU380" s="152"/>
      <c r="AV380" s="28"/>
      <c r="AW380" s="152"/>
      <c r="AX380" s="634"/>
      <c r="AY380" s="634"/>
      <c r="AZ380" s="634"/>
      <c r="BA380" s="150">
        <f>AV380*60</f>
        <v>0</v>
      </c>
      <c r="BB380" s="156"/>
      <c r="BC380" s="95">
        <f>IF(BA380=0,0,AT380/BA380)</f>
        <v>0</v>
      </c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18"/>
      <c r="BX380" s="118"/>
      <c r="BY380" s="118"/>
      <c r="BZ380" s="118"/>
      <c r="CA380" s="118"/>
      <c r="CB380" s="118"/>
      <c r="CC380" s="118"/>
      <c r="CD380" s="118"/>
      <c r="CE380" s="118"/>
      <c r="CF380" s="118"/>
      <c r="CG380" s="118"/>
      <c r="CH380" s="118"/>
      <c r="CI380" s="118"/>
      <c r="CJ380" s="118"/>
      <c r="CK380" s="118"/>
      <c r="CL380" s="118"/>
      <c r="CM380" s="118"/>
      <c r="CN380" s="92"/>
      <c r="CO380" s="93"/>
      <c r="CP380" s="93"/>
      <c r="CQ380" s="93"/>
      <c r="CR380" s="93"/>
      <c r="CS380" s="93"/>
      <c r="CT380" s="93"/>
      <c r="CU380" s="93"/>
      <c r="CV380" s="93"/>
      <c r="CW380" s="93"/>
      <c r="CX380" s="93"/>
      <c r="CY380" s="93"/>
      <c r="CZ380" s="93"/>
      <c r="DA380" s="93"/>
      <c r="DB380" s="93"/>
      <c r="DC380" s="94"/>
      <c r="DD380" s="118"/>
      <c r="DE380" s="118"/>
      <c r="DF380" s="118"/>
      <c r="DG380" s="118"/>
      <c r="DH380" s="118"/>
      <c r="DI380" s="118"/>
      <c r="DJ380" s="118"/>
      <c r="DK380" s="118"/>
      <c r="DL380" s="118"/>
      <c r="DM380" s="118"/>
      <c r="DN380" s="118"/>
      <c r="DO380" s="118"/>
      <c r="DP380" s="118"/>
      <c r="DQ380" s="118"/>
      <c r="DR380" s="118"/>
      <c r="DS380" s="118"/>
      <c r="DT380" s="118"/>
      <c r="DU380" s="19"/>
      <c r="DV380" s="19"/>
      <c r="DW380" s="19"/>
      <c r="DX380" s="19"/>
      <c r="DY380" s="19"/>
      <c r="DZ380" s="19"/>
    </row>
    <row r="381" spans="1:130" ht="12.75" x14ac:dyDescent="0.2">
      <c r="A381" s="648"/>
      <c r="B381" s="648"/>
      <c r="C381" s="40"/>
      <c r="D381" s="160"/>
      <c r="E381" s="160"/>
      <c r="F381" s="160"/>
      <c r="G381" s="160"/>
      <c r="H381" s="635"/>
      <c r="I381" s="159">
        <f t="shared" si="264"/>
        <v>0</v>
      </c>
      <c r="J381" s="635"/>
      <c r="K381" s="40"/>
      <c r="L381" s="40"/>
      <c r="M381" s="635"/>
      <c r="N381" s="635"/>
      <c r="O381" s="635"/>
      <c r="P381" s="635"/>
      <c r="Q381" s="635"/>
      <c r="R381" s="635"/>
      <c r="S381" s="660"/>
      <c r="T381" s="648"/>
      <c r="U381" s="40"/>
      <c r="V381" s="40"/>
      <c r="W381" s="40"/>
      <c r="X381" s="40"/>
      <c r="Y381" s="40"/>
      <c r="Z381" s="635"/>
      <c r="AA381" s="51">
        <f t="shared" si="265"/>
        <v>0</v>
      </c>
      <c r="AB381" s="635"/>
      <c r="AC381" s="40"/>
      <c r="AD381" s="40"/>
      <c r="AE381" s="635"/>
      <c r="AF381" s="635"/>
      <c r="AG381" s="635"/>
      <c r="AH381" s="635"/>
      <c r="AI381" s="639"/>
      <c r="AJ381" s="635"/>
      <c r="AK381" s="643"/>
      <c r="AL381" s="648"/>
      <c r="AM381" s="51"/>
      <c r="AN381" s="28"/>
      <c r="AO381" s="28"/>
      <c r="AP381" s="28"/>
      <c r="AQ381" s="51"/>
      <c r="AR381" s="635"/>
      <c r="AS381" s="159">
        <f t="shared" si="266"/>
        <v>0</v>
      </c>
      <c r="AT381" s="464"/>
      <c r="AU381" s="150"/>
      <c r="AV381" s="50"/>
      <c r="AW381" s="51"/>
      <c r="AX381" s="635"/>
      <c r="AY381" s="635"/>
      <c r="AZ381" s="635"/>
      <c r="BA381" s="465"/>
      <c r="BB381" s="165"/>
      <c r="BC381" s="466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18"/>
      <c r="BX381" s="118"/>
      <c r="BY381" s="118"/>
      <c r="BZ381" s="118"/>
      <c r="CA381" s="118"/>
      <c r="CB381" s="118"/>
      <c r="CC381" s="118"/>
      <c r="CD381" s="118"/>
      <c r="CE381" s="118"/>
      <c r="CF381" s="118"/>
      <c r="CG381" s="118"/>
      <c r="CH381" s="118"/>
      <c r="CI381" s="118"/>
      <c r="CJ381" s="118"/>
      <c r="CK381" s="118"/>
      <c r="CL381" s="118"/>
      <c r="CM381" s="118"/>
      <c r="CN381" s="92"/>
      <c r="CO381" s="93"/>
      <c r="CP381" s="93"/>
      <c r="CQ381" s="93"/>
      <c r="CR381" s="93"/>
      <c r="CS381" s="93"/>
      <c r="CT381" s="93"/>
      <c r="CU381" s="93"/>
      <c r="CV381" s="93"/>
      <c r="CW381" s="93"/>
      <c r="CX381" s="93"/>
      <c r="CY381" s="93"/>
      <c r="CZ381" s="93"/>
      <c r="DA381" s="93"/>
      <c r="DB381" s="93"/>
      <c r="DC381" s="94"/>
      <c r="DD381" s="118"/>
      <c r="DE381" s="118"/>
      <c r="DF381" s="118"/>
      <c r="DG381" s="118"/>
      <c r="DH381" s="118"/>
      <c r="DI381" s="118"/>
      <c r="DJ381" s="118"/>
      <c r="DK381" s="118"/>
      <c r="DL381" s="118"/>
      <c r="DM381" s="118"/>
      <c r="DN381" s="118"/>
      <c r="DO381" s="118"/>
      <c r="DP381" s="118"/>
      <c r="DQ381" s="118"/>
      <c r="DR381" s="118"/>
      <c r="DS381" s="118"/>
      <c r="DT381" s="118"/>
      <c r="DU381" s="19"/>
      <c r="DV381" s="19"/>
      <c r="DW381" s="19"/>
      <c r="DX381" s="19"/>
      <c r="DY381" s="19"/>
      <c r="DZ381" s="19"/>
    </row>
    <row r="382" spans="1:130" ht="12.75" x14ac:dyDescent="0.2">
      <c r="A382" s="654"/>
      <c r="B382" s="655">
        <v>46150</v>
      </c>
      <c r="C382" s="29"/>
      <c r="D382" s="29"/>
      <c r="E382" s="29"/>
      <c r="F382" s="29"/>
      <c r="G382" s="158"/>
      <c r="H382" s="649"/>
      <c r="I382" s="159">
        <f t="shared" si="264"/>
        <v>0</v>
      </c>
      <c r="J382" s="650">
        <f>SUM(I382:I385,H382)</f>
        <v>0</v>
      </c>
      <c r="K382" s="158"/>
      <c r="L382" s="158"/>
      <c r="M382" s="653"/>
      <c r="N382" s="653"/>
      <c r="O382" s="633">
        <f>SUM(M382:N385)</f>
        <v>0</v>
      </c>
      <c r="P382" s="649"/>
      <c r="Q382" s="640">
        <f>M382*60</f>
        <v>0</v>
      </c>
      <c r="R382" s="657">
        <f>IF(
   COUNTIF(K382:K385,"SI")&gt;0,
   1.8,
   IF(
      COUNTIF(L382:L385,"SI")&gt;0,
      1.6,
      2
   )
)</f>
        <v>2</v>
      </c>
      <c r="S382" s="658">
        <f>IF(Q382=0,0,J382/Q382)</f>
        <v>0</v>
      </c>
      <c r="T382" s="655">
        <v>46150</v>
      </c>
      <c r="U382" s="30"/>
      <c r="V382" s="28">
        <v>671</v>
      </c>
      <c r="W382" s="28">
        <v>5451</v>
      </c>
      <c r="X382" s="28">
        <v>5500</v>
      </c>
      <c r="Y382" s="28">
        <v>0</v>
      </c>
      <c r="Z382" s="640">
        <v>0</v>
      </c>
      <c r="AA382" s="51">
        <f t="shared" si="265"/>
        <v>50</v>
      </c>
      <c r="AB382" s="650">
        <f>SUM(AA382:AA385,Z382)</f>
        <v>816</v>
      </c>
      <c r="AC382" s="28" t="s">
        <v>51</v>
      </c>
      <c r="AD382" s="28" t="s">
        <v>51</v>
      </c>
      <c r="AE382" s="640">
        <v>7.25</v>
      </c>
      <c r="AF382" s="640">
        <v>1.5</v>
      </c>
      <c r="AG382" s="633">
        <f>SUM(AE382:AF385)</f>
        <v>8.75</v>
      </c>
      <c r="AH382" s="640">
        <v>0</v>
      </c>
      <c r="AI382" s="664">
        <f>AE382*60</f>
        <v>435</v>
      </c>
      <c r="AJ382" s="640">
        <f>IF(
   COUNTIF(AC382:AC385,"SI")&gt;0,
   1.8,
   IF(
      COUNTIF(AD382:AD385,"SI")&gt;0,
      1.6,
      2
   )
)</f>
        <v>1.8</v>
      </c>
      <c r="AK382" s="665">
        <f>IF(AI382=0,0,AB382/AI382)</f>
        <v>1.8758620689655172</v>
      </c>
      <c r="AL382" s="655">
        <v>46150</v>
      </c>
      <c r="AM382" s="28"/>
      <c r="AN382" s="28"/>
      <c r="AO382" s="28"/>
      <c r="AP382" s="41"/>
      <c r="AQ382" s="28"/>
      <c r="AR382" s="649"/>
      <c r="AS382" s="159">
        <f t="shared" si="266"/>
        <v>0</v>
      </c>
      <c r="AT382" s="650">
        <f>SUM(AS382:AS385)+AR382</f>
        <v>0</v>
      </c>
      <c r="AU382" s="38"/>
      <c r="AV382" s="640"/>
      <c r="AW382" s="28"/>
      <c r="AX382" s="640">
        <v>4</v>
      </c>
      <c r="AY382" s="633">
        <f>SUM(AV382+AV385+AX382)</f>
        <v>4</v>
      </c>
      <c r="AZ382" s="649">
        <v>0.15</v>
      </c>
      <c r="BA382" s="640">
        <f>AV382*60</f>
        <v>0</v>
      </c>
      <c r="BB382" s="644">
        <f>IF(
   COUNTIF(AU382:AU385,"SI")&gt;0,
   1.8,
   IF(
      COUNTIF(AV382:AV385,"SI")&gt;0,
      1.6,
      2
   )
)</f>
        <v>2</v>
      </c>
      <c r="BC382" s="645">
        <f>IF(BA382=0,0,AT382/BA382)</f>
        <v>0</v>
      </c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18"/>
      <c r="BX382" s="118"/>
      <c r="BY382" s="118"/>
      <c r="BZ382" s="118"/>
      <c r="CA382" s="118"/>
      <c r="CB382" s="118"/>
      <c r="CC382" s="118"/>
      <c r="CD382" s="118"/>
      <c r="CE382" s="118"/>
      <c r="CF382" s="118"/>
      <c r="CG382" s="118"/>
      <c r="CH382" s="118"/>
      <c r="CI382" s="118"/>
      <c r="CJ382" s="118"/>
      <c r="CK382" s="118"/>
      <c r="CL382" s="118"/>
      <c r="CM382" s="118"/>
      <c r="CN382" s="92"/>
      <c r="CO382" s="93"/>
      <c r="CP382" s="93"/>
      <c r="CQ382" s="93"/>
      <c r="CR382" s="93"/>
      <c r="CS382" s="93"/>
      <c r="CT382" s="93"/>
      <c r="CU382" s="93"/>
      <c r="CV382" s="93"/>
      <c r="CW382" s="93"/>
      <c r="CX382" s="93"/>
      <c r="CY382" s="93"/>
      <c r="CZ382" s="93"/>
      <c r="DA382" s="93"/>
      <c r="DB382" s="93"/>
      <c r="DC382" s="94"/>
      <c r="DD382" s="118"/>
      <c r="DE382" s="118"/>
      <c r="DF382" s="118"/>
      <c r="DG382" s="118"/>
      <c r="DH382" s="118"/>
      <c r="DI382" s="118"/>
      <c r="DJ382" s="118"/>
      <c r="DK382" s="118"/>
      <c r="DL382" s="118"/>
      <c r="DM382" s="118"/>
      <c r="DN382" s="118"/>
      <c r="DO382" s="118"/>
      <c r="DP382" s="118"/>
      <c r="DQ382" s="118"/>
      <c r="DR382" s="118"/>
      <c r="DS382" s="118"/>
      <c r="DT382" s="118"/>
      <c r="DU382" s="19"/>
      <c r="DV382" s="19"/>
      <c r="DW382" s="19"/>
      <c r="DX382" s="19"/>
      <c r="DY382" s="19"/>
      <c r="DZ382" s="19"/>
    </row>
    <row r="383" spans="1:130" ht="12.75" x14ac:dyDescent="0.2">
      <c r="A383" s="647"/>
      <c r="B383" s="647"/>
      <c r="C383" s="29"/>
      <c r="D383" s="30"/>
      <c r="E383" s="29"/>
      <c r="F383" s="29"/>
      <c r="G383" s="30"/>
      <c r="H383" s="634"/>
      <c r="I383" s="159">
        <f t="shared" si="264"/>
        <v>0</v>
      </c>
      <c r="J383" s="634"/>
      <c r="K383" s="30"/>
      <c r="L383" s="30"/>
      <c r="M383" s="634"/>
      <c r="N383" s="634"/>
      <c r="O383" s="634"/>
      <c r="P383" s="634"/>
      <c r="Q383" s="634"/>
      <c r="R383" s="634"/>
      <c r="S383" s="659"/>
      <c r="T383" s="647"/>
      <c r="U383" s="30"/>
      <c r="V383" s="28">
        <v>673</v>
      </c>
      <c r="W383" s="28">
        <v>6001</v>
      </c>
      <c r="X383" s="28">
        <v>6500</v>
      </c>
      <c r="Y383" s="29">
        <v>0</v>
      </c>
      <c r="Z383" s="634"/>
      <c r="AA383" s="51">
        <f t="shared" si="265"/>
        <v>500</v>
      </c>
      <c r="AB383" s="634"/>
      <c r="AC383" s="28" t="s">
        <v>51</v>
      </c>
      <c r="AD383" s="28" t="s">
        <v>51</v>
      </c>
      <c r="AE383" s="634"/>
      <c r="AF383" s="634"/>
      <c r="AG383" s="634"/>
      <c r="AH383" s="634"/>
      <c r="AI383" s="638"/>
      <c r="AJ383" s="634"/>
      <c r="AK383" s="642"/>
      <c r="AL383" s="647"/>
      <c r="AM383" s="28"/>
      <c r="AN383" s="28"/>
      <c r="AO383" s="28"/>
      <c r="AP383" s="28"/>
      <c r="AQ383" s="30"/>
      <c r="AR383" s="634"/>
      <c r="AS383" s="159">
        <f t="shared" si="266"/>
        <v>0</v>
      </c>
      <c r="AT383" s="634"/>
      <c r="AU383" s="150"/>
      <c r="AV383" s="634"/>
      <c r="AW383" s="51"/>
      <c r="AX383" s="634"/>
      <c r="AY383" s="634"/>
      <c r="AZ383" s="634"/>
      <c r="BA383" s="634"/>
      <c r="BB383" s="634"/>
      <c r="BC383" s="634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18"/>
      <c r="BX383" s="118"/>
      <c r="BY383" s="118"/>
      <c r="BZ383" s="118"/>
      <c r="CA383" s="118"/>
      <c r="CB383" s="118"/>
      <c r="CC383" s="118"/>
      <c r="CD383" s="118"/>
      <c r="CE383" s="118"/>
      <c r="CF383" s="118"/>
      <c r="CG383" s="118"/>
      <c r="CH383" s="118"/>
      <c r="CI383" s="118"/>
      <c r="CJ383" s="118"/>
      <c r="CK383" s="118"/>
      <c r="CL383" s="118"/>
      <c r="CM383" s="118"/>
      <c r="CN383" s="92"/>
      <c r="CO383" s="93"/>
      <c r="CP383" s="93"/>
      <c r="CQ383" s="93"/>
      <c r="CR383" s="93"/>
      <c r="CS383" s="93"/>
      <c r="CT383" s="93"/>
      <c r="CU383" s="93"/>
      <c r="CV383" s="93"/>
      <c r="CW383" s="93"/>
      <c r="CX383" s="93"/>
      <c r="CY383" s="93"/>
      <c r="CZ383" s="93"/>
      <c r="DA383" s="93"/>
      <c r="DB383" s="93"/>
      <c r="DC383" s="94"/>
      <c r="DD383" s="118"/>
      <c r="DE383" s="118"/>
      <c r="DF383" s="118"/>
      <c r="DG383" s="118"/>
      <c r="DH383" s="118"/>
      <c r="DI383" s="118"/>
      <c r="DJ383" s="118"/>
      <c r="DK383" s="118"/>
      <c r="DL383" s="118"/>
      <c r="DM383" s="118"/>
      <c r="DN383" s="118"/>
      <c r="DO383" s="118"/>
      <c r="DP383" s="118"/>
      <c r="DQ383" s="118"/>
      <c r="DR383" s="118"/>
      <c r="DS383" s="118"/>
      <c r="DT383" s="118"/>
      <c r="DU383" s="19"/>
      <c r="DV383" s="19"/>
      <c r="DW383" s="19"/>
      <c r="DX383" s="19"/>
      <c r="DY383" s="19"/>
      <c r="DZ383" s="19"/>
    </row>
    <row r="384" spans="1:130" ht="12.75" x14ac:dyDescent="0.2">
      <c r="A384" s="647"/>
      <c r="B384" s="647"/>
      <c r="C384" s="30"/>
      <c r="D384" s="30"/>
      <c r="E384" s="30"/>
      <c r="F384" s="30"/>
      <c r="G384" s="30"/>
      <c r="H384" s="634"/>
      <c r="I384" s="159">
        <f t="shared" si="264"/>
        <v>0</v>
      </c>
      <c r="J384" s="634"/>
      <c r="K384" s="30"/>
      <c r="L384" s="30"/>
      <c r="M384" s="634"/>
      <c r="N384" s="634"/>
      <c r="O384" s="634"/>
      <c r="P384" s="634"/>
      <c r="Q384" s="634"/>
      <c r="R384" s="634"/>
      <c r="S384" s="659"/>
      <c r="T384" s="647"/>
      <c r="U384" s="30"/>
      <c r="V384" s="29">
        <v>674</v>
      </c>
      <c r="W384" s="29">
        <v>6501</v>
      </c>
      <c r="X384" s="29">
        <v>6766</v>
      </c>
      <c r="Y384" s="29">
        <v>0</v>
      </c>
      <c r="Z384" s="634"/>
      <c r="AA384" s="51">
        <f t="shared" si="265"/>
        <v>266</v>
      </c>
      <c r="AB384" s="634"/>
      <c r="AC384" s="28" t="s">
        <v>51</v>
      </c>
      <c r="AD384" s="28" t="s">
        <v>51</v>
      </c>
      <c r="AE384" s="634"/>
      <c r="AF384" s="634"/>
      <c r="AG384" s="634"/>
      <c r="AH384" s="634"/>
      <c r="AI384" s="638"/>
      <c r="AJ384" s="634"/>
      <c r="AK384" s="642"/>
      <c r="AL384" s="647"/>
      <c r="AM384" s="41"/>
      <c r="AN384" s="41"/>
      <c r="AO384" s="41"/>
      <c r="AP384" s="41"/>
      <c r="AQ384" s="48"/>
      <c r="AR384" s="634"/>
      <c r="AS384" s="159">
        <f t="shared" si="266"/>
        <v>0</v>
      </c>
      <c r="AT384" s="634"/>
      <c r="AU384" s="145"/>
      <c r="AV384" s="634"/>
      <c r="AW384" s="145"/>
      <c r="AX384" s="634"/>
      <c r="AY384" s="634"/>
      <c r="AZ384" s="634"/>
      <c r="BA384" s="634"/>
      <c r="BB384" s="634"/>
      <c r="BC384" s="634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18"/>
      <c r="BX384" s="118"/>
      <c r="BY384" s="118"/>
      <c r="BZ384" s="118"/>
      <c r="CA384" s="118"/>
      <c r="CB384" s="118"/>
      <c r="CC384" s="118"/>
      <c r="CD384" s="118"/>
      <c r="CE384" s="118"/>
      <c r="CF384" s="118"/>
      <c r="CG384" s="118"/>
      <c r="CH384" s="118"/>
      <c r="CI384" s="118"/>
      <c r="CJ384" s="118"/>
      <c r="CK384" s="118"/>
      <c r="CL384" s="118"/>
      <c r="CM384" s="118"/>
      <c r="CN384" s="92"/>
      <c r="CO384" s="93"/>
      <c r="CP384" s="93"/>
      <c r="CQ384" s="93"/>
      <c r="CR384" s="93"/>
      <c r="CS384" s="93"/>
      <c r="CT384" s="93"/>
      <c r="CU384" s="93"/>
      <c r="CV384" s="93"/>
      <c r="CW384" s="93"/>
      <c r="CX384" s="93"/>
      <c r="CY384" s="93"/>
      <c r="CZ384" s="93"/>
      <c r="DA384" s="93"/>
      <c r="DB384" s="93"/>
      <c r="DC384" s="94"/>
      <c r="DD384" s="118"/>
      <c r="DE384" s="118"/>
      <c r="DF384" s="118"/>
      <c r="DG384" s="118"/>
      <c r="DH384" s="118"/>
      <c r="DI384" s="118"/>
      <c r="DJ384" s="118"/>
      <c r="DK384" s="118"/>
      <c r="DL384" s="118"/>
      <c r="DM384" s="118"/>
      <c r="DN384" s="118"/>
      <c r="DO384" s="118"/>
      <c r="DP384" s="118"/>
      <c r="DQ384" s="118"/>
      <c r="DR384" s="118"/>
      <c r="DS384" s="118"/>
      <c r="DT384" s="118"/>
      <c r="DU384" s="19"/>
      <c r="DV384" s="19"/>
      <c r="DW384" s="19"/>
      <c r="DX384" s="19"/>
      <c r="DY384" s="19"/>
      <c r="DZ384" s="19"/>
    </row>
    <row r="385" spans="1:130" ht="12.75" x14ac:dyDescent="0.2">
      <c r="A385" s="648"/>
      <c r="B385" s="648"/>
      <c r="C385" s="30"/>
      <c r="D385" s="30"/>
      <c r="E385" s="30"/>
      <c r="F385" s="30"/>
      <c r="G385" s="30"/>
      <c r="H385" s="635"/>
      <c r="I385" s="159">
        <f t="shared" si="264"/>
        <v>0</v>
      </c>
      <c r="J385" s="635"/>
      <c r="K385" s="30"/>
      <c r="L385" s="30"/>
      <c r="M385" s="635"/>
      <c r="N385" s="635"/>
      <c r="O385" s="635"/>
      <c r="P385" s="635"/>
      <c r="Q385" s="635"/>
      <c r="R385" s="635"/>
      <c r="S385" s="660"/>
      <c r="T385" s="648"/>
      <c r="U385" s="30"/>
      <c r="V385" s="30"/>
      <c r="W385" s="30"/>
      <c r="X385" s="30"/>
      <c r="Y385" s="30"/>
      <c r="Z385" s="635"/>
      <c r="AA385" s="51">
        <f t="shared" si="265"/>
        <v>0</v>
      </c>
      <c r="AB385" s="635"/>
      <c r="AC385" s="30"/>
      <c r="AD385" s="30"/>
      <c r="AE385" s="635"/>
      <c r="AF385" s="635"/>
      <c r="AG385" s="635"/>
      <c r="AH385" s="635"/>
      <c r="AI385" s="639"/>
      <c r="AJ385" s="635"/>
      <c r="AK385" s="643"/>
      <c r="AL385" s="648"/>
      <c r="AM385" s="51"/>
      <c r="AN385" s="28"/>
      <c r="AO385" s="28"/>
      <c r="AP385" s="28"/>
      <c r="AQ385" s="51"/>
      <c r="AR385" s="635"/>
      <c r="AS385" s="159">
        <f t="shared" si="266"/>
        <v>0</v>
      </c>
      <c r="AT385" s="635"/>
      <c r="AU385" s="150"/>
      <c r="AV385" s="635"/>
      <c r="AW385" s="51"/>
      <c r="AX385" s="635"/>
      <c r="AY385" s="635"/>
      <c r="AZ385" s="635"/>
      <c r="BA385" s="635"/>
      <c r="BB385" s="635"/>
      <c r="BC385" s="635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18"/>
      <c r="BX385" s="118"/>
      <c r="BY385" s="118"/>
      <c r="BZ385" s="118"/>
      <c r="CA385" s="118"/>
      <c r="CB385" s="118"/>
      <c r="CC385" s="118"/>
      <c r="CD385" s="118"/>
      <c r="CE385" s="118"/>
      <c r="CF385" s="118"/>
      <c r="CG385" s="118"/>
      <c r="CH385" s="118"/>
      <c r="CI385" s="118"/>
      <c r="CJ385" s="118"/>
      <c r="CK385" s="118"/>
      <c r="CL385" s="118"/>
      <c r="CM385" s="118"/>
      <c r="CN385" s="92"/>
      <c r="CO385" s="93"/>
      <c r="CP385" s="93"/>
      <c r="CQ385" s="93"/>
      <c r="CR385" s="93"/>
      <c r="CS385" s="93"/>
      <c r="CT385" s="93"/>
      <c r="CU385" s="93"/>
      <c r="CV385" s="93"/>
      <c r="CW385" s="93"/>
      <c r="CX385" s="93"/>
      <c r="CY385" s="93"/>
      <c r="CZ385" s="93"/>
      <c r="DA385" s="93"/>
      <c r="DB385" s="93"/>
      <c r="DC385" s="94"/>
      <c r="DD385" s="118"/>
      <c r="DE385" s="118"/>
      <c r="DF385" s="118"/>
      <c r="DG385" s="118"/>
      <c r="DH385" s="118"/>
      <c r="DI385" s="118"/>
      <c r="DJ385" s="118"/>
      <c r="DK385" s="118"/>
      <c r="DL385" s="118"/>
      <c r="DM385" s="118"/>
      <c r="DN385" s="118"/>
      <c r="DO385" s="118"/>
      <c r="DP385" s="118"/>
      <c r="DQ385" s="118"/>
      <c r="DR385" s="118"/>
      <c r="DS385" s="118"/>
      <c r="DT385" s="118"/>
      <c r="DU385" s="19"/>
      <c r="DV385" s="19"/>
      <c r="DW385" s="19"/>
      <c r="DX385" s="19"/>
      <c r="DY385" s="19"/>
      <c r="DZ385" s="19"/>
    </row>
    <row r="386" spans="1:130" ht="12.75" x14ac:dyDescent="0.2">
      <c r="A386" s="651"/>
      <c r="B386" s="646">
        <v>46151</v>
      </c>
      <c r="C386" s="31"/>
      <c r="D386" s="31"/>
      <c r="E386" s="31"/>
      <c r="F386" s="31"/>
      <c r="G386" s="40"/>
      <c r="H386" s="653"/>
      <c r="I386" s="159">
        <f t="shared" si="264"/>
        <v>0</v>
      </c>
      <c r="J386" s="650">
        <f>SUM(I386:I389,H386)</f>
        <v>0</v>
      </c>
      <c r="K386" s="40"/>
      <c r="L386" s="40"/>
      <c r="M386" s="653"/>
      <c r="N386" s="653"/>
      <c r="O386" s="633">
        <f>SUM(M386:N389)</f>
        <v>0</v>
      </c>
      <c r="P386" s="653"/>
      <c r="Q386" s="636">
        <f>M386*60</f>
        <v>0</v>
      </c>
      <c r="R386" s="657">
        <f>IF(
   COUNTIF(K386:K389,"SI")&gt;0,
   1.8,
   IF(
      COUNTIF(L386:L389,"SI")&gt;0,
      1.6,
      2
   )
)</f>
        <v>2</v>
      </c>
      <c r="S386" s="658">
        <f>IF(Q386=0,0,J386/Q386)</f>
        <v>0</v>
      </c>
      <c r="T386" s="646">
        <v>46151</v>
      </c>
      <c r="U386" s="40"/>
      <c r="V386" s="31"/>
      <c r="W386" s="31"/>
      <c r="X386" s="31"/>
      <c r="Y386" s="31"/>
      <c r="Z386" s="653"/>
      <c r="AA386" s="51">
        <f t="shared" si="265"/>
        <v>0</v>
      </c>
      <c r="AB386" s="650">
        <f>SUM(AA386:AA389,Z386)</f>
        <v>0</v>
      </c>
      <c r="AC386" s="31"/>
      <c r="AD386" s="31"/>
      <c r="AE386" s="653"/>
      <c r="AF386" s="653"/>
      <c r="AG386" s="633">
        <f>SUM(AE386:AF389)</f>
        <v>0</v>
      </c>
      <c r="AH386" s="653">
        <v>0</v>
      </c>
      <c r="AI386" s="637">
        <f>AE386*60</f>
        <v>0</v>
      </c>
      <c r="AJ386" s="640">
        <f>IF(
   COUNTIF(AC386:AC389,"SI")&gt;0,
   1.8,
   IF(
      COUNTIF(AD386:AD389,"SI")&gt;0,
      1.6,
      2
   )
)</f>
        <v>2</v>
      </c>
      <c r="AK386" s="665">
        <f>IF(AI386=0,0,AB386/AI386)</f>
        <v>0</v>
      </c>
      <c r="AL386" s="646">
        <v>46151</v>
      </c>
      <c r="AM386" s="31">
        <v>11</v>
      </c>
      <c r="AN386" s="29">
        <v>670</v>
      </c>
      <c r="AO386" s="31">
        <v>4963</v>
      </c>
      <c r="AP386" s="31">
        <v>5000</v>
      </c>
      <c r="AQ386" s="40"/>
      <c r="AR386" s="653"/>
      <c r="AS386" s="159">
        <f t="shared" si="266"/>
        <v>38</v>
      </c>
      <c r="AT386" s="650">
        <f>SUM(AS386:AS389,AR386)</f>
        <v>537</v>
      </c>
      <c r="AU386" s="40"/>
      <c r="AV386" s="653">
        <v>3.5</v>
      </c>
      <c r="AW386" s="40"/>
      <c r="AX386" s="653"/>
      <c r="AY386" s="633">
        <f>SUM(AV386:AX389)</f>
        <v>3.5</v>
      </c>
      <c r="AZ386" s="653"/>
      <c r="BA386" s="636">
        <f>AV386*60</f>
        <v>210</v>
      </c>
      <c r="BB386" s="657">
        <f>IF(
   COUNTIF(AU386:AU389,"SI")&gt;0,
   1.8,
   IF(
      COUNTIF(AV386:AV389,"SI")&gt;0,
      1.6,
      2
   )
)</f>
        <v>2</v>
      </c>
      <c r="BC386" s="666">
        <f>IF(BA386=0,0,AT386/BA386)</f>
        <v>2.5571428571428569</v>
      </c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18"/>
      <c r="BX386" s="118"/>
      <c r="BY386" s="118"/>
      <c r="BZ386" s="118"/>
      <c r="CA386" s="118"/>
      <c r="CB386" s="118"/>
      <c r="CC386" s="118"/>
      <c r="CD386" s="118"/>
      <c r="CE386" s="118"/>
      <c r="CF386" s="118"/>
      <c r="CG386" s="118"/>
      <c r="CH386" s="118"/>
      <c r="CI386" s="118"/>
      <c r="CJ386" s="118"/>
      <c r="CK386" s="118"/>
      <c r="CL386" s="118"/>
      <c r="CM386" s="118"/>
      <c r="CN386" s="92"/>
      <c r="CO386" s="93"/>
      <c r="CP386" s="93"/>
      <c r="CQ386" s="93"/>
      <c r="CR386" s="93"/>
      <c r="CS386" s="93"/>
      <c r="CT386" s="93"/>
      <c r="CU386" s="93"/>
      <c r="CV386" s="93"/>
      <c r="CW386" s="93"/>
      <c r="CX386" s="93"/>
      <c r="CY386" s="93"/>
      <c r="CZ386" s="93"/>
      <c r="DA386" s="93"/>
      <c r="DB386" s="93"/>
      <c r="DC386" s="94"/>
      <c r="DD386" s="118"/>
      <c r="DE386" s="118"/>
      <c r="DF386" s="118"/>
      <c r="DG386" s="118"/>
      <c r="DH386" s="118"/>
      <c r="DI386" s="118"/>
      <c r="DJ386" s="118"/>
      <c r="DK386" s="118"/>
      <c r="DL386" s="118"/>
      <c r="DM386" s="118"/>
      <c r="DN386" s="118"/>
      <c r="DO386" s="118"/>
      <c r="DP386" s="118"/>
      <c r="DQ386" s="118"/>
      <c r="DR386" s="118"/>
      <c r="DS386" s="118"/>
      <c r="DT386" s="118"/>
      <c r="DU386" s="19"/>
      <c r="DV386" s="19"/>
      <c r="DW386" s="19"/>
      <c r="DX386" s="19"/>
      <c r="DY386" s="19"/>
      <c r="DZ386" s="19"/>
    </row>
    <row r="387" spans="1:130" ht="12.75" x14ac:dyDescent="0.2">
      <c r="A387" s="647"/>
      <c r="B387" s="647"/>
      <c r="C387" s="40"/>
      <c r="D387" s="40"/>
      <c r="E387" s="40"/>
      <c r="F387" s="40"/>
      <c r="G387" s="40"/>
      <c r="H387" s="634"/>
      <c r="I387" s="159">
        <f t="shared" si="264"/>
        <v>0</v>
      </c>
      <c r="J387" s="634"/>
      <c r="K387" s="40"/>
      <c r="L387" s="40"/>
      <c r="M387" s="634"/>
      <c r="N387" s="634"/>
      <c r="O387" s="634"/>
      <c r="P387" s="634"/>
      <c r="Q387" s="634"/>
      <c r="R387" s="634"/>
      <c r="S387" s="659"/>
      <c r="T387" s="647"/>
      <c r="U387" s="40"/>
      <c r="V387" s="31"/>
      <c r="W387" s="31"/>
      <c r="X387" s="31"/>
      <c r="Y387" s="31"/>
      <c r="Z387" s="634"/>
      <c r="AA387" s="51">
        <f t="shared" si="265"/>
        <v>0</v>
      </c>
      <c r="AB387" s="634"/>
      <c r="AC387" s="31"/>
      <c r="AD387" s="31"/>
      <c r="AE387" s="634"/>
      <c r="AF387" s="634"/>
      <c r="AG387" s="634"/>
      <c r="AH387" s="634"/>
      <c r="AI387" s="638"/>
      <c r="AJ387" s="634"/>
      <c r="AK387" s="642"/>
      <c r="AL387" s="647"/>
      <c r="AM387" s="31">
        <v>121</v>
      </c>
      <c r="AN387" s="31">
        <v>672</v>
      </c>
      <c r="AO387" s="31">
        <v>5501</v>
      </c>
      <c r="AP387" s="31">
        <v>6000</v>
      </c>
      <c r="AQ387" s="31">
        <v>1</v>
      </c>
      <c r="AR387" s="634"/>
      <c r="AS387" s="159">
        <f t="shared" si="266"/>
        <v>499</v>
      </c>
      <c r="AT387" s="634"/>
      <c r="AU387" s="40"/>
      <c r="AV387" s="634"/>
      <c r="AW387" s="40"/>
      <c r="AX387" s="634"/>
      <c r="AY387" s="634"/>
      <c r="AZ387" s="634"/>
      <c r="BA387" s="634"/>
      <c r="BB387" s="634"/>
      <c r="BC387" s="634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18"/>
      <c r="BX387" s="118"/>
      <c r="BY387" s="118"/>
      <c r="BZ387" s="118"/>
      <c r="CA387" s="118"/>
      <c r="CB387" s="118"/>
      <c r="CC387" s="118"/>
      <c r="CD387" s="118"/>
      <c r="CE387" s="118"/>
      <c r="CF387" s="118"/>
      <c r="CG387" s="118"/>
      <c r="CH387" s="118"/>
      <c r="CI387" s="118"/>
      <c r="CJ387" s="118"/>
      <c r="CK387" s="118"/>
      <c r="CL387" s="118"/>
      <c r="CM387" s="118"/>
      <c r="CN387" s="92"/>
      <c r="CO387" s="93"/>
      <c r="CP387" s="93"/>
      <c r="CQ387" s="93"/>
      <c r="CR387" s="93"/>
      <c r="CS387" s="93"/>
      <c r="CT387" s="93"/>
      <c r="CU387" s="93"/>
      <c r="CV387" s="93"/>
      <c r="CW387" s="93"/>
      <c r="CX387" s="93"/>
      <c r="CY387" s="93"/>
      <c r="CZ387" s="93"/>
      <c r="DA387" s="93"/>
      <c r="DB387" s="93"/>
      <c r="DC387" s="94"/>
      <c r="DD387" s="118"/>
      <c r="DE387" s="118"/>
      <c r="DF387" s="118"/>
      <c r="DG387" s="118"/>
      <c r="DH387" s="118"/>
      <c r="DI387" s="118"/>
      <c r="DJ387" s="118"/>
      <c r="DK387" s="118"/>
      <c r="DL387" s="118"/>
      <c r="DM387" s="118"/>
      <c r="DN387" s="118"/>
      <c r="DO387" s="118"/>
      <c r="DP387" s="118"/>
      <c r="DQ387" s="118"/>
      <c r="DR387" s="118"/>
      <c r="DS387" s="118"/>
      <c r="DT387" s="118"/>
      <c r="DU387" s="19"/>
      <c r="DV387" s="19"/>
      <c r="DW387" s="19"/>
      <c r="DX387" s="19"/>
      <c r="DY387" s="19"/>
      <c r="DZ387" s="19"/>
    </row>
    <row r="388" spans="1:130" ht="12.75" x14ac:dyDescent="0.2">
      <c r="A388" s="647"/>
      <c r="B388" s="647"/>
      <c r="C388" s="40"/>
      <c r="D388" s="40"/>
      <c r="E388" s="40"/>
      <c r="F388" s="40"/>
      <c r="G388" s="40"/>
      <c r="H388" s="634"/>
      <c r="I388" s="159">
        <f t="shared" si="264"/>
        <v>0</v>
      </c>
      <c r="J388" s="634"/>
      <c r="K388" s="40"/>
      <c r="L388" s="40"/>
      <c r="M388" s="634"/>
      <c r="N388" s="634"/>
      <c r="O388" s="634"/>
      <c r="P388" s="634"/>
      <c r="Q388" s="634"/>
      <c r="R388" s="634"/>
      <c r="S388" s="659"/>
      <c r="T388" s="647"/>
      <c r="U388" s="40"/>
      <c r="V388" s="31"/>
      <c r="W388" s="31"/>
      <c r="X388" s="31"/>
      <c r="Y388" s="31"/>
      <c r="Z388" s="634"/>
      <c r="AA388" s="51">
        <f t="shared" si="265"/>
        <v>0</v>
      </c>
      <c r="AB388" s="634"/>
      <c r="AC388" s="31"/>
      <c r="AD388" s="31"/>
      <c r="AE388" s="634"/>
      <c r="AF388" s="634"/>
      <c r="AG388" s="634"/>
      <c r="AH388" s="634"/>
      <c r="AI388" s="638"/>
      <c r="AJ388" s="634"/>
      <c r="AK388" s="642"/>
      <c r="AL388" s="647"/>
      <c r="AM388" s="40"/>
      <c r="AN388" s="40"/>
      <c r="AO388" s="40"/>
      <c r="AP388" s="40"/>
      <c r="AQ388" s="40"/>
      <c r="AR388" s="634"/>
      <c r="AS388" s="159">
        <f t="shared" si="266"/>
        <v>0</v>
      </c>
      <c r="AT388" s="634"/>
      <c r="AU388" s="40"/>
      <c r="AV388" s="634"/>
      <c r="AW388" s="40"/>
      <c r="AX388" s="634"/>
      <c r="AY388" s="634"/>
      <c r="AZ388" s="634"/>
      <c r="BA388" s="634"/>
      <c r="BB388" s="634"/>
      <c r="BC388" s="634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18"/>
      <c r="BX388" s="118"/>
      <c r="BY388" s="118"/>
      <c r="BZ388" s="118"/>
      <c r="CA388" s="118"/>
      <c r="CB388" s="118"/>
      <c r="CC388" s="118"/>
      <c r="CD388" s="118"/>
      <c r="CE388" s="118"/>
      <c r="CF388" s="118"/>
      <c r="CG388" s="118"/>
      <c r="CH388" s="118"/>
      <c r="CI388" s="118"/>
      <c r="CJ388" s="118"/>
      <c r="CK388" s="118"/>
      <c r="CL388" s="118"/>
      <c r="CM388" s="118"/>
      <c r="CN388" s="92"/>
      <c r="CO388" s="93"/>
      <c r="CP388" s="93"/>
      <c r="CQ388" s="93"/>
      <c r="CR388" s="93"/>
      <c r="CS388" s="93"/>
      <c r="CT388" s="93"/>
      <c r="CU388" s="93"/>
      <c r="CV388" s="93"/>
      <c r="CW388" s="93"/>
      <c r="CX388" s="93"/>
      <c r="CY388" s="93"/>
      <c r="CZ388" s="93"/>
      <c r="DA388" s="93"/>
      <c r="DB388" s="93"/>
      <c r="DC388" s="94"/>
      <c r="DD388" s="118"/>
      <c r="DE388" s="118"/>
      <c r="DF388" s="118"/>
      <c r="DG388" s="118"/>
      <c r="DH388" s="118"/>
      <c r="DI388" s="118"/>
      <c r="DJ388" s="118"/>
      <c r="DK388" s="118"/>
      <c r="DL388" s="118"/>
      <c r="DM388" s="118"/>
      <c r="DN388" s="118"/>
      <c r="DO388" s="118"/>
      <c r="DP388" s="118"/>
      <c r="DQ388" s="118"/>
      <c r="DR388" s="118"/>
      <c r="DS388" s="118"/>
      <c r="DT388" s="118"/>
      <c r="DU388" s="19"/>
      <c r="DV388" s="19"/>
      <c r="DW388" s="19"/>
      <c r="DX388" s="19"/>
      <c r="DY388" s="19"/>
      <c r="DZ388" s="19"/>
    </row>
    <row r="389" spans="1:130" ht="12.75" x14ac:dyDescent="0.2">
      <c r="A389" s="648"/>
      <c r="B389" s="648"/>
      <c r="C389" s="40"/>
      <c r="D389" s="40"/>
      <c r="E389" s="40"/>
      <c r="F389" s="40"/>
      <c r="G389" s="40"/>
      <c r="H389" s="635"/>
      <c r="I389" s="159">
        <f t="shared" si="264"/>
        <v>0</v>
      </c>
      <c r="J389" s="635"/>
      <c r="K389" s="40"/>
      <c r="L389" s="40"/>
      <c r="M389" s="635"/>
      <c r="N389" s="635"/>
      <c r="O389" s="635"/>
      <c r="P389" s="635"/>
      <c r="Q389" s="635"/>
      <c r="R389" s="635"/>
      <c r="S389" s="660"/>
      <c r="T389" s="648"/>
      <c r="U389" s="40"/>
      <c r="V389" s="40"/>
      <c r="W389" s="40"/>
      <c r="X389" s="40"/>
      <c r="Y389" s="40"/>
      <c r="Z389" s="635"/>
      <c r="AA389" s="51">
        <f t="shared" si="265"/>
        <v>0</v>
      </c>
      <c r="AB389" s="635"/>
      <c r="AC389" s="40"/>
      <c r="AD389" s="40"/>
      <c r="AE389" s="635"/>
      <c r="AF389" s="635"/>
      <c r="AG389" s="635"/>
      <c r="AH389" s="635"/>
      <c r="AI389" s="639"/>
      <c r="AJ389" s="635"/>
      <c r="AK389" s="643"/>
      <c r="AL389" s="648"/>
      <c r="AM389" s="40"/>
      <c r="AN389" s="40"/>
      <c r="AO389" s="40"/>
      <c r="AP389" s="40"/>
      <c r="AQ389" s="40"/>
      <c r="AR389" s="635"/>
      <c r="AS389" s="159">
        <f t="shared" si="266"/>
        <v>0</v>
      </c>
      <c r="AT389" s="635"/>
      <c r="AU389" s="40"/>
      <c r="AV389" s="635"/>
      <c r="AW389" s="40"/>
      <c r="AX389" s="635"/>
      <c r="AY389" s="635"/>
      <c r="AZ389" s="635"/>
      <c r="BA389" s="635"/>
      <c r="BB389" s="635"/>
      <c r="BC389" s="635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18"/>
      <c r="BX389" s="118"/>
      <c r="BY389" s="118"/>
      <c r="BZ389" s="118"/>
      <c r="CA389" s="118"/>
      <c r="CB389" s="118"/>
      <c r="CC389" s="118"/>
      <c r="CD389" s="118"/>
      <c r="CE389" s="118"/>
      <c r="CF389" s="118"/>
      <c r="CG389" s="118"/>
      <c r="CH389" s="118"/>
      <c r="CI389" s="118"/>
      <c r="CJ389" s="118"/>
      <c r="CK389" s="118"/>
      <c r="CL389" s="118"/>
      <c r="CM389" s="118"/>
      <c r="CN389" s="92"/>
      <c r="CO389" s="93"/>
      <c r="CP389" s="93"/>
      <c r="CQ389" s="93"/>
      <c r="CR389" s="93"/>
      <c r="CS389" s="93"/>
      <c r="CT389" s="93"/>
      <c r="CU389" s="93"/>
      <c r="CV389" s="93"/>
      <c r="CW389" s="93"/>
      <c r="CX389" s="93"/>
      <c r="CY389" s="93"/>
      <c r="CZ389" s="93"/>
      <c r="DA389" s="93"/>
      <c r="DB389" s="93"/>
      <c r="DC389" s="94"/>
      <c r="DD389" s="118"/>
      <c r="DE389" s="118"/>
      <c r="DF389" s="118"/>
      <c r="DG389" s="118"/>
      <c r="DH389" s="118"/>
      <c r="DI389" s="118"/>
      <c r="DJ389" s="118"/>
      <c r="DK389" s="118"/>
      <c r="DL389" s="118"/>
      <c r="DM389" s="118"/>
      <c r="DN389" s="118"/>
      <c r="DO389" s="118"/>
      <c r="DP389" s="118"/>
      <c r="DQ389" s="118"/>
      <c r="DR389" s="118"/>
      <c r="DS389" s="118"/>
      <c r="DT389" s="118"/>
      <c r="DU389" s="19"/>
      <c r="DV389" s="19"/>
      <c r="DW389" s="19"/>
      <c r="DX389" s="19"/>
      <c r="DY389" s="19"/>
      <c r="DZ389" s="19"/>
    </row>
    <row r="390" spans="1:130" ht="12.75" x14ac:dyDescent="0.2">
      <c r="A390" s="166"/>
      <c r="B390" s="167" t="s">
        <v>40</v>
      </c>
      <c r="C390" s="168">
        <f>SUM(C365:C389)</f>
        <v>0</v>
      </c>
      <c r="D390" s="168" t="s">
        <v>49</v>
      </c>
      <c r="E390" s="168" t="s">
        <v>49</v>
      </c>
      <c r="F390" s="168" t="s">
        <v>49</v>
      </c>
      <c r="G390" s="168">
        <f t="shared" ref="G390:J390" si="271">SUM(G365:G389)</f>
        <v>0</v>
      </c>
      <c r="H390" s="168">
        <f t="shared" si="271"/>
        <v>0</v>
      </c>
      <c r="I390" s="168">
        <f t="shared" si="271"/>
        <v>0</v>
      </c>
      <c r="J390" s="168">
        <f t="shared" si="271"/>
        <v>0</v>
      </c>
      <c r="K390" s="168" t="s">
        <v>49</v>
      </c>
      <c r="L390" s="168"/>
      <c r="M390" s="168">
        <f>SUM(M365:M389)</f>
        <v>0</v>
      </c>
      <c r="N390" s="168">
        <f>SUM(N365:N385)</f>
        <v>0</v>
      </c>
      <c r="O390" s="169">
        <f t="shared" ref="O390:Q390" si="272">SUM(O365:O389)</f>
        <v>0</v>
      </c>
      <c r="P390" s="168">
        <f t="shared" si="272"/>
        <v>0</v>
      </c>
      <c r="Q390" s="168">
        <f t="shared" si="272"/>
        <v>0</v>
      </c>
      <c r="R390" s="170"/>
      <c r="S390" s="171">
        <f>AVERAGE(S374:S377,S386:S389)</f>
        <v>0</v>
      </c>
      <c r="T390" s="167" t="s">
        <v>40</v>
      </c>
      <c r="U390" s="168">
        <f>SUM(U365:U389)</f>
        <v>0</v>
      </c>
      <c r="V390" s="168" t="s">
        <v>49</v>
      </c>
      <c r="W390" s="168" t="s">
        <v>49</v>
      </c>
      <c r="X390" s="168" t="s">
        <v>49</v>
      </c>
      <c r="Y390" s="168">
        <f t="shared" ref="Y390:AB390" si="273">SUM(Y365:Y389)</f>
        <v>7</v>
      </c>
      <c r="Z390" s="168">
        <f t="shared" si="273"/>
        <v>0</v>
      </c>
      <c r="AA390" s="168">
        <f t="shared" si="273"/>
        <v>2257</v>
      </c>
      <c r="AB390" s="168">
        <f t="shared" si="273"/>
        <v>2257</v>
      </c>
      <c r="AC390" s="168" t="s">
        <v>49</v>
      </c>
      <c r="AD390" s="168" t="s">
        <v>49</v>
      </c>
      <c r="AE390" s="168">
        <f t="shared" ref="AE390:AI390" si="274">SUM(AE365:AE389)</f>
        <v>19.25</v>
      </c>
      <c r="AF390" s="168">
        <f t="shared" si="274"/>
        <v>6.75</v>
      </c>
      <c r="AG390" s="169">
        <f t="shared" si="274"/>
        <v>26</v>
      </c>
      <c r="AH390" s="168">
        <f t="shared" si="274"/>
        <v>0</v>
      </c>
      <c r="AI390" s="168">
        <f t="shared" si="274"/>
        <v>1155</v>
      </c>
      <c r="AJ390" s="467"/>
      <c r="AK390" s="171">
        <f t="shared" ref="AK390:AK391" si="275">IF(AI390=0,0,AB390/AI390)</f>
        <v>1.9541125541125541</v>
      </c>
      <c r="AL390" s="167" t="s">
        <v>40</v>
      </c>
      <c r="AM390" s="168">
        <f>SUM(AM365:AM389)</f>
        <v>860</v>
      </c>
      <c r="AN390" s="168" t="s">
        <v>49</v>
      </c>
      <c r="AO390" s="168" t="s">
        <v>49</v>
      </c>
      <c r="AP390" s="168" t="s">
        <v>49</v>
      </c>
      <c r="AQ390" s="168">
        <f t="shared" ref="AQ390:AT390" si="276">SUM(AQ365:AQ389)</f>
        <v>38</v>
      </c>
      <c r="AR390" s="168">
        <f t="shared" si="276"/>
        <v>1</v>
      </c>
      <c r="AS390" s="168">
        <f t="shared" si="276"/>
        <v>3458</v>
      </c>
      <c r="AT390" s="168">
        <f t="shared" si="276"/>
        <v>3459</v>
      </c>
      <c r="AU390" s="168" t="s">
        <v>49</v>
      </c>
      <c r="AV390" s="168">
        <f>SUM(AV365:AV389)</f>
        <v>22.7</v>
      </c>
      <c r="AW390" s="168"/>
      <c r="AX390" s="172">
        <f t="shared" ref="AX390:BA390" si="277">SUM(AX365:AX389)</f>
        <v>7.3</v>
      </c>
      <c r="AY390" s="173">
        <f t="shared" si="277"/>
        <v>30</v>
      </c>
      <c r="AZ390" s="172">
        <f t="shared" si="277"/>
        <v>1</v>
      </c>
      <c r="BA390" s="168">
        <f t="shared" si="277"/>
        <v>1362</v>
      </c>
      <c r="BB390" s="170"/>
      <c r="BC390" s="174">
        <f t="shared" ref="BC390:BC391" si="278">IF(BA390=0,0,AT390/BA390)</f>
        <v>2.5396475770925111</v>
      </c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18"/>
      <c r="BX390" s="118"/>
      <c r="BY390" s="118"/>
      <c r="BZ390" s="118"/>
      <c r="CA390" s="118"/>
      <c r="CB390" s="118"/>
      <c r="CC390" s="118"/>
      <c r="CD390" s="118"/>
      <c r="CE390" s="118"/>
      <c r="CF390" s="118"/>
      <c r="CG390" s="118"/>
      <c r="CH390" s="118"/>
      <c r="CI390" s="118"/>
      <c r="CJ390" s="118"/>
      <c r="CK390" s="118"/>
      <c r="CL390" s="118"/>
      <c r="CM390" s="118"/>
      <c r="CN390" s="92"/>
      <c r="CO390" s="93"/>
      <c r="CP390" s="93"/>
      <c r="CQ390" s="93"/>
      <c r="CR390" s="93"/>
      <c r="CS390" s="93"/>
      <c r="CT390" s="93"/>
      <c r="CU390" s="93"/>
      <c r="CV390" s="93"/>
      <c r="CW390" s="93"/>
      <c r="CX390" s="93"/>
      <c r="CY390" s="93"/>
      <c r="CZ390" s="93"/>
      <c r="DA390" s="93"/>
      <c r="DB390" s="93"/>
      <c r="DC390" s="94"/>
      <c r="DD390" s="118"/>
      <c r="DE390" s="118"/>
      <c r="DF390" s="118"/>
      <c r="DG390" s="118"/>
      <c r="DH390" s="118"/>
      <c r="DI390" s="118"/>
      <c r="DJ390" s="118"/>
      <c r="DK390" s="118"/>
      <c r="DL390" s="118"/>
      <c r="DM390" s="118"/>
      <c r="DN390" s="118"/>
      <c r="DO390" s="118"/>
      <c r="DP390" s="118"/>
      <c r="DQ390" s="118"/>
      <c r="DR390" s="118"/>
      <c r="DS390" s="118"/>
      <c r="DT390" s="118"/>
      <c r="DU390" s="19"/>
      <c r="DV390" s="19"/>
      <c r="DW390" s="19"/>
      <c r="DX390" s="19"/>
      <c r="DY390" s="19"/>
      <c r="DZ390" s="19"/>
    </row>
    <row r="391" spans="1:130" ht="12.75" x14ac:dyDescent="0.2">
      <c r="A391" s="741" t="s">
        <v>12</v>
      </c>
      <c r="B391" s="674">
        <v>46153</v>
      </c>
      <c r="C391" s="175"/>
      <c r="D391" s="26"/>
      <c r="E391" s="26"/>
      <c r="F391" s="26"/>
      <c r="G391" s="137"/>
      <c r="H391" s="675"/>
      <c r="I391" s="62">
        <f t="shared" ref="I391:I415" si="279">IF(E391=0,0,F391-E391+1-G391)</f>
        <v>0</v>
      </c>
      <c r="J391" s="676">
        <f>SUM(I391:I395,H391)</f>
        <v>0</v>
      </c>
      <c r="K391" s="175"/>
      <c r="L391" s="175"/>
      <c r="M391" s="675"/>
      <c r="N391" s="675"/>
      <c r="O391" s="677">
        <f>SUM(M391:N395)</f>
        <v>0</v>
      </c>
      <c r="P391" s="675"/>
      <c r="Q391" s="657">
        <f>M391*60</f>
        <v>0</v>
      </c>
      <c r="R391" s="657">
        <f>IF(
   COUNTIF(K391:K395,"SI")&gt;0,
   1.8,
   IF(
      COUNTIF(L391:L395,"SI")&gt;0,
      1.6,
      2
   )
)</f>
        <v>2</v>
      </c>
      <c r="S391" s="678">
        <f>IF(Q391=0,0,J391/Q391)</f>
        <v>0</v>
      </c>
      <c r="T391" s="674">
        <v>46153</v>
      </c>
      <c r="U391" s="175"/>
      <c r="V391" s="26">
        <v>674</v>
      </c>
      <c r="W391" s="26">
        <v>6767</v>
      </c>
      <c r="X391" s="26">
        <v>7003</v>
      </c>
      <c r="Y391" s="175"/>
      <c r="Z391" s="680"/>
      <c r="AA391" s="151">
        <f t="shared" ref="AA391:AA415" si="280">IF(X391=0,0,X391-W391+1-Y391)</f>
        <v>237</v>
      </c>
      <c r="AB391" s="669">
        <f>SUM(AA391:AA395,Z391)</f>
        <v>237</v>
      </c>
      <c r="AC391" s="26" t="s">
        <v>51</v>
      </c>
      <c r="AD391" s="26" t="s">
        <v>51</v>
      </c>
      <c r="AE391" s="675">
        <v>2</v>
      </c>
      <c r="AF391" s="675">
        <v>0.5</v>
      </c>
      <c r="AG391" s="677">
        <f>SUM(AE391:AF395)</f>
        <v>2.5</v>
      </c>
      <c r="AH391" s="675">
        <v>0</v>
      </c>
      <c r="AI391" s="681">
        <f>AE391*60</f>
        <v>120</v>
      </c>
      <c r="AJ391" s="657">
        <f>IF(
   COUNTIF(AC391:AC395,"SI")&gt;0,
   1.8,
   IF(
      COUNTIF(AD391:AD395,"SI")&gt;0,
      1.6,
      2
   )
)</f>
        <v>1.8</v>
      </c>
      <c r="AK391" s="682">
        <f t="shared" si="275"/>
        <v>1.9750000000000001</v>
      </c>
      <c r="AL391" s="674">
        <v>46153</v>
      </c>
      <c r="AM391" s="24">
        <v>118</v>
      </c>
      <c r="AN391" s="31">
        <v>675</v>
      </c>
      <c r="AO391" s="31">
        <v>7004</v>
      </c>
      <c r="AP391" s="24">
        <v>7502</v>
      </c>
      <c r="AQ391" s="26">
        <v>3</v>
      </c>
      <c r="AR391" s="681"/>
      <c r="AS391" s="159">
        <f t="shared" ref="AS391:AS395" si="281">IF(AO391=0,0,AP391-AO391+1-AQ391)</f>
        <v>496</v>
      </c>
      <c r="AT391" s="683">
        <f>SUM(AS391:AS395)+AR391</f>
        <v>750</v>
      </c>
      <c r="AU391" s="29" t="s">
        <v>51</v>
      </c>
      <c r="AV391" s="640">
        <v>5</v>
      </c>
      <c r="AW391" s="29" t="s">
        <v>51</v>
      </c>
      <c r="AX391" s="657">
        <v>3.5</v>
      </c>
      <c r="AY391" s="633">
        <f>SUM(AV391,AX391)</f>
        <v>8.5</v>
      </c>
      <c r="AZ391" s="657">
        <v>0.2</v>
      </c>
      <c r="BA391" s="657">
        <f>AV391*60</f>
        <v>300</v>
      </c>
      <c r="BB391" s="657">
        <f>IF(
   COUNTIF(AU391:AU395,"SI")&gt;0,
   1.8,
   IF(
      COUNTIF(AV391:AV395,"SI")&gt;0,
      1.6,
      2
   )
)</f>
        <v>1.8</v>
      </c>
      <c r="BC391" s="672">
        <f t="shared" si="278"/>
        <v>2.5</v>
      </c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18"/>
      <c r="BX391" s="118"/>
      <c r="BY391" s="118"/>
      <c r="BZ391" s="118"/>
      <c r="CA391" s="118"/>
      <c r="CB391" s="118"/>
      <c r="CC391" s="118"/>
      <c r="CD391" s="118"/>
      <c r="CE391" s="118"/>
      <c r="CF391" s="118"/>
      <c r="CG391" s="118"/>
      <c r="CH391" s="118"/>
      <c r="CI391" s="118"/>
      <c r="CJ391" s="118"/>
      <c r="CK391" s="118"/>
      <c r="CL391" s="118"/>
      <c r="CM391" s="118"/>
      <c r="CN391" s="92"/>
      <c r="CO391" s="93"/>
      <c r="CP391" s="93"/>
      <c r="CQ391" s="93"/>
      <c r="CR391" s="93"/>
      <c r="CS391" s="93"/>
      <c r="CT391" s="93"/>
      <c r="CU391" s="93"/>
      <c r="CV391" s="93"/>
      <c r="CW391" s="93"/>
      <c r="CX391" s="93"/>
      <c r="CY391" s="93"/>
      <c r="CZ391" s="93"/>
      <c r="DA391" s="93"/>
      <c r="DB391" s="93"/>
      <c r="DC391" s="94"/>
      <c r="DD391" s="118"/>
      <c r="DE391" s="118"/>
      <c r="DF391" s="118"/>
      <c r="DG391" s="118"/>
      <c r="DH391" s="118"/>
      <c r="DI391" s="118"/>
      <c r="DJ391" s="118"/>
      <c r="DK391" s="118"/>
      <c r="DL391" s="118"/>
      <c r="DM391" s="118"/>
      <c r="DN391" s="118"/>
      <c r="DO391" s="118"/>
      <c r="DP391" s="118"/>
      <c r="DQ391" s="118"/>
      <c r="DR391" s="118"/>
      <c r="DS391" s="118"/>
      <c r="DT391" s="118"/>
      <c r="DU391" s="19"/>
      <c r="DV391" s="19"/>
      <c r="DW391" s="19"/>
      <c r="DX391" s="19"/>
      <c r="DY391" s="19"/>
      <c r="DZ391" s="19"/>
    </row>
    <row r="392" spans="1:130" ht="12.75" x14ac:dyDescent="0.2">
      <c r="A392" s="647"/>
      <c r="B392" s="647"/>
      <c r="C392" s="30"/>
      <c r="D392" s="158"/>
      <c r="E392" s="158"/>
      <c r="F392" s="158"/>
      <c r="G392" s="158"/>
      <c r="H392" s="634"/>
      <c r="I392" s="159">
        <f t="shared" si="279"/>
        <v>0</v>
      </c>
      <c r="J392" s="634"/>
      <c r="K392" s="30"/>
      <c r="L392" s="142"/>
      <c r="M392" s="634"/>
      <c r="N392" s="634"/>
      <c r="O392" s="634"/>
      <c r="P392" s="634"/>
      <c r="Q392" s="634"/>
      <c r="R392" s="634"/>
      <c r="S392" s="659"/>
      <c r="T392" s="647"/>
      <c r="U392" s="30"/>
      <c r="V392" s="30"/>
      <c r="W392" s="30"/>
      <c r="X392" s="30"/>
      <c r="Y392" s="30"/>
      <c r="Z392" s="638"/>
      <c r="AA392" s="51">
        <f t="shared" si="280"/>
        <v>0</v>
      </c>
      <c r="AB392" s="670"/>
      <c r="AC392" s="29" t="s">
        <v>51</v>
      </c>
      <c r="AD392" s="25" t="s">
        <v>51</v>
      </c>
      <c r="AE392" s="634"/>
      <c r="AF392" s="634"/>
      <c r="AG392" s="634"/>
      <c r="AH392" s="634"/>
      <c r="AI392" s="638"/>
      <c r="AJ392" s="634"/>
      <c r="AK392" s="642"/>
      <c r="AL392" s="647"/>
      <c r="AM392" s="28">
        <v>66</v>
      </c>
      <c r="AN392" s="28">
        <v>676</v>
      </c>
      <c r="AO392" s="28">
        <v>7503</v>
      </c>
      <c r="AP392" s="28">
        <v>7756</v>
      </c>
      <c r="AQ392" s="29"/>
      <c r="AR392" s="638"/>
      <c r="AS392" s="159">
        <f t="shared" si="281"/>
        <v>254</v>
      </c>
      <c r="AT392" s="670"/>
      <c r="AU392" s="29" t="s">
        <v>51</v>
      </c>
      <c r="AV392" s="634"/>
      <c r="AW392" s="29" t="s">
        <v>51</v>
      </c>
      <c r="AX392" s="634"/>
      <c r="AY392" s="634"/>
      <c r="AZ392" s="634"/>
      <c r="BA392" s="634"/>
      <c r="BB392" s="634"/>
      <c r="BC392" s="634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18"/>
      <c r="BX392" s="118"/>
      <c r="BY392" s="118"/>
      <c r="BZ392" s="118"/>
      <c r="CA392" s="118"/>
      <c r="CB392" s="118"/>
      <c r="CC392" s="118"/>
      <c r="CD392" s="118"/>
      <c r="CE392" s="118"/>
      <c r="CF392" s="118"/>
      <c r="CG392" s="118"/>
      <c r="CH392" s="118"/>
      <c r="CI392" s="118"/>
      <c r="CJ392" s="118"/>
      <c r="CK392" s="118"/>
      <c r="CL392" s="118"/>
      <c r="CM392" s="118"/>
      <c r="CN392" s="92"/>
      <c r="CO392" s="93"/>
      <c r="CP392" s="93"/>
      <c r="CQ392" s="93"/>
      <c r="CR392" s="93"/>
      <c r="CS392" s="93"/>
      <c r="CT392" s="93"/>
      <c r="CU392" s="93"/>
      <c r="CV392" s="93"/>
      <c r="CW392" s="93"/>
      <c r="CX392" s="93"/>
      <c r="CY392" s="93"/>
      <c r="CZ392" s="93"/>
      <c r="DA392" s="93"/>
      <c r="DB392" s="93"/>
      <c r="DC392" s="94"/>
      <c r="DD392" s="118"/>
      <c r="DE392" s="118"/>
      <c r="DF392" s="118"/>
      <c r="DG392" s="118"/>
      <c r="DH392" s="118"/>
      <c r="DI392" s="118"/>
      <c r="DJ392" s="118"/>
      <c r="DK392" s="118"/>
      <c r="DL392" s="118"/>
      <c r="DM392" s="118"/>
      <c r="DN392" s="118"/>
      <c r="DO392" s="118"/>
      <c r="DP392" s="118"/>
      <c r="DQ392" s="118"/>
      <c r="DR392" s="118"/>
      <c r="DS392" s="118"/>
      <c r="DT392" s="118"/>
      <c r="DU392" s="19"/>
      <c r="DV392" s="19"/>
      <c r="DW392" s="19"/>
      <c r="DX392" s="19"/>
      <c r="DY392" s="19"/>
      <c r="DZ392" s="19"/>
    </row>
    <row r="393" spans="1:130" ht="12.75" x14ac:dyDescent="0.2">
      <c r="A393" s="647"/>
      <c r="B393" s="647"/>
      <c r="C393" s="30"/>
      <c r="D393" s="158"/>
      <c r="E393" s="158"/>
      <c r="F393" s="158"/>
      <c r="G393" s="158"/>
      <c r="H393" s="634"/>
      <c r="I393" s="159">
        <f t="shared" si="279"/>
        <v>0</v>
      </c>
      <c r="J393" s="634"/>
      <c r="K393" s="158"/>
      <c r="L393" s="161"/>
      <c r="M393" s="634"/>
      <c r="N393" s="634"/>
      <c r="O393" s="634"/>
      <c r="P393" s="634"/>
      <c r="Q393" s="634"/>
      <c r="R393" s="634"/>
      <c r="S393" s="659"/>
      <c r="T393" s="647"/>
      <c r="U393" s="30"/>
      <c r="V393" s="158"/>
      <c r="W393" s="30"/>
      <c r="X393" s="30"/>
      <c r="Y393" s="30"/>
      <c r="Z393" s="638"/>
      <c r="AA393" s="51">
        <f t="shared" si="280"/>
        <v>0</v>
      </c>
      <c r="AB393" s="670"/>
      <c r="AC393" s="158"/>
      <c r="AD393" s="161"/>
      <c r="AE393" s="634"/>
      <c r="AF393" s="634"/>
      <c r="AG393" s="634"/>
      <c r="AH393" s="634"/>
      <c r="AI393" s="638"/>
      <c r="AJ393" s="634"/>
      <c r="AK393" s="642"/>
      <c r="AL393" s="647"/>
      <c r="AM393" s="28"/>
      <c r="AN393" s="28"/>
      <c r="AO393" s="28"/>
      <c r="AP393" s="28"/>
      <c r="AQ393" s="28"/>
      <c r="AR393" s="638"/>
      <c r="AS393" s="159">
        <f t="shared" si="281"/>
        <v>0</v>
      </c>
      <c r="AT393" s="670"/>
      <c r="AU393" s="29"/>
      <c r="AV393" s="634"/>
      <c r="AW393" s="29"/>
      <c r="AX393" s="634"/>
      <c r="AY393" s="634"/>
      <c r="AZ393" s="634"/>
      <c r="BA393" s="634"/>
      <c r="BB393" s="634"/>
      <c r="BC393" s="634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18"/>
      <c r="BX393" s="118"/>
      <c r="BY393" s="118"/>
      <c r="BZ393" s="118"/>
      <c r="CA393" s="118"/>
      <c r="CB393" s="118"/>
      <c r="CC393" s="118"/>
      <c r="CD393" s="118"/>
      <c r="CE393" s="118"/>
      <c r="CF393" s="118"/>
      <c r="CG393" s="118"/>
      <c r="CH393" s="118"/>
      <c r="CI393" s="118"/>
      <c r="CJ393" s="118"/>
      <c r="CK393" s="118"/>
      <c r="CL393" s="118"/>
      <c r="CM393" s="118"/>
      <c r="CN393" s="92"/>
      <c r="CO393" s="93"/>
      <c r="CP393" s="93"/>
      <c r="CQ393" s="93"/>
      <c r="CR393" s="93"/>
      <c r="CS393" s="93"/>
      <c r="CT393" s="93"/>
      <c r="CU393" s="93"/>
      <c r="CV393" s="93"/>
      <c r="CW393" s="93"/>
      <c r="CX393" s="93"/>
      <c r="CY393" s="93"/>
      <c r="CZ393" s="93"/>
      <c r="DA393" s="93"/>
      <c r="DB393" s="93"/>
      <c r="DC393" s="94"/>
      <c r="DD393" s="118"/>
      <c r="DE393" s="118"/>
      <c r="DF393" s="118"/>
      <c r="DG393" s="118"/>
      <c r="DH393" s="118"/>
      <c r="DI393" s="118"/>
      <c r="DJ393" s="118"/>
      <c r="DK393" s="118"/>
      <c r="DL393" s="118"/>
      <c r="DM393" s="118"/>
      <c r="DN393" s="118"/>
      <c r="DO393" s="118"/>
      <c r="DP393" s="118"/>
      <c r="DQ393" s="118"/>
      <c r="DR393" s="118"/>
      <c r="DS393" s="118"/>
      <c r="DT393" s="118"/>
      <c r="DU393" s="19"/>
      <c r="DV393" s="19"/>
      <c r="DW393" s="19"/>
      <c r="DX393" s="19"/>
      <c r="DY393" s="19"/>
      <c r="DZ393" s="19"/>
    </row>
    <row r="394" spans="1:130" ht="12.75" x14ac:dyDescent="0.2">
      <c r="A394" s="647"/>
      <c r="B394" s="647"/>
      <c r="C394" s="30"/>
      <c r="D394" s="30"/>
      <c r="E394" s="30"/>
      <c r="F394" s="30"/>
      <c r="G394" s="30"/>
      <c r="H394" s="634"/>
      <c r="I394" s="159">
        <f t="shared" si="279"/>
        <v>0</v>
      </c>
      <c r="J394" s="634"/>
      <c r="K394" s="30"/>
      <c r="L394" s="142"/>
      <c r="M394" s="634"/>
      <c r="N394" s="634"/>
      <c r="O394" s="634"/>
      <c r="P394" s="634"/>
      <c r="Q394" s="634"/>
      <c r="R394" s="634"/>
      <c r="S394" s="659"/>
      <c r="T394" s="647"/>
      <c r="U394" s="30"/>
      <c r="V394" s="30"/>
      <c r="W394" s="30"/>
      <c r="X394" s="30"/>
      <c r="Y394" s="30"/>
      <c r="Z394" s="638"/>
      <c r="AA394" s="51">
        <f t="shared" si="280"/>
        <v>0</v>
      </c>
      <c r="AB394" s="670"/>
      <c r="AC394" s="30"/>
      <c r="AD394" s="142"/>
      <c r="AE394" s="634"/>
      <c r="AF394" s="634"/>
      <c r="AG394" s="634"/>
      <c r="AH394" s="634"/>
      <c r="AI394" s="638"/>
      <c r="AJ394" s="634"/>
      <c r="AK394" s="642"/>
      <c r="AL394" s="647"/>
      <c r="AM394" s="29"/>
      <c r="AN394" s="29"/>
      <c r="AO394" s="29"/>
      <c r="AP394" s="29"/>
      <c r="AQ394" s="30"/>
      <c r="AR394" s="638"/>
      <c r="AS394" s="159">
        <f t="shared" si="281"/>
        <v>0</v>
      </c>
      <c r="AT394" s="671"/>
      <c r="AU394" s="30"/>
      <c r="AV394" s="635"/>
      <c r="AW394" s="142"/>
      <c r="AX394" s="634"/>
      <c r="AY394" s="634"/>
      <c r="AZ394" s="634"/>
      <c r="BA394" s="634"/>
      <c r="BB394" s="634"/>
      <c r="BC394" s="634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18"/>
      <c r="BX394" s="118"/>
      <c r="BY394" s="118"/>
      <c r="BZ394" s="118"/>
      <c r="CA394" s="118"/>
      <c r="CB394" s="118"/>
      <c r="CC394" s="118"/>
      <c r="CD394" s="118"/>
      <c r="CE394" s="118"/>
      <c r="CF394" s="118"/>
      <c r="CG394" s="118"/>
      <c r="CH394" s="118"/>
      <c r="CI394" s="118"/>
      <c r="CJ394" s="118"/>
      <c r="CK394" s="118"/>
      <c r="CL394" s="118"/>
      <c r="CM394" s="118"/>
      <c r="CN394" s="92"/>
      <c r="CO394" s="93"/>
      <c r="CP394" s="93"/>
      <c r="CQ394" s="93"/>
      <c r="CR394" s="93"/>
      <c r="CS394" s="93"/>
      <c r="CT394" s="93"/>
      <c r="CU394" s="93"/>
      <c r="CV394" s="93"/>
      <c r="CW394" s="93"/>
      <c r="CX394" s="93"/>
      <c r="CY394" s="93"/>
      <c r="CZ394" s="93"/>
      <c r="DA394" s="93"/>
      <c r="DB394" s="93"/>
      <c r="DC394" s="94"/>
      <c r="DD394" s="118"/>
      <c r="DE394" s="118"/>
      <c r="DF394" s="118"/>
      <c r="DG394" s="118"/>
      <c r="DH394" s="118"/>
      <c r="DI394" s="118"/>
      <c r="DJ394" s="118"/>
      <c r="DK394" s="118"/>
      <c r="DL394" s="118"/>
      <c r="DM394" s="118"/>
      <c r="DN394" s="118"/>
      <c r="DO394" s="118"/>
      <c r="DP394" s="118"/>
      <c r="DQ394" s="118"/>
      <c r="DR394" s="118"/>
      <c r="DS394" s="118"/>
      <c r="DT394" s="118"/>
      <c r="DU394" s="19"/>
      <c r="DV394" s="19"/>
      <c r="DW394" s="19"/>
      <c r="DX394" s="19"/>
      <c r="DY394" s="19"/>
      <c r="DZ394" s="19"/>
    </row>
    <row r="395" spans="1:130" ht="12.75" x14ac:dyDescent="0.2">
      <c r="A395" s="648"/>
      <c r="B395" s="648"/>
      <c r="C395" s="30"/>
      <c r="D395" s="30"/>
      <c r="E395" s="30"/>
      <c r="F395" s="30"/>
      <c r="G395" s="30"/>
      <c r="H395" s="635"/>
      <c r="I395" s="159">
        <f t="shared" si="279"/>
        <v>0</v>
      </c>
      <c r="J395" s="635"/>
      <c r="K395" s="30"/>
      <c r="L395" s="142"/>
      <c r="M395" s="635"/>
      <c r="N395" s="635"/>
      <c r="O395" s="635"/>
      <c r="P395" s="635"/>
      <c r="Q395" s="635"/>
      <c r="R395" s="635"/>
      <c r="S395" s="660"/>
      <c r="T395" s="648"/>
      <c r="U395" s="30"/>
      <c r="V395" s="30"/>
      <c r="W395" s="30"/>
      <c r="X395" s="30"/>
      <c r="Y395" s="30"/>
      <c r="Z395" s="639"/>
      <c r="AA395" s="51">
        <f t="shared" si="280"/>
        <v>0</v>
      </c>
      <c r="AB395" s="671"/>
      <c r="AC395" s="30"/>
      <c r="AD395" s="142"/>
      <c r="AE395" s="635"/>
      <c r="AF395" s="635"/>
      <c r="AG395" s="635"/>
      <c r="AH395" s="635"/>
      <c r="AI395" s="639"/>
      <c r="AJ395" s="635"/>
      <c r="AK395" s="643"/>
      <c r="AL395" s="648"/>
      <c r="AM395" s="30"/>
      <c r="AN395" s="30"/>
      <c r="AO395" s="30"/>
      <c r="AP395" s="30"/>
      <c r="AQ395" s="30"/>
      <c r="AR395" s="639"/>
      <c r="AS395" s="159">
        <f t="shared" si="281"/>
        <v>0</v>
      </c>
      <c r="AT395" s="146">
        <f>AS395</f>
        <v>0</v>
      </c>
      <c r="AU395" s="30"/>
      <c r="AV395" s="142"/>
      <c r="AW395" s="142"/>
      <c r="AX395" s="635"/>
      <c r="AY395" s="635"/>
      <c r="AZ395" s="635"/>
      <c r="BA395" s="147">
        <f t="shared" ref="BA395:BA396" si="282">AV395*60</f>
        <v>0</v>
      </c>
      <c r="BB395" s="635"/>
      <c r="BC395" s="148">
        <f t="shared" ref="BC395:BC396" si="283">IF(BA395=0,0,AT395/BA395)</f>
        <v>0</v>
      </c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18"/>
      <c r="BX395" s="118"/>
      <c r="BY395" s="118"/>
      <c r="BZ395" s="118"/>
      <c r="CA395" s="118"/>
      <c r="CB395" s="118"/>
      <c r="CC395" s="118"/>
      <c r="CD395" s="118"/>
      <c r="CE395" s="118"/>
      <c r="CF395" s="118"/>
      <c r="CG395" s="118"/>
      <c r="CH395" s="118"/>
      <c r="CI395" s="118"/>
      <c r="CJ395" s="118"/>
      <c r="CK395" s="118"/>
      <c r="CL395" s="118"/>
      <c r="CM395" s="118"/>
      <c r="CN395" s="92"/>
      <c r="CO395" s="93"/>
      <c r="CP395" s="93"/>
      <c r="CQ395" s="93"/>
      <c r="CR395" s="93"/>
      <c r="CS395" s="93"/>
      <c r="CT395" s="93"/>
      <c r="CU395" s="93"/>
      <c r="CV395" s="93"/>
      <c r="CW395" s="93"/>
      <c r="CX395" s="93"/>
      <c r="CY395" s="93"/>
      <c r="CZ395" s="93"/>
      <c r="DA395" s="93"/>
      <c r="DB395" s="93"/>
      <c r="DC395" s="94"/>
      <c r="DD395" s="118"/>
      <c r="DE395" s="118"/>
      <c r="DF395" s="118"/>
      <c r="DG395" s="118"/>
      <c r="DH395" s="118"/>
      <c r="DI395" s="118"/>
      <c r="DJ395" s="118"/>
      <c r="DK395" s="118"/>
      <c r="DL395" s="118"/>
      <c r="DM395" s="118"/>
      <c r="DN395" s="118"/>
      <c r="DO395" s="118"/>
      <c r="DP395" s="118"/>
      <c r="DQ395" s="118"/>
      <c r="DR395" s="118"/>
      <c r="DS395" s="118"/>
      <c r="DT395" s="118"/>
      <c r="DU395" s="19"/>
      <c r="DV395" s="19"/>
      <c r="DW395" s="19"/>
      <c r="DX395" s="19"/>
      <c r="DY395" s="19"/>
      <c r="DZ395" s="19"/>
    </row>
    <row r="396" spans="1:130" ht="12.75" x14ac:dyDescent="0.2">
      <c r="A396" s="651"/>
      <c r="B396" s="646">
        <v>46154</v>
      </c>
      <c r="C396" s="40"/>
      <c r="D396" s="40"/>
      <c r="E396" s="40"/>
      <c r="F396" s="40"/>
      <c r="G396" s="40"/>
      <c r="H396" s="653"/>
      <c r="I396" s="159">
        <f t="shared" si="279"/>
        <v>0</v>
      </c>
      <c r="J396" s="650">
        <f>SUM(I396:I399,H396)</f>
        <v>0</v>
      </c>
      <c r="K396" s="40"/>
      <c r="L396" s="40"/>
      <c r="M396" s="653"/>
      <c r="N396" s="653"/>
      <c r="O396" s="633">
        <f>SUM(M396:N399)</f>
        <v>0</v>
      </c>
      <c r="P396" s="653"/>
      <c r="Q396" s="636">
        <f>M396*60</f>
        <v>0</v>
      </c>
      <c r="R396" s="657">
        <f>IF(
   COUNTIF(K396:K399,"SI")&gt;0,
   1.8,
   IF(
      COUNTIF(L396:L399,"SI")&gt;0,
      1.6,
      2
   )
)</f>
        <v>2</v>
      </c>
      <c r="S396" s="678">
        <f>IF(Q396=0,0,J396/Q396)</f>
        <v>0</v>
      </c>
      <c r="T396" s="646">
        <v>46154</v>
      </c>
      <c r="U396" s="40"/>
      <c r="V396" s="38">
        <v>678</v>
      </c>
      <c r="W396" s="38">
        <v>8502</v>
      </c>
      <c r="X396" s="38">
        <v>9001</v>
      </c>
      <c r="Y396" s="38"/>
      <c r="Z396" s="653"/>
      <c r="AA396" s="51">
        <f t="shared" si="280"/>
        <v>500</v>
      </c>
      <c r="AB396" s="650">
        <f>SUM(AA396:AA399)+Z396</f>
        <v>999</v>
      </c>
      <c r="AC396" s="38"/>
      <c r="AD396" s="38"/>
      <c r="AE396" s="636">
        <v>8</v>
      </c>
      <c r="AF396" s="636">
        <v>0.5</v>
      </c>
      <c r="AG396" s="633">
        <f>SUM(AE396:AF399)</f>
        <v>8.5</v>
      </c>
      <c r="AH396" s="636">
        <v>0</v>
      </c>
      <c r="AI396" s="637">
        <f>AE396*60</f>
        <v>480</v>
      </c>
      <c r="AJ396" s="640">
        <f>IF(
   COUNTIF(AC396:AC399,"SI")&gt;0,
   1.8,
   IF(
      COUNTIF(AD396:AD399,"SI")&gt;0,
      1.6,
      2
   )
)</f>
        <v>2</v>
      </c>
      <c r="AK396" s="641">
        <f>IF(AI396=0,0,AB396/AI396)</f>
        <v>2.0812499999999998</v>
      </c>
      <c r="AL396" s="646">
        <v>46154</v>
      </c>
      <c r="AM396" s="31"/>
      <c r="AN396" s="31"/>
      <c r="AO396" s="31"/>
      <c r="AP396" s="31"/>
      <c r="AQ396" s="31"/>
      <c r="AR396" s="653"/>
      <c r="AS396" s="159"/>
      <c r="AT396" s="683">
        <f>SUM(AS396:AS399)+AR396</f>
        <v>0</v>
      </c>
      <c r="AU396" s="653"/>
      <c r="AV396" s="653"/>
      <c r="AW396" s="40"/>
      <c r="AX396" s="653"/>
      <c r="AY396" s="633">
        <f>SUM(AV396:AX399)</f>
        <v>0</v>
      </c>
      <c r="AZ396" s="636">
        <v>0.3</v>
      </c>
      <c r="BA396" s="636">
        <f t="shared" si="282"/>
        <v>0</v>
      </c>
      <c r="BB396" s="657">
        <f>IF(
   COUNTIF(AU396:AU399,"SI")&gt;0,
   1.8,
   IF(
      COUNTIF(AV396:AV399,"SI")&gt;0,
      1.6,
      2
   )
)</f>
        <v>2</v>
      </c>
      <c r="BC396" s="667">
        <f t="shared" si="283"/>
        <v>0</v>
      </c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18"/>
      <c r="BX396" s="118"/>
      <c r="BY396" s="118"/>
      <c r="BZ396" s="118"/>
      <c r="CA396" s="118"/>
      <c r="CB396" s="118"/>
      <c r="CC396" s="118"/>
      <c r="CD396" s="118"/>
      <c r="CE396" s="118"/>
      <c r="CF396" s="118"/>
      <c r="CG396" s="118"/>
      <c r="CH396" s="118"/>
      <c r="CI396" s="118"/>
      <c r="CJ396" s="118"/>
      <c r="CK396" s="118"/>
      <c r="CL396" s="118"/>
      <c r="CM396" s="118"/>
      <c r="CN396" s="92"/>
      <c r="CO396" s="93"/>
      <c r="CP396" s="93"/>
      <c r="CQ396" s="93"/>
      <c r="CR396" s="93"/>
      <c r="CS396" s="93"/>
      <c r="CT396" s="93"/>
      <c r="CU396" s="93"/>
      <c r="CV396" s="93"/>
      <c r="CW396" s="93"/>
      <c r="CX396" s="93"/>
      <c r="CY396" s="93"/>
      <c r="CZ396" s="93"/>
      <c r="DA396" s="93"/>
      <c r="DB396" s="93"/>
      <c r="DC396" s="94"/>
      <c r="DD396" s="118"/>
      <c r="DE396" s="118"/>
      <c r="DF396" s="118"/>
      <c r="DG396" s="118"/>
      <c r="DH396" s="118"/>
      <c r="DI396" s="118"/>
      <c r="DJ396" s="118"/>
      <c r="DK396" s="118"/>
      <c r="DL396" s="118"/>
      <c r="DM396" s="118"/>
      <c r="DN396" s="118"/>
      <c r="DO396" s="118"/>
      <c r="DP396" s="118"/>
      <c r="DQ396" s="118"/>
      <c r="DR396" s="118"/>
      <c r="DS396" s="118"/>
      <c r="DT396" s="118"/>
      <c r="DU396" s="19"/>
      <c r="DV396" s="19"/>
      <c r="DW396" s="19"/>
      <c r="DX396" s="19"/>
      <c r="DY396" s="19"/>
      <c r="DZ396" s="19"/>
    </row>
    <row r="397" spans="1:130" ht="12.75" x14ac:dyDescent="0.2">
      <c r="A397" s="647"/>
      <c r="B397" s="647"/>
      <c r="C397" s="40"/>
      <c r="D397" s="40"/>
      <c r="E397" s="40"/>
      <c r="F397" s="40"/>
      <c r="G397" s="40"/>
      <c r="H397" s="634"/>
      <c r="I397" s="159">
        <f t="shared" si="279"/>
        <v>0</v>
      </c>
      <c r="J397" s="634"/>
      <c r="K397" s="40"/>
      <c r="L397" s="40"/>
      <c r="M397" s="634"/>
      <c r="N397" s="634"/>
      <c r="O397" s="634"/>
      <c r="P397" s="634"/>
      <c r="Q397" s="634"/>
      <c r="R397" s="634"/>
      <c r="S397" s="659"/>
      <c r="T397" s="647"/>
      <c r="U397" s="40"/>
      <c r="V397" s="31">
        <v>679</v>
      </c>
      <c r="W397" s="31">
        <v>9002</v>
      </c>
      <c r="X397" s="31">
        <v>9500</v>
      </c>
      <c r="Y397" s="31"/>
      <c r="Z397" s="634"/>
      <c r="AA397" s="51">
        <f t="shared" si="280"/>
        <v>499</v>
      </c>
      <c r="AB397" s="634"/>
      <c r="AC397" s="38"/>
      <c r="AD397" s="38"/>
      <c r="AE397" s="634"/>
      <c r="AF397" s="634"/>
      <c r="AG397" s="634"/>
      <c r="AH397" s="634"/>
      <c r="AI397" s="638"/>
      <c r="AJ397" s="634"/>
      <c r="AK397" s="642"/>
      <c r="AL397" s="647"/>
      <c r="AM397" s="31"/>
      <c r="AN397" s="31"/>
      <c r="AO397" s="31"/>
      <c r="AP397" s="31"/>
      <c r="AQ397" s="31"/>
      <c r="AR397" s="634"/>
      <c r="AS397" s="159"/>
      <c r="AT397" s="670"/>
      <c r="AU397" s="634"/>
      <c r="AV397" s="634"/>
      <c r="AW397" s="40"/>
      <c r="AX397" s="634"/>
      <c r="AY397" s="634"/>
      <c r="AZ397" s="634"/>
      <c r="BA397" s="634"/>
      <c r="BB397" s="634"/>
      <c r="BC397" s="634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18"/>
      <c r="BX397" s="118"/>
      <c r="BY397" s="118"/>
      <c r="BZ397" s="118"/>
      <c r="CA397" s="118"/>
      <c r="CB397" s="118"/>
      <c r="CC397" s="118"/>
      <c r="CD397" s="118"/>
      <c r="CE397" s="118"/>
      <c r="CF397" s="118"/>
      <c r="CG397" s="118"/>
      <c r="CH397" s="118"/>
      <c r="CI397" s="118"/>
      <c r="CJ397" s="118"/>
      <c r="CK397" s="118"/>
      <c r="CL397" s="118"/>
      <c r="CM397" s="118"/>
      <c r="CN397" s="92"/>
      <c r="CO397" s="93"/>
      <c r="CP397" s="93"/>
      <c r="CQ397" s="93"/>
      <c r="CR397" s="93"/>
      <c r="CS397" s="93"/>
      <c r="CT397" s="93"/>
      <c r="CU397" s="93"/>
      <c r="CV397" s="93"/>
      <c r="CW397" s="93"/>
      <c r="CX397" s="93"/>
      <c r="CY397" s="93"/>
      <c r="CZ397" s="93"/>
      <c r="DA397" s="93"/>
      <c r="DB397" s="93"/>
      <c r="DC397" s="94"/>
      <c r="DD397" s="118"/>
      <c r="DE397" s="118"/>
      <c r="DF397" s="118"/>
      <c r="DG397" s="118"/>
      <c r="DH397" s="118"/>
      <c r="DI397" s="118"/>
      <c r="DJ397" s="118"/>
      <c r="DK397" s="118"/>
      <c r="DL397" s="118"/>
      <c r="DM397" s="118"/>
      <c r="DN397" s="118"/>
      <c r="DO397" s="118"/>
      <c r="DP397" s="118"/>
      <c r="DQ397" s="118"/>
      <c r="DR397" s="118"/>
      <c r="DS397" s="118"/>
      <c r="DT397" s="118"/>
      <c r="DU397" s="19"/>
      <c r="DV397" s="19"/>
      <c r="DW397" s="19"/>
      <c r="DX397" s="19"/>
      <c r="DY397" s="19"/>
      <c r="DZ397" s="19"/>
    </row>
    <row r="398" spans="1:130" ht="12.75" x14ac:dyDescent="0.2">
      <c r="A398" s="647"/>
      <c r="B398" s="647"/>
      <c r="C398" s="40"/>
      <c r="D398" s="40"/>
      <c r="E398" s="40"/>
      <c r="F398" s="40"/>
      <c r="G398" s="40"/>
      <c r="H398" s="634"/>
      <c r="I398" s="159">
        <f t="shared" si="279"/>
        <v>0</v>
      </c>
      <c r="J398" s="634"/>
      <c r="K398" s="40"/>
      <c r="L398" s="40"/>
      <c r="M398" s="634"/>
      <c r="N398" s="634"/>
      <c r="O398" s="634"/>
      <c r="P398" s="634"/>
      <c r="Q398" s="634"/>
      <c r="R398" s="634"/>
      <c r="S398" s="659"/>
      <c r="T398" s="647"/>
      <c r="U398" s="40"/>
      <c r="V398" s="31"/>
      <c r="W398" s="31"/>
      <c r="X398" s="31"/>
      <c r="Y398" s="31"/>
      <c r="Z398" s="634"/>
      <c r="AA398" s="51">
        <f t="shared" si="280"/>
        <v>0</v>
      </c>
      <c r="AB398" s="634"/>
      <c r="AC398" s="38"/>
      <c r="AD398" s="38"/>
      <c r="AE398" s="634"/>
      <c r="AF398" s="634"/>
      <c r="AG398" s="634"/>
      <c r="AH398" s="634"/>
      <c r="AI398" s="638"/>
      <c r="AJ398" s="634"/>
      <c r="AK398" s="642"/>
      <c r="AL398" s="647"/>
      <c r="AM398" s="40"/>
      <c r="AN398" s="31"/>
      <c r="AO398" s="31"/>
      <c r="AP398" s="31"/>
      <c r="AQ398" s="159"/>
      <c r="AR398" s="634"/>
      <c r="AS398" s="159"/>
      <c r="AT398" s="671"/>
      <c r="AU398" s="635"/>
      <c r="AV398" s="635"/>
      <c r="AW398" s="40"/>
      <c r="AX398" s="634"/>
      <c r="AY398" s="634"/>
      <c r="AZ398" s="634"/>
      <c r="BA398" s="634"/>
      <c r="BB398" s="634"/>
      <c r="BC398" s="635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18"/>
      <c r="BX398" s="118"/>
      <c r="BY398" s="118"/>
      <c r="BZ398" s="118"/>
      <c r="CA398" s="118"/>
      <c r="CB398" s="118"/>
      <c r="CC398" s="118"/>
      <c r="CD398" s="118"/>
      <c r="CE398" s="118"/>
      <c r="CF398" s="118"/>
      <c r="CG398" s="118"/>
      <c r="CH398" s="118"/>
      <c r="CI398" s="118"/>
      <c r="CJ398" s="118"/>
      <c r="CK398" s="118"/>
      <c r="CL398" s="118"/>
      <c r="CM398" s="118"/>
      <c r="CN398" s="92"/>
      <c r="CO398" s="93"/>
      <c r="CP398" s="93"/>
      <c r="CQ398" s="93"/>
      <c r="CR398" s="93"/>
      <c r="CS398" s="93"/>
      <c r="CT398" s="93"/>
      <c r="CU398" s="93"/>
      <c r="CV398" s="93"/>
      <c r="CW398" s="93"/>
      <c r="CX398" s="93"/>
      <c r="CY398" s="93"/>
      <c r="CZ398" s="93"/>
      <c r="DA398" s="93"/>
      <c r="DB398" s="93"/>
      <c r="DC398" s="94"/>
      <c r="DD398" s="118"/>
      <c r="DE398" s="118"/>
      <c r="DF398" s="118"/>
      <c r="DG398" s="118"/>
      <c r="DH398" s="118"/>
      <c r="DI398" s="118"/>
      <c r="DJ398" s="118"/>
      <c r="DK398" s="118"/>
      <c r="DL398" s="118"/>
      <c r="DM398" s="118"/>
      <c r="DN398" s="118"/>
      <c r="DO398" s="118"/>
      <c r="DP398" s="118"/>
      <c r="DQ398" s="118"/>
      <c r="DR398" s="118"/>
      <c r="DS398" s="118"/>
      <c r="DT398" s="118"/>
      <c r="DU398" s="19"/>
      <c r="DV398" s="19"/>
      <c r="DW398" s="19"/>
      <c r="DX398" s="19"/>
      <c r="DY398" s="19"/>
      <c r="DZ398" s="19"/>
    </row>
    <row r="399" spans="1:130" ht="12.75" x14ac:dyDescent="0.2">
      <c r="A399" s="648"/>
      <c r="B399" s="648"/>
      <c r="C399" s="40"/>
      <c r="D399" s="40"/>
      <c r="E399" s="40"/>
      <c r="F399" s="40"/>
      <c r="G399" s="40"/>
      <c r="H399" s="635"/>
      <c r="I399" s="159">
        <f t="shared" si="279"/>
        <v>0</v>
      </c>
      <c r="J399" s="635"/>
      <c r="K399" s="40"/>
      <c r="L399" s="40"/>
      <c r="M399" s="635"/>
      <c r="N399" s="635"/>
      <c r="O399" s="635"/>
      <c r="P399" s="635"/>
      <c r="Q399" s="635"/>
      <c r="R399" s="635"/>
      <c r="S399" s="660"/>
      <c r="T399" s="648"/>
      <c r="U399" s="40"/>
      <c r="V399" s="40"/>
      <c r="W399" s="40"/>
      <c r="X399" s="40"/>
      <c r="Y399" s="40"/>
      <c r="Z399" s="635"/>
      <c r="AA399" s="51">
        <f t="shared" si="280"/>
        <v>0</v>
      </c>
      <c r="AB399" s="634"/>
      <c r="AC399" s="40"/>
      <c r="AD399" s="40"/>
      <c r="AE399" s="634"/>
      <c r="AF399" s="635"/>
      <c r="AG399" s="635"/>
      <c r="AH399" s="635"/>
      <c r="AI399" s="638"/>
      <c r="AJ399" s="635"/>
      <c r="AK399" s="643"/>
      <c r="AL399" s="648"/>
      <c r="AM399" s="40"/>
      <c r="AN399" s="31"/>
      <c r="AO399" s="31"/>
      <c r="AP399" s="31"/>
      <c r="AQ399" s="40"/>
      <c r="AR399" s="635"/>
      <c r="AS399" s="159"/>
      <c r="AT399" s="153"/>
      <c r="AU399" s="40"/>
      <c r="AV399" s="154"/>
      <c r="AW399" s="154"/>
      <c r="AX399" s="635"/>
      <c r="AY399" s="635"/>
      <c r="AZ399" s="635"/>
      <c r="BA399" s="154"/>
      <c r="BB399" s="635"/>
      <c r="BC399" s="155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18"/>
      <c r="BX399" s="118"/>
      <c r="BY399" s="118"/>
      <c r="BZ399" s="118"/>
      <c r="CA399" s="118"/>
      <c r="CB399" s="118"/>
      <c r="CC399" s="118"/>
      <c r="CD399" s="118"/>
      <c r="CE399" s="118"/>
      <c r="CF399" s="118"/>
      <c r="CG399" s="118"/>
      <c r="CH399" s="118"/>
      <c r="CI399" s="118"/>
      <c r="CJ399" s="118"/>
      <c r="CK399" s="118"/>
      <c r="CL399" s="118"/>
      <c r="CM399" s="118"/>
      <c r="CN399" s="92"/>
      <c r="CO399" s="93"/>
      <c r="CP399" s="93"/>
      <c r="CQ399" s="93"/>
      <c r="CR399" s="93"/>
      <c r="CS399" s="93"/>
      <c r="CT399" s="93"/>
      <c r="CU399" s="93"/>
      <c r="CV399" s="93"/>
      <c r="CW399" s="93"/>
      <c r="CX399" s="93"/>
      <c r="CY399" s="93"/>
      <c r="CZ399" s="93"/>
      <c r="DA399" s="93"/>
      <c r="DB399" s="93"/>
      <c r="DC399" s="94"/>
      <c r="DD399" s="118"/>
      <c r="DE399" s="118"/>
      <c r="DF399" s="118"/>
      <c r="DG399" s="118"/>
      <c r="DH399" s="118"/>
      <c r="DI399" s="118"/>
      <c r="DJ399" s="118"/>
      <c r="DK399" s="118"/>
      <c r="DL399" s="118"/>
      <c r="DM399" s="118"/>
      <c r="DN399" s="118"/>
      <c r="DO399" s="118"/>
      <c r="DP399" s="118"/>
      <c r="DQ399" s="118"/>
      <c r="DR399" s="118"/>
      <c r="DS399" s="118"/>
      <c r="DT399" s="118"/>
      <c r="DU399" s="19"/>
      <c r="DV399" s="19"/>
      <c r="DW399" s="19"/>
      <c r="DX399" s="19"/>
      <c r="DY399" s="19"/>
      <c r="DZ399" s="19"/>
    </row>
    <row r="400" spans="1:130" ht="12.75" x14ac:dyDescent="0.2">
      <c r="A400" s="654"/>
      <c r="B400" s="655">
        <v>46155</v>
      </c>
      <c r="C400" s="29">
        <v>7</v>
      </c>
      <c r="D400" s="29">
        <v>726</v>
      </c>
      <c r="E400" s="29">
        <v>15903</v>
      </c>
      <c r="F400" s="29">
        <v>15950</v>
      </c>
      <c r="G400" s="30"/>
      <c r="H400" s="649"/>
      <c r="I400" s="159">
        <f t="shared" si="279"/>
        <v>48</v>
      </c>
      <c r="J400" s="650">
        <f>SUM(I400:I403,H400)</f>
        <v>378</v>
      </c>
      <c r="K400" s="29"/>
      <c r="L400" s="29"/>
      <c r="M400" s="649">
        <v>3</v>
      </c>
      <c r="N400" s="649">
        <v>1</v>
      </c>
      <c r="O400" s="656">
        <f>SUM(M400:N403)</f>
        <v>4</v>
      </c>
      <c r="P400" s="649"/>
      <c r="Q400" s="644">
        <f>M400*60</f>
        <v>180</v>
      </c>
      <c r="R400" s="657">
        <f>IF(
   COUNTIF(K400:K403,"SI")&gt;0,
   1.8,
   IF(
      COUNTIF(L400:L403,"SI")&gt;0,
      1.6,
      2
   )
)</f>
        <v>2</v>
      </c>
      <c r="S400" s="658">
        <f>IF(Q400=0,0,J400/Q400)</f>
        <v>2.1</v>
      </c>
      <c r="T400" s="655">
        <v>46155</v>
      </c>
      <c r="U400" s="30"/>
      <c r="V400" s="28"/>
      <c r="W400" s="28"/>
      <c r="X400" s="28"/>
      <c r="Y400" s="29"/>
      <c r="Z400" s="640"/>
      <c r="AA400" s="51">
        <f t="shared" si="280"/>
        <v>0</v>
      </c>
      <c r="AB400" s="650">
        <f>SUM(AA400:AA403,Z400)</f>
        <v>0</v>
      </c>
      <c r="AC400" s="28"/>
      <c r="AD400" s="28"/>
      <c r="AE400" s="640"/>
      <c r="AF400" s="640"/>
      <c r="AG400" s="633">
        <f>SUM(AE400:AF403)</f>
        <v>0</v>
      </c>
      <c r="AH400" s="640">
        <v>0</v>
      </c>
      <c r="AI400" s="664">
        <f>AE400*60</f>
        <v>0</v>
      </c>
      <c r="AJ400" s="640">
        <f>IF(
   COUNTIF(AC400:AC403,"SI")&gt;0,
   1.8,
   IF(
      COUNTIF(AD400:AD403,"SI")&gt;0,
      1.6,
      2
   )
)</f>
        <v>2</v>
      </c>
      <c r="AK400" s="641">
        <f>IF(AI400=0,0,AB400/AI400)</f>
        <v>0</v>
      </c>
      <c r="AL400" s="655">
        <v>46155</v>
      </c>
      <c r="AM400" s="29">
        <f>122-AM392</f>
        <v>56</v>
      </c>
      <c r="AN400" s="31">
        <v>676</v>
      </c>
      <c r="AO400" s="31">
        <v>7757</v>
      </c>
      <c r="AP400" s="31">
        <v>8000</v>
      </c>
      <c r="AQ400" s="31"/>
      <c r="AR400" s="653"/>
      <c r="AS400" s="159">
        <f t="shared" ref="AS400:AS402" si="284">IF(AO400=0,0,AP400-AO400+1-AQ400)</f>
        <v>244</v>
      </c>
      <c r="AT400" s="650">
        <f>SUM(AS400:AS402,AR400)</f>
        <v>244</v>
      </c>
      <c r="AU400" s="653"/>
      <c r="AV400" s="653">
        <v>1.6</v>
      </c>
      <c r="AW400" s="31"/>
      <c r="AX400" s="653">
        <v>6.9</v>
      </c>
      <c r="AY400" s="633">
        <f>SUM(AV400:AX403)</f>
        <v>8.5</v>
      </c>
      <c r="AZ400" s="636">
        <v>0.2</v>
      </c>
      <c r="BA400" s="640">
        <f>AV400*60</f>
        <v>96</v>
      </c>
      <c r="BB400" s="657">
        <f>IF(
   COUNTIF(AU400:AU403,"SI")&gt;0,
   1.8,
   IF(
      COUNTIF(AV400:AV403,"SI")&gt;0,
      1.6,
      2
   )
)</f>
        <v>2</v>
      </c>
      <c r="BC400" s="666">
        <f>IF(BA400=0,0,AT400/BA400)</f>
        <v>2.5416666666666665</v>
      </c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18"/>
      <c r="BX400" s="118"/>
      <c r="BY400" s="118"/>
      <c r="BZ400" s="118"/>
      <c r="CA400" s="118"/>
      <c r="CB400" s="118"/>
      <c r="CC400" s="118"/>
      <c r="CD400" s="118"/>
      <c r="CE400" s="118"/>
      <c r="CF400" s="118"/>
      <c r="CG400" s="118"/>
      <c r="CH400" s="118"/>
      <c r="CI400" s="118"/>
      <c r="CJ400" s="118"/>
      <c r="CK400" s="118"/>
      <c r="CL400" s="118"/>
      <c r="CM400" s="118"/>
      <c r="CN400" s="92"/>
      <c r="CO400" s="93"/>
      <c r="CP400" s="93"/>
      <c r="CQ400" s="93"/>
      <c r="CR400" s="93"/>
      <c r="CS400" s="93"/>
      <c r="CT400" s="93"/>
      <c r="CU400" s="93"/>
      <c r="CV400" s="93"/>
      <c r="CW400" s="93"/>
      <c r="CX400" s="93"/>
      <c r="CY400" s="93"/>
      <c r="CZ400" s="93"/>
      <c r="DA400" s="93"/>
      <c r="DB400" s="93"/>
      <c r="DC400" s="94"/>
      <c r="DD400" s="118"/>
      <c r="DE400" s="118"/>
      <c r="DF400" s="118"/>
      <c r="DG400" s="118"/>
      <c r="DH400" s="118"/>
      <c r="DI400" s="118"/>
      <c r="DJ400" s="118"/>
      <c r="DK400" s="118"/>
      <c r="DL400" s="118"/>
      <c r="DM400" s="118"/>
      <c r="DN400" s="118"/>
      <c r="DO400" s="118"/>
      <c r="DP400" s="118"/>
      <c r="DQ400" s="118"/>
      <c r="DR400" s="118"/>
      <c r="DS400" s="118"/>
      <c r="DT400" s="118"/>
      <c r="DU400" s="19"/>
      <c r="DV400" s="19"/>
      <c r="DW400" s="19"/>
      <c r="DX400" s="19"/>
      <c r="DY400" s="19"/>
      <c r="DZ400" s="19"/>
    </row>
    <row r="401" spans="1:130" ht="12.75" x14ac:dyDescent="0.2">
      <c r="A401" s="647"/>
      <c r="B401" s="647"/>
      <c r="C401" s="29">
        <v>34</v>
      </c>
      <c r="D401" s="29">
        <v>694</v>
      </c>
      <c r="E401" s="29">
        <v>16621</v>
      </c>
      <c r="F401" s="29">
        <v>16950</v>
      </c>
      <c r="G401" s="30"/>
      <c r="H401" s="634"/>
      <c r="I401" s="159">
        <f t="shared" si="279"/>
        <v>330</v>
      </c>
      <c r="J401" s="634"/>
      <c r="K401" s="30"/>
      <c r="L401" s="30"/>
      <c r="M401" s="634"/>
      <c r="N401" s="634"/>
      <c r="O401" s="634"/>
      <c r="P401" s="634"/>
      <c r="Q401" s="634"/>
      <c r="R401" s="634"/>
      <c r="S401" s="659"/>
      <c r="T401" s="647"/>
      <c r="U401" s="30"/>
      <c r="V401" s="28"/>
      <c r="W401" s="28"/>
      <c r="X401" s="28"/>
      <c r="Y401" s="29"/>
      <c r="Z401" s="634"/>
      <c r="AA401" s="51">
        <f t="shared" si="280"/>
        <v>0</v>
      </c>
      <c r="AB401" s="634"/>
      <c r="AC401" s="28"/>
      <c r="AD401" s="28"/>
      <c r="AE401" s="634"/>
      <c r="AF401" s="634"/>
      <c r="AG401" s="634"/>
      <c r="AH401" s="634"/>
      <c r="AI401" s="638"/>
      <c r="AJ401" s="634"/>
      <c r="AK401" s="642"/>
      <c r="AL401" s="647"/>
      <c r="AM401" s="29"/>
      <c r="AN401" s="31"/>
      <c r="AO401" s="31"/>
      <c r="AP401" s="31"/>
      <c r="AQ401" s="31"/>
      <c r="AR401" s="634"/>
      <c r="AS401" s="159">
        <f t="shared" si="284"/>
        <v>0</v>
      </c>
      <c r="AT401" s="634"/>
      <c r="AU401" s="634"/>
      <c r="AV401" s="634"/>
      <c r="AW401" s="31"/>
      <c r="AX401" s="634"/>
      <c r="AY401" s="634"/>
      <c r="AZ401" s="634"/>
      <c r="BA401" s="634"/>
      <c r="BB401" s="634"/>
      <c r="BC401" s="634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18"/>
      <c r="BX401" s="118"/>
      <c r="BY401" s="118"/>
      <c r="BZ401" s="118"/>
      <c r="CA401" s="118"/>
      <c r="CB401" s="118"/>
      <c r="CC401" s="118"/>
      <c r="CD401" s="118"/>
      <c r="CE401" s="118"/>
      <c r="CF401" s="118"/>
      <c r="CG401" s="118"/>
      <c r="CH401" s="118"/>
      <c r="CI401" s="118"/>
      <c r="CJ401" s="118"/>
      <c r="CK401" s="118"/>
      <c r="CL401" s="118"/>
      <c r="CM401" s="118"/>
      <c r="CN401" s="92"/>
      <c r="CO401" s="93"/>
      <c r="CP401" s="93"/>
      <c r="CQ401" s="93"/>
      <c r="CR401" s="93"/>
      <c r="CS401" s="93"/>
      <c r="CT401" s="93"/>
      <c r="CU401" s="93"/>
      <c r="CV401" s="93"/>
      <c r="CW401" s="93"/>
      <c r="CX401" s="93"/>
      <c r="CY401" s="93"/>
      <c r="CZ401" s="93"/>
      <c r="DA401" s="93"/>
      <c r="DB401" s="93"/>
      <c r="DC401" s="94"/>
      <c r="DD401" s="118"/>
      <c r="DE401" s="118"/>
      <c r="DF401" s="118"/>
      <c r="DG401" s="118"/>
      <c r="DH401" s="118"/>
      <c r="DI401" s="118"/>
      <c r="DJ401" s="118"/>
      <c r="DK401" s="118"/>
      <c r="DL401" s="118"/>
      <c r="DM401" s="118"/>
      <c r="DN401" s="118"/>
      <c r="DO401" s="118"/>
      <c r="DP401" s="118"/>
      <c r="DQ401" s="118"/>
      <c r="DR401" s="118"/>
      <c r="DS401" s="118"/>
      <c r="DT401" s="118"/>
      <c r="DU401" s="19"/>
      <c r="DV401" s="19"/>
      <c r="DW401" s="19"/>
      <c r="DX401" s="19"/>
      <c r="DY401" s="19"/>
      <c r="DZ401" s="19"/>
    </row>
    <row r="402" spans="1:130" ht="12.75" x14ac:dyDescent="0.2">
      <c r="A402" s="647"/>
      <c r="B402" s="647"/>
      <c r="C402" s="30"/>
      <c r="D402" s="30"/>
      <c r="E402" s="30"/>
      <c r="F402" s="30"/>
      <c r="G402" s="30"/>
      <c r="H402" s="634"/>
      <c r="I402" s="159">
        <f t="shared" si="279"/>
        <v>0</v>
      </c>
      <c r="J402" s="634"/>
      <c r="K402" s="30"/>
      <c r="L402" s="30"/>
      <c r="M402" s="634"/>
      <c r="N402" s="634"/>
      <c r="O402" s="634"/>
      <c r="P402" s="634"/>
      <c r="Q402" s="634"/>
      <c r="R402" s="634"/>
      <c r="S402" s="659"/>
      <c r="T402" s="647"/>
      <c r="U402" s="30"/>
      <c r="V402" s="28"/>
      <c r="W402" s="28"/>
      <c r="X402" s="28"/>
      <c r="Y402" s="29"/>
      <c r="Z402" s="634"/>
      <c r="AA402" s="51">
        <f t="shared" si="280"/>
        <v>0</v>
      </c>
      <c r="AB402" s="634"/>
      <c r="AC402" s="51"/>
      <c r="AD402" s="51"/>
      <c r="AE402" s="634"/>
      <c r="AF402" s="634"/>
      <c r="AG402" s="634"/>
      <c r="AH402" s="634"/>
      <c r="AI402" s="638"/>
      <c r="AJ402" s="634"/>
      <c r="AK402" s="642"/>
      <c r="AL402" s="647"/>
      <c r="AM402" s="29"/>
      <c r="AN402" s="31"/>
      <c r="AO402" s="31"/>
      <c r="AP402" s="31"/>
      <c r="AQ402" s="40"/>
      <c r="AR402" s="634"/>
      <c r="AS402" s="159">
        <f t="shared" si="284"/>
        <v>0</v>
      </c>
      <c r="AT402" s="635"/>
      <c r="AU402" s="635"/>
      <c r="AV402" s="635"/>
      <c r="AW402" s="31"/>
      <c r="AX402" s="634"/>
      <c r="AY402" s="634"/>
      <c r="AZ402" s="634"/>
      <c r="BA402" s="634"/>
      <c r="BB402" s="634"/>
      <c r="BC402" s="634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18"/>
      <c r="BX402" s="118"/>
      <c r="BY402" s="118"/>
      <c r="BZ402" s="118"/>
      <c r="CA402" s="118"/>
      <c r="CB402" s="118"/>
      <c r="CC402" s="118"/>
      <c r="CD402" s="118"/>
      <c r="CE402" s="118"/>
      <c r="CF402" s="118"/>
      <c r="CG402" s="118"/>
      <c r="CH402" s="118"/>
      <c r="CI402" s="118"/>
      <c r="CJ402" s="118"/>
      <c r="CK402" s="118"/>
      <c r="CL402" s="118"/>
      <c r="CM402" s="118"/>
      <c r="CN402" s="92"/>
      <c r="CO402" s="93"/>
      <c r="CP402" s="93"/>
      <c r="CQ402" s="93"/>
      <c r="CR402" s="93"/>
      <c r="CS402" s="93"/>
      <c r="CT402" s="93"/>
      <c r="CU402" s="93"/>
      <c r="CV402" s="93"/>
      <c r="CW402" s="93"/>
      <c r="CX402" s="93"/>
      <c r="CY402" s="93"/>
      <c r="CZ402" s="93"/>
      <c r="DA402" s="93"/>
      <c r="DB402" s="93"/>
      <c r="DC402" s="94"/>
      <c r="DD402" s="118"/>
      <c r="DE402" s="118"/>
      <c r="DF402" s="118"/>
      <c r="DG402" s="118"/>
      <c r="DH402" s="118"/>
      <c r="DI402" s="118"/>
      <c r="DJ402" s="118"/>
      <c r="DK402" s="118"/>
      <c r="DL402" s="118"/>
      <c r="DM402" s="118"/>
      <c r="DN402" s="118"/>
      <c r="DO402" s="118"/>
      <c r="DP402" s="118"/>
      <c r="DQ402" s="118"/>
      <c r="DR402" s="118"/>
      <c r="DS402" s="118"/>
      <c r="DT402" s="118"/>
      <c r="DU402" s="19"/>
      <c r="DV402" s="19"/>
      <c r="DW402" s="19"/>
      <c r="DX402" s="19"/>
      <c r="DY402" s="19"/>
      <c r="DZ402" s="19"/>
    </row>
    <row r="403" spans="1:130" ht="12.75" x14ac:dyDescent="0.2">
      <c r="A403" s="648"/>
      <c r="B403" s="648"/>
      <c r="C403" s="30"/>
      <c r="D403" s="30"/>
      <c r="E403" s="30"/>
      <c r="F403" s="30"/>
      <c r="G403" s="30"/>
      <c r="H403" s="635"/>
      <c r="I403" s="159">
        <f t="shared" si="279"/>
        <v>0</v>
      </c>
      <c r="J403" s="635"/>
      <c r="K403" s="30"/>
      <c r="L403" s="30"/>
      <c r="M403" s="635"/>
      <c r="N403" s="635"/>
      <c r="O403" s="635"/>
      <c r="P403" s="635"/>
      <c r="Q403" s="635"/>
      <c r="R403" s="635"/>
      <c r="S403" s="660"/>
      <c r="T403" s="648"/>
      <c r="U403" s="30"/>
      <c r="V403" s="30"/>
      <c r="W403" s="30"/>
      <c r="X403" s="30"/>
      <c r="Y403" s="30"/>
      <c r="Z403" s="635"/>
      <c r="AA403" s="51">
        <f t="shared" si="280"/>
        <v>0</v>
      </c>
      <c r="AB403" s="635"/>
      <c r="AC403" s="30"/>
      <c r="AD403" s="30"/>
      <c r="AE403" s="635"/>
      <c r="AF403" s="635"/>
      <c r="AG403" s="635"/>
      <c r="AH403" s="635"/>
      <c r="AI403" s="638"/>
      <c r="AJ403" s="635"/>
      <c r="AK403" s="643"/>
      <c r="AL403" s="648"/>
      <c r="AM403" s="29"/>
      <c r="AN403" s="31"/>
      <c r="AO403" s="31"/>
      <c r="AP403" s="31"/>
      <c r="AQ403" s="40"/>
      <c r="AR403" s="635"/>
      <c r="AS403" s="159"/>
      <c r="AT403" s="153">
        <f>AS403</f>
        <v>0</v>
      </c>
      <c r="AU403" s="31"/>
      <c r="AV403" s="35"/>
      <c r="AW403" s="35"/>
      <c r="AX403" s="635"/>
      <c r="AY403" s="635"/>
      <c r="AZ403" s="635"/>
      <c r="BA403" s="147">
        <f t="shared" ref="BA403:BA404" si="285">AV403*60</f>
        <v>0</v>
      </c>
      <c r="BB403" s="165"/>
      <c r="BC403" s="95">
        <f t="shared" ref="BC403:BC404" si="286">IF(BA403=0,0,AT403/BA403)</f>
        <v>0</v>
      </c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18"/>
      <c r="BX403" s="118"/>
      <c r="BY403" s="118"/>
      <c r="BZ403" s="118"/>
      <c r="CA403" s="118"/>
      <c r="CB403" s="118"/>
      <c r="CC403" s="118"/>
      <c r="CD403" s="118"/>
      <c r="CE403" s="118"/>
      <c r="CF403" s="118"/>
      <c r="CG403" s="118"/>
      <c r="CH403" s="118"/>
      <c r="CI403" s="118"/>
      <c r="CJ403" s="118"/>
      <c r="CK403" s="118"/>
      <c r="CL403" s="118"/>
      <c r="CM403" s="118"/>
      <c r="CN403" s="92"/>
      <c r="CO403" s="93"/>
      <c r="CP403" s="93"/>
      <c r="CQ403" s="93"/>
      <c r="CR403" s="93"/>
      <c r="CS403" s="93"/>
      <c r="CT403" s="93"/>
      <c r="CU403" s="93"/>
      <c r="CV403" s="93"/>
      <c r="CW403" s="93"/>
      <c r="CX403" s="93"/>
      <c r="CY403" s="93"/>
      <c r="CZ403" s="93"/>
      <c r="DA403" s="93"/>
      <c r="DB403" s="93"/>
      <c r="DC403" s="94"/>
      <c r="DD403" s="118"/>
      <c r="DE403" s="118"/>
      <c r="DF403" s="118"/>
      <c r="DG403" s="118"/>
      <c r="DH403" s="118"/>
      <c r="DI403" s="118"/>
      <c r="DJ403" s="118"/>
      <c r="DK403" s="118"/>
      <c r="DL403" s="118"/>
      <c r="DM403" s="118"/>
      <c r="DN403" s="118"/>
      <c r="DO403" s="118"/>
      <c r="DP403" s="118"/>
      <c r="DQ403" s="118"/>
      <c r="DR403" s="118"/>
      <c r="DS403" s="118"/>
      <c r="DT403" s="118"/>
      <c r="DU403" s="19"/>
      <c r="DV403" s="19"/>
      <c r="DW403" s="19"/>
      <c r="DX403" s="19"/>
      <c r="DY403" s="19"/>
      <c r="DZ403" s="19"/>
    </row>
    <row r="404" spans="1:130" ht="12.75" x14ac:dyDescent="0.2">
      <c r="A404" s="651"/>
      <c r="B404" s="646">
        <v>46156</v>
      </c>
      <c r="C404" s="31">
        <v>25</v>
      </c>
      <c r="D404" s="31">
        <v>682</v>
      </c>
      <c r="E404" s="31">
        <v>10501</v>
      </c>
      <c r="F404" s="31">
        <v>10733</v>
      </c>
      <c r="G404" s="142"/>
      <c r="H404" s="652"/>
      <c r="I404" s="159">
        <f t="shared" si="279"/>
        <v>233</v>
      </c>
      <c r="J404" s="650">
        <f>SUM(I404:I407,H404)</f>
        <v>233</v>
      </c>
      <c r="K404" s="40"/>
      <c r="L404" s="40"/>
      <c r="M404" s="653">
        <v>1.9</v>
      </c>
      <c r="N404" s="653">
        <v>1.78</v>
      </c>
      <c r="O404" s="633">
        <f>SUM(M404:N407)</f>
        <v>3.6799999999999997</v>
      </c>
      <c r="P404" s="653"/>
      <c r="Q404" s="636">
        <f>M404*60</f>
        <v>114</v>
      </c>
      <c r="R404" s="657">
        <f>IF(
   COUNTIF(K404:K407,"SI")&gt;0,
   1.8,
   IF(
      COUNTIF(L404:L407,"SI")&gt;0,
      1.6,
      2
   )
)</f>
        <v>2</v>
      </c>
      <c r="S404" s="658">
        <f>IF(Q404=0,0,J404/Q404)</f>
        <v>2.0438596491228069</v>
      </c>
      <c r="T404" s="646">
        <v>46156</v>
      </c>
      <c r="U404" s="40"/>
      <c r="V404" s="31"/>
      <c r="W404" s="31"/>
      <c r="X404" s="31"/>
      <c r="Y404" s="31"/>
      <c r="Z404" s="653"/>
      <c r="AA404" s="51">
        <f t="shared" si="280"/>
        <v>0</v>
      </c>
      <c r="AB404" s="650">
        <f>SUM(AA404:AA407,Z404)</f>
        <v>0</v>
      </c>
      <c r="AC404" s="31"/>
      <c r="AD404" s="31"/>
      <c r="AE404" s="653"/>
      <c r="AF404" s="636"/>
      <c r="AG404" s="633">
        <f>SUM(AE404:AF407)</f>
        <v>0</v>
      </c>
      <c r="AH404" s="636">
        <v>0</v>
      </c>
      <c r="AI404" s="637">
        <f>AE404*60</f>
        <v>0</v>
      </c>
      <c r="AJ404" s="640">
        <f>IF(
   COUNTIF(AC404:AC407,"SI")&gt;0,
   1.8,
   IF(
      COUNTIF(AD404:AD407,"SI")&gt;0,
      1.6,
      2
   )
)</f>
        <v>2</v>
      </c>
      <c r="AK404" s="641">
        <f>IF(AI404=0,0,AB404/AI404)</f>
        <v>0</v>
      </c>
      <c r="AL404" s="646">
        <v>46156</v>
      </c>
      <c r="AM404" s="28">
        <v>122</v>
      </c>
      <c r="AN404" s="31">
        <v>677</v>
      </c>
      <c r="AO404" s="31">
        <v>8001</v>
      </c>
      <c r="AP404" s="31">
        <v>8501</v>
      </c>
      <c r="AQ404" s="28">
        <v>2</v>
      </c>
      <c r="AR404" s="649">
        <v>20</v>
      </c>
      <c r="AS404" s="159">
        <f t="shared" ref="AS404:AS406" si="287">IF(AO404=0,0,AP404-AO404+1-AQ404)</f>
        <v>499</v>
      </c>
      <c r="AT404" s="650">
        <f>SUM(AS404:AS406)+AR404</f>
        <v>1066</v>
      </c>
      <c r="AU404" s="38" t="s">
        <v>51</v>
      </c>
      <c r="AV404" s="640">
        <v>7</v>
      </c>
      <c r="AW404" s="28" t="s">
        <v>51</v>
      </c>
      <c r="AX404" s="640">
        <v>1.5</v>
      </c>
      <c r="AY404" s="633">
        <f>SUM(AV404:AV406,AX404)</f>
        <v>8.5</v>
      </c>
      <c r="AZ404" s="636">
        <v>0.15</v>
      </c>
      <c r="BA404" s="636">
        <f t="shared" si="285"/>
        <v>420</v>
      </c>
      <c r="BB404" s="644">
        <f>IF(
   COUNTIF(AU404:AU405,"SI")&gt;0,
   1.8,
   IF(
      COUNTIF(AW404:AW405,"SI")&gt;0,
      1.6,
      2
   )
)</f>
        <v>1.8</v>
      </c>
      <c r="BC404" s="645">
        <f t="shared" si="286"/>
        <v>2.538095238095238</v>
      </c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18"/>
      <c r="BX404" s="118"/>
      <c r="BY404" s="118"/>
      <c r="BZ404" s="118"/>
      <c r="CA404" s="118"/>
      <c r="CB404" s="118"/>
      <c r="CC404" s="118"/>
      <c r="CD404" s="118"/>
      <c r="CE404" s="118"/>
      <c r="CF404" s="118"/>
      <c r="CG404" s="118"/>
      <c r="CH404" s="118"/>
      <c r="CI404" s="118"/>
      <c r="CJ404" s="118"/>
      <c r="CK404" s="118"/>
      <c r="CL404" s="118"/>
      <c r="CM404" s="118"/>
      <c r="CN404" s="92"/>
      <c r="CO404" s="93"/>
      <c r="CP404" s="93"/>
      <c r="CQ404" s="93"/>
      <c r="CR404" s="93"/>
      <c r="CS404" s="93"/>
      <c r="CT404" s="93"/>
      <c r="CU404" s="93"/>
      <c r="CV404" s="93"/>
      <c r="CW404" s="93"/>
      <c r="CX404" s="93"/>
      <c r="CY404" s="93"/>
      <c r="CZ404" s="93"/>
      <c r="DA404" s="93"/>
      <c r="DB404" s="93"/>
      <c r="DC404" s="94"/>
      <c r="DD404" s="118"/>
      <c r="DE404" s="118"/>
      <c r="DF404" s="118"/>
      <c r="DG404" s="118"/>
      <c r="DH404" s="118"/>
      <c r="DI404" s="118"/>
      <c r="DJ404" s="118"/>
      <c r="DK404" s="118"/>
      <c r="DL404" s="118"/>
      <c r="DM404" s="118"/>
      <c r="DN404" s="118"/>
      <c r="DO404" s="118"/>
      <c r="DP404" s="118"/>
      <c r="DQ404" s="118"/>
      <c r="DR404" s="118"/>
      <c r="DS404" s="118"/>
      <c r="DT404" s="118"/>
      <c r="DU404" s="19"/>
      <c r="DV404" s="19"/>
      <c r="DW404" s="19"/>
      <c r="DX404" s="19"/>
      <c r="DY404" s="19"/>
      <c r="DZ404" s="19"/>
    </row>
    <row r="405" spans="1:130" ht="12.75" x14ac:dyDescent="0.2">
      <c r="A405" s="647"/>
      <c r="B405" s="647"/>
      <c r="C405" s="40"/>
      <c r="D405" s="40"/>
      <c r="E405" s="40"/>
      <c r="F405" s="40"/>
      <c r="G405" s="40"/>
      <c r="H405" s="634"/>
      <c r="I405" s="159">
        <f t="shared" si="279"/>
        <v>0</v>
      </c>
      <c r="J405" s="634"/>
      <c r="K405" s="40"/>
      <c r="L405" s="40"/>
      <c r="M405" s="634"/>
      <c r="N405" s="634"/>
      <c r="O405" s="634"/>
      <c r="P405" s="634"/>
      <c r="Q405" s="634"/>
      <c r="R405" s="634"/>
      <c r="S405" s="659"/>
      <c r="T405" s="647"/>
      <c r="U405" s="40"/>
      <c r="V405" s="31"/>
      <c r="W405" s="31"/>
      <c r="X405" s="31"/>
      <c r="Y405" s="31"/>
      <c r="Z405" s="634"/>
      <c r="AA405" s="51">
        <f t="shared" si="280"/>
        <v>0</v>
      </c>
      <c r="AB405" s="634"/>
      <c r="AC405" s="31"/>
      <c r="AD405" s="31"/>
      <c r="AE405" s="634"/>
      <c r="AF405" s="634"/>
      <c r="AG405" s="634"/>
      <c r="AH405" s="634"/>
      <c r="AI405" s="638"/>
      <c r="AJ405" s="634"/>
      <c r="AK405" s="642"/>
      <c r="AL405" s="647"/>
      <c r="AM405" s="28">
        <v>120</v>
      </c>
      <c r="AN405" s="28">
        <v>680</v>
      </c>
      <c r="AO405" s="28">
        <v>9504</v>
      </c>
      <c r="AP405" s="28">
        <v>10002</v>
      </c>
      <c r="AQ405" s="29">
        <v>3</v>
      </c>
      <c r="AR405" s="634"/>
      <c r="AS405" s="159">
        <f t="shared" si="287"/>
        <v>496</v>
      </c>
      <c r="AT405" s="634"/>
      <c r="AU405" s="38" t="s">
        <v>51</v>
      </c>
      <c r="AV405" s="634"/>
      <c r="AW405" s="28" t="s">
        <v>51</v>
      </c>
      <c r="AX405" s="634"/>
      <c r="AY405" s="634"/>
      <c r="AZ405" s="634"/>
      <c r="BA405" s="635"/>
      <c r="BB405" s="634"/>
      <c r="BC405" s="634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18"/>
      <c r="BX405" s="118"/>
      <c r="BY405" s="118"/>
      <c r="BZ405" s="118"/>
      <c r="CA405" s="118"/>
      <c r="CB405" s="118"/>
      <c r="CC405" s="118"/>
      <c r="CD405" s="118"/>
      <c r="CE405" s="118"/>
      <c r="CF405" s="118"/>
      <c r="CG405" s="118"/>
      <c r="CH405" s="118"/>
      <c r="CI405" s="118"/>
      <c r="CJ405" s="118"/>
      <c r="CK405" s="118"/>
      <c r="CL405" s="118"/>
      <c r="CM405" s="118"/>
      <c r="CN405" s="92"/>
      <c r="CO405" s="93"/>
      <c r="CP405" s="93"/>
      <c r="CQ405" s="93"/>
      <c r="CR405" s="93"/>
      <c r="CS405" s="93"/>
      <c r="CT405" s="93"/>
      <c r="CU405" s="93"/>
      <c r="CV405" s="93"/>
      <c r="CW405" s="93"/>
      <c r="CX405" s="93"/>
      <c r="CY405" s="93"/>
      <c r="CZ405" s="93"/>
      <c r="DA405" s="93"/>
      <c r="DB405" s="93"/>
      <c r="DC405" s="94"/>
      <c r="DD405" s="118"/>
      <c r="DE405" s="118"/>
      <c r="DF405" s="118"/>
      <c r="DG405" s="118"/>
      <c r="DH405" s="118"/>
      <c r="DI405" s="118"/>
      <c r="DJ405" s="118"/>
      <c r="DK405" s="118"/>
      <c r="DL405" s="118"/>
      <c r="DM405" s="118"/>
      <c r="DN405" s="118"/>
      <c r="DO405" s="118"/>
      <c r="DP405" s="118"/>
      <c r="DQ405" s="118"/>
      <c r="DR405" s="118"/>
      <c r="DS405" s="118"/>
      <c r="DT405" s="118"/>
      <c r="DU405" s="19"/>
      <c r="DV405" s="19"/>
      <c r="DW405" s="19"/>
      <c r="DX405" s="19"/>
      <c r="DY405" s="19"/>
      <c r="DZ405" s="19"/>
    </row>
    <row r="406" spans="1:130" ht="12.75" x14ac:dyDescent="0.2">
      <c r="A406" s="647"/>
      <c r="B406" s="647"/>
      <c r="C406" s="40"/>
      <c r="D406" s="160"/>
      <c r="E406" s="160"/>
      <c r="F406" s="160"/>
      <c r="G406" s="160"/>
      <c r="H406" s="634"/>
      <c r="I406" s="159">
        <f t="shared" si="279"/>
        <v>0</v>
      </c>
      <c r="J406" s="634"/>
      <c r="K406" s="40"/>
      <c r="L406" s="40"/>
      <c r="M406" s="634"/>
      <c r="N406" s="634"/>
      <c r="O406" s="634"/>
      <c r="P406" s="634"/>
      <c r="Q406" s="634"/>
      <c r="R406" s="634"/>
      <c r="S406" s="659"/>
      <c r="T406" s="647"/>
      <c r="U406" s="40"/>
      <c r="V406" s="31"/>
      <c r="W406" s="40"/>
      <c r="X406" s="40"/>
      <c r="Y406" s="40"/>
      <c r="Z406" s="634"/>
      <c r="AA406" s="51">
        <f t="shared" si="280"/>
        <v>0</v>
      </c>
      <c r="AB406" s="634"/>
      <c r="AC406" s="40"/>
      <c r="AD406" s="40"/>
      <c r="AE406" s="634"/>
      <c r="AF406" s="634"/>
      <c r="AG406" s="634"/>
      <c r="AH406" s="634"/>
      <c r="AI406" s="638"/>
      <c r="AJ406" s="634"/>
      <c r="AK406" s="642"/>
      <c r="AL406" s="647"/>
      <c r="AM406" s="41">
        <v>13</v>
      </c>
      <c r="AN406" s="41">
        <v>681</v>
      </c>
      <c r="AO406" s="41">
        <v>10003</v>
      </c>
      <c r="AP406" s="41">
        <v>10053</v>
      </c>
      <c r="AQ406" s="41"/>
      <c r="AR406" s="634"/>
      <c r="AS406" s="159">
        <f t="shared" si="287"/>
        <v>51</v>
      </c>
      <c r="AT406" s="635"/>
      <c r="AU406" s="152" t="s">
        <v>51</v>
      </c>
      <c r="AV406" s="28"/>
      <c r="AW406" s="152" t="s">
        <v>51</v>
      </c>
      <c r="AX406" s="634"/>
      <c r="AY406" s="634"/>
      <c r="AZ406" s="634"/>
      <c r="BA406" s="150">
        <f>AV406*60</f>
        <v>0</v>
      </c>
      <c r="BB406" s="156"/>
      <c r="BC406" s="95">
        <f>IF(BA406=0,0,AT406/BA406)</f>
        <v>0</v>
      </c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18"/>
      <c r="BX406" s="118"/>
      <c r="BY406" s="118"/>
      <c r="BZ406" s="118"/>
      <c r="CA406" s="118"/>
      <c r="CB406" s="118"/>
      <c r="CC406" s="118"/>
      <c r="CD406" s="118"/>
      <c r="CE406" s="118"/>
      <c r="CF406" s="118"/>
      <c r="CG406" s="118"/>
      <c r="CH406" s="118"/>
      <c r="CI406" s="118"/>
      <c r="CJ406" s="118"/>
      <c r="CK406" s="118"/>
      <c r="CL406" s="118"/>
      <c r="CM406" s="118"/>
      <c r="CN406" s="92"/>
      <c r="CO406" s="93"/>
      <c r="CP406" s="93"/>
      <c r="CQ406" s="93"/>
      <c r="CR406" s="93"/>
      <c r="CS406" s="93"/>
      <c r="CT406" s="93"/>
      <c r="CU406" s="93"/>
      <c r="CV406" s="93"/>
      <c r="CW406" s="93"/>
      <c r="CX406" s="93"/>
      <c r="CY406" s="93"/>
      <c r="CZ406" s="93"/>
      <c r="DA406" s="93"/>
      <c r="DB406" s="93"/>
      <c r="DC406" s="94"/>
      <c r="DD406" s="118"/>
      <c r="DE406" s="118"/>
      <c r="DF406" s="118"/>
      <c r="DG406" s="118"/>
      <c r="DH406" s="118"/>
      <c r="DI406" s="118"/>
      <c r="DJ406" s="118"/>
      <c r="DK406" s="118"/>
      <c r="DL406" s="118"/>
      <c r="DM406" s="118"/>
      <c r="DN406" s="118"/>
      <c r="DO406" s="118"/>
      <c r="DP406" s="118"/>
      <c r="DQ406" s="118"/>
      <c r="DR406" s="118"/>
      <c r="DS406" s="118"/>
      <c r="DT406" s="118"/>
      <c r="DU406" s="19"/>
      <c r="DV406" s="19"/>
      <c r="DW406" s="19"/>
      <c r="DX406" s="19"/>
      <c r="DY406" s="19"/>
      <c r="DZ406" s="19"/>
    </row>
    <row r="407" spans="1:130" ht="12.75" x14ac:dyDescent="0.2">
      <c r="A407" s="648"/>
      <c r="B407" s="648"/>
      <c r="C407" s="40"/>
      <c r="D407" s="160"/>
      <c r="E407" s="160"/>
      <c r="F407" s="160"/>
      <c r="G407" s="160"/>
      <c r="H407" s="635"/>
      <c r="I407" s="159">
        <f t="shared" si="279"/>
        <v>0</v>
      </c>
      <c r="J407" s="635"/>
      <c r="K407" s="40"/>
      <c r="L407" s="40"/>
      <c r="M407" s="635"/>
      <c r="N407" s="635"/>
      <c r="O407" s="635"/>
      <c r="P407" s="635"/>
      <c r="Q407" s="635"/>
      <c r="R407" s="635"/>
      <c r="S407" s="660"/>
      <c r="T407" s="648"/>
      <c r="U407" s="40"/>
      <c r="V407" s="40"/>
      <c r="W407" s="40"/>
      <c r="X407" s="40"/>
      <c r="Y407" s="40"/>
      <c r="Z407" s="635"/>
      <c r="AA407" s="51">
        <f t="shared" si="280"/>
        <v>0</v>
      </c>
      <c r="AB407" s="635"/>
      <c r="AC407" s="40"/>
      <c r="AD407" s="40"/>
      <c r="AE407" s="635"/>
      <c r="AF407" s="635"/>
      <c r="AG407" s="635"/>
      <c r="AH407" s="635"/>
      <c r="AI407" s="639"/>
      <c r="AJ407" s="635"/>
      <c r="AK407" s="643"/>
      <c r="AL407" s="648"/>
      <c r="AM407" s="51"/>
      <c r="AN407" s="28"/>
      <c r="AO407" s="28"/>
      <c r="AP407" s="28"/>
      <c r="AQ407" s="51"/>
      <c r="AR407" s="635"/>
      <c r="AS407" s="159"/>
      <c r="AT407" s="464"/>
      <c r="AU407" s="150"/>
      <c r="AV407" s="50"/>
      <c r="AW407" s="51"/>
      <c r="AX407" s="635"/>
      <c r="AY407" s="635"/>
      <c r="AZ407" s="635"/>
      <c r="BA407" s="465"/>
      <c r="BB407" s="165"/>
      <c r="BC407" s="466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18"/>
      <c r="BX407" s="118"/>
      <c r="BY407" s="118"/>
      <c r="BZ407" s="118"/>
      <c r="CA407" s="118"/>
      <c r="CB407" s="118"/>
      <c r="CC407" s="118"/>
      <c r="CD407" s="118"/>
      <c r="CE407" s="118"/>
      <c r="CF407" s="118"/>
      <c r="CG407" s="118"/>
      <c r="CH407" s="118"/>
      <c r="CI407" s="118"/>
      <c r="CJ407" s="118"/>
      <c r="CK407" s="118"/>
      <c r="CL407" s="118"/>
      <c r="CM407" s="118"/>
      <c r="CN407" s="92"/>
      <c r="CO407" s="93"/>
      <c r="CP407" s="93"/>
      <c r="CQ407" s="93"/>
      <c r="CR407" s="93"/>
      <c r="CS407" s="93"/>
      <c r="CT407" s="93"/>
      <c r="CU407" s="93"/>
      <c r="CV407" s="93"/>
      <c r="CW407" s="93"/>
      <c r="CX407" s="93"/>
      <c r="CY407" s="93"/>
      <c r="CZ407" s="93"/>
      <c r="DA407" s="93"/>
      <c r="DB407" s="93"/>
      <c r="DC407" s="94"/>
      <c r="DD407" s="118"/>
      <c r="DE407" s="118"/>
      <c r="DF407" s="118"/>
      <c r="DG407" s="118"/>
      <c r="DH407" s="118"/>
      <c r="DI407" s="118"/>
      <c r="DJ407" s="118"/>
      <c r="DK407" s="118"/>
      <c r="DL407" s="118"/>
      <c r="DM407" s="118"/>
      <c r="DN407" s="118"/>
      <c r="DO407" s="118"/>
      <c r="DP407" s="118"/>
      <c r="DQ407" s="118"/>
      <c r="DR407" s="118"/>
      <c r="DS407" s="118"/>
      <c r="DT407" s="118"/>
      <c r="DU407" s="19"/>
      <c r="DV407" s="19"/>
      <c r="DW407" s="19"/>
      <c r="DX407" s="19"/>
      <c r="DY407" s="19"/>
      <c r="DZ407" s="19"/>
    </row>
    <row r="408" spans="1:130" ht="12.75" x14ac:dyDescent="0.2">
      <c r="A408" s="654"/>
      <c r="B408" s="655">
        <v>46157</v>
      </c>
      <c r="C408" s="29"/>
      <c r="D408" s="29"/>
      <c r="E408" s="29"/>
      <c r="F408" s="29"/>
      <c r="G408" s="158"/>
      <c r="H408" s="649"/>
      <c r="I408" s="159">
        <f t="shared" si="279"/>
        <v>0</v>
      </c>
      <c r="J408" s="650">
        <f>SUM(I408:I411,H408)</f>
        <v>0</v>
      </c>
      <c r="K408" s="158"/>
      <c r="L408" s="158"/>
      <c r="M408" s="653"/>
      <c r="N408" s="653"/>
      <c r="O408" s="633">
        <f>SUM(M408:N411)</f>
        <v>0</v>
      </c>
      <c r="P408" s="649"/>
      <c r="Q408" s="640">
        <f>M408*60</f>
        <v>0</v>
      </c>
      <c r="R408" s="657">
        <f>IF(
   COUNTIF(K408:K411,"SI")&gt;0,
   1.8,
   IF(
      COUNTIF(L408:L411,"SI")&gt;0,
      1.6,
      2
   )
)</f>
        <v>2</v>
      </c>
      <c r="S408" s="658">
        <f>IF(Q408=0,0,J408/Q408)</f>
        <v>0</v>
      </c>
      <c r="T408" s="655">
        <v>46157</v>
      </c>
      <c r="U408" s="30"/>
      <c r="V408" s="28">
        <v>683</v>
      </c>
      <c r="W408" s="28">
        <v>11000</v>
      </c>
      <c r="X408" s="28">
        <v>11501</v>
      </c>
      <c r="Y408" s="28">
        <v>4</v>
      </c>
      <c r="Z408" s="640"/>
      <c r="AA408" s="51">
        <f t="shared" si="280"/>
        <v>498</v>
      </c>
      <c r="AB408" s="650">
        <f>SUM(AA408:AA411,Z408)</f>
        <v>994</v>
      </c>
      <c r="AC408" s="28" t="s">
        <v>51</v>
      </c>
      <c r="AD408" s="28" t="s">
        <v>51</v>
      </c>
      <c r="AE408" s="640">
        <v>7.75</v>
      </c>
      <c r="AF408" s="640">
        <v>0.5</v>
      </c>
      <c r="AG408" s="633">
        <f>SUM(AE408:AF411)</f>
        <v>8.25</v>
      </c>
      <c r="AH408" s="640">
        <v>0</v>
      </c>
      <c r="AI408" s="664">
        <f>AE408*60</f>
        <v>465</v>
      </c>
      <c r="AJ408" s="640">
        <f>IF(
   COUNTIF(AC408:AC411,"SI")&gt;0,
   1.8,
   IF(
      COUNTIF(AD408:AD411,"SI")&gt;0,
      1.6,
      2
   )
)</f>
        <v>1.8</v>
      </c>
      <c r="AK408" s="665">
        <f>IF(AI408=0,0,AB408/AI408)</f>
        <v>2.1376344086021506</v>
      </c>
      <c r="AL408" s="655">
        <v>46157</v>
      </c>
      <c r="AM408" s="28">
        <v>47</v>
      </c>
      <c r="AN408" s="28">
        <v>483</v>
      </c>
      <c r="AO408" s="28">
        <v>17502</v>
      </c>
      <c r="AP408" s="41">
        <v>17941</v>
      </c>
      <c r="AQ408" s="28"/>
      <c r="AR408" s="649">
        <v>10</v>
      </c>
      <c r="AS408" s="159">
        <f>IF(AO408=0,0,AP408-AO408+1-AQ408)</f>
        <v>440</v>
      </c>
      <c r="AT408" s="650">
        <f>SUM(AS408:AS411)+AR408</f>
        <v>450</v>
      </c>
      <c r="AU408" s="38" t="s">
        <v>52</v>
      </c>
      <c r="AV408" s="640">
        <v>2.5</v>
      </c>
      <c r="AW408" s="28" t="s">
        <v>52</v>
      </c>
      <c r="AX408" s="640">
        <v>2</v>
      </c>
      <c r="AY408" s="633">
        <f>SUM(AV408+AV411+AX408)</f>
        <v>4.5</v>
      </c>
      <c r="AZ408" s="649">
        <v>0.15</v>
      </c>
      <c r="BA408" s="640">
        <f>AV408*60</f>
        <v>150</v>
      </c>
      <c r="BB408" s="644">
        <f>IF(
   COUNTIF(AU408:AU411,"SI")&gt;0,
   1.8,
   IF(
      COUNTIF(AV408:AV411,"SI")&gt;0,
      1.6,
      2
   )
)</f>
        <v>2</v>
      </c>
      <c r="BC408" s="645">
        <f>IF(BA408=0,0,AT408/BA408)</f>
        <v>3</v>
      </c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18"/>
      <c r="BX408" s="118"/>
      <c r="BY408" s="118"/>
      <c r="BZ408" s="118"/>
      <c r="CA408" s="118"/>
      <c r="CB408" s="118"/>
      <c r="CC408" s="118"/>
      <c r="CD408" s="118"/>
      <c r="CE408" s="118"/>
      <c r="CF408" s="118"/>
      <c r="CG408" s="118"/>
      <c r="CH408" s="118"/>
      <c r="CI408" s="118"/>
      <c r="CJ408" s="118"/>
      <c r="CK408" s="118"/>
      <c r="CL408" s="118"/>
      <c r="CM408" s="118"/>
      <c r="CN408" s="92"/>
      <c r="CO408" s="93"/>
      <c r="CP408" s="93"/>
      <c r="CQ408" s="93"/>
      <c r="CR408" s="93"/>
      <c r="CS408" s="93"/>
      <c r="CT408" s="93"/>
      <c r="CU408" s="93"/>
      <c r="CV408" s="93"/>
      <c r="CW408" s="93"/>
      <c r="CX408" s="93"/>
      <c r="CY408" s="93"/>
      <c r="CZ408" s="93"/>
      <c r="DA408" s="93"/>
      <c r="DB408" s="93"/>
      <c r="DC408" s="94"/>
      <c r="DD408" s="118"/>
      <c r="DE408" s="118"/>
      <c r="DF408" s="118"/>
      <c r="DG408" s="118"/>
      <c r="DH408" s="118"/>
      <c r="DI408" s="118"/>
      <c r="DJ408" s="118"/>
      <c r="DK408" s="118"/>
      <c r="DL408" s="118"/>
      <c r="DM408" s="118"/>
      <c r="DN408" s="118"/>
      <c r="DO408" s="118"/>
      <c r="DP408" s="118"/>
      <c r="DQ408" s="118"/>
      <c r="DR408" s="118"/>
      <c r="DS408" s="118"/>
      <c r="DT408" s="118"/>
      <c r="DU408" s="19"/>
      <c r="DV408" s="19"/>
      <c r="DW408" s="19"/>
      <c r="DX408" s="19"/>
      <c r="DY408" s="19"/>
      <c r="DZ408" s="19"/>
    </row>
    <row r="409" spans="1:130" ht="12.75" x14ac:dyDescent="0.2">
      <c r="A409" s="647"/>
      <c r="B409" s="647"/>
      <c r="C409" s="29"/>
      <c r="D409" s="30"/>
      <c r="E409" s="29"/>
      <c r="F409" s="29"/>
      <c r="G409" s="30"/>
      <c r="H409" s="634"/>
      <c r="I409" s="159">
        <f t="shared" si="279"/>
        <v>0</v>
      </c>
      <c r="J409" s="634"/>
      <c r="K409" s="30"/>
      <c r="L409" s="30"/>
      <c r="M409" s="634"/>
      <c r="N409" s="634"/>
      <c r="O409" s="634"/>
      <c r="P409" s="634"/>
      <c r="Q409" s="634"/>
      <c r="R409" s="634"/>
      <c r="S409" s="659"/>
      <c r="T409" s="647"/>
      <c r="U409" s="30"/>
      <c r="V409" s="28">
        <v>684</v>
      </c>
      <c r="W409" s="28">
        <v>11502</v>
      </c>
      <c r="X409" s="28">
        <v>12000</v>
      </c>
      <c r="Y409" s="29">
        <v>3</v>
      </c>
      <c r="Z409" s="634"/>
      <c r="AA409" s="51">
        <f t="shared" si="280"/>
        <v>496</v>
      </c>
      <c r="AB409" s="634"/>
      <c r="AC409" s="28" t="s">
        <v>51</v>
      </c>
      <c r="AD409" s="28" t="s">
        <v>51</v>
      </c>
      <c r="AE409" s="634"/>
      <c r="AF409" s="634"/>
      <c r="AG409" s="634"/>
      <c r="AH409" s="634"/>
      <c r="AI409" s="638"/>
      <c r="AJ409" s="634"/>
      <c r="AK409" s="642"/>
      <c r="AL409" s="647"/>
      <c r="AM409" s="28"/>
      <c r="AN409" s="28"/>
      <c r="AO409" s="28"/>
      <c r="AP409" s="28"/>
      <c r="AQ409" s="30"/>
      <c r="AR409" s="634"/>
      <c r="AS409" s="159"/>
      <c r="AT409" s="634"/>
      <c r="AU409" s="150"/>
      <c r="AV409" s="634"/>
      <c r="AW409" s="51"/>
      <c r="AX409" s="634"/>
      <c r="AY409" s="634"/>
      <c r="AZ409" s="634"/>
      <c r="BA409" s="634"/>
      <c r="BB409" s="634"/>
      <c r="BC409" s="634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18"/>
      <c r="BX409" s="118"/>
      <c r="BY409" s="118"/>
      <c r="BZ409" s="118"/>
      <c r="CA409" s="118"/>
      <c r="CB409" s="118"/>
      <c r="CC409" s="118"/>
      <c r="CD409" s="118"/>
      <c r="CE409" s="118"/>
      <c r="CF409" s="118"/>
      <c r="CG409" s="118"/>
      <c r="CH409" s="118"/>
      <c r="CI409" s="118"/>
      <c r="CJ409" s="118"/>
      <c r="CK409" s="118"/>
      <c r="CL409" s="118"/>
      <c r="CM409" s="118"/>
      <c r="CN409" s="92"/>
      <c r="CO409" s="93"/>
      <c r="CP409" s="93"/>
      <c r="CQ409" s="93"/>
      <c r="CR409" s="93"/>
      <c r="CS409" s="93"/>
      <c r="CT409" s="93"/>
      <c r="CU409" s="93"/>
      <c r="CV409" s="93"/>
      <c r="CW409" s="93"/>
      <c r="CX409" s="93"/>
      <c r="CY409" s="93"/>
      <c r="CZ409" s="93"/>
      <c r="DA409" s="93"/>
      <c r="DB409" s="93"/>
      <c r="DC409" s="94"/>
      <c r="DD409" s="118"/>
      <c r="DE409" s="118"/>
      <c r="DF409" s="118"/>
      <c r="DG409" s="118"/>
      <c r="DH409" s="118"/>
      <c r="DI409" s="118"/>
      <c r="DJ409" s="118"/>
      <c r="DK409" s="118"/>
      <c r="DL409" s="118"/>
      <c r="DM409" s="118"/>
      <c r="DN409" s="118"/>
      <c r="DO409" s="118"/>
      <c r="DP409" s="118"/>
      <c r="DQ409" s="118"/>
      <c r="DR409" s="118"/>
      <c r="DS409" s="118"/>
      <c r="DT409" s="118"/>
      <c r="DU409" s="19"/>
      <c r="DV409" s="19"/>
      <c r="DW409" s="19"/>
      <c r="DX409" s="19"/>
      <c r="DY409" s="19"/>
      <c r="DZ409" s="19"/>
    </row>
    <row r="410" spans="1:130" ht="12.75" x14ac:dyDescent="0.2">
      <c r="A410" s="647"/>
      <c r="B410" s="647"/>
      <c r="C410" s="30"/>
      <c r="D410" s="30"/>
      <c r="E410" s="30"/>
      <c r="F410" s="30"/>
      <c r="G410" s="30"/>
      <c r="H410" s="634"/>
      <c r="I410" s="159">
        <f t="shared" si="279"/>
        <v>0</v>
      </c>
      <c r="J410" s="634"/>
      <c r="K410" s="30"/>
      <c r="L410" s="30"/>
      <c r="M410" s="634"/>
      <c r="N410" s="634"/>
      <c r="O410" s="634"/>
      <c r="P410" s="634"/>
      <c r="Q410" s="634"/>
      <c r="R410" s="634"/>
      <c r="S410" s="659"/>
      <c r="T410" s="647"/>
      <c r="U410" s="30"/>
      <c r="V410" s="29"/>
      <c r="W410" s="29"/>
      <c r="X410" s="29"/>
      <c r="Y410" s="29"/>
      <c r="Z410" s="634"/>
      <c r="AA410" s="51">
        <f t="shared" si="280"/>
        <v>0</v>
      </c>
      <c r="AB410" s="634"/>
      <c r="AC410" s="28"/>
      <c r="AD410" s="28"/>
      <c r="AE410" s="634"/>
      <c r="AF410" s="634"/>
      <c r="AG410" s="634"/>
      <c r="AH410" s="634"/>
      <c r="AI410" s="638"/>
      <c r="AJ410" s="634"/>
      <c r="AK410" s="642"/>
      <c r="AL410" s="647"/>
      <c r="AM410" s="41"/>
      <c r="AN410" s="41"/>
      <c r="AO410" s="41"/>
      <c r="AP410" s="41"/>
      <c r="AQ410" s="48"/>
      <c r="AR410" s="634"/>
      <c r="AS410" s="159"/>
      <c r="AT410" s="634"/>
      <c r="AU410" s="145"/>
      <c r="AV410" s="634"/>
      <c r="AW410" s="145"/>
      <c r="AX410" s="634"/>
      <c r="AY410" s="634"/>
      <c r="AZ410" s="634"/>
      <c r="BA410" s="634"/>
      <c r="BB410" s="634"/>
      <c r="BC410" s="634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18"/>
      <c r="BX410" s="118"/>
      <c r="BY410" s="118"/>
      <c r="BZ410" s="118"/>
      <c r="CA410" s="118"/>
      <c r="CB410" s="118"/>
      <c r="CC410" s="118"/>
      <c r="CD410" s="118"/>
      <c r="CE410" s="118"/>
      <c r="CF410" s="118"/>
      <c r="CG410" s="118"/>
      <c r="CH410" s="118"/>
      <c r="CI410" s="118"/>
      <c r="CJ410" s="118"/>
      <c r="CK410" s="118"/>
      <c r="CL410" s="118"/>
      <c r="CM410" s="118"/>
      <c r="CN410" s="92"/>
      <c r="CO410" s="93"/>
      <c r="CP410" s="93"/>
      <c r="CQ410" s="93"/>
      <c r="CR410" s="93"/>
      <c r="CS410" s="93"/>
      <c r="CT410" s="93"/>
      <c r="CU410" s="93"/>
      <c r="CV410" s="93"/>
      <c r="CW410" s="93"/>
      <c r="CX410" s="93"/>
      <c r="CY410" s="93"/>
      <c r="CZ410" s="93"/>
      <c r="DA410" s="93"/>
      <c r="DB410" s="93"/>
      <c r="DC410" s="94"/>
      <c r="DD410" s="118"/>
      <c r="DE410" s="118"/>
      <c r="DF410" s="118"/>
      <c r="DG410" s="118"/>
      <c r="DH410" s="118"/>
      <c r="DI410" s="118"/>
      <c r="DJ410" s="118"/>
      <c r="DK410" s="118"/>
      <c r="DL410" s="118"/>
      <c r="DM410" s="118"/>
      <c r="DN410" s="118"/>
      <c r="DO410" s="118"/>
      <c r="DP410" s="118"/>
      <c r="DQ410" s="118"/>
      <c r="DR410" s="118"/>
      <c r="DS410" s="118"/>
      <c r="DT410" s="118"/>
      <c r="DU410" s="19"/>
      <c r="DV410" s="19"/>
      <c r="DW410" s="19"/>
      <c r="DX410" s="19"/>
      <c r="DY410" s="19"/>
      <c r="DZ410" s="19"/>
    </row>
    <row r="411" spans="1:130" ht="12.75" x14ac:dyDescent="0.2">
      <c r="A411" s="648"/>
      <c r="B411" s="648"/>
      <c r="C411" s="30"/>
      <c r="D411" s="30"/>
      <c r="E411" s="30"/>
      <c r="F411" s="30"/>
      <c r="G411" s="30"/>
      <c r="H411" s="635"/>
      <c r="I411" s="159">
        <f t="shared" si="279"/>
        <v>0</v>
      </c>
      <c r="J411" s="635"/>
      <c r="K411" s="30"/>
      <c r="L411" s="30"/>
      <c r="M411" s="635"/>
      <c r="N411" s="635"/>
      <c r="O411" s="635"/>
      <c r="P411" s="635"/>
      <c r="Q411" s="635"/>
      <c r="R411" s="635"/>
      <c r="S411" s="660"/>
      <c r="T411" s="648"/>
      <c r="U411" s="30"/>
      <c r="V411" s="30"/>
      <c r="W411" s="30"/>
      <c r="X411" s="30"/>
      <c r="Y411" s="30"/>
      <c r="Z411" s="635"/>
      <c r="AA411" s="51">
        <f t="shared" si="280"/>
        <v>0</v>
      </c>
      <c r="AB411" s="635"/>
      <c r="AC411" s="30"/>
      <c r="AD411" s="30"/>
      <c r="AE411" s="635"/>
      <c r="AF411" s="635"/>
      <c r="AG411" s="635"/>
      <c r="AH411" s="635"/>
      <c r="AI411" s="639"/>
      <c r="AJ411" s="635"/>
      <c r="AK411" s="643"/>
      <c r="AL411" s="648"/>
      <c r="AM411" s="51"/>
      <c r="AN411" s="28"/>
      <c r="AO411" s="28"/>
      <c r="AP411" s="28"/>
      <c r="AQ411" s="51"/>
      <c r="AR411" s="635"/>
      <c r="AS411" s="159"/>
      <c r="AT411" s="635"/>
      <c r="AU411" s="150"/>
      <c r="AV411" s="635"/>
      <c r="AW411" s="51"/>
      <c r="AX411" s="635"/>
      <c r="AY411" s="635"/>
      <c r="AZ411" s="635"/>
      <c r="BA411" s="635"/>
      <c r="BB411" s="635"/>
      <c r="BC411" s="635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18"/>
      <c r="BX411" s="118"/>
      <c r="BY411" s="118"/>
      <c r="BZ411" s="118"/>
      <c r="CA411" s="118"/>
      <c r="CB411" s="118"/>
      <c r="CC411" s="118"/>
      <c r="CD411" s="118"/>
      <c r="CE411" s="118"/>
      <c r="CF411" s="118"/>
      <c r="CG411" s="118"/>
      <c r="CH411" s="118"/>
      <c r="CI411" s="118"/>
      <c r="CJ411" s="118"/>
      <c r="CK411" s="118"/>
      <c r="CL411" s="118"/>
      <c r="CM411" s="118"/>
      <c r="CN411" s="92"/>
      <c r="CO411" s="93"/>
      <c r="CP411" s="93"/>
      <c r="CQ411" s="93"/>
      <c r="CR411" s="93"/>
      <c r="CS411" s="93"/>
      <c r="CT411" s="93"/>
      <c r="CU411" s="93"/>
      <c r="CV411" s="93"/>
      <c r="CW411" s="93"/>
      <c r="CX411" s="93"/>
      <c r="CY411" s="93"/>
      <c r="CZ411" s="93"/>
      <c r="DA411" s="93"/>
      <c r="DB411" s="93"/>
      <c r="DC411" s="94"/>
      <c r="DD411" s="118"/>
      <c r="DE411" s="118"/>
      <c r="DF411" s="118"/>
      <c r="DG411" s="118"/>
      <c r="DH411" s="118"/>
      <c r="DI411" s="118"/>
      <c r="DJ411" s="118"/>
      <c r="DK411" s="118"/>
      <c r="DL411" s="118"/>
      <c r="DM411" s="118"/>
      <c r="DN411" s="118"/>
      <c r="DO411" s="118"/>
      <c r="DP411" s="118"/>
      <c r="DQ411" s="118"/>
      <c r="DR411" s="118"/>
      <c r="DS411" s="118"/>
      <c r="DT411" s="118"/>
      <c r="DU411" s="19"/>
      <c r="DV411" s="19"/>
      <c r="DW411" s="19"/>
      <c r="DX411" s="19"/>
      <c r="DY411" s="19"/>
      <c r="DZ411" s="19"/>
    </row>
    <row r="412" spans="1:130" ht="12.75" x14ac:dyDescent="0.2">
      <c r="A412" s="651"/>
      <c r="B412" s="646">
        <v>46158</v>
      </c>
      <c r="C412" s="31"/>
      <c r="D412" s="31"/>
      <c r="E412" s="31"/>
      <c r="F412" s="31"/>
      <c r="G412" s="40"/>
      <c r="H412" s="653"/>
      <c r="I412" s="159">
        <f t="shared" si="279"/>
        <v>0</v>
      </c>
      <c r="J412" s="650">
        <f>SUM(I412:I415,H412)</f>
        <v>0</v>
      </c>
      <c r="K412" s="40"/>
      <c r="L412" s="40"/>
      <c r="M412" s="653"/>
      <c r="N412" s="653"/>
      <c r="O412" s="633">
        <f>SUM(M412:N415)</f>
        <v>0</v>
      </c>
      <c r="P412" s="653"/>
      <c r="Q412" s="636">
        <f>M412*60</f>
        <v>0</v>
      </c>
      <c r="R412" s="657">
        <f>IF(
   COUNTIF(K412:K415,"SI")&gt;0,
   1.8,
   IF(
      COUNTIF(L412:L415,"SI")&gt;0,
      1.6,
      2
   )
)</f>
        <v>2</v>
      </c>
      <c r="S412" s="658">
        <f>IF(Q412=0,0,J412/Q412)</f>
        <v>0</v>
      </c>
      <c r="T412" s="646">
        <v>46158</v>
      </c>
      <c r="U412" s="40"/>
      <c r="V412" s="31">
        <v>685</v>
      </c>
      <c r="W412" s="31">
        <v>12001</v>
      </c>
      <c r="X412" s="31">
        <v>12400</v>
      </c>
      <c r="Y412" s="31"/>
      <c r="Z412" s="653"/>
      <c r="AA412" s="51">
        <f t="shared" si="280"/>
        <v>400</v>
      </c>
      <c r="AB412" s="650">
        <f>SUM(AA412:AA415,Z412)</f>
        <v>400</v>
      </c>
      <c r="AC412" s="31" t="s">
        <v>51</v>
      </c>
      <c r="AD412" s="31" t="s">
        <v>51</v>
      </c>
      <c r="AE412" s="653">
        <v>3.5</v>
      </c>
      <c r="AF412" s="653">
        <v>0.75</v>
      </c>
      <c r="AG412" s="633">
        <f>SUM(AE412:AF415)</f>
        <v>4.25</v>
      </c>
      <c r="AH412" s="653">
        <v>0</v>
      </c>
      <c r="AI412" s="637">
        <f>AE412*60</f>
        <v>210</v>
      </c>
      <c r="AJ412" s="640">
        <f>IF(
   COUNTIF(AC412:AC415,"SI")&gt;0,
   1.8,
   IF(
      COUNTIF(AD412:AD415,"SI")&gt;0,
      1.6,
      2
   )
)</f>
        <v>1.8</v>
      </c>
      <c r="AK412" s="665">
        <f>IF(AI412=0,0,AB412/AI412)</f>
        <v>1.9047619047619047</v>
      </c>
      <c r="AL412" s="646">
        <v>46158</v>
      </c>
      <c r="AM412" s="31"/>
      <c r="AN412" s="29"/>
      <c r="AO412" s="31"/>
      <c r="AP412" s="31"/>
      <c r="AQ412" s="40"/>
      <c r="AR412" s="653"/>
      <c r="AS412" s="159"/>
      <c r="AT412" s="650">
        <f>SUM(AS412:AS415,AR412)</f>
        <v>0</v>
      </c>
      <c r="AU412" s="40"/>
      <c r="AV412" s="653"/>
      <c r="AW412" s="40"/>
      <c r="AX412" s="653"/>
      <c r="AY412" s="633">
        <f>SUM(AV412:AX415)</f>
        <v>0</v>
      </c>
      <c r="AZ412" s="653"/>
      <c r="BA412" s="636">
        <f>AV412*60</f>
        <v>0</v>
      </c>
      <c r="BB412" s="657">
        <f>IF(
   COUNTIF(AU412:AU415,"SI")&gt;0,
   1.8,
   IF(
      COUNTIF(AV412:AV415,"SI")&gt;0,
      1.6,
      2
   )
)</f>
        <v>2</v>
      </c>
      <c r="BC412" s="666">
        <f>IF(BA412=0,0,AT412/BA412)</f>
        <v>0</v>
      </c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18"/>
      <c r="BX412" s="118"/>
      <c r="BY412" s="118"/>
      <c r="BZ412" s="118"/>
      <c r="CA412" s="118"/>
      <c r="CB412" s="118"/>
      <c r="CC412" s="118"/>
      <c r="CD412" s="118"/>
      <c r="CE412" s="118"/>
      <c r="CF412" s="118"/>
      <c r="CG412" s="118"/>
      <c r="CH412" s="118"/>
      <c r="CI412" s="118"/>
      <c r="CJ412" s="118"/>
      <c r="CK412" s="118"/>
      <c r="CL412" s="118"/>
      <c r="CM412" s="118"/>
      <c r="CN412" s="92"/>
      <c r="CO412" s="93"/>
      <c r="CP412" s="93"/>
      <c r="CQ412" s="93"/>
      <c r="CR412" s="93"/>
      <c r="CS412" s="93"/>
      <c r="CT412" s="93"/>
      <c r="CU412" s="93"/>
      <c r="CV412" s="93"/>
      <c r="CW412" s="93"/>
      <c r="CX412" s="93"/>
      <c r="CY412" s="93"/>
      <c r="CZ412" s="93"/>
      <c r="DA412" s="93"/>
      <c r="DB412" s="93"/>
      <c r="DC412" s="94"/>
      <c r="DD412" s="118"/>
      <c r="DE412" s="118"/>
      <c r="DF412" s="118"/>
      <c r="DG412" s="118"/>
      <c r="DH412" s="118"/>
      <c r="DI412" s="118"/>
      <c r="DJ412" s="118"/>
      <c r="DK412" s="118"/>
      <c r="DL412" s="118"/>
      <c r="DM412" s="118"/>
      <c r="DN412" s="118"/>
      <c r="DO412" s="118"/>
      <c r="DP412" s="118"/>
      <c r="DQ412" s="118"/>
      <c r="DR412" s="118"/>
      <c r="DS412" s="118"/>
      <c r="DT412" s="118"/>
      <c r="DU412" s="19"/>
      <c r="DV412" s="19"/>
      <c r="DW412" s="19"/>
      <c r="DX412" s="19"/>
      <c r="DY412" s="19"/>
      <c r="DZ412" s="19"/>
    </row>
    <row r="413" spans="1:130" ht="12.75" x14ac:dyDescent="0.2">
      <c r="A413" s="647"/>
      <c r="B413" s="647"/>
      <c r="C413" s="40"/>
      <c r="D413" s="40"/>
      <c r="E413" s="40"/>
      <c r="F413" s="40"/>
      <c r="G413" s="40"/>
      <c r="H413" s="634"/>
      <c r="I413" s="159">
        <f t="shared" si="279"/>
        <v>0</v>
      </c>
      <c r="J413" s="634"/>
      <c r="K413" s="40"/>
      <c r="L413" s="40"/>
      <c r="M413" s="634"/>
      <c r="N413" s="634"/>
      <c r="O413" s="634"/>
      <c r="P413" s="634"/>
      <c r="Q413" s="634"/>
      <c r="R413" s="634"/>
      <c r="S413" s="659"/>
      <c r="T413" s="647"/>
      <c r="U413" s="40"/>
      <c r="V413" s="31"/>
      <c r="W413" s="31"/>
      <c r="X413" s="31"/>
      <c r="Y413" s="31"/>
      <c r="Z413" s="634"/>
      <c r="AA413" s="51">
        <f t="shared" si="280"/>
        <v>0</v>
      </c>
      <c r="AB413" s="634"/>
      <c r="AC413" s="31"/>
      <c r="AD413" s="31"/>
      <c r="AE413" s="634"/>
      <c r="AF413" s="634"/>
      <c r="AG413" s="634"/>
      <c r="AH413" s="634"/>
      <c r="AI413" s="638"/>
      <c r="AJ413" s="634"/>
      <c r="AK413" s="642"/>
      <c r="AL413" s="647"/>
      <c r="AM413" s="31"/>
      <c r="AN413" s="31"/>
      <c r="AO413" s="31"/>
      <c r="AP413" s="31"/>
      <c r="AQ413" s="31"/>
      <c r="AR413" s="634"/>
      <c r="AS413" s="159"/>
      <c r="AT413" s="634"/>
      <c r="AU413" s="40"/>
      <c r="AV413" s="634"/>
      <c r="AW413" s="40"/>
      <c r="AX413" s="634"/>
      <c r="AY413" s="634"/>
      <c r="AZ413" s="634"/>
      <c r="BA413" s="634"/>
      <c r="BB413" s="634"/>
      <c r="BC413" s="634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18"/>
      <c r="BX413" s="118"/>
      <c r="BY413" s="118"/>
      <c r="BZ413" s="118"/>
      <c r="CA413" s="118"/>
      <c r="CB413" s="118"/>
      <c r="CC413" s="118"/>
      <c r="CD413" s="118"/>
      <c r="CE413" s="118"/>
      <c r="CF413" s="118"/>
      <c r="CG413" s="118"/>
      <c r="CH413" s="118"/>
      <c r="CI413" s="118"/>
      <c r="CJ413" s="118"/>
      <c r="CK413" s="118"/>
      <c r="CL413" s="118"/>
      <c r="CM413" s="118"/>
      <c r="CN413" s="92"/>
      <c r="CO413" s="93"/>
      <c r="CP413" s="93"/>
      <c r="CQ413" s="93"/>
      <c r="CR413" s="93"/>
      <c r="CS413" s="93"/>
      <c r="CT413" s="93"/>
      <c r="CU413" s="93"/>
      <c r="CV413" s="93"/>
      <c r="CW413" s="93"/>
      <c r="CX413" s="93"/>
      <c r="CY413" s="93"/>
      <c r="CZ413" s="93"/>
      <c r="DA413" s="93"/>
      <c r="DB413" s="93"/>
      <c r="DC413" s="94"/>
      <c r="DD413" s="118"/>
      <c r="DE413" s="118"/>
      <c r="DF413" s="118"/>
      <c r="DG413" s="118"/>
      <c r="DH413" s="118"/>
      <c r="DI413" s="118"/>
      <c r="DJ413" s="118"/>
      <c r="DK413" s="118"/>
      <c r="DL413" s="118"/>
      <c r="DM413" s="118"/>
      <c r="DN413" s="118"/>
      <c r="DO413" s="118"/>
      <c r="DP413" s="118"/>
      <c r="DQ413" s="118"/>
      <c r="DR413" s="118"/>
      <c r="DS413" s="118"/>
      <c r="DT413" s="118"/>
      <c r="DU413" s="19"/>
      <c r="DV413" s="19"/>
      <c r="DW413" s="19"/>
      <c r="DX413" s="19"/>
      <c r="DY413" s="19"/>
      <c r="DZ413" s="19"/>
    </row>
    <row r="414" spans="1:130" ht="12.75" x14ac:dyDescent="0.2">
      <c r="A414" s="647"/>
      <c r="B414" s="647"/>
      <c r="C414" s="40"/>
      <c r="D414" s="40"/>
      <c r="E414" s="40"/>
      <c r="F414" s="40"/>
      <c r="G414" s="40"/>
      <c r="H414" s="634"/>
      <c r="I414" s="159">
        <f t="shared" si="279"/>
        <v>0</v>
      </c>
      <c r="J414" s="634"/>
      <c r="K414" s="40"/>
      <c r="L414" s="40"/>
      <c r="M414" s="634"/>
      <c r="N414" s="634"/>
      <c r="O414" s="634"/>
      <c r="P414" s="634"/>
      <c r="Q414" s="634"/>
      <c r="R414" s="634"/>
      <c r="S414" s="659"/>
      <c r="T414" s="647"/>
      <c r="U414" s="40"/>
      <c r="V414" s="31"/>
      <c r="W414" s="31"/>
      <c r="X414" s="31"/>
      <c r="Y414" s="31"/>
      <c r="Z414" s="634"/>
      <c r="AA414" s="51">
        <f t="shared" si="280"/>
        <v>0</v>
      </c>
      <c r="AB414" s="634"/>
      <c r="AC414" s="31"/>
      <c r="AD414" s="31"/>
      <c r="AE414" s="634"/>
      <c r="AF414" s="634"/>
      <c r="AG414" s="634"/>
      <c r="AH414" s="634"/>
      <c r="AI414" s="638"/>
      <c r="AJ414" s="634"/>
      <c r="AK414" s="642"/>
      <c r="AL414" s="647"/>
      <c r="AM414" s="40"/>
      <c r="AN414" s="40"/>
      <c r="AO414" s="40"/>
      <c r="AP414" s="40"/>
      <c r="AQ414" s="40"/>
      <c r="AR414" s="634"/>
      <c r="AS414" s="159"/>
      <c r="AT414" s="634"/>
      <c r="AU414" s="40"/>
      <c r="AV414" s="634"/>
      <c r="AW414" s="40"/>
      <c r="AX414" s="634"/>
      <c r="AY414" s="634"/>
      <c r="AZ414" s="634"/>
      <c r="BA414" s="634"/>
      <c r="BB414" s="634"/>
      <c r="BC414" s="634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18"/>
      <c r="BX414" s="118"/>
      <c r="BY414" s="118"/>
      <c r="BZ414" s="118"/>
      <c r="CA414" s="118"/>
      <c r="CB414" s="118"/>
      <c r="CC414" s="118"/>
      <c r="CD414" s="118"/>
      <c r="CE414" s="118"/>
      <c r="CF414" s="118"/>
      <c r="CG414" s="118"/>
      <c r="CH414" s="118"/>
      <c r="CI414" s="118"/>
      <c r="CJ414" s="118"/>
      <c r="CK414" s="118"/>
      <c r="CL414" s="118"/>
      <c r="CM414" s="118"/>
      <c r="CN414" s="92"/>
      <c r="CO414" s="93"/>
      <c r="CP414" s="93"/>
      <c r="CQ414" s="93"/>
      <c r="CR414" s="93"/>
      <c r="CS414" s="93"/>
      <c r="CT414" s="93"/>
      <c r="CU414" s="93"/>
      <c r="CV414" s="93"/>
      <c r="CW414" s="93"/>
      <c r="CX414" s="93"/>
      <c r="CY414" s="93"/>
      <c r="CZ414" s="93"/>
      <c r="DA414" s="93"/>
      <c r="DB414" s="93"/>
      <c r="DC414" s="94"/>
      <c r="DD414" s="118"/>
      <c r="DE414" s="118"/>
      <c r="DF414" s="118"/>
      <c r="DG414" s="118"/>
      <c r="DH414" s="118"/>
      <c r="DI414" s="118"/>
      <c r="DJ414" s="118"/>
      <c r="DK414" s="118"/>
      <c r="DL414" s="118"/>
      <c r="DM414" s="118"/>
      <c r="DN414" s="118"/>
      <c r="DO414" s="118"/>
      <c r="DP414" s="118"/>
      <c r="DQ414" s="118"/>
      <c r="DR414" s="118"/>
      <c r="DS414" s="118"/>
      <c r="DT414" s="118"/>
      <c r="DU414" s="19"/>
      <c r="DV414" s="19"/>
      <c r="DW414" s="19"/>
      <c r="DX414" s="19"/>
      <c r="DY414" s="19"/>
      <c r="DZ414" s="19"/>
    </row>
    <row r="415" spans="1:130" ht="12.75" x14ac:dyDescent="0.2">
      <c r="A415" s="648"/>
      <c r="B415" s="648"/>
      <c r="C415" s="40"/>
      <c r="D415" s="40"/>
      <c r="E415" s="40"/>
      <c r="F415" s="40"/>
      <c r="G415" s="40"/>
      <c r="H415" s="635"/>
      <c r="I415" s="159">
        <f t="shared" si="279"/>
        <v>0</v>
      </c>
      <c r="J415" s="635"/>
      <c r="K415" s="40"/>
      <c r="L415" s="40"/>
      <c r="M415" s="635"/>
      <c r="N415" s="635"/>
      <c r="O415" s="635"/>
      <c r="P415" s="635"/>
      <c r="Q415" s="635"/>
      <c r="R415" s="635"/>
      <c r="S415" s="660"/>
      <c r="T415" s="648"/>
      <c r="U415" s="40"/>
      <c r="V415" s="40"/>
      <c r="W415" s="40"/>
      <c r="X415" s="40"/>
      <c r="Y415" s="40"/>
      <c r="Z415" s="635"/>
      <c r="AA415" s="51">
        <f t="shared" si="280"/>
        <v>0</v>
      </c>
      <c r="AB415" s="635"/>
      <c r="AC415" s="40"/>
      <c r="AD415" s="40"/>
      <c r="AE415" s="635"/>
      <c r="AF415" s="635"/>
      <c r="AG415" s="635"/>
      <c r="AH415" s="635"/>
      <c r="AI415" s="639"/>
      <c r="AJ415" s="635"/>
      <c r="AK415" s="643"/>
      <c r="AL415" s="648"/>
      <c r="AM415" s="40"/>
      <c r="AN415" s="40"/>
      <c r="AO415" s="40"/>
      <c r="AP415" s="40"/>
      <c r="AQ415" s="40"/>
      <c r="AR415" s="635"/>
      <c r="AS415" s="159"/>
      <c r="AT415" s="635"/>
      <c r="AU415" s="40"/>
      <c r="AV415" s="635"/>
      <c r="AW415" s="40"/>
      <c r="AX415" s="635"/>
      <c r="AY415" s="635"/>
      <c r="AZ415" s="635"/>
      <c r="BA415" s="635"/>
      <c r="BB415" s="635"/>
      <c r="BC415" s="635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18"/>
      <c r="BX415" s="118"/>
      <c r="BY415" s="118"/>
      <c r="BZ415" s="118"/>
      <c r="CA415" s="118"/>
      <c r="CB415" s="118"/>
      <c r="CC415" s="118"/>
      <c r="CD415" s="118"/>
      <c r="CE415" s="118"/>
      <c r="CF415" s="118"/>
      <c r="CG415" s="118"/>
      <c r="CH415" s="118"/>
      <c r="CI415" s="118"/>
      <c r="CJ415" s="118"/>
      <c r="CK415" s="118"/>
      <c r="CL415" s="118"/>
      <c r="CM415" s="118"/>
      <c r="CN415" s="92"/>
      <c r="CO415" s="93"/>
      <c r="CP415" s="93"/>
      <c r="CQ415" s="93"/>
      <c r="CR415" s="93"/>
      <c r="CS415" s="93"/>
      <c r="CT415" s="93"/>
      <c r="CU415" s="93"/>
      <c r="CV415" s="93"/>
      <c r="CW415" s="93"/>
      <c r="CX415" s="93"/>
      <c r="CY415" s="93"/>
      <c r="CZ415" s="93"/>
      <c r="DA415" s="93"/>
      <c r="DB415" s="93"/>
      <c r="DC415" s="94"/>
      <c r="DD415" s="118"/>
      <c r="DE415" s="118"/>
      <c r="DF415" s="118"/>
      <c r="DG415" s="118"/>
      <c r="DH415" s="118"/>
      <c r="DI415" s="118"/>
      <c r="DJ415" s="118"/>
      <c r="DK415" s="118"/>
      <c r="DL415" s="118"/>
      <c r="DM415" s="118"/>
      <c r="DN415" s="118"/>
      <c r="DO415" s="118"/>
      <c r="DP415" s="118"/>
      <c r="DQ415" s="118"/>
      <c r="DR415" s="118"/>
      <c r="DS415" s="118"/>
      <c r="DT415" s="118"/>
      <c r="DU415" s="19"/>
      <c r="DV415" s="19"/>
      <c r="DW415" s="19"/>
      <c r="DX415" s="19"/>
      <c r="DY415" s="19"/>
      <c r="DZ415" s="19"/>
    </row>
    <row r="416" spans="1:130" ht="12.75" x14ac:dyDescent="0.2">
      <c r="A416" s="166"/>
      <c r="B416" s="167" t="s">
        <v>40</v>
      </c>
      <c r="C416" s="168">
        <f>SUM(C391:C415)</f>
        <v>66</v>
      </c>
      <c r="D416" s="168" t="s">
        <v>49</v>
      </c>
      <c r="E416" s="168" t="s">
        <v>49</v>
      </c>
      <c r="F416" s="168" t="s">
        <v>49</v>
      </c>
      <c r="G416" s="168">
        <f t="shared" ref="G416:J416" si="288">SUM(G391:G415)</f>
        <v>0</v>
      </c>
      <c r="H416" s="168">
        <f t="shared" si="288"/>
        <v>0</v>
      </c>
      <c r="I416" s="168">
        <f t="shared" si="288"/>
        <v>611</v>
      </c>
      <c r="J416" s="168">
        <f t="shared" si="288"/>
        <v>611</v>
      </c>
      <c r="K416" s="168" t="s">
        <v>49</v>
      </c>
      <c r="L416" s="168"/>
      <c r="M416" s="168">
        <f>SUM(M391:M415)</f>
        <v>4.9000000000000004</v>
      </c>
      <c r="N416" s="168">
        <f>SUM(N391:N411)</f>
        <v>2.7800000000000002</v>
      </c>
      <c r="O416" s="169">
        <f t="shared" ref="O416:Q416" si="289">SUM(O391:O415)</f>
        <v>7.68</v>
      </c>
      <c r="P416" s="168">
        <f t="shared" si="289"/>
        <v>0</v>
      </c>
      <c r="Q416" s="168">
        <f t="shared" si="289"/>
        <v>294</v>
      </c>
      <c r="R416" s="170"/>
      <c r="S416" s="171">
        <f>AVERAGE(S400:S407)</f>
        <v>2.0719298245614035</v>
      </c>
      <c r="T416" s="167" t="s">
        <v>40</v>
      </c>
      <c r="U416" s="168">
        <f>SUM(U391:U415)</f>
        <v>0</v>
      </c>
      <c r="V416" s="168" t="s">
        <v>49</v>
      </c>
      <c r="W416" s="168" t="s">
        <v>49</v>
      </c>
      <c r="X416" s="168" t="s">
        <v>49</v>
      </c>
      <c r="Y416" s="168">
        <f t="shared" ref="Y416:AB416" si="290">SUM(Y391:Y415)</f>
        <v>7</v>
      </c>
      <c r="Z416" s="168">
        <f t="shared" si="290"/>
        <v>0</v>
      </c>
      <c r="AA416" s="168">
        <f t="shared" si="290"/>
        <v>2630</v>
      </c>
      <c r="AB416" s="168">
        <f t="shared" si="290"/>
        <v>2630</v>
      </c>
      <c r="AC416" s="168" t="s">
        <v>49</v>
      </c>
      <c r="AD416" s="168" t="s">
        <v>49</v>
      </c>
      <c r="AE416" s="168">
        <f t="shared" ref="AE416:AI416" si="291">SUM(AE391:AE415)</f>
        <v>21.25</v>
      </c>
      <c r="AF416" s="168">
        <f t="shared" si="291"/>
        <v>2.25</v>
      </c>
      <c r="AG416" s="169">
        <f t="shared" si="291"/>
        <v>23.5</v>
      </c>
      <c r="AH416" s="168">
        <f t="shared" si="291"/>
        <v>0</v>
      </c>
      <c r="AI416" s="168">
        <f t="shared" si="291"/>
        <v>1275</v>
      </c>
      <c r="AJ416" s="467"/>
      <c r="AK416" s="171">
        <f t="shared" ref="AK416:AK417" si="292">IF(AI416=0,0,AB416/AI416)</f>
        <v>2.0627450980392159</v>
      </c>
      <c r="AL416" s="167" t="s">
        <v>40</v>
      </c>
      <c r="AM416" s="168">
        <f>SUM(AM391:AM415)</f>
        <v>542</v>
      </c>
      <c r="AN416" s="168" t="s">
        <v>49</v>
      </c>
      <c r="AO416" s="168" t="s">
        <v>49</v>
      </c>
      <c r="AP416" s="168" t="s">
        <v>49</v>
      </c>
      <c r="AQ416" s="168">
        <f t="shared" ref="AQ416:AT416" si="293">SUM(AQ391:AQ415)</f>
        <v>8</v>
      </c>
      <c r="AR416" s="168">
        <f t="shared" si="293"/>
        <v>30</v>
      </c>
      <c r="AS416" s="168">
        <f t="shared" si="293"/>
        <v>2480</v>
      </c>
      <c r="AT416" s="168">
        <f t="shared" si="293"/>
        <v>2510</v>
      </c>
      <c r="AU416" s="168" t="s">
        <v>49</v>
      </c>
      <c r="AV416" s="168">
        <f>SUM(AV391:AV415)</f>
        <v>16.100000000000001</v>
      </c>
      <c r="AW416" s="168"/>
      <c r="AX416" s="172">
        <f t="shared" ref="AX416:BA416" si="294">SUM(AX391:AX415)</f>
        <v>13.9</v>
      </c>
      <c r="AY416" s="173">
        <f t="shared" si="294"/>
        <v>30</v>
      </c>
      <c r="AZ416" s="172">
        <f t="shared" si="294"/>
        <v>1</v>
      </c>
      <c r="BA416" s="168">
        <f t="shared" si="294"/>
        <v>966</v>
      </c>
      <c r="BB416" s="170"/>
      <c r="BC416" s="174">
        <f t="shared" ref="BC416:BC417" si="295">IF(BA416=0,0,AT416/BA416)</f>
        <v>2.5983436853002071</v>
      </c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18"/>
      <c r="BX416" s="118"/>
      <c r="BY416" s="118"/>
      <c r="BZ416" s="118"/>
      <c r="CA416" s="118"/>
      <c r="CB416" s="118"/>
      <c r="CC416" s="118"/>
      <c r="CD416" s="118"/>
      <c r="CE416" s="118"/>
      <c r="CF416" s="118"/>
      <c r="CG416" s="118"/>
      <c r="CH416" s="118"/>
      <c r="CI416" s="118"/>
      <c r="CJ416" s="118"/>
      <c r="CK416" s="118"/>
      <c r="CL416" s="118"/>
      <c r="CM416" s="118"/>
      <c r="CN416" s="92"/>
      <c r="CO416" s="93"/>
      <c r="CP416" s="93"/>
      <c r="CQ416" s="93"/>
      <c r="CR416" s="93"/>
      <c r="CS416" s="93"/>
      <c r="CT416" s="93"/>
      <c r="CU416" s="93"/>
      <c r="CV416" s="93"/>
      <c r="CW416" s="93"/>
      <c r="CX416" s="93"/>
      <c r="CY416" s="93"/>
      <c r="CZ416" s="93"/>
      <c r="DA416" s="93"/>
      <c r="DB416" s="93"/>
      <c r="DC416" s="94"/>
      <c r="DD416" s="118"/>
      <c r="DE416" s="118"/>
      <c r="DF416" s="118"/>
      <c r="DG416" s="118"/>
      <c r="DH416" s="118"/>
      <c r="DI416" s="118"/>
      <c r="DJ416" s="118"/>
      <c r="DK416" s="118"/>
      <c r="DL416" s="118"/>
      <c r="DM416" s="118"/>
      <c r="DN416" s="118"/>
      <c r="DO416" s="118"/>
      <c r="DP416" s="118"/>
      <c r="DQ416" s="118"/>
      <c r="DR416" s="118"/>
      <c r="DS416" s="118"/>
      <c r="DT416" s="118"/>
      <c r="DU416" s="19"/>
      <c r="DV416" s="19"/>
      <c r="DW416" s="19"/>
      <c r="DX416" s="19"/>
      <c r="DY416" s="19"/>
      <c r="DZ416" s="19"/>
    </row>
    <row r="417" spans="1:130" ht="12.75" x14ac:dyDescent="0.2">
      <c r="A417" s="741" t="s">
        <v>12</v>
      </c>
      <c r="B417" s="674">
        <v>46160</v>
      </c>
      <c r="C417" s="175"/>
      <c r="D417" s="26"/>
      <c r="E417" s="26"/>
      <c r="F417" s="26"/>
      <c r="G417" s="137"/>
      <c r="H417" s="675"/>
      <c r="I417" s="62">
        <f t="shared" ref="I417:I441" si="296">IF(E417=0,0,F417-E417+1-G417)</f>
        <v>0</v>
      </c>
      <c r="J417" s="676">
        <f>SUM(I417:I421,H417)</f>
        <v>0</v>
      </c>
      <c r="K417" s="175"/>
      <c r="L417" s="175"/>
      <c r="M417" s="675"/>
      <c r="N417" s="675"/>
      <c r="O417" s="677">
        <f>SUM(M417:N421)</f>
        <v>0</v>
      </c>
      <c r="P417" s="675"/>
      <c r="Q417" s="657">
        <f>M417*60</f>
        <v>0</v>
      </c>
      <c r="R417" s="657">
        <f>IF(
   COUNTIF(K417:K421,"SI")&gt;0,
   1.8,
   IF(
      COUNTIF(L417:L421,"SI")&gt;0,
      1.6,
      2
   )
)</f>
        <v>2</v>
      </c>
      <c r="S417" s="678">
        <f>IF(Q417=0,0,J417/Q417)</f>
        <v>0</v>
      </c>
      <c r="T417" s="674">
        <v>46160</v>
      </c>
      <c r="U417" s="175"/>
      <c r="V417" s="26"/>
      <c r="W417" s="26"/>
      <c r="X417" s="26"/>
      <c r="Y417" s="175"/>
      <c r="Z417" s="680"/>
      <c r="AA417" s="151">
        <f t="shared" ref="AA417:AA441" si="297">IF(X417=0,0,X417-W417+1-Y417)</f>
        <v>0</v>
      </c>
      <c r="AB417" s="669">
        <f>SUM(AA417:AA421,Z417)</f>
        <v>0</v>
      </c>
      <c r="AC417" s="26"/>
      <c r="AD417" s="26"/>
      <c r="AE417" s="675"/>
      <c r="AF417" s="675"/>
      <c r="AG417" s="677">
        <f>SUM(AE417:AF421)</f>
        <v>0</v>
      </c>
      <c r="AH417" s="675">
        <v>0</v>
      </c>
      <c r="AI417" s="681">
        <f>AE417*60</f>
        <v>0</v>
      </c>
      <c r="AJ417" s="657">
        <f>IF(
   COUNTIF(AC417:AC421,"SI")&gt;0,
   1.8,
   IF(
      COUNTIF(AD417:AD421,"SI")&gt;0,
      1.6,
      2
   )
)</f>
        <v>2</v>
      </c>
      <c r="AK417" s="682">
        <f t="shared" si="292"/>
        <v>0</v>
      </c>
      <c r="AL417" s="674">
        <v>46160</v>
      </c>
      <c r="AM417" s="24">
        <v>100</v>
      </c>
      <c r="AN417" s="31">
        <v>681</v>
      </c>
      <c r="AO417" s="31">
        <v>10054</v>
      </c>
      <c r="AP417" s="24">
        <v>10501</v>
      </c>
      <c r="AQ417" s="26">
        <v>3</v>
      </c>
      <c r="AR417" s="681"/>
      <c r="AS417" s="159">
        <f t="shared" ref="AS417:AS428" si="298">IF(AO417=0,0,AP417-AO417+1-AQ417)</f>
        <v>445</v>
      </c>
      <c r="AT417" s="683">
        <f>SUM(AS417:AS421)+AR417</f>
        <v>1257</v>
      </c>
      <c r="AU417" s="29" t="s">
        <v>51</v>
      </c>
      <c r="AV417" s="640">
        <v>8.25</v>
      </c>
      <c r="AW417" s="29" t="s">
        <v>51</v>
      </c>
      <c r="AX417" s="657">
        <v>0.25</v>
      </c>
      <c r="AY417" s="633">
        <f>SUM(AV417,AX417)</f>
        <v>8.5</v>
      </c>
      <c r="AZ417" s="657">
        <v>0.2</v>
      </c>
      <c r="BA417" s="657">
        <f>AV417*60</f>
        <v>495</v>
      </c>
      <c r="BB417" s="657">
        <f>IF(
   COUNTIF(AU417:AU421,"SI")&gt;0,
   1.8,
   IF(
      COUNTIF(AV417:AV421,"SI")&gt;0,
      1.6,
      2
   )
)</f>
        <v>1.8</v>
      </c>
      <c r="BC417" s="672">
        <f t="shared" si="295"/>
        <v>2.5393939393939395</v>
      </c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18"/>
      <c r="BX417" s="118"/>
      <c r="BY417" s="118"/>
      <c r="BZ417" s="118"/>
      <c r="CA417" s="118"/>
      <c r="CB417" s="118"/>
      <c r="CC417" s="118"/>
      <c r="CD417" s="118"/>
      <c r="CE417" s="118"/>
      <c r="CF417" s="118"/>
      <c r="CG417" s="118"/>
      <c r="CH417" s="118"/>
      <c r="CI417" s="118"/>
      <c r="CJ417" s="118"/>
      <c r="CK417" s="118"/>
      <c r="CL417" s="118"/>
      <c r="CM417" s="118"/>
      <c r="CN417" s="92"/>
      <c r="CO417" s="93"/>
      <c r="CP417" s="93"/>
      <c r="CQ417" s="93"/>
      <c r="CR417" s="93"/>
      <c r="CS417" s="93"/>
      <c r="CT417" s="93"/>
      <c r="CU417" s="93"/>
      <c r="CV417" s="93"/>
      <c r="CW417" s="93"/>
      <c r="CX417" s="93"/>
      <c r="CY417" s="93"/>
      <c r="CZ417" s="93"/>
      <c r="DA417" s="93"/>
      <c r="DB417" s="93"/>
      <c r="DC417" s="94"/>
      <c r="DD417" s="118"/>
      <c r="DE417" s="118"/>
      <c r="DF417" s="118"/>
      <c r="DG417" s="118"/>
      <c r="DH417" s="118"/>
      <c r="DI417" s="118"/>
      <c r="DJ417" s="118"/>
      <c r="DK417" s="118"/>
      <c r="DL417" s="118"/>
      <c r="DM417" s="118"/>
      <c r="DN417" s="118"/>
      <c r="DO417" s="118"/>
      <c r="DP417" s="118"/>
      <c r="DQ417" s="118"/>
      <c r="DR417" s="118"/>
      <c r="DS417" s="118"/>
      <c r="DT417" s="118"/>
      <c r="DU417" s="19"/>
      <c r="DV417" s="19"/>
      <c r="DW417" s="19"/>
      <c r="DX417" s="19"/>
      <c r="DY417" s="19"/>
      <c r="DZ417" s="19"/>
    </row>
    <row r="418" spans="1:130" ht="12.75" x14ac:dyDescent="0.2">
      <c r="A418" s="647"/>
      <c r="B418" s="647"/>
      <c r="C418" s="30"/>
      <c r="D418" s="158"/>
      <c r="E418" s="158"/>
      <c r="F418" s="158"/>
      <c r="G418" s="158"/>
      <c r="H418" s="634"/>
      <c r="I418" s="159">
        <f t="shared" si="296"/>
        <v>0</v>
      </c>
      <c r="J418" s="634"/>
      <c r="K418" s="30"/>
      <c r="L418" s="142"/>
      <c r="M418" s="634"/>
      <c r="N418" s="634"/>
      <c r="O418" s="634"/>
      <c r="P418" s="634"/>
      <c r="Q418" s="634"/>
      <c r="R418" s="634"/>
      <c r="S418" s="659"/>
      <c r="T418" s="647"/>
      <c r="U418" s="30"/>
      <c r="V418" s="30"/>
      <c r="W418" s="30"/>
      <c r="X418" s="30"/>
      <c r="Y418" s="30"/>
      <c r="Z418" s="638"/>
      <c r="AA418" s="51">
        <f t="shared" si="297"/>
        <v>0</v>
      </c>
      <c r="AB418" s="670"/>
      <c r="AC418" s="29"/>
      <c r="AD418" s="25"/>
      <c r="AE418" s="634"/>
      <c r="AF418" s="634"/>
      <c r="AG418" s="634"/>
      <c r="AH418" s="634"/>
      <c r="AI418" s="638"/>
      <c r="AJ418" s="634"/>
      <c r="AK418" s="642"/>
      <c r="AL418" s="647"/>
      <c r="AM418" s="28">
        <v>122</v>
      </c>
      <c r="AN418" s="28">
        <v>686</v>
      </c>
      <c r="AO418" s="28">
        <v>12501</v>
      </c>
      <c r="AP418" s="28">
        <v>13003</v>
      </c>
      <c r="AQ418" s="29">
        <v>10</v>
      </c>
      <c r="AR418" s="638"/>
      <c r="AS418" s="159">
        <f t="shared" si="298"/>
        <v>493</v>
      </c>
      <c r="AT418" s="670"/>
      <c r="AU418" s="29" t="s">
        <v>51</v>
      </c>
      <c r="AV418" s="634"/>
      <c r="AW418" s="29" t="s">
        <v>51</v>
      </c>
      <c r="AX418" s="634"/>
      <c r="AY418" s="634"/>
      <c r="AZ418" s="634"/>
      <c r="BA418" s="634"/>
      <c r="BB418" s="634"/>
      <c r="BC418" s="634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18"/>
      <c r="BX418" s="118"/>
      <c r="BY418" s="118"/>
      <c r="BZ418" s="118"/>
      <c r="CA418" s="118"/>
      <c r="CB418" s="118"/>
      <c r="CC418" s="118"/>
      <c r="CD418" s="118"/>
      <c r="CE418" s="118"/>
      <c r="CF418" s="118"/>
      <c r="CG418" s="118"/>
      <c r="CH418" s="118"/>
      <c r="CI418" s="118"/>
      <c r="CJ418" s="118"/>
      <c r="CK418" s="118"/>
      <c r="CL418" s="118"/>
      <c r="CM418" s="118"/>
      <c r="CN418" s="92"/>
      <c r="CO418" s="93"/>
      <c r="CP418" s="93"/>
      <c r="CQ418" s="93"/>
      <c r="CR418" s="93"/>
      <c r="CS418" s="93"/>
      <c r="CT418" s="93"/>
      <c r="CU418" s="93"/>
      <c r="CV418" s="93"/>
      <c r="CW418" s="93"/>
      <c r="CX418" s="93"/>
      <c r="CY418" s="93"/>
      <c r="CZ418" s="93"/>
      <c r="DA418" s="93"/>
      <c r="DB418" s="93"/>
      <c r="DC418" s="94"/>
      <c r="DD418" s="118"/>
      <c r="DE418" s="118"/>
      <c r="DF418" s="118"/>
      <c r="DG418" s="118"/>
      <c r="DH418" s="118"/>
      <c r="DI418" s="118"/>
      <c r="DJ418" s="118"/>
      <c r="DK418" s="118"/>
      <c r="DL418" s="118"/>
      <c r="DM418" s="118"/>
      <c r="DN418" s="118"/>
      <c r="DO418" s="118"/>
      <c r="DP418" s="118"/>
      <c r="DQ418" s="118"/>
      <c r="DR418" s="118"/>
      <c r="DS418" s="118"/>
      <c r="DT418" s="118"/>
      <c r="DU418" s="19"/>
      <c r="DV418" s="19"/>
      <c r="DW418" s="19"/>
      <c r="DX418" s="19"/>
      <c r="DY418" s="19"/>
      <c r="DZ418" s="19"/>
    </row>
    <row r="419" spans="1:130" ht="12.75" x14ac:dyDescent="0.2">
      <c r="A419" s="647"/>
      <c r="B419" s="647"/>
      <c r="C419" s="30"/>
      <c r="D419" s="158"/>
      <c r="E419" s="158"/>
      <c r="F419" s="158"/>
      <c r="G419" s="158"/>
      <c r="H419" s="634"/>
      <c r="I419" s="159">
        <f t="shared" si="296"/>
        <v>0</v>
      </c>
      <c r="J419" s="634"/>
      <c r="K419" s="158"/>
      <c r="L419" s="161"/>
      <c r="M419" s="634"/>
      <c r="N419" s="634"/>
      <c r="O419" s="634"/>
      <c r="P419" s="634"/>
      <c r="Q419" s="634"/>
      <c r="R419" s="634"/>
      <c r="S419" s="659"/>
      <c r="T419" s="647"/>
      <c r="U419" s="30"/>
      <c r="V419" s="158"/>
      <c r="W419" s="30"/>
      <c r="X419" s="30"/>
      <c r="Y419" s="30"/>
      <c r="Z419" s="638"/>
      <c r="AA419" s="51">
        <f t="shared" si="297"/>
        <v>0</v>
      </c>
      <c r="AB419" s="670"/>
      <c r="AC419" s="158"/>
      <c r="AD419" s="161"/>
      <c r="AE419" s="634"/>
      <c r="AF419" s="634"/>
      <c r="AG419" s="634"/>
      <c r="AH419" s="634"/>
      <c r="AI419" s="638"/>
      <c r="AJ419" s="634"/>
      <c r="AK419" s="642"/>
      <c r="AL419" s="647"/>
      <c r="AM419" s="28">
        <v>92</v>
      </c>
      <c r="AN419" s="28">
        <v>687</v>
      </c>
      <c r="AO419" s="28">
        <v>13004</v>
      </c>
      <c r="AP419" s="28">
        <v>13332</v>
      </c>
      <c r="AQ419" s="28">
        <v>10</v>
      </c>
      <c r="AR419" s="638"/>
      <c r="AS419" s="159">
        <f t="shared" si="298"/>
        <v>319</v>
      </c>
      <c r="AT419" s="670"/>
      <c r="AU419" s="29" t="s">
        <v>51</v>
      </c>
      <c r="AV419" s="634"/>
      <c r="AW419" s="29" t="s">
        <v>51</v>
      </c>
      <c r="AX419" s="634"/>
      <c r="AY419" s="634"/>
      <c r="AZ419" s="634"/>
      <c r="BA419" s="634"/>
      <c r="BB419" s="634"/>
      <c r="BC419" s="634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18"/>
      <c r="BX419" s="118"/>
      <c r="BY419" s="118"/>
      <c r="BZ419" s="118"/>
      <c r="CA419" s="118"/>
      <c r="CB419" s="118"/>
      <c r="CC419" s="118"/>
      <c r="CD419" s="118"/>
      <c r="CE419" s="118"/>
      <c r="CF419" s="118"/>
      <c r="CG419" s="118"/>
      <c r="CH419" s="118"/>
      <c r="CI419" s="118"/>
      <c r="CJ419" s="118"/>
      <c r="CK419" s="118"/>
      <c r="CL419" s="118"/>
      <c r="CM419" s="118"/>
      <c r="CN419" s="92"/>
      <c r="CO419" s="93"/>
      <c r="CP419" s="93"/>
      <c r="CQ419" s="93"/>
      <c r="CR419" s="93"/>
      <c r="CS419" s="93"/>
      <c r="CT419" s="93"/>
      <c r="CU419" s="93"/>
      <c r="CV419" s="93"/>
      <c r="CW419" s="93"/>
      <c r="CX419" s="93"/>
      <c r="CY419" s="93"/>
      <c r="CZ419" s="93"/>
      <c r="DA419" s="93"/>
      <c r="DB419" s="93"/>
      <c r="DC419" s="94"/>
      <c r="DD419" s="118"/>
      <c r="DE419" s="118"/>
      <c r="DF419" s="118"/>
      <c r="DG419" s="118"/>
      <c r="DH419" s="118"/>
      <c r="DI419" s="118"/>
      <c r="DJ419" s="118"/>
      <c r="DK419" s="118"/>
      <c r="DL419" s="118"/>
      <c r="DM419" s="118"/>
      <c r="DN419" s="118"/>
      <c r="DO419" s="118"/>
      <c r="DP419" s="118"/>
      <c r="DQ419" s="118"/>
      <c r="DR419" s="118"/>
      <c r="DS419" s="118"/>
      <c r="DT419" s="118"/>
      <c r="DU419" s="19"/>
      <c r="DV419" s="19"/>
      <c r="DW419" s="19"/>
      <c r="DX419" s="19"/>
      <c r="DY419" s="19"/>
      <c r="DZ419" s="19"/>
    </row>
    <row r="420" spans="1:130" ht="12.75" x14ac:dyDescent="0.2">
      <c r="A420" s="647"/>
      <c r="B420" s="647"/>
      <c r="C420" s="30"/>
      <c r="D420" s="30"/>
      <c r="E420" s="30"/>
      <c r="F420" s="30"/>
      <c r="G420" s="30"/>
      <c r="H420" s="634"/>
      <c r="I420" s="159">
        <f t="shared" si="296"/>
        <v>0</v>
      </c>
      <c r="J420" s="634"/>
      <c r="K420" s="30"/>
      <c r="L420" s="142"/>
      <c r="M420" s="634"/>
      <c r="N420" s="634"/>
      <c r="O420" s="634"/>
      <c r="P420" s="634"/>
      <c r="Q420" s="634"/>
      <c r="R420" s="634"/>
      <c r="S420" s="659"/>
      <c r="T420" s="647"/>
      <c r="U420" s="30"/>
      <c r="V420" s="30"/>
      <c r="W420" s="30"/>
      <c r="X420" s="30"/>
      <c r="Y420" s="30"/>
      <c r="Z420" s="638"/>
      <c r="AA420" s="51">
        <f t="shared" si="297"/>
        <v>0</v>
      </c>
      <c r="AB420" s="670"/>
      <c r="AC420" s="30"/>
      <c r="AD420" s="142"/>
      <c r="AE420" s="634"/>
      <c r="AF420" s="634"/>
      <c r="AG420" s="634"/>
      <c r="AH420" s="634"/>
      <c r="AI420" s="638"/>
      <c r="AJ420" s="634"/>
      <c r="AK420" s="642"/>
      <c r="AL420" s="647"/>
      <c r="AM420" s="29"/>
      <c r="AN420" s="29"/>
      <c r="AO420" s="29"/>
      <c r="AP420" s="29"/>
      <c r="AQ420" s="30"/>
      <c r="AR420" s="638"/>
      <c r="AS420" s="159">
        <f t="shared" si="298"/>
        <v>0</v>
      </c>
      <c r="AT420" s="671"/>
      <c r="AU420" s="30"/>
      <c r="AV420" s="635"/>
      <c r="AW420" s="142"/>
      <c r="AX420" s="634"/>
      <c r="AY420" s="634"/>
      <c r="AZ420" s="634"/>
      <c r="BA420" s="634"/>
      <c r="BB420" s="634"/>
      <c r="BC420" s="634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18"/>
      <c r="BX420" s="118"/>
      <c r="BY420" s="118"/>
      <c r="BZ420" s="118"/>
      <c r="CA420" s="118"/>
      <c r="CB420" s="118"/>
      <c r="CC420" s="118"/>
      <c r="CD420" s="118"/>
      <c r="CE420" s="118"/>
      <c r="CF420" s="118"/>
      <c r="CG420" s="118"/>
      <c r="CH420" s="118"/>
      <c r="CI420" s="118"/>
      <c r="CJ420" s="118"/>
      <c r="CK420" s="118"/>
      <c r="CL420" s="118"/>
      <c r="CM420" s="118"/>
      <c r="CN420" s="92"/>
      <c r="CO420" s="93"/>
      <c r="CP420" s="93"/>
      <c r="CQ420" s="93"/>
      <c r="CR420" s="93"/>
      <c r="CS420" s="93"/>
      <c r="CT420" s="93"/>
      <c r="CU420" s="93"/>
      <c r="CV420" s="93"/>
      <c r="CW420" s="93"/>
      <c r="CX420" s="93"/>
      <c r="CY420" s="93"/>
      <c r="CZ420" s="93"/>
      <c r="DA420" s="93"/>
      <c r="DB420" s="93"/>
      <c r="DC420" s="94"/>
      <c r="DD420" s="118"/>
      <c r="DE420" s="118"/>
      <c r="DF420" s="118"/>
      <c r="DG420" s="118"/>
      <c r="DH420" s="118"/>
      <c r="DI420" s="118"/>
      <c r="DJ420" s="118"/>
      <c r="DK420" s="118"/>
      <c r="DL420" s="118"/>
      <c r="DM420" s="118"/>
      <c r="DN420" s="118"/>
      <c r="DO420" s="118"/>
      <c r="DP420" s="118"/>
      <c r="DQ420" s="118"/>
      <c r="DR420" s="118"/>
      <c r="DS420" s="118"/>
      <c r="DT420" s="118"/>
      <c r="DU420" s="19"/>
      <c r="DV420" s="19"/>
      <c r="DW420" s="19"/>
      <c r="DX420" s="19"/>
      <c r="DY420" s="19"/>
      <c r="DZ420" s="19"/>
    </row>
    <row r="421" spans="1:130" ht="12.75" x14ac:dyDescent="0.2">
      <c r="A421" s="648"/>
      <c r="B421" s="648"/>
      <c r="C421" s="30"/>
      <c r="D421" s="30"/>
      <c r="E421" s="30"/>
      <c r="F421" s="30"/>
      <c r="G421" s="30"/>
      <c r="H421" s="635"/>
      <c r="I421" s="159">
        <f t="shared" si="296"/>
        <v>0</v>
      </c>
      <c r="J421" s="635"/>
      <c r="K421" s="30"/>
      <c r="L421" s="142"/>
      <c r="M421" s="635"/>
      <c r="N421" s="635"/>
      <c r="O421" s="635"/>
      <c r="P421" s="635"/>
      <c r="Q421" s="635"/>
      <c r="R421" s="635"/>
      <c r="S421" s="660"/>
      <c r="T421" s="648"/>
      <c r="U421" s="30"/>
      <c r="V421" s="30"/>
      <c r="W421" s="30"/>
      <c r="X421" s="30"/>
      <c r="Y421" s="30"/>
      <c r="Z421" s="639"/>
      <c r="AA421" s="51">
        <f t="shared" si="297"/>
        <v>0</v>
      </c>
      <c r="AB421" s="671"/>
      <c r="AC421" s="30"/>
      <c r="AD421" s="142"/>
      <c r="AE421" s="635"/>
      <c r="AF421" s="635"/>
      <c r="AG421" s="635"/>
      <c r="AH421" s="635"/>
      <c r="AI421" s="639"/>
      <c r="AJ421" s="635"/>
      <c r="AK421" s="643"/>
      <c r="AL421" s="648"/>
      <c r="AM421" s="30"/>
      <c r="AN421" s="30"/>
      <c r="AO421" s="30"/>
      <c r="AP421" s="30"/>
      <c r="AQ421" s="30"/>
      <c r="AR421" s="639"/>
      <c r="AS421" s="159">
        <f t="shared" si="298"/>
        <v>0</v>
      </c>
      <c r="AT421" s="146">
        <f>AS421</f>
        <v>0</v>
      </c>
      <c r="AU421" s="30"/>
      <c r="AV421" s="142"/>
      <c r="AW421" s="142"/>
      <c r="AX421" s="635"/>
      <c r="AY421" s="635"/>
      <c r="AZ421" s="635"/>
      <c r="BA421" s="147">
        <f t="shared" ref="BA421:BA422" si="299">AV421*60</f>
        <v>0</v>
      </c>
      <c r="BB421" s="635"/>
      <c r="BC421" s="148">
        <f t="shared" ref="BC421:BC422" si="300">IF(BA421=0,0,AT421/BA421)</f>
        <v>0</v>
      </c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18"/>
      <c r="BX421" s="118"/>
      <c r="BY421" s="118"/>
      <c r="BZ421" s="118"/>
      <c r="CA421" s="118"/>
      <c r="CB421" s="118"/>
      <c r="CC421" s="118"/>
      <c r="CD421" s="118"/>
      <c r="CE421" s="118"/>
      <c r="CF421" s="118"/>
      <c r="CG421" s="118"/>
      <c r="CH421" s="118"/>
      <c r="CI421" s="118"/>
      <c r="CJ421" s="118"/>
      <c r="CK421" s="118"/>
      <c r="CL421" s="118"/>
      <c r="CM421" s="118"/>
      <c r="CN421" s="92"/>
      <c r="CO421" s="93"/>
      <c r="CP421" s="93"/>
      <c r="CQ421" s="93"/>
      <c r="CR421" s="93"/>
      <c r="CS421" s="93"/>
      <c r="CT421" s="93"/>
      <c r="CU421" s="93"/>
      <c r="CV421" s="93"/>
      <c r="CW421" s="93"/>
      <c r="CX421" s="93"/>
      <c r="CY421" s="93"/>
      <c r="CZ421" s="93"/>
      <c r="DA421" s="93"/>
      <c r="DB421" s="93"/>
      <c r="DC421" s="94"/>
      <c r="DD421" s="118"/>
      <c r="DE421" s="118"/>
      <c r="DF421" s="118"/>
      <c r="DG421" s="118"/>
      <c r="DH421" s="118"/>
      <c r="DI421" s="118"/>
      <c r="DJ421" s="118"/>
      <c r="DK421" s="118"/>
      <c r="DL421" s="118"/>
      <c r="DM421" s="118"/>
      <c r="DN421" s="118"/>
      <c r="DO421" s="118"/>
      <c r="DP421" s="118"/>
      <c r="DQ421" s="118"/>
      <c r="DR421" s="118"/>
      <c r="DS421" s="118"/>
      <c r="DT421" s="118"/>
      <c r="DU421" s="19"/>
      <c r="DV421" s="19"/>
      <c r="DW421" s="19"/>
      <c r="DX421" s="19"/>
      <c r="DY421" s="19"/>
      <c r="DZ421" s="19"/>
    </row>
    <row r="422" spans="1:130" ht="12.75" x14ac:dyDescent="0.2">
      <c r="A422" s="651"/>
      <c r="B422" s="646">
        <v>46161</v>
      </c>
      <c r="C422" s="40"/>
      <c r="D422" s="40"/>
      <c r="E422" s="40"/>
      <c r="F422" s="40"/>
      <c r="G422" s="40"/>
      <c r="H422" s="653"/>
      <c r="I422" s="159">
        <f t="shared" si="296"/>
        <v>0</v>
      </c>
      <c r="J422" s="650">
        <f>SUM(I422:I425,H422)</f>
        <v>0</v>
      </c>
      <c r="K422" s="40"/>
      <c r="L422" s="40"/>
      <c r="M422" s="653"/>
      <c r="N422" s="653"/>
      <c r="O422" s="633">
        <f>SUM(M422:N425)</f>
        <v>0</v>
      </c>
      <c r="P422" s="653"/>
      <c r="Q422" s="636">
        <f>M422*60</f>
        <v>0</v>
      </c>
      <c r="R422" s="657">
        <f>IF(
   COUNTIF(K422:K425,"SI")&gt;0,
   1.8,
   IF(
      COUNTIF(L422:L425,"SI")&gt;0,
      1.6,
      2
   )
)</f>
        <v>2</v>
      </c>
      <c r="S422" s="678">
        <f>IF(Q422=0,0,J422/Q422)</f>
        <v>0</v>
      </c>
      <c r="T422" s="646">
        <v>46161</v>
      </c>
      <c r="U422" s="40"/>
      <c r="V422" s="38">
        <v>685</v>
      </c>
      <c r="W422" s="38">
        <v>12401</v>
      </c>
      <c r="X422" s="38">
        <v>12500</v>
      </c>
      <c r="Y422" s="38">
        <v>0</v>
      </c>
      <c r="Z422" s="653">
        <v>5</v>
      </c>
      <c r="AA422" s="51">
        <f t="shared" si="297"/>
        <v>100</v>
      </c>
      <c r="AB422" s="650">
        <f>SUM(AA422:AA425)+Z422</f>
        <v>903</v>
      </c>
      <c r="AC422" s="38" t="s">
        <v>51</v>
      </c>
      <c r="AD422" s="38" t="s">
        <v>51</v>
      </c>
      <c r="AE422" s="636">
        <v>8</v>
      </c>
      <c r="AF422" s="636">
        <v>0.5</v>
      </c>
      <c r="AG422" s="633">
        <f>SUM(AE422:AF425)</f>
        <v>8.5</v>
      </c>
      <c r="AH422" s="636">
        <v>0</v>
      </c>
      <c r="AI422" s="637">
        <f>AE422*60</f>
        <v>480</v>
      </c>
      <c r="AJ422" s="640">
        <f>IF(
   COUNTIF(AC422:AC425,"SI")&gt;0,
   1.8,
   IF(
      COUNTIF(AD422:AD425,"SI")&gt;0,
      1.6,
      2
   )
)</f>
        <v>1.8</v>
      </c>
      <c r="AK422" s="641">
        <f>IF(AI422=0,0,AB422/AI422)</f>
        <v>1.8812500000000001</v>
      </c>
      <c r="AL422" s="646">
        <v>46161</v>
      </c>
      <c r="AM422" s="31"/>
      <c r="AN422" s="31"/>
      <c r="AO422" s="31"/>
      <c r="AP422" s="31"/>
      <c r="AQ422" s="31"/>
      <c r="AR422" s="653"/>
      <c r="AS422" s="159">
        <f t="shared" si="298"/>
        <v>0</v>
      </c>
      <c r="AT422" s="683">
        <f>SUM(AS422:AS425)+AR422</f>
        <v>0</v>
      </c>
      <c r="AU422" s="653"/>
      <c r="AV422" s="653"/>
      <c r="AW422" s="40"/>
      <c r="AX422" s="653"/>
      <c r="AY422" s="633">
        <f>SUM(AV422:AX425)</f>
        <v>0</v>
      </c>
      <c r="AZ422" s="636">
        <v>0.2</v>
      </c>
      <c r="BA422" s="636">
        <f t="shared" si="299"/>
        <v>0</v>
      </c>
      <c r="BB422" s="657">
        <f>IF(
   COUNTIF(AU422:AU425,"SI")&gt;0,
   1.8,
   IF(
      COUNTIF(AV422:AV425,"SI")&gt;0,
      1.6,
      2
   )
)</f>
        <v>2</v>
      </c>
      <c r="BC422" s="667">
        <f t="shared" si="300"/>
        <v>0</v>
      </c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18"/>
      <c r="BX422" s="118"/>
      <c r="BY422" s="118"/>
      <c r="BZ422" s="118"/>
      <c r="CA422" s="118"/>
      <c r="CB422" s="118"/>
      <c r="CC422" s="118"/>
      <c r="CD422" s="118"/>
      <c r="CE422" s="118"/>
      <c r="CF422" s="118"/>
      <c r="CG422" s="118"/>
      <c r="CH422" s="118"/>
      <c r="CI422" s="118"/>
      <c r="CJ422" s="118"/>
      <c r="CK422" s="118"/>
      <c r="CL422" s="118"/>
      <c r="CM422" s="118"/>
      <c r="CN422" s="92"/>
      <c r="CO422" s="93"/>
      <c r="CP422" s="93"/>
      <c r="CQ422" s="93"/>
      <c r="CR422" s="93"/>
      <c r="CS422" s="93"/>
      <c r="CT422" s="93"/>
      <c r="CU422" s="93"/>
      <c r="CV422" s="93"/>
      <c r="CW422" s="93"/>
      <c r="CX422" s="93"/>
      <c r="CY422" s="93"/>
      <c r="CZ422" s="93"/>
      <c r="DA422" s="93"/>
      <c r="DB422" s="93"/>
      <c r="DC422" s="94"/>
      <c r="DD422" s="118"/>
      <c r="DE422" s="118"/>
      <c r="DF422" s="118"/>
      <c r="DG422" s="118"/>
      <c r="DH422" s="118"/>
      <c r="DI422" s="118"/>
      <c r="DJ422" s="118"/>
      <c r="DK422" s="118"/>
      <c r="DL422" s="118"/>
      <c r="DM422" s="118"/>
      <c r="DN422" s="118"/>
      <c r="DO422" s="118"/>
      <c r="DP422" s="118"/>
      <c r="DQ422" s="118"/>
      <c r="DR422" s="118"/>
      <c r="DS422" s="118"/>
      <c r="DT422" s="118"/>
      <c r="DU422" s="19"/>
      <c r="DV422" s="19"/>
      <c r="DW422" s="19"/>
      <c r="DX422" s="19"/>
      <c r="DY422" s="19"/>
      <c r="DZ422" s="19"/>
    </row>
    <row r="423" spans="1:130" ht="12.75" x14ac:dyDescent="0.2">
      <c r="A423" s="647"/>
      <c r="B423" s="647"/>
      <c r="C423" s="40"/>
      <c r="D423" s="40"/>
      <c r="E423" s="40"/>
      <c r="F423" s="40"/>
      <c r="G423" s="40"/>
      <c r="H423" s="634"/>
      <c r="I423" s="159">
        <f t="shared" si="296"/>
        <v>0</v>
      </c>
      <c r="J423" s="634"/>
      <c r="K423" s="40"/>
      <c r="L423" s="40"/>
      <c r="M423" s="634"/>
      <c r="N423" s="634"/>
      <c r="O423" s="634"/>
      <c r="P423" s="634"/>
      <c r="Q423" s="634"/>
      <c r="R423" s="634"/>
      <c r="S423" s="659"/>
      <c r="T423" s="647"/>
      <c r="U423" s="40"/>
      <c r="V423" s="31">
        <v>689</v>
      </c>
      <c r="W423" s="31">
        <v>14003</v>
      </c>
      <c r="X423" s="31">
        <v>14500</v>
      </c>
      <c r="Y423" s="31">
        <v>0</v>
      </c>
      <c r="Z423" s="634"/>
      <c r="AA423" s="51">
        <f t="shared" si="297"/>
        <v>498</v>
      </c>
      <c r="AB423" s="634"/>
      <c r="AC423" s="38" t="s">
        <v>51</v>
      </c>
      <c r="AD423" s="38" t="s">
        <v>51</v>
      </c>
      <c r="AE423" s="634"/>
      <c r="AF423" s="634"/>
      <c r="AG423" s="634"/>
      <c r="AH423" s="634"/>
      <c r="AI423" s="638"/>
      <c r="AJ423" s="634"/>
      <c r="AK423" s="642"/>
      <c r="AL423" s="647"/>
      <c r="AM423" s="31"/>
      <c r="AN423" s="31"/>
      <c r="AO423" s="31"/>
      <c r="AP423" s="31"/>
      <c r="AQ423" s="31"/>
      <c r="AR423" s="634"/>
      <c r="AS423" s="159">
        <f t="shared" si="298"/>
        <v>0</v>
      </c>
      <c r="AT423" s="670"/>
      <c r="AU423" s="634"/>
      <c r="AV423" s="634"/>
      <c r="AW423" s="40"/>
      <c r="AX423" s="634"/>
      <c r="AY423" s="634"/>
      <c r="AZ423" s="634"/>
      <c r="BA423" s="634"/>
      <c r="BB423" s="634"/>
      <c r="BC423" s="634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18"/>
      <c r="BX423" s="118"/>
      <c r="BY423" s="118"/>
      <c r="BZ423" s="118"/>
      <c r="CA423" s="118"/>
      <c r="CB423" s="118"/>
      <c r="CC423" s="118"/>
      <c r="CD423" s="118"/>
      <c r="CE423" s="118"/>
      <c r="CF423" s="118"/>
      <c r="CG423" s="118"/>
      <c r="CH423" s="118"/>
      <c r="CI423" s="118"/>
      <c r="CJ423" s="118"/>
      <c r="CK423" s="118"/>
      <c r="CL423" s="118"/>
      <c r="CM423" s="118"/>
      <c r="CN423" s="92"/>
      <c r="CO423" s="93"/>
      <c r="CP423" s="93"/>
      <c r="CQ423" s="93"/>
      <c r="CR423" s="93"/>
      <c r="CS423" s="93"/>
      <c r="CT423" s="93"/>
      <c r="CU423" s="93"/>
      <c r="CV423" s="93"/>
      <c r="CW423" s="93"/>
      <c r="CX423" s="93"/>
      <c r="CY423" s="93"/>
      <c r="CZ423" s="93"/>
      <c r="DA423" s="93"/>
      <c r="DB423" s="93"/>
      <c r="DC423" s="94"/>
      <c r="DD423" s="118"/>
      <c r="DE423" s="118"/>
      <c r="DF423" s="118"/>
      <c r="DG423" s="118"/>
      <c r="DH423" s="118"/>
      <c r="DI423" s="118"/>
      <c r="DJ423" s="118"/>
      <c r="DK423" s="118"/>
      <c r="DL423" s="118"/>
      <c r="DM423" s="118"/>
      <c r="DN423" s="118"/>
      <c r="DO423" s="118"/>
      <c r="DP423" s="118"/>
      <c r="DQ423" s="118"/>
      <c r="DR423" s="118"/>
      <c r="DS423" s="118"/>
      <c r="DT423" s="118"/>
      <c r="DU423" s="19"/>
      <c r="DV423" s="19"/>
      <c r="DW423" s="19"/>
      <c r="DX423" s="19"/>
      <c r="DY423" s="19"/>
      <c r="DZ423" s="19"/>
    </row>
    <row r="424" spans="1:130" ht="12.75" x14ac:dyDescent="0.2">
      <c r="A424" s="647"/>
      <c r="B424" s="647"/>
      <c r="C424" s="40"/>
      <c r="D424" s="40"/>
      <c r="E424" s="40"/>
      <c r="F424" s="40"/>
      <c r="G424" s="40"/>
      <c r="H424" s="634"/>
      <c r="I424" s="159">
        <f t="shared" si="296"/>
        <v>0</v>
      </c>
      <c r="J424" s="634"/>
      <c r="K424" s="40"/>
      <c r="L424" s="40"/>
      <c r="M424" s="634"/>
      <c r="N424" s="634"/>
      <c r="O424" s="634"/>
      <c r="P424" s="634"/>
      <c r="Q424" s="634"/>
      <c r="R424" s="634"/>
      <c r="S424" s="659"/>
      <c r="T424" s="647"/>
      <c r="U424" s="40"/>
      <c r="V424" s="31">
        <v>690</v>
      </c>
      <c r="W424" s="31">
        <v>14501</v>
      </c>
      <c r="X424" s="31">
        <v>14800</v>
      </c>
      <c r="Y424" s="31">
        <v>0</v>
      </c>
      <c r="Z424" s="634"/>
      <c r="AA424" s="51">
        <f t="shared" si="297"/>
        <v>300</v>
      </c>
      <c r="AB424" s="634"/>
      <c r="AC424" s="38" t="s">
        <v>51</v>
      </c>
      <c r="AD424" s="38" t="s">
        <v>51</v>
      </c>
      <c r="AE424" s="634"/>
      <c r="AF424" s="634"/>
      <c r="AG424" s="634"/>
      <c r="AH424" s="634"/>
      <c r="AI424" s="638"/>
      <c r="AJ424" s="634"/>
      <c r="AK424" s="642"/>
      <c r="AL424" s="647"/>
      <c r="AM424" s="31"/>
      <c r="AN424" s="31"/>
      <c r="AO424" s="31"/>
      <c r="AP424" s="31"/>
      <c r="AQ424" s="159"/>
      <c r="AR424" s="634"/>
      <c r="AS424" s="159">
        <f t="shared" si="298"/>
        <v>0</v>
      </c>
      <c r="AT424" s="671"/>
      <c r="AU424" s="635"/>
      <c r="AV424" s="635"/>
      <c r="AW424" s="40"/>
      <c r="AX424" s="634"/>
      <c r="AY424" s="634"/>
      <c r="AZ424" s="634"/>
      <c r="BA424" s="634"/>
      <c r="BB424" s="634"/>
      <c r="BC424" s="635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18"/>
      <c r="BX424" s="118"/>
      <c r="BY424" s="118"/>
      <c r="BZ424" s="118"/>
      <c r="CA424" s="118"/>
      <c r="CB424" s="118"/>
      <c r="CC424" s="118"/>
      <c r="CD424" s="118"/>
      <c r="CE424" s="118"/>
      <c r="CF424" s="118"/>
      <c r="CG424" s="118"/>
      <c r="CH424" s="118"/>
      <c r="CI424" s="118"/>
      <c r="CJ424" s="118"/>
      <c r="CK424" s="118"/>
      <c r="CL424" s="118"/>
      <c r="CM424" s="118"/>
      <c r="CN424" s="92"/>
      <c r="CO424" s="93"/>
      <c r="CP424" s="93"/>
      <c r="CQ424" s="93"/>
      <c r="CR424" s="93"/>
      <c r="CS424" s="93"/>
      <c r="CT424" s="93"/>
      <c r="CU424" s="93"/>
      <c r="CV424" s="93"/>
      <c r="CW424" s="93"/>
      <c r="CX424" s="93"/>
      <c r="CY424" s="93"/>
      <c r="CZ424" s="93"/>
      <c r="DA424" s="93"/>
      <c r="DB424" s="93"/>
      <c r="DC424" s="94"/>
      <c r="DD424" s="118"/>
      <c r="DE424" s="118"/>
      <c r="DF424" s="118"/>
      <c r="DG424" s="118"/>
      <c r="DH424" s="118"/>
      <c r="DI424" s="118"/>
      <c r="DJ424" s="118"/>
      <c r="DK424" s="118"/>
      <c r="DL424" s="118"/>
      <c r="DM424" s="118"/>
      <c r="DN424" s="118"/>
      <c r="DO424" s="118"/>
      <c r="DP424" s="118"/>
      <c r="DQ424" s="118"/>
      <c r="DR424" s="118"/>
      <c r="DS424" s="118"/>
      <c r="DT424" s="118"/>
      <c r="DU424" s="19"/>
      <c r="DV424" s="19"/>
      <c r="DW424" s="19"/>
      <c r="DX424" s="19"/>
      <c r="DY424" s="19"/>
      <c r="DZ424" s="19"/>
    </row>
    <row r="425" spans="1:130" ht="12.75" x14ac:dyDescent="0.2">
      <c r="A425" s="648"/>
      <c r="B425" s="648"/>
      <c r="C425" s="40"/>
      <c r="D425" s="40"/>
      <c r="E425" s="40"/>
      <c r="F425" s="40"/>
      <c r="G425" s="40"/>
      <c r="H425" s="635"/>
      <c r="I425" s="159">
        <f t="shared" si="296"/>
        <v>0</v>
      </c>
      <c r="J425" s="635"/>
      <c r="K425" s="40"/>
      <c r="L425" s="40"/>
      <c r="M425" s="635"/>
      <c r="N425" s="635"/>
      <c r="O425" s="635"/>
      <c r="P425" s="635"/>
      <c r="Q425" s="635"/>
      <c r="R425" s="635"/>
      <c r="S425" s="660"/>
      <c r="T425" s="648"/>
      <c r="U425" s="40"/>
      <c r="V425" s="40"/>
      <c r="W425" s="40"/>
      <c r="X425" s="40"/>
      <c r="Y425" s="40"/>
      <c r="Z425" s="635"/>
      <c r="AA425" s="51">
        <f t="shared" si="297"/>
        <v>0</v>
      </c>
      <c r="AB425" s="634"/>
      <c r="AC425" s="40"/>
      <c r="AD425" s="40"/>
      <c r="AE425" s="634"/>
      <c r="AF425" s="635"/>
      <c r="AG425" s="635"/>
      <c r="AH425" s="635"/>
      <c r="AI425" s="638"/>
      <c r="AJ425" s="635"/>
      <c r="AK425" s="643"/>
      <c r="AL425" s="648"/>
      <c r="AM425" s="40"/>
      <c r="AN425" s="31"/>
      <c r="AO425" s="31"/>
      <c r="AP425" s="31"/>
      <c r="AQ425" s="40"/>
      <c r="AR425" s="635"/>
      <c r="AS425" s="159">
        <f t="shared" si="298"/>
        <v>0</v>
      </c>
      <c r="AT425" s="153"/>
      <c r="AU425" s="40"/>
      <c r="AV425" s="154"/>
      <c r="AW425" s="154"/>
      <c r="AX425" s="635"/>
      <c r="AY425" s="635"/>
      <c r="AZ425" s="635"/>
      <c r="BA425" s="154"/>
      <c r="BB425" s="635"/>
      <c r="BC425" s="155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18"/>
      <c r="BX425" s="118"/>
      <c r="BY425" s="118"/>
      <c r="BZ425" s="118"/>
      <c r="CA425" s="118"/>
      <c r="CB425" s="118"/>
      <c r="CC425" s="118"/>
      <c r="CD425" s="118"/>
      <c r="CE425" s="118"/>
      <c r="CF425" s="118"/>
      <c r="CG425" s="118"/>
      <c r="CH425" s="118"/>
      <c r="CI425" s="118"/>
      <c r="CJ425" s="118"/>
      <c r="CK425" s="118"/>
      <c r="CL425" s="118"/>
      <c r="CM425" s="118"/>
      <c r="CN425" s="92"/>
      <c r="CO425" s="93"/>
      <c r="CP425" s="93"/>
      <c r="CQ425" s="93"/>
      <c r="CR425" s="93"/>
      <c r="CS425" s="93"/>
      <c r="CT425" s="93"/>
      <c r="CU425" s="93"/>
      <c r="CV425" s="93"/>
      <c r="CW425" s="93"/>
      <c r="CX425" s="93"/>
      <c r="CY425" s="93"/>
      <c r="CZ425" s="93"/>
      <c r="DA425" s="93"/>
      <c r="DB425" s="93"/>
      <c r="DC425" s="94"/>
      <c r="DD425" s="118"/>
      <c r="DE425" s="118"/>
      <c r="DF425" s="118"/>
      <c r="DG425" s="118"/>
      <c r="DH425" s="118"/>
      <c r="DI425" s="118"/>
      <c r="DJ425" s="118"/>
      <c r="DK425" s="118"/>
      <c r="DL425" s="118"/>
      <c r="DM425" s="118"/>
      <c r="DN425" s="118"/>
      <c r="DO425" s="118"/>
      <c r="DP425" s="118"/>
      <c r="DQ425" s="118"/>
      <c r="DR425" s="118"/>
      <c r="DS425" s="118"/>
      <c r="DT425" s="118"/>
      <c r="DU425" s="19"/>
      <c r="DV425" s="19"/>
      <c r="DW425" s="19"/>
      <c r="DX425" s="19"/>
      <c r="DY425" s="19"/>
      <c r="DZ425" s="19"/>
    </row>
    <row r="426" spans="1:130" ht="12.75" x14ac:dyDescent="0.2">
      <c r="A426" s="654"/>
      <c r="B426" s="655">
        <v>46162</v>
      </c>
      <c r="C426" s="29"/>
      <c r="D426" s="29"/>
      <c r="E426" s="29"/>
      <c r="F426" s="29"/>
      <c r="G426" s="30"/>
      <c r="H426" s="649"/>
      <c r="I426" s="159">
        <f t="shared" si="296"/>
        <v>0</v>
      </c>
      <c r="J426" s="650">
        <f>SUM(I426:I429,H426)</f>
        <v>0</v>
      </c>
      <c r="K426" s="29"/>
      <c r="L426" s="29"/>
      <c r="M426" s="649"/>
      <c r="N426" s="649"/>
      <c r="O426" s="656">
        <f>SUM(M426:N429)</f>
        <v>0</v>
      </c>
      <c r="P426" s="649"/>
      <c r="Q426" s="644">
        <f>M426*60</f>
        <v>0</v>
      </c>
      <c r="R426" s="657">
        <f>IF(
   COUNTIF(K426:K429,"SI")&gt;0,
   1.8,
   IF(
      COUNTIF(L426:L429,"SI")&gt;0,
      1.6,
      2
   )
)</f>
        <v>2</v>
      </c>
      <c r="S426" s="658">
        <f>IF(Q426=0,0,J426/Q426)</f>
        <v>0</v>
      </c>
      <c r="T426" s="655">
        <v>46162</v>
      </c>
      <c r="U426" s="30"/>
      <c r="V426" s="28"/>
      <c r="W426" s="28"/>
      <c r="X426" s="28"/>
      <c r="Y426" s="29"/>
      <c r="Z426" s="640"/>
      <c r="AA426" s="51">
        <f t="shared" si="297"/>
        <v>0</v>
      </c>
      <c r="AB426" s="650">
        <f>SUM(AA426:AA429,Z426)</f>
        <v>0</v>
      </c>
      <c r="AC426" s="28"/>
      <c r="AD426" s="28"/>
      <c r="AE426" s="640"/>
      <c r="AF426" s="640"/>
      <c r="AG426" s="633">
        <f>SUM(AE426:AF429)</f>
        <v>0</v>
      </c>
      <c r="AH426" s="640">
        <v>0</v>
      </c>
      <c r="AI426" s="664">
        <f>AE426*60</f>
        <v>0</v>
      </c>
      <c r="AJ426" s="640">
        <f>IF(
   COUNTIF(AC426:AC429,"SI")&gt;0,
   1.8,
   IF(
      COUNTIF(AD426:AD429,"SI")&gt;0,
      1.6,
      2
   )
)</f>
        <v>2</v>
      </c>
      <c r="AK426" s="641">
        <f>IF(AI426=0,0,AB426/AI426)</f>
        <v>0</v>
      </c>
      <c r="AL426" s="655">
        <v>46162</v>
      </c>
      <c r="AM426" s="31">
        <f>125-AM423</f>
        <v>125</v>
      </c>
      <c r="AN426" s="31">
        <v>687</v>
      </c>
      <c r="AO426" s="31">
        <v>13333</v>
      </c>
      <c r="AP426" s="31">
        <v>13501</v>
      </c>
      <c r="AQ426" s="31">
        <v>3</v>
      </c>
      <c r="AR426" s="653"/>
      <c r="AS426" s="159">
        <f t="shared" si="298"/>
        <v>166</v>
      </c>
      <c r="AT426" s="650">
        <f>SUM(AS426:AS428,AR426)</f>
        <v>908</v>
      </c>
      <c r="AU426" s="653"/>
      <c r="AV426" s="653">
        <v>6</v>
      </c>
      <c r="AW426" s="31"/>
      <c r="AX426" s="653"/>
      <c r="AY426" s="633">
        <f>SUM(AV426:AX429)</f>
        <v>6</v>
      </c>
      <c r="AZ426" s="636">
        <v>0.4</v>
      </c>
      <c r="BA426" s="640">
        <f>AV426*60</f>
        <v>360</v>
      </c>
      <c r="BB426" s="657">
        <f>IF(
   COUNTIF(AU426:AU429,"SI")&gt;0,
   1.8,
   IF(
      COUNTIF(AV426:AV429,"SI")&gt;0,
      1.6,
      2
   )
)</f>
        <v>2</v>
      </c>
      <c r="BC426" s="666">
        <f>IF(BA426=0,0,AT426/BA426)</f>
        <v>2.5222222222222221</v>
      </c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18"/>
      <c r="BX426" s="118"/>
      <c r="BY426" s="118"/>
      <c r="BZ426" s="118"/>
      <c r="CA426" s="118"/>
      <c r="CB426" s="118"/>
      <c r="CC426" s="118"/>
      <c r="CD426" s="118"/>
      <c r="CE426" s="118"/>
      <c r="CF426" s="118"/>
      <c r="CG426" s="118"/>
      <c r="CH426" s="118"/>
      <c r="CI426" s="118"/>
      <c r="CJ426" s="118"/>
      <c r="CK426" s="118"/>
      <c r="CL426" s="118"/>
      <c r="CM426" s="118"/>
      <c r="CN426" s="92"/>
      <c r="CO426" s="93"/>
      <c r="CP426" s="93"/>
      <c r="CQ426" s="93"/>
      <c r="CR426" s="93"/>
      <c r="CS426" s="93"/>
      <c r="CT426" s="93"/>
      <c r="CU426" s="93"/>
      <c r="CV426" s="93"/>
      <c r="CW426" s="93"/>
      <c r="CX426" s="93"/>
      <c r="CY426" s="93"/>
      <c r="CZ426" s="93"/>
      <c r="DA426" s="93"/>
      <c r="DB426" s="93"/>
      <c r="DC426" s="94"/>
      <c r="DD426" s="118"/>
      <c r="DE426" s="118"/>
      <c r="DF426" s="118"/>
      <c r="DG426" s="118"/>
      <c r="DH426" s="118"/>
      <c r="DI426" s="118"/>
      <c r="DJ426" s="118"/>
      <c r="DK426" s="118"/>
      <c r="DL426" s="118"/>
      <c r="DM426" s="118"/>
      <c r="DN426" s="118"/>
      <c r="DO426" s="118"/>
      <c r="DP426" s="118"/>
      <c r="DQ426" s="118"/>
      <c r="DR426" s="118"/>
      <c r="DS426" s="118"/>
      <c r="DT426" s="118"/>
      <c r="DU426" s="19"/>
      <c r="DV426" s="19"/>
      <c r="DW426" s="19"/>
      <c r="DX426" s="19"/>
      <c r="DY426" s="19"/>
      <c r="DZ426" s="19"/>
    </row>
    <row r="427" spans="1:130" ht="12.75" x14ac:dyDescent="0.2">
      <c r="A427" s="647"/>
      <c r="B427" s="647"/>
      <c r="C427" s="29"/>
      <c r="D427" s="29"/>
      <c r="E427" s="29"/>
      <c r="F427" s="29"/>
      <c r="G427" s="30"/>
      <c r="H427" s="634"/>
      <c r="I427" s="159">
        <f t="shared" si="296"/>
        <v>0</v>
      </c>
      <c r="J427" s="634"/>
      <c r="K427" s="30"/>
      <c r="L427" s="30"/>
      <c r="M427" s="634"/>
      <c r="N427" s="634"/>
      <c r="O427" s="634"/>
      <c r="P427" s="634"/>
      <c r="Q427" s="634"/>
      <c r="R427" s="634"/>
      <c r="S427" s="659"/>
      <c r="T427" s="647"/>
      <c r="U427" s="30"/>
      <c r="V427" s="28"/>
      <c r="W427" s="28"/>
      <c r="X427" s="28"/>
      <c r="Y427" s="29"/>
      <c r="Z427" s="634"/>
      <c r="AA427" s="51">
        <f t="shared" si="297"/>
        <v>0</v>
      </c>
      <c r="AB427" s="634"/>
      <c r="AC427" s="28"/>
      <c r="AD427" s="28"/>
      <c r="AE427" s="634"/>
      <c r="AF427" s="634"/>
      <c r="AG427" s="634"/>
      <c r="AH427" s="634"/>
      <c r="AI427" s="638"/>
      <c r="AJ427" s="634"/>
      <c r="AK427" s="642"/>
      <c r="AL427" s="647"/>
      <c r="AM427" s="31">
        <v>130</v>
      </c>
      <c r="AN427" s="31">
        <v>688</v>
      </c>
      <c r="AO427" s="31">
        <v>13502</v>
      </c>
      <c r="AP427" s="31">
        <v>14002</v>
      </c>
      <c r="AQ427" s="31">
        <v>8</v>
      </c>
      <c r="AR427" s="634"/>
      <c r="AS427" s="159">
        <f t="shared" si="298"/>
        <v>493</v>
      </c>
      <c r="AT427" s="634"/>
      <c r="AU427" s="634"/>
      <c r="AV427" s="634"/>
      <c r="AW427" s="31"/>
      <c r="AX427" s="634"/>
      <c r="AY427" s="634"/>
      <c r="AZ427" s="634"/>
      <c r="BA427" s="634"/>
      <c r="BB427" s="634"/>
      <c r="BC427" s="634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18"/>
      <c r="BX427" s="118"/>
      <c r="BY427" s="118"/>
      <c r="BZ427" s="118"/>
      <c r="CA427" s="118"/>
      <c r="CB427" s="118"/>
      <c r="CC427" s="118"/>
      <c r="CD427" s="118"/>
      <c r="CE427" s="118"/>
      <c r="CF427" s="118"/>
      <c r="CG427" s="118"/>
      <c r="CH427" s="118"/>
      <c r="CI427" s="118"/>
      <c r="CJ427" s="118"/>
      <c r="CK427" s="118"/>
      <c r="CL427" s="118"/>
      <c r="CM427" s="118"/>
      <c r="CN427" s="92"/>
      <c r="CO427" s="93"/>
      <c r="CP427" s="93"/>
      <c r="CQ427" s="93"/>
      <c r="CR427" s="93"/>
      <c r="CS427" s="93"/>
      <c r="CT427" s="93"/>
      <c r="CU427" s="93"/>
      <c r="CV427" s="93"/>
      <c r="CW427" s="93"/>
      <c r="CX427" s="93"/>
      <c r="CY427" s="93"/>
      <c r="CZ427" s="93"/>
      <c r="DA427" s="93"/>
      <c r="DB427" s="93"/>
      <c r="DC427" s="94"/>
      <c r="DD427" s="118"/>
      <c r="DE427" s="118"/>
      <c r="DF427" s="118"/>
      <c r="DG427" s="118"/>
      <c r="DH427" s="118"/>
      <c r="DI427" s="118"/>
      <c r="DJ427" s="118"/>
      <c r="DK427" s="118"/>
      <c r="DL427" s="118"/>
      <c r="DM427" s="118"/>
      <c r="DN427" s="118"/>
      <c r="DO427" s="118"/>
      <c r="DP427" s="118"/>
      <c r="DQ427" s="118"/>
      <c r="DR427" s="118"/>
      <c r="DS427" s="118"/>
      <c r="DT427" s="118"/>
      <c r="DU427" s="19"/>
      <c r="DV427" s="19"/>
      <c r="DW427" s="19"/>
      <c r="DX427" s="19"/>
      <c r="DY427" s="19"/>
      <c r="DZ427" s="19"/>
    </row>
    <row r="428" spans="1:130" ht="12.75" x14ac:dyDescent="0.2">
      <c r="A428" s="647"/>
      <c r="B428" s="647"/>
      <c r="C428" s="30"/>
      <c r="D428" s="30"/>
      <c r="E428" s="30"/>
      <c r="F428" s="30"/>
      <c r="G428" s="30"/>
      <c r="H428" s="634"/>
      <c r="I428" s="159">
        <f t="shared" si="296"/>
        <v>0</v>
      </c>
      <c r="J428" s="634"/>
      <c r="K428" s="30"/>
      <c r="L428" s="30"/>
      <c r="M428" s="634"/>
      <c r="N428" s="634"/>
      <c r="O428" s="634"/>
      <c r="P428" s="634"/>
      <c r="Q428" s="634"/>
      <c r="R428" s="634"/>
      <c r="S428" s="659"/>
      <c r="T428" s="647"/>
      <c r="U428" s="30"/>
      <c r="V428" s="28"/>
      <c r="W428" s="28"/>
      <c r="X428" s="28"/>
      <c r="Y428" s="29"/>
      <c r="Z428" s="634"/>
      <c r="AA428" s="51">
        <f t="shared" si="297"/>
        <v>0</v>
      </c>
      <c r="AB428" s="634"/>
      <c r="AC428" s="51"/>
      <c r="AD428" s="51"/>
      <c r="AE428" s="634"/>
      <c r="AF428" s="634"/>
      <c r="AG428" s="634"/>
      <c r="AH428" s="634"/>
      <c r="AI428" s="638"/>
      <c r="AJ428" s="634"/>
      <c r="AK428" s="642"/>
      <c r="AL428" s="647"/>
      <c r="AM428" s="31">
        <v>86</v>
      </c>
      <c r="AN428" s="31">
        <v>691</v>
      </c>
      <c r="AO428" s="31">
        <v>15002</v>
      </c>
      <c r="AP428" s="31">
        <v>15250</v>
      </c>
      <c r="AQ428" s="159"/>
      <c r="AR428" s="634"/>
      <c r="AS428" s="159">
        <f t="shared" si="298"/>
        <v>249</v>
      </c>
      <c r="AT428" s="635"/>
      <c r="AU428" s="635"/>
      <c r="AV428" s="635"/>
      <c r="AW428" s="31"/>
      <c r="AX428" s="634"/>
      <c r="AY428" s="634"/>
      <c r="AZ428" s="634"/>
      <c r="BA428" s="634"/>
      <c r="BB428" s="634"/>
      <c r="BC428" s="634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18"/>
      <c r="BX428" s="118"/>
      <c r="BY428" s="118"/>
      <c r="BZ428" s="118"/>
      <c r="CA428" s="118"/>
      <c r="CB428" s="118"/>
      <c r="CC428" s="118"/>
      <c r="CD428" s="118"/>
      <c r="CE428" s="118"/>
      <c r="CF428" s="118"/>
      <c r="CG428" s="118"/>
      <c r="CH428" s="118"/>
      <c r="CI428" s="118"/>
      <c r="CJ428" s="118"/>
      <c r="CK428" s="118"/>
      <c r="CL428" s="118"/>
      <c r="CM428" s="118"/>
      <c r="CN428" s="92"/>
      <c r="CO428" s="93"/>
      <c r="CP428" s="93"/>
      <c r="CQ428" s="93"/>
      <c r="CR428" s="93"/>
      <c r="CS428" s="93"/>
      <c r="CT428" s="93"/>
      <c r="CU428" s="93"/>
      <c r="CV428" s="93"/>
      <c r="CW428" s="93"/>
      <c r="CX428" s="93"/>
      <c r="CY428" s="93"/>
      <c r="CZ428" s="93"/>
      <c r="DA428" s="93"/>
      <c r="DB428" s="93"/>
      <c r="DC428" s="94"/>
      <c r="DD428" s="118"/>
      <c r="DE428" s="118"/>
      <c r="DF428" s="118"/>
      <c r="DG428" s="118"/>
      <c r="DH428" s="118"/>
      <c r="DI428" s="118"/>
      <c r="DJ428" s="118"/>
      <c r="DK428" s="118"/>
      <c r="DL428" s="118"/>
      <c r="DM428" s="118"/>
      <c r="DN428" s="118"/>
      <c r="DO428" s="118"/>
      <c r="DP428" s="118"/>
      <c r="DQ428" s="118"/>
      <c r="DR428" s="118"/>
      <c r="DS428" s="118"/>
      <c r="DT428" s="118"/>
      <c r="DU428" s="19"/>
      <c r="DV428" s="19"/>
      <c r="DW428" s="19"/>
      <c r="DX428" s="19"/>
      <c r="DY428" s="19"/>
      <c r="DZ428" s="19"/>
    </row>
    <row r="429" spans="1:130" ht="12.75" x14ac:dyDescent="0.2">
      <c r="A429" s="648"/>
      <c r="B429" s="648"/>
      <c r="C429" s="30"/>
      <c r="D429" s="30"/>
      <c r="E429" s="30"/>
      <c r="F429" s="30"/>
      <c r="G429" s="30"/>
      <c r="H429" s="635"/>
      <c r="I429" s="159">
        <f t="shared" si="296"/>
        <v>0</v>
      </c>
      <c r="J429" s="635"/>
      <c r="K429" s="30"/>
      <c r="L429" s="30"/>
      <c r="M429" s="635"/>
      <c r="N429" s="635"/>
      <c r="O429" s="635"/>
      <c r="P429" s="635"/>
      <c r="Q429" s="635"/>
      <c r="R429" s="635"/>
      <c r="S429" s="660"/>
      <c r="T429" s="648"/>
      <c r="U429" s="30"/>
      <c r="V429" s="30"/>
      <c r="W429" s="30"/>
      <c r="X429" s="30"/>
      <c r="Y429" s="30"/>
      <c r="Z429" s="635"/>
      <c r="AA429" s="51">
        <f t="shared" si="297"/>
        <v>0</v>
      </c>
      <c r="AB429" s="635"/>
      <c r="AC429" s="30"/>
      <c r="AD429" s="30"/>
      <c r="AE429" s="635"/>
      <c r="AF429" s="635"/>
      <c r="AG429" s="635"/>
      <c r="AH429" s="635"/>
      <c r="AI429" s="638"/>
      <c r="AJ429" s="635"/>
      <c r="AK429" s="643"/>
      <c r="AL429" s="648"/>
      <c r="AM429" s="29"/>
      <c r="AN429" s="31"/>
      <c r="AO429" s="31"/>
      <c r="AP429" s="31"/>
      <c r="AQ429" s="40"/>
      <c r="AR429" s="635"/>
      <c r="AS429" s="159"/>
      <c r="AT429" s="153">
        <f>AS429</f>
        <v>0</v>
      </c>
      <c r="AU429" s="31"/>
      <c r="AV429" s="35"/>
      <c r="AW429" s="35"/>
      <c r="AX429" s="635"/>
      <c r="AY429" s="635"/>
      <c r="AZ429" s="635"/>
      <c r="BA429" s="147">
        <f t="shared" ref="BA429:BA430" si="301">AV429*60</f>
        <v>0</v>
      </c>
      <c r="BB429" s="165"/>
      <c r="BC429" s="95">
        <f t="shared" ref="BC429:BC430" si="302">IF(BA429=0,0,AT429/BA429)</f>
        <v>0</v>
      </c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18"/>
      <c r="BX429" s="118"/>
      <c r="BY429" s="118"/>
      <c r="BZ429" s="118"/>
      <c r="CA429" s="118"/>
      <c r="CB429" s="118"/>
      <c r="CC429" s="118"/>
      <c r="CD429" s="118"/>
      <c r="CE429" s="118"/>
      <c r="CF429" s="118"/>
      <c r="CG429" s="118"/>
      <c r="CH429" s="118"/>
      <c r="CI429" s="118"/>
      <c r="CJ429" s="118"/>
      <c r="CK429" s="118"/>
      <c r="CL429" s="118"/>
      <c r="CM429" s="118"/>
      <c r="CN429" s="92"/>
      <c r="CO429" s="93"/>
      <c r="CP429" s="93"/>
      <c r="CQ429" s="93"/>
      <c r="CR429" s="93"/>
      <c r="CS429" s="93"/>
      <c r="CT429" s="93"/>
      <c r="CU429" s="93"/>
      <c r="CV429" s="93"/>
      <c r="CW429" s="93"/>
      <c r="CX429" s="93"/>
      <c r="CY429" s="93"/>
      <c r="CZ429" s="93"/>
      <c r="DA429" s="93"/>
      <c r="DB429" s="93"/>
      <c r="DC429" s="94"/>
      <c r="DD429" s="118"/>
      <c r="DE429" s="118"/>
      <c r="DF429" s="118"/>
      <c r="DG429" s="118"/>
      <c r="DH429" s="118"/>
      <c r="DI429" s="118"/>
      <c r="DJ429" s="118"/>
      <c r="DK429" s="118"/>
      <c r="DL429" s="118"/>
      <c r="DM429" s="118"/>
      <c r="DN429" s="118"/>
      <c r="DO429" s="118"/>
      <c r="DP429" s="118"/>
      <c r="DQ429" s="118"/>
      <c r="DR429" s="118"/>
      <c r="DS429" s="118"/>
      <c r="DT429" s="118"/>
      <c r="DU429" s="19"/>
      <c r="DV429" s="19"/>
      <c r="DW429" s="19"/>
      <c r="DX429" s="19"/>
      <c r="DY429" s="19"/>
      <c r="DZ429" s="19"/>
    </row>
    <row r="430" spans="1:130" ht="12.75" x14ac:dyDescent="0.2">
      <c r="A430" s="651"/>
      <c r="B430" s="646">
        <v>46163</v>
      </c>
      <c r="C430" s="31"/>
      <c r="D430" s="31">
        <v>682</v>
      </c>
      <c r="E430" s="31">
        <v>10734</v>
      </c>
      <c r="F430" s="31">
        <v>11000</v>
      </c>
      <c r="G430" s="142"/>
      <c r="H430" s="652"/>
      <c r="I430" s="159">
        <f t="shared" si="296"/>
        <v>267</v>
      </c>
      <c r="J430" s="650">
        <f>SUM(I430:I433,H430)</f>
        <v>887</v>
      </c>
      <c r="K430" s="40"/>
      <c r="L430" s="40"/>
      <c r="M430" s="653">
        <v>7.1</v>
      </c>
      <c r="N430" s="653">
        <v>0.9</v>
      </c>
      <c r="O430" s="633">
        <f>SUM(M430:N433)</f>
        <v>8</v>
      </c>
      <c r="P430" s="653"/>
      <c r="Q430" s="636">
        <f>M430*60</f>
        <v>426</v>
      </c>
      <c r="R430" s="657">
        <f>IF(
   COUNTIF(K430:K433,"SI")&gt;0,
   1.8,
   IF(
      COUNTIF(L430:L433,"SI")&gt;0,
      1.6,
      2
   )
)</f>
        <v>2</v>
      </c>
      <c r="S430" s="658">
        <f>IF(Q430=0,0,J430/Q430)</f>
        <v>2.0821596244131455</v>
      </c>
      <c r="T430" s="646">
        <v>46163</v>
      </c>
      <c r="U430" s="40"/>
      <c r="V430" s="31">
        <v>690</v>
      </c>
      <c r="W430" s="31">
        <v>14801</v>
      </c>
      <c r="X430" s="31">
        <v>15000</v>
      </c>
      <c r="Y430" s="31"/>
      <c r="Z430" s="653"/>
      <c r="AA430" s="51">
        <f t="shared" si="297"/>
        <v>200</v>
      </c>
      <c r="AB430" s="650">
        <f>SUM(AA430:AA433,Z430)</f>
        <v>667</v>
      </c>
      <c r="AC430" s="31" t="s">
        <v>51</v>
      </c>
      <c r="AD430" s="31" t="s">
        <v>51</v>
      </c>
      <c r="AE430" s="653">
        <v>6</v>
      </c>
      <c r="AF430" s="636">
        <v>0.5</v>
      </c>
      <c r="AG430" s="633">
        <f>SUM(AE430:AF433)</f>
        <v>6.5</v>
      </c>
      <c r="AH430" s="636">
        <v>0</v>
      </c>
      <c r="AI430" s="637">
        <f>AE430*60</f>
        <v>360</v>
      </c>
      <c r="AJ430" s="640">
        <f>IF(
   COUNTIF(AC430:AC433,"SI")&gt;0,
   1.8,
   IF(
      COUNTIF(AD430:AD433,"SI")&gt;0,
      1.6,
      2
   )
)</f>
        <v>1.8</v>
      </c>
      <c r="AK430" s="641">
        <f>IF(AI430=0,0,AB430/AI430)</f>
        <v>1.8527777777777779</v>
      </c>
      <c r="AL430" s="646">
        <v>46163</v>
      </c>
      <c r="AM430" s="28">
        <v>3</v>
      </c>
      <c r="AN430" s="31">
        <v>483</v>
      </c>
      <c r="AO430" s="31">
        <v>17941</v>
      </c>
      <c r="AP430" s="31">
        <v>18004</v>
      </c>
      <c r="AQ430" s="28"/>
      <c r="AR430" s="649"/>
      <c r="AS430" s="159">
        <f t="shared" ref="AS430:AS432" si="303">IF(AO430=0,0,AP430-AO430+1-AQ430)</f>
        <v>64</v>
      </c>
      <c r="AT430" s="650">
        <f>SUM(AS430:AS432)+AR430</f>
        <v>751</v>
      </c>
      <c r="AU430" s="38" t="s">
        <v>52</v>
      </c>
      <c r="AV430" s="640">
        <v>4</v>
      </c>
      <c r="AW430" s="28" t="s">
        <v>52</v>
      </c>
      <c r="AX430" s="640">
        <v>4</v>
      </c>
      <c r="AY430" s="633">
        <f>SUM(AV430:AV432,AX430)</f>
        <v>8</v>
      </c>
      <c r="AZ430" s="636">
        <v>0.1</v>
      </c>
      <c r="BA430" s="636">
        <f t="shared" si="301"/>
        <v>240</v>
      </c>
      <c r="BB430" s="644">
        <f>IF(
   COUNTIF(AU430:AU431,"SI")&gt;0,
   1.8,
   IF(
      COUNTIF(AW430:AW431,"SI")&gt;0,
      1.6,
      2
   )
)</f>
        <v>2</v>
      </c>
      <c r="BC430" s="645">
        <f t="shared" si="302"/>
        <v>3.1291666666666669</v>
      </c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18"/>
      <c r="BX430" s="118"/>
      <c r="BY430" s="118"/>
      <c r="BZ430" s="118"/>
      <c r="CA430" s="118"/>
      <c r="CB430" s="118"/>
      <c r="CC430" s="118"/>
      <c r="CD430" s="118"/>
      <c r="CE430" s="118"/>
      <c r="CF430" s="118"/>
      <c r="CG430" s="118"/>
      <c r="CH430" s="118"/>
      <c r="CI430" s="118"/>
      <c r="CJ430" s="118"/>
      <c r="CK430" s="118"/>
      <c r="CL430" s="118"/>
      <c r="CM430" s="118"/>
      <c r="CN430" s="92"/>
      <c r="CO430" s="93"/>
      <c r="CP430" s="93"/>
      <c r="CQ430" s="93"/>
      <c r="CR430" s="93"/>
      <c r="CS430" s="93"/>
      <c r="CT430" s="93"/>
      <c r="CU430" s="93"/>
      <c r="CV430" s="93"/>
      <c r="CW430" s="93"/>
      <c r="CX430" s="93"/>
      <c r="CY430" s="93"/>
      <c r="CZ430" s="93"/>
      <c r="DA430" s="93"/>
      <c r="DB430" s="93"/>
      <c r="DC430" s="94"/>
      <c r="DD430" s="118"/>
      <c r="DE430" s="118"/>
      <c r="DF430" s="118"/>
      <c r="DG430" s="118"/>
      <c r="DH430" s="118"/>
      <c r="DI430" s="118"/>
      <c r="DJ430" s="118"/>
      <c r="DK430" s="118"/>
      <c r="DL430" s="118"/>
      <c r="DM430" s="118"/>
      <c r="DN430" s="118"/>
      <c r="DO430" s="118"/>
      <c r="DP430" s="118"/>
      <c r="DQ430" s="118"/>
      <c r="DR430" s="118"/>
      <c r="DS430" s="118"/>
      <c r="DT430" s="118"/>
      <c r="DU430" s="19"/>
      <c r="DV430" s="19"/>
      <c r="DW430" s="19"/>
      <c r="DX430" s="19"/>
      <c r="DY430" s="19"/>
      <c r="DZ430" s="19"/>
    </row>
    <row r="431" spans="1:130" ht="12.75" x14ac:dyDescent="0.2">
      <c r="A431" s="647"/>
      <c r="B431" s="647"/>
      <c r="C431" s="40"/>
      <c r="D431" s="31">
        <v>485</v>
      </c>
      <c r="E431" s="31">
        <v>18771</v>
      </c>
      <c r="F431" s="31">
        <v>19000</v>
      </c>
      <c r="G431" s="40"/>
      <c r="H431" s="634"/>
      <c r="I431" s="159">
        <f t="shared" si="296"/>
        <v>230</v>
      </c>
      <c r="J431" s="634"/>
      <c r="K431" s="40"/>
      <c r="L431" s="40"/>
      <c r="M431" s="634"/>
      <c r="N431" s="634"/>
      <c r="O431" s="634"/>
      <c r="P431" s="634"/>
      <c r="Q431" s="634"/>
      <c r="R431" s="634"/>
      <c r="S431" s="659"/>
      <c r="T431" s="647"/>
      <c r="U431" s="40"/>
      <c r="V431" s="31">
        <v>693</v>
      </c>
      <c r="W431" s="31">
        <v>16012</v>
      </c>
      <c r="X431" s="31">
        <v>16478</v>
      </c>
      <c r="Y431" s="31"/>
      <c r="Z431" s="634"/>
      <c r="AA431" s="51">
        <f t="shared" si="297"/>
        <v>467</v>
      </c>
      <c r="AB431" s="634"/>
      <c r="AC431" s="31" t="s">
        <v>51</v>
      </c>
      <c r="AD431" s="31" t="s">
        <v>51</v>
      </c>
      <c r="AE431" s="634"/>
      <c r="AF431" s="634"/>
      <c r="AG431" s="634"/>
      <c r="AH431" s="634"/>
      <c r="AI431" s="638"/>
      <c r="AJ431" s="634"/>
      <c r="AK431" s="642"/>
      <c r="AL431" s="647"/>
      <c r="AM431" s="28">
        <v>62</v>
      </c>
      <c r="AN431" s="28">
        <v>482</v>
      </c>
      <c r="AO431" s="28">
        <v>17003</v>
      </c>
      <c r="AP431" s="28">
        <v>17501</v>
      </c>
      <c r="AQ431" s="29"/>
      <c r="AR431" s="634"/>
      <c r="AS431" s="159">
        <f t="shared" si="303"/>
        <v>499</v>
      </c>
      <c r="AT431" s="634"/>
      <c r="AU431" s="38" t="s">
        <v>52</v>
      </c>
      <c r="AV431" s="634"/>
      <c r="AW431" s="28" t="s">
        <v>52</v>
      </c>
      <c r="AX431" s="634"/>
      <c r="AY431" s="634"/>
      <c r="AZ431" s="634"/>
      <c r="BA431" s="635"/>
      <c r="BB431" s="634"/>
      <c r="BC431" s="634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18"/>
      <c r="BX431" s="118"/>
      <c r="BY431" s="118"/>
      <c r="BZ431" s="118"/>
      <c r="CA431" s="118"/>
      <c r="CB431" s="118"/>
      <c r="CC431" s="118"/>
      <c r="CD431" s="118"/>
      <c r="CE431" s="118"/>
      <c r="CF431" s="118"/>
      <c r="CG431" s="118"/>
      <c r="CH431" s="118"/>
      <c r="CI431" s="118"/>
      <c r="CJ431" s="118"/>
      <c r="CK431" s="118"/>
      <c r="CL431" s="118"/>
      <c r="CM431" s="118"/>
      <c r="CN431" s="92"/>
      <c r="CO431" s="93"/>
      <c r="CP431" s="93"/>
      <c r="CQ431" s="93"/>
      <c r="CR431" s="93"/>
      <c r="CS431" s="93"/>
      <c r="CT431" s="93"/>
      <c r="CU431" s="93"/>
      <c r="CV431" s="93"/>
      <c r="CW431" s="93"/>
      <c r="CX431" s="93"/>
      <c r="CY431" s="93"/>
      <c r="CZ431" s="93"/>
      <c r="DA431" s="93"/>
      <c r="DB431" s="93"/>
      <c r="DC431" s="94"/>
      <c r="DD431" s="118"/>
      <c r="DE431" s="118"/>
      <c r="DF431" s="118"/>
      <c r="DG431" s="118"/>
      <c r="DH431" s="118"/>
      <c r="DI431" s="118"/>
      <c r="DJ431" s="118"/>
      <c r="DK431" s="118"/>
      <c r="DL431" s="118"/>
      <c r="DM431" s="118"/>
      <c r="DN431" s="118"/>
      <c r="DO431" s="118"/>
      <c r="DP431" s="118"/>
      <c r="DQ431" s="118"/>
      <c r="DR431" s="118"/>
      <c r="DS431" s="118"/>
      <c r="DT431" s="118"/>
      <c r="DU431" s="19"/>
      <c r="DV431" s="19"/>
      <c r="DW431" s="19"/>
      <c r="DX431" s="19"/>
      <c r="DY431" s="19"/>
      <c r="DZ431" s="19"/>
    </row>
    <row r="432" spans="1:130" ht="12.75" x14ac:dyDescent="0.2">
      <c r="A432" s="647"/>
      <c r="B432" s="647"/>
      <c r="C432" s="40"/>
      <c r="D432" s="31">
        <v>481</v>
      </c>
      <c r="E432" s="31">
        <v>16501</v>
      </c>
      <c r="F432" s="31">
        <v>16890</v>
      </c>
      <c r="G432" s="160"/>
      <c r="H432" s="634"/>
      <c r="I432" s="159">
        <f t="shared" si="296"/>
        <v>390</v>
      </c>
      <c r="J432" s="634"/>
      <c r="K432" s="40"/>
      <c r="L432" s="40"/>
      <c r="M432" s="634"/>
      <c r="N432" s="634"/>
      <c r="O432" s="634"/>
      <c r="P432" s="634"/>
      <c r="Q432" s="634"/>
      <c r="R432" s="634"/>
      <c r="S432" s="659"/>
      <c r="T432" s="647"/>
      <c r="U432" s="40"/>
      <c r="V432" s="31"/>
      <c r="W432" s="31"/>
      <c r="X432" s="31"/>
      <c r="Y432" s="40"/>
      <c r="Z432" s="634"/>
      <c r="AA432" s="51">
        <f t="shared" si="297"/>
        <v>0</v>
      </c>
      <c r="AB432" s="634"/>
      <c r="AC432" s="31"/>
      <c r="AD432" s="31"/>
      <c r="AE432" s="634"/>
      <c r="AF432" s="634"/>
      <c r="AG432" s="634"/>
      <c r="AH432" s="634"/>
      <c r="AI432" s="638"/>
      <c r="AJ432" s="634"/>
      <c r="AK432" s="642"/>
      <c r="AL432" s="647"/>
      <c r="AM432" s="41"/>
      <c r="AN432" s="41">
        <v>480</v>
      </c>
      <c r="AO432" s="41">
        <v>16005</v>
      </c>
      <c r="AP432" s="41">
        <v>16192</v>
      </c>
      <c r="AQ432" s="41"/>
      <c r="AR432" s="634"/>
      <c r="AS432" s="159">
        <f t="shared" si="303"/>
        <v>188</v>
      </c>
      <c r="AT432" s="635"/>
      <c r="AU432" s="152" t="s">
        <v>52</v>
      </c>
      <c r="AV432" s="28"/>
      <c r="AW432" s="152" t="s">
        <v>52</v>
      </c>
      <c r="AX432" s="634"/>
      <c r="AY432" s="634"/>
      <c r="AZ432" s="634"/>
      <c r="BA432" s="150">
        <f>AV432*60</f>
        <v>0</v>
      </c>
      <c r="BB432" s="156"/>
      <c r="BC432" s="95">
        <f>IF(BA432=0,0,AT432/BA432)</f>
        <v>0</v>
      </c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18"/>
      <c r="BX432" s="118"/>
      <c r="BY432" s="118"/>
      <c r="BZ432" s="118"/>
      <c r="CA432" s="118"/>
      <c r="CB432" s="118"/>
      <c r="CC432" s="118"/>
      <c r="CD432" s="118"/>
      <c r="CE432" s="118"/>
      <c r="CF432" s="118"/>
      <c r="CG432" s="118"/>
      <c r="CH432" s="118"/>
      <c r="CI432" s="118"/>
      <c r="CJ432" s="118"/>
      <c r="CK432" s="118"/>
      <c r="CL432" s="118"/>
      <c r="CM432" s="118"/>
      <c r="CN432" s="92"/>
      <c r="CO432" s="93"/>
      <c r="CP432" s="93"/>
      <c r="CQ432" s="93"/>
      <c r="CR432" s="93"/>
      <c r="CS432" s="93"/>
      <c r="CT432" s="93"/>
      <c r="CU432" s="93"/>
      <c r="CV432" s="93"/>
      <c r="CW432" s="93"/>
      <c r="CX432" s="93"/>
      <c r="CY432" s="93"/>
      <c r="CZ432" s="93"/>
      <c r="DA432" s="93"/>
      <c r="DB432" s="93"/>
      <c r="DC432" s="94"/>
      <c r="DD432" s="118"/>
      <c r="DE432" s="118"/>
      <c r="DF432" s="118"/>
      <c r="DG432" s="118"/>
      <c r="DH432" s="118"/>
      <c r="DI432" s="118"/>
      <c r="DJ432" s="118"/>
      <c r="DK432" s="118"/>
      <c r="DL432" s="118"/>
      <c r="DM432" s="118"/>
      <c r="DN432" s="118"/>
      <c r="DO432" s="118"/>
      <c r="DP432" s="118"/>
      <c r="DQ432" s="118"/>
      <c r="DR432" s="118"/>
      <c r="DS432" s="118"/>
      <c r="DT432" s="118"/>
      <c r="DU432" s="19"/>
      <c r="DV432" s="19"/>
      <c r="DW432" s="19"/>
      <c r="DX432" s="19"/>
      <c r="DY432" s="19"/>
      <c r="DZ432" s="19"/>
    </row>
    <row r="433" spans="1:130" ht="12.75" x14ac:dyDescent="0.2">
      <c r="A433" s="648"/>
      <c r="B433" s="648"/>
      <c r="C433" s="40"/>
      <c r="D433" s="160"/>
      <c r="E433" s="160"/>
      <c r="F433" s="160"/>
      <c r="G433" s="160"/>
      <c r="H433" s="635"/>
      <c r="I433" s="159">
        <f t="shared" si="296"/>
        <v>0</v>
      </c>
      <c r="J433" s="635"/>
      <c r="K433" s="40"/>
      <c r="L433" s="40"/>
      <c r="M433" s="635"/>
      <c r="N433" s="635"/>
      <c r="O433" s="635"/>
      <c r="P433" s="635"/>
      <c r="Q433" s="635"/>
      <c r="R433" s="635"/>
      <c r="S433" s="660"/>
      <c r="T433" s="648"/>
      <c r="U433" s="40"/>
      <c r="V433" s="40"/>
      <c r="W433" s="40"/>
      <c r="X433" s="40"/>
      <c r="Y433" s="40"/>
      <c r="Z433" s="635"/>
      <c r="AA433" s="51">
        <f t="shared" si="297"/>
        <v>0</v>
      </c>
      <c r="AB433" s="635"/>
      <c r="AC433" s="40"/>
      <c r="AD433" s="40"/>
      <c r="AE433" s="635"/>
      <c r="AF433" s="635"/>
      <c r="AG433" s="635"/>
      <c r="AH433" s="635"/>
      <c r="AI433" s="639"/>
      <c r="AJ433" s="635"/>
      <c r="AK433" s="643"/>
      <c r="AL433" s="648"/>
      <c r="AM433" s="51"/>
      <c r="AN433" s="28"/>
      <c r="AO433" s="28"/>
      <c r="AP433" s="28"/>
      <c r="AQ433" s="51"/>
      <c r="AR433" s="635"/>
      <c r="AS433" s="159"/>
      <c r="AT433" s="464"/>
      <c r="AU433" s="150"/>
      <c r="AV433" s="50"/>
      <c r="AW433" s="51"/>
      <c r="AX433" s="635"/>
      <c r="AY433" s="635"/>
      <c r="AZ433" s="635"/>
      <c r="BA433" s="465"/>
      <c r="BB433" s="165"/>
      <c r="BC433" s="466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18"/>
      <c r="BX433" s="118"/>
      <c r="BY433" s="118"/>
      <c r="BZ433" s="118"/>
      <c r="CA433" s="118"/>
      <c r="CB433" s="118"/>
      <c r="CC433" s="118"/>
      <c r="CD433" s="118"/>
      <c r="CE433" s="118"/>
      <c r="CF433" s="118"/>
      <c r="CG433" s="118"/>
      <c r="CH433" s="118"/>
      <c r="CI433" s="118"/>
      <c r="CJ433" s="118"/>
      <c r="CK433" s="118"/>
      <c r="CL433" s="118"/>
      <c r="CM433" s="118"/>
      <c r="CN433" s="92"/>
      <c r="CO433" s="93"/>
      <c r="CP433" s="93"/>
      <c r="CQ433" s="93"/>
      <c r="CR433" s="93"/>
      <c r="CS433" s="93"/>
      <c r="CT433" s="93"/>
      <c r="CU433" s="93"/>
      <c r="CV433" s="93"/>
      <c r="CW433" s="93"/>
      <c r="CX433" s="93"/>
      <c r="CY433" s="93"/>
      <c r="CZ433" s="93"/>
      <c r="DA433" s="93"/>
      <c r="DB433" s="93"/>
      <c r="DC433" s="94"/>
      <c r="DD433" s="118"/>
      <c r="DE433" s="118"/>
      <c r="DF433" s="118"/>
      <c r="DG433" s="118"/>
      <c r="DH433" s="118"/>
      <c r="DI433" s="118"/>
      <c r="DJ433" s="118"/>
      <c r="DK433" s="118"/>
      <c r="DL433" s="118"/>
      <c r="DM433" s="118"/>
      <c r="DN433" s="118"/>
      <c r="DO433" s="118"/>
      <c r="DP433" s="118"/>
      <c r="DQ433" s="118"/>
      <c r="DR433" s="118"/>
      <c r="DS433" s="118"/>
      <c r="DT433" s="118"/>
      <c r="DU433" s="19"/>
      <c r="DV433" s="19"/>
      <c r="DW433" s="19"/>
      <c r="DX433" s="19"/>
      <c r="DY433" s="19"/>
      <c r="DZ433" s="19"/>
    </row>
    <row r="434" spans="1:130" ht="12.75" x14ac:dyDescent="0.2">
      <c r="A434" s="654"/>
      <c r="B434" s="655">
        <v>46164</v>
      </c>
      <c r="C434" s="29"/>
      <c r="D434" s="29"/>
      <c r="E434" s="29"/>
      <c r="F434" s="29"/>
      <c r="G434" s="158"/>
      <c r="H434" s="649"/>
      <c r="I434" s="159">
        <f t="shared" si="296"/>
        <v>0</v>
      </c>
      <c r="J434" s="650">
        <f>SUM(I434:I437,H434)</f>
        <v>0</v>
      </c>
      <c r="K434" s="158"/>
      <c r="L434" s="158"/>
      <c r="M434" s="653"/>
      <c r="N434" s="653"/>
      <c r="O434" s="633">
        <f>SUM(M434:N437)</f>
        <v>0</v>
      </c>
      <c r="P434" s="649"/>
      <c r="Q434" s="640">
        <f>M434*60</f>
        <v>0</v>
      </c>
      <c r="R434" s="657">
        <f>IF(
   COUNTIF(K434:K437,"SI")&gt;0,
   1.8,
   IF(
      COUNTIF(L434:L437,"SI")&gt;0,
      1.6,
      2
   )
)</f>
        <v>2</v>
      </c>
      <c r="S434" s="658">
        <f>IF(Q434=0,0,J434/Q434)</f>
        <v>0</v>
      </c>
      <c r="T434" s="655">
        <v>46164</v>
      </c>
      <c r="U434" s="30"/>
      <c r="V434" s="28">
        <v>693</v>
      </c>
      <c r="W434" s="28">
        <v>16479</v>
      </c>
      <c r="X434" s="28">
        <v>16500</v>
      </c>
      <c r="Y434" s="28"/>
      <c r="Z434" s="640"/>
      <c r="AA434" s="51">
        <f t="shared" si="297"/>
        <v>22</v>
      </c>
      <c r="AB434" s="650">
        <f>SUM(AA434:AA437,Z434)</f>
        <v>522</v>
      </c>
      <c r="AC434" s="28"/>
      <c r="AD434" s="28"/>
      <c r="AE434" s="640">
        <v>4</v>
      </c>
      <c r="AF434" s="640">
        <v>1.5</v>
      </c>
      <c r="AG434" s="633">
        <f>SUM(AE434:AF437)</f>
        <v>5.5</v>
      </c>
      <c r="AH434" s="640">
        <v>0</v>
      </c>
      <c r="AI434" s="664">
        <f>AE434*60</f>
        <v>240</v>
      </c>
      <c r="AJ434" s="640">
        <f>IF(
   COUNTIF(AC434:AC437,"SI")&gt;0,
   1.8,
   IF(
      COUNTIF(AD434:AD437,"SI")&gt;0,
      1.6,
      2
   )
)</f>
        <v>2</v>
      </c>
      <c r="AK434" s="665">
        <f>IF(AI434=0,0,AB434/AI434)</f>
        <v>2.1749999999999998</v>
      </c>
      <c r="AL434" s="655">
        <v>46164</v>
      </c>
      <c r="AM434" s="28"/>
      <c r="AN434" s="28">
        <v>480</v>
      </c>
      <c r="AO434" s="28">
        <v>16193</v>
      </c>
      <c r="AP434" s="41">
        <v>16500</v>
      </c>
      <c r="AQ434" s="28"/>
      <c r="AR434" s="649"/>
      <c r="AS434" s="159">
        <f t="shared" ref="AS434:AS437" si="304">IF(AO434=0,0,AP434-AO434+1-AQ434)</f>
        <v>308</v>
      </c>
      <c r="AT434" s="138">
        <f>AS434</f>
        <v>308</v>
      </c>
      <c r="AU434" s="38" t="s">
        <v>52</v>
      </c>
      <c r="AV434" s="28">
        <v>1.7</v>
      </c>
      <c r="AW434" s="28" t="s">
        <v>52</v>
      </c>
      <c r="AX434" s="640">
        <v>2.5</v>
      </c>
      <c r="AY434" s="633">
        <f>SUM(AV434:AV437,AX434)</f>
        <v>7.5</v>
      </c>
      <c r="AZ434" s="649">
        <v>0.1</v>
      </c>
      <c r="BA434" s="159">
        <f t="shared" ref="BA434:BA435" si="305">AV434*60</f>
        <v>102</v>
      </c>
      <c r="BB434" s="644">
        <f>IF(
   COUNTIF(AU434:AU437,"SI")&gt;0,
   1.8,
   IF(
      COUNTIF(AV434:AV437,"SI")&gt;0,
      1.6,
      2
   )
)</f>
        <v>1.8</v>
      </c>
      <c r="BC434" s="162">
        <f t="shared" ref="BC434:BC435" si="306">IF(BA434=0,0,AT434/BA434)</f>
        <v>3.0196078431372548</v>
      </c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18"/>
      <c r="BX434" s="118"/>
      <c r="BY434" s="118"/>
      <c r="BZ434" s="118"/>
      <c r="CA434" s="118"/>
      <c r="CB434" s="118"/>
      <c r="CC434" s="118"/>
      <c r="CD434" s="118"/>
      <c r="CE434" s="118"/>
      <c r="CF434" s="118"/>
      <c r="CG434" s="118"/>
      <c r="CH434" s="118"/>
      <c r="CI434" s="118"/>
      <c r="CJ434" s="118"/>
      <c r="CK434" s="118"/>
      <c r="CL434" s="118"/>
      <c r="CM434" s="118"/>
      <c r="CN434" s="92"/>
      <c r="CO434" s="93"/>
      <c r="CP434" s="93"/>
      <c r="CQ434" s="93"/>
      <c r="CR434" s="93"/>
      <c r="CS434" s="93"/>
      <c r="CT434" s="93"/>
      <c r="CU434" s="93"/>
      <c r="CV434" s="93"/>
      <c r="CW434" s="93"/>
      <c r="CX434" s="93"/>
      <c r="CY434" s="93"/>
      <c r="CZ434" s="93"/>
      <c r="DA434" s="93"/>
      <c r="DB434" s="93"/>
      <c r="DC434" s="94"/>
      <c r="DD434" s="118"/>
      <c r="DE434" s="118"/>
      <c r="DF434" s="118"/>
      <c r="DG434" s="118"/>
      <c r="DH434" s="118"/>
      <c r="DI434" s="118"/>
      <c r="DJ434" s="118"/>
      <c r="DK434" s="118"/>
      <c r="DL434" s="118"/>
      <c r="DM434" s="118"/>
      <c r="DN434" s="118"/>
      <c r="DO434" s="118"/>
      <c r="DP434" s="118"/>
      <c r="DQ434" s="118"/>
      <c r="DR434" s="118"/>
      <c r="DS434" s="118"/>
      <c r="DT434" s="118"/>
      <c r="DU434" s="19"/>
      <c r="DV434" s="19"/>
      <c r="DW434" s="19"/>
      <c r="DX434" s="19"/>
      <c r="DY434" s="19"/>
      <c r="DZ434" s="19"/>
    </row>
    <row r="435" spans="1:130" ht="12.75" x14ac:dyDescent="0.2">
      <c r="A435" s="647"/>
      <c r="B435" s="647"/>
      <c r="C435" s="29"/>
      <c r="D435" s="30"/>
      <c r="E435" s="29"/>
      <c r="F435" s="29"/>
      <c r="G435" s="30"/>
      <c r="H435" s="634"/>
      <c r="I435" s="159">
        <f t="shared" si="296"/>
        <v>0</v>
      </c>
      <c r="J435" s="634"/>
      <c r="K435" s="30"/>
      <c r="L435" s="30"/>
      <c r="M435" s="634"/>
      <c r="N435" s="634"/>
      <c r="O435" s="634"/>
      <c r="P435" s="634"/>
      <c r="Q435" s="634"/>
      <c r="R435" s="634"/>
      <c r="S435" s="659"/>
      <c r="T435" s="647"/>
      <c r="U435" s="30"/>
      <c r="V435" s="28">
        <v>628</v>
      </c>
      <c r="W435" s="28">
        <v>2</v>
      </c>
      <c r="X435" s="28">
        <v>501</v>
      </c>
      <c r="Y435" s="29"/>
      <c r="Z435" s="634"/>
      <c r="AA435" s="51">
        <f t="shared" si="297"/>
        <v>500</v>
      </c>
      <c r="AB435" s="634"/>
      <c r="AC435" s="28"/>
      <c r="AD435" s="28"/>
      <c r="AE435" s="634"/>
      <c r="AF435" s="634"/>
      <c r="AG435" s="634"/>
      <c r="AH435" s="634"/>
      <c r="AI435" s="638"/>
      <c r="AJ435" s="634"/>
      <c r="AK435" s="642"/>
      <c r="AL435" s="647"/>
      <c r="AM435" s="28"/>
      <c r="AN435" s="28">
        <v>691</v>
      </c>
      <c r="AO435" s="28">
        <v>15251</v>
      </c>
      <c r="AP435" s="28">
        <v>15501</v>
      </c>
      <c r="AQ435" s="30"/>
      <c r="AR435" s="634"/>
      <c r="AS435" s="159">
        <f t="shared" si="304"/>
        <v>251</v>
      </c>
      <c r="AT435" s="650">
        <f>SUM(AS435:AS437,AR435)</f>
        <v>502</v>
      </c>
      <c r="AU435" s="38" t="s">
        <v>51</v>
      </c>
      <c r="AV435" s="640">
        <v>3.3</v>
      </c>
      <c r="AW435" s="28" t="s">
        <v>51</v>
      </c>
      <c r="AX435" s="634"/>
      <c r="AY435" s="634"/>
      <c r="AZ435" s="634"/>
      <c r="BA435" s="636">
        <f t="shared" si="305"/>
        <v>198</v>
      </c>
      <c r="BB435" s="634"/>
      <c r="BC435" s="666">
        <f t="shared" si="306"/>
        <v>2.5353535353535355</v>
      </c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18"/>
      <c r="BX435" s="118"/>
      <c r="BY435" s="118"/>
      <c r="BZ435" s="118"/>
      <c r="CA435" s="118"/>
      <c r="CB435" s="118"/>
      <c r="CC435" s="118"/>
      <c r="CD435" s="118"/>
      <c r="CE435" s="118"/>
      <c r="CF435" s="118"/>
      <c r="CG435" s="118"/>
      <c r="CH435" s="118"/>
      <c r="CI435" s="118"/>
      <c r="CJ435" s="118"/>
      <c r="CK435" s="118"/>
      <c r="CL435" s="118"/>
      <c r="CM435" s="118"/>
      <c r="CN435" s="92"/>
      <c r="CO435" s="93"/>
      <c r="CP435" s="93"/>
      <c r="CQ435" s="93"/>
      <c r="CR435" s="93"/>
      <c r="CS435" s="93"/>
      <c r="CT435" s="93"/>
      <c r="CU435" s="93"/>
      <c r="CV435" s="93"/>
      <c r="CW435" s="93"/>
      <c r="CX435" s="93"/>
      <c r="CY435" s="93"/>
      <c r="CZ435" s="93"/>
      <c r="DA435" s="93"/>
      <c r="DB435" s="93"/>
      <c r="DC435" s="94"/>
      <c r="DD435" s="118"/>
      <c r="DE435" s="118"/>
      <c r="DF435" s="118"/>
      <c r="DG435" s="118"/>
      <c r="DH435" s="118"/>
      <c r="DI435" s="118"/>
      <c r="DJ435" s="118"/>
      <c r="DK435" s="118"/>
      <c r="DL435" s="118"/>
      <c r="DM435" s="118"/>
      <c r="DN435" s="118"/>
      <c r="DO435" s="118"/>
      <c r="DP435" s="118"/>
      <c r="DQ435" s="118"/>
      <c r="DR435" s="118"/>
      <c r="DS435" s="118"/>
      <c r="DT435" s="118"/>
      <c r="DU435" s="19"/>
      <c r="DV435" s="19"/>
      <c r="DW435" s="19"/>
      <c r="DX435" s="19"/>
      <c r="DY435" s="19"/>
      <c r="DZ435" s="19"/>
    </row>
    <row r="436" spans="1:130" ht="12.75" x14ac:dyDescent="0.2">
      <c r="A436" s="647"/>
      <c r="B436" s="647"/>
      <c r="C436" s="30"/>
      <c r="D436" s="30"/>
      <c r="E436" s="30"/>
      <c r="F436" s="30"/>
      <c r="G436" s="30"/>
      <c r="H436" s="634"/>
      <c r="I436" s="159">
        <f t="shared" si="296"/>
        <v>0</v>
      </c>
      <c r="J436" s="634"/>
      <c r="K436" s="30"/>
      <c r="L436" s="30"/>
      <c r="M436" s="634"/>
      <c r="N436" s="634"/>
      <c r="O436" s="634"/>
      <c r="P436" s="634"/>
      <c r="Q436" s="634"/>
      <c r="R436" s="634"/>
      <c r="S436" s="659"/>
      <c r="T436" s="647"/>
      <c r="U436" s="30"/>
      <c r="V436" s="29"/>
      <c r="W436" s="29"/>
      <c r="X436" s="29"/>
      <c r="Y436" s="29"/>
      <c r="Z436" s="634"/>
      <c r="AA436" s="51">
        <f t="shared" si="297"/>
        <v>0</v>
      </c>
      <c r="AB436" s="634"/>
      <c r="AC436" s="28"/>
      <c r="AD436" s="28"/>
      <c r="AE436" s="634"/>
      <c r="AF436" s="634"/>
      <c r="AG436" s="634"/>
      <c r="AH436" s="634"/>
      <c r="AI436" s="638"/>
      <c r="AJ436" s="634"/>
      <c r="AK436" s="642"/>
      <c r="AL436" s="647"/>
      <c r="AM436" s="41">
        <v>73</v>
      </c>
      <c r="AN436" s="28">
        <v>692</v>
      </c>
      <c r="AO436" s="28">
        <v>15502</v>
      </c>
      <c r="AP436" s="28">
        <v>15752</v>
      </c>
      <c r="AQ436" s="48"/>
      <c r="AR436" s="634"/>
      <c r="AS436" s="159">
        <f t="shared" si="304"/>
        <v>251</v>
      </c>
      <c r="AT436" s="635"/>
      <c r="AU436" s="152" t="s">
        <v>51</v>
      </c>
      <c r="AV436" s="635"/>
      <c r="AW436" s="152" t="s">
        <v>51</v>
      </c>
      <c r="AX436" s="634"/>
      <c r="AY436" s="634"/>
      <c r="AZ436" s="634"/>
      <c r="BA436" s="635"/>
      <c r="BB436" s="634"/>
      <c r="BC436" s="635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18"/>
      <c r="BX436" s="118"/>
      <c r="BY436" s="118"/>
      <c r="BZ436" s="118"/>
      <c r="CA436" s="118"/>
      <c r="CB436" s="118"/>
      <c r="CC436" s="118"/>
      <c r="CD436" s="118"/>
      <c r="CE436" s="118"/>
      <c r="CF436" s="118"/>
      <c r="CG436" s="118"/>
      <c r="CH436" s="118"/>
      <c r="CI436" s="118"/>
      <c r="CJ436" s="118"/>
      <c r="CK436" s="118"/>
      <c r="CL436" s="118"/>
      <c r="CM436" s="118"/>
      <c r="CN436" s="92"/>
      <c r="CO436" s="93"/>
      <c r="CP436" s="93"/>
      <c r="CQ436" s="93"/>
      <c r="CR436" s="93"/>
      <c r="CS436" s="93"/>
      <c r="CT436" s="93"/>
      <c r="CU436" s="93"/>
      <c r="CV436" s="93"/>
      <c r="CW436" s="93"/>
      <c r="CX436" s="93"/>
      <c r="CY436" s="93"/>
      <c r="CZ436" s="93"/>
      <c r="DA436" s="93"/>
      <c r="DB436" s="93"/>
      <c r="DC436" s="94"/>
      <c r="DD436" s="118"/>
      <c r="DE436" s="118"/>
      <c r="DF436" s="118"/>
      <c r="DG436" s="118"/>
      <c r="DH436" s="118"/>
      <c r="DI436" s="118"/>
      <c r="DJ436" s="118"/>
      <c r="DK436" s="118"/>
      <c r="DL436" s="118"/>
      <c r="DM436" s="118"/>
      <c r="DN436" s="118"/>
      <c r="DO436" s="118"/>
      <c r="DP436" s="118"/>
      <c r="DQ436" s="118"/>
      <c r="DR436" s="118"/>
      <c r="DS436" s="118"/>
      <c r="DT436" s="118"/>
      <c r="DU436" s="19"/>
      <c r="DV436" s="19"/>
      <c r="DW436" s="19"/>
      <c r="DX436" s="19"/>
      <c r="DY436" s="19"/>
      <c r="DZ436" s="19"/>
    </row>
    <row r="437" spans="1:130" ht="12.75" x14ac:dyDescent="0.2">
      <c r="A437" s="648"/>
      <c r="B437" s="648"/>
      <c r="C437" s="30"/>
      <c r="D437" s="30"/>
      <c r="E437" s="30"/>
      <c r="F437" s="30"/>
      <c r="G437" s="30"/>
      <c r="H437" s="635"/>
      <c r="I437" s="159">
        <f t="shared" si="296"/>
        <v>0</v>
      </c>
      <c r="J437" s="635"/>
      <c r="K437" s="30"/>
      <c r="L437" s="30"/>
      <c r="M437" s="635"/>
      <c r="N437" s="635"/>
      <c r="O437" s="635"/>
      <c r="P437" s="635"/>
      <c r="Q437" s="635"/>
      <c r="R437" s="635"/>
      <c r="S437" s="660"/>
      <c r="T437" s="648"/>
      <c r="U437" s="30"/>
      <c r="V437" s="30"/>
      <c r="W437" s="30"/>
      <c r="X437" s="30"/>
      <c r="Y437" s="30"/>
      <c r="Z437" s="635"/>
      <c r="AA437" s="51">
        <f t="shared" si="297"/>
        <v>0</v>
      </c>
      <c r="AB437" s="635"/>
      <c r="AC437" s="30"/>
      <c r="AD437" s="30"/>
      <c r="AE437" s="635"/>
      <c r="AF437" s="635"/>
      <c r="AG437" s="635"/>
      <c r="AH437" s="635"/>
      <c r="AI437" s="639"/>
      <c r="AJ437" s="635"/>
      <c r="AK437" s="643"/>
      <c r="AL437" s="648"/>
      <c r="AM437" s="51"/>
      <c r="AN437" s="28"/>
      <c r="AO437" s="28"/>
      <c r="AP437" s="28"/>
      <c r="AQ437" s="51"/>
      <c r="AR437" s="635"/>
      <c r="AS437" s="159">
        <f t="shared" si="304"/>
        <v>0</v>
      </c>
      <c r="AT437" s="464"/>
      <c r="AU437" s="38" t="s">
        <v>51</v>
      </c>
      <c r="AV437" s="50"/>
      <c r="AW437" s="51"/>
      <c r="AX437" s="635"/>
      <c r="AY437" s="635"/>
      <c r="AZ437" s="635"/>
      <c r="BA437" s="27"/>
      <c r="BB437" s="635"/>
      <c r="BC437" s="504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18"/>
      <c r="BX437" s="118"/>
      <c r="BY437" s="118"/>
      <c r="BZ437" s="118"/>
      <c r="CA437" s="118"/>
      <c r="CB437" s="118"/>
      <c r="CC437" s="118"/>
      <c r="CD437" s="118"/>
      <c r="CE437" s="118"/>
      <c r="CF437" s="118"/>
      <c r="CG437" s="118"/>
      <c r="CH437" s="118"/>
      <c r="CI437" s="118"/>
      <c r="CJ437" s="118"/>
      <c r="CK437" s="118"/>
      <c r="CL437" s="118"/>
      <c r="CM437" s="118"/>
      <c r="CN437" s="92"/>
      <c r="CO437" s="93"/>
      <c r="CP437" s="93"/>
      <c r="CQ437" s="93"/>
      <c r="CR437" s="93"/>
      <c r="CS437" s="93"/>
      <c r="CT437" s="93"/>
      <c r="CU437" s="93"/>
      <c r="CV437" s="93"/>
      <c r="CW437" s="93"/>
      <c r="CX437" s="93"/>
      <c r="CY437" s="93"/>
      <c r="CZ437" s="93"/>
      <c r="DA437" s="93"/>
      <c r="DB437" s="93"/>
      <c r="DC437" s="94"/>
      <c r="DD437" s="118"/>
      <c r="DE437" s="118"/>
      <c r="DF437" s="118"/>
      <c r="DG437" s="118"/>
      <c r="DH437" s="118"/>
      <c r="DI437" s="118"/>
      <c r="DJ437" s="118"/>
      <c r="DK437" s="118"/>
      <c r="DL437" s="118"/>
      <c r="DM437" s="118"/>
      <c r="DN437" s="118"/>
      <c r="DO437" s="118"/>
      <c r="DP437" s="118"/>
      <c r="DQ437" s="118"/>
      <c r="DR437" s="118"/>
      <c r="DS437" s="118"/>
      <c r="DT437" s="118"/>
      <c r="DU437" s="19"/>
      <c r="DV437" s="19"/>
      <c r="DW437" s="19"/>
      <c r="DX437" s="19"/>
      <c r="DY437" s="19"/>
      <c r="DZ437" s="19"/>
    </row>
    <row r="438" spans="1:130" ht="12.75" x14ac:dyDescent="0.2">
      <c r="A438" s="651"/>
      <c r="B438" s="646">
        <v>46165</v>
      </c>
      <c r="C438" s="31"/>
      <c r="D438" s="31"/>
      <c r="E438" s="31"/>
      <c r="F438" s="31"/>
      <c r="G438" s="40"/>
      <c r="H438" s="653"/>
      <c r="I438" s="159">
        <f t="shared" si="296"/>
        <v>0</v>
      </c>
      <c r="J438" s="650">
        <f>SUM(I438:I441,H438)</f>
        <v>0</v>
      </c>
      <c r="K438" s="40"/>
      <c r="L438" s="40"/>
      <c r="M438" s="653"/>
      <c r="N438" s="653"/>
      <c r="O438" s="633">
        <f>SUM(M438:N441)</f>
        <v>0</v>
      </c>
      <c r="P438" s="653"/>
      <c r="Q438" s="636">
        <f>M438*60</f>
        <v>0</v>
      </c>
      <c r="R438" s="657">
        <f>IF(
   COUNTIF(K438:K441,"SI")&gt;0,
   1.8,
   IF(
      COUNTIF(L438:L441,"SI")&gt;0,
      1.6,
      2
   )
)</f>
        <v>2</v>
      </c>
      <c r="S438" s="658">
        <f>IF(Q438=0,0,J438/Q438)</f>
        <v>0</v>
      </c>
      <c r="T438" s="646">
        <v>46165</v>
      </c>
      <c r="U438" s="40"/>
      <c r="V438" s="31">
        <v>629</v>
      </c>
      <c r="W438" s="31">
        <v>502</v>
      </c>
      <c r="X438" s="31">
        <v>912</v>
      </c>
      <c r="Y438" s="31"/>
      <c r="Z438" s="653"/>
      <c r="AA438" s="51">
        <f t="shared" si="297"/>
        <v>411</v>
      </c>
      <c r="AB438" s="650">
        <f>SUM(AA438:AA441,Z438)</f>
        <v>411</v>
      </c>
      <c r="AC438" s="31"/>
      <c r="AD438" s="31"/>
      <c r="AE438" s="653">
        <v>3.5</v>
      </c>
      <c r="AF438" s="653">
        <v>1</v>
      </c>
      <c r="AG438" s="633">
        <f>SUM(AE438:AF441)</f>
        <v>4.5</v>
      </c>
      <c r="AH438" s="653">
        <v>0</v>
      </c>
      <c r="AI438" s="637">
        <f>AE438*60</f>
        <v>210</v>
      </c>
      <c r="AJ438" s="640">
        <f>IF(
   COUNTIF(AC438:AC441,"SI")&gt;0,
   1.8,
   IF(
      COUNTIF(AD438:AD441,"SI")&gt;0,
      1.6,
      2
   )
)</f>
        <v>2</v>
      </c>
      <c r="AK438" s="665">
        <f>IF(AI438=0,0,AB438/AI438)</f>
        <v>1.9571428571428571</v>
      </c>
      <c r="AL438" s="646">
        <v>46165</v>
      </c>
      <c r="AM438" s="31"/>
      <c r="AN438" s="29"/>
      <c r="AO438" s="31"/>
      <c r="AP438" s="31"/>
      <c r="AQ438" s="40"/>
      <c r="AR438" s="653"/>
      <c r="AS438" s="159"/>
      <c r="AT438" s="650">
        <f>SUM(AS438:AS441,AR438)</f>
        <v>0</v>
      </c>
      <c r="AU438" s="40"/>
      <c r="AV438" s="653"/>
      <c r="AW438" s="40"/>
      <c r="AX438" s="653"/>
      <c r="AY438" s="633">
        <f>SUM(AV438:AX441)</f>
        <v>0</v>
      </c>
      <c r="AZ438" s="653"/>
      <c r="BA438" s="636">
        <f>AV438*60</f>
        <v>0</v>
      </c>
      <c r="BB438" s="657">
        <f>IF(
   COUNTIF(AU438:AU441,"SI")&gt;0,
   1.8,
   IF(
      COUNTIF(AV438:AV441,"SI")&gt;0,
      1.6,
      2
   )
)</f>
        <v>2</v>
      </c>
      <c r="BC438" s="666">
        <f>IF(BA438=0,0,AT438/BA438)</f>
        <v>0</v>
      </c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18"/>
      <c r="BX438" s="118"/>
      <c r="BY438" s="118"/>
      <c r="BZ438" s="118"/>
      <c r="CA438" s="118"/>
      <c r="CB438" s="118"/>
      <c r="CC438" s="118"/>
      <c r="CD438" s="118"/>
      <c r="CE438" s="118"/>
      <c r="CF438" s="118"/>
      <c r="CG438" s="118"/>
      <c r="CH438" s="118"/>
      <c r="CI438" s="118"/>
      <c r="CJ438" s="118"/>
      <c r="CK438" s="118"/>
      <c r="CL438" s="118"/>
      <c r="CM438" s="118"/>
      <c r="CN438" s="92"/>
      <c r="CO438" s="93"/>
      <c r="CP438" s="93"/>
      <c r="CQ438" s="93"/>
      <c r="CR438" s="93"/>
      <c r="CS438" s="93"/>
      <c r="CT438" s="93"/>
      <c r="CU438" s="93"/>
      <c r="CV438" s="93"/>
      <c r="CW438" s="93"/>
      <c r="CX438" s="93"/>
      <c r="CY438" s="93"/>
      <c r="CZ438" s="93"/>
      <c r="DA438" s="93"/>
      <c r="DB438" s="93"/>
      <c r="DC438" s="94"/>
      <c r="DD438" s="118"/>
      <c r="DE438" s="118"/>
      <c r="DF438" s="118"/>
      <c r="DG438" s="118"/>
      <c r="DH438" s="118"/>
      <c r="DI438" s="118"/>
      <c r="DJ438" s="118"/>
      <c r="DK438" s="118"/>
      <c r="DL438" s="118"/>
      <c r="DM438" s="118"/>
      <c r="DN438" s="118"/>
      <c r="DO438" s="118"/>
      <c r="DP438" s="118"/>
      <c r="DQ438" s="118"/>
      <c r="DR438" s="118"/>
      <c r="DS438" s="118"/>
      <c r="DT438" s="118"/>
      <c r="DU438" s="19"/>
      <c r="DV438" s="19"/>
      <c r="DW438" s="19"/>
      <c r="DX438" s="19"/>
      <c r="DY438" s="19"/>
      <c r="DZ438" s="19"/>
    </row>
    <row r="439" spans="1:130" ht="12.75" x14ac:dyDescent="0.2">
      <c r="A439" s="647"/>
      <c r="B439" s="647"/>
      <c r="C439" s="40"/>
      <c r="D439" s="40"/>
      <c r="E439" s="40"/>
      <c r="F439" s="40"/>
      <c r="G439" s="40"/>
      <c r="H439" s="634"/>
      <c r="I439" s="159">
        <f t="shared" si="296"/>
        <v>0</v>
      </c>
      <c r="J439" s="634"/>
      <c r="K439" s="40"/>
      <c r="L439" s="40"/>
      <c r="M439" s="634"/>
      <c r="N439" s="634"/>
      <c r="O439" s="634"/>
      <c r="P439" s="634"/>
      <c r="Q439" s="634"/>
      <c r="R439" s="634"/>
      <c r="S439" s="659"/>
      <c r="T439" s="647"/>
      <c r="U439" s="40"/>
      <c r="V439" s="31"/>
      <c r="W439" s="31"/>
      <c r="X439" s="31"/>
      <c r="Y439" s="31"/>
      <c r="Z439" s="634"/>
      <c r="AA439" s="51">
        <f t="shared" si="297"/>
        <v>0</v>
      </c>
      <c r="AB439" s="634"/>
      <c r="AC439" s="31"/>
      <c r="AD439" s="31"/>
      <c r="AE439" s="634"/>
      <c r="AF439" s="634"/>
      <c r="AG439" s="634"/>
      <c r="AH439" s="634"/>
      <c r="AI439" s="638"/>
      <c r="AJ439" s="634"/>
      <c r="AK439" s="642"/>
      <c r="AL439" s="647"/>
      <c r="AM439" s="31"/>
      <c r="AN439" s="31"/>
      <c r="AO439" s="31"/>
      <c r="AP439" s="31"/>
      <c r="AQ439" s="31"/>
      <c r="AR439" s="634"/>
      <c r="AS439" s="159"/>
      <c r="AT439" s="634"/>
      <c r="AU439" s="40"/>
      <c r="AV439" s="634"/>
      <c r="AW439" s="40"/>
      <c r="AX439" s="634"/>
      <c r="AY439" s="634"/>
      <c r="AZ439" s="634"/>
      <c r="BA439" s="634"/>
      <c r="BB439" s="634"/>
      <c r="BC439" s="634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18"/>
      <c r="BX439" s="118"/>
      <c r="BY439" s="118"/>
      <c r="BZ439" s="118"/>
      <c r="CA439" s="118"/>
      <c r="CB439" s="118"/>
      <c r="CC439" s="118"/>
      <c r="CD439" s="118"/>
      <c r="CE439" s="118"/>
      <c r="CF439" s="118"/>
      <c r="CG439" s="118"/>
      <c r="CH439" s="118"/>
      <c r="CI439" s="118"/>
      <c r="CJ439" s="118"/>
      <c r="CK439" s="118"/>
      <c r="CL439" s="118"/>
      <c r="CM439" s="118"/>
      <c r="CN439" s="92"/>
      <c r="CO439" s="93"/>
      <c r="CP439" s="93"/>
      <c r="CQ439" s="93"/>
      <c r="CR439" s="93"/>
      <c r="CS439" s="93"/>
      <c r="CT439" s="93"/>
      <c r="CU439" s="93"/>
      <c r="CV439" s="93"/>
      <c r="CW439" s="93"/>
      <c r="CX439" s="93"/>
      <c r="CY439" s="93"/>
      <c r="CZ439" s="93"/>
      <c r="DA439" s="93"/>
      <c r="DB439" s="93"/>
      <c r="DC439" s="94"/>
      <c r="DD439" s="118"/>
      <c r="DE439" s="118"/>
      <c r="DF439" s="118"/>
      <c r="DG439" s="118"/>
      <c r="DH439" s="118"/>
      <c r="DI439" s="118"/>
      <c r="DJ439" s="118"/>
      <c r="DK439" s="118"/>
      <c r="DL439" s="118"/>
      <c r="DM439" s="118"/>
      <c r="DN439" s="118"/>
      <c r="DO439" s="118"/>
      <c r="DP439" s="118"/>
      <c r="DQ439" s="118"/>
      <c r="DR439" s="118"/>
      <c r="DS439" s="118"/>
      <c r="DT439" s="118"/>
      <c r="DU439" s="19"/>
      <c r="DV439" s="19"/>
      <c r="DW439" s="19"/>
      <c r="DX439" s="19"/>
      <c r="DY439" s="19"/>
      <c r="DZ439" s="19"/>
    </row>
    <row r="440" spans="1:130" ht="12.75" x14ac:dyDescent="0.2">
      <c r="A440" s="647"/>
      <c r="B440" s="647"/>
      <c r="C440" s="40"/>
      <c r="D440" s="40"/>
      <c r="E440" s="40"/>
      <c r="F440" s="40"/>
      <c r="G440" s="40"/>
      <c r="H440" s="634"/>
      <c r="I440" s="159">
        <f t="shared" si="296"/>
        <v>0</v>
      </c>
      <c r="J440" s="634"/>
      <c r="K440" s="40"/>
      <c r="L440" s="40"/>
      <c r="M440" s="634"/>
      <c r="N440" s="634"/>
      <c r="O440" s="634"/>
      <c r="P440" s="634"/>
      <c r="Q440" s="634"/>
      <c r="R440" s="634"/>
      <c r="S440" s="659"/>
      <c r="T440" s="647"/>
      <c r="U440" s="40"/>
      <c r="V440" s="31"/>
      <c r="W440" s="31"/>
      <c r="X440" s="31"/>
      <c r="Y440" s="31"/>
      <c r="Z440" s="634"/>
      <c r="AA440" s="51">
        <f t="shared" si="297"/>
        <v>0</v>
      </c>
      <c r="AB440" s="634"/>
      <c r="AC440" s="31"/>
      <c r="AD440" s="31"/>
      <c r="AE440" s="634"/>
      <c r="AF440" s="634"/>
      <c r="AG440" s="634"/>
      <c r="AH440" s="634"/>
      <c r="AI440" s="638"/>
      <c r="AJ440" s="634"/>
      <c r="AK440" s="642"/>
      <c r="AL440" s="647"/>
      <c r="AM440" s="40"/>
      <c r="AN440" s="40"/>
      <c r="AO440" s="40"/>
      <c r="AP440" s="40"/>
      <c r="AQ440" s="40"/>
      <c r="AR440" s="634"/>
      <c r="AS440" s="159"/>
      <c r="AT440" s="634"/>
      <c r="AU440" s="40"/>
      <c r="AV440" s="634"/>
      <c r="AW440" s="40"/>
      <c r="AX440" s="634"/>
      <c r="AY440" s="634"/>
      <c r="AZ440" s="634"/>
      <c r="BA440" s="634"/>
      <c r="BB440" s="634"/>
      <c r="BC440" s="634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18"/>
      <c r="BX440" s="118"/>
      <c r="BY440" s="118"/>
      <c r="BZ440" s="118"/>
      <c r="CA440" s="118"/>
      <c r="CB440" s="118"/>
      <c r="CC440" s="118"/>
      <c r="CD440" s="118"/>
      <c r="CE440" s="118"/>
      <c r="CF440" s="118"/>
      <c r="CG440" s="118"/>
      <c r="CH440" s="118"/>
      <c r="CI440" s="118"/>
      <c r="CJ440" s="118"/>
      <c r="CK440" s="118"/>
      <c r="CL440" s="118"/>
      <c r="CM440" s="118"/>
      <c r="CN440" s="92"/>
      <c r="CO440" s="93"/>
      <c r="CP440" s="93"/>
      <c r="CQ440" s="93"/>
      <c r="CR440" s="93"/>
      <c r="CS440" s="93"/>
      <c r="CT440" s="93"/>
      <c r="CU440" s="93"/>
      <c r="CV440" s="93"/>
      <c r="CW440" s="93"/>
      <c r="CX440" s="93"/>
      <c r="CY440" s="93"/>
      <c r="CZ440" s="93"/>
      <c r="DA440" s="93"/>
      <c r="DB440" s="93"/>
      <c r="DC440" s="94"/>
      <c r="DD440" s="118"/>
      <c r="DE440" s="118"/>
      <c r="DF440" s="118"/>
      <c r="DG440" s="118"/>
      <c r="DH440" s="118"/>
      <c r="DI440" s="118"/>
      <c r="DJ440" s="118"/>
      <c r="DK440" s="118"/>
      <c r="DL440" s="118"/>
      <c r="DM440" s="118"/>
      <c r="DN440" s="118"/>
      <c r="DO440" s="118"/>
      <c r="DP440" s="118"/>
      <c r="DQ440" s="118"/>
      <c r="DR440" s="118"/>
      <c r="DS440" s="118"/>
      <c r="DT440" s="118"/>
      <c r="DU440" s="19"/>
      <c r="DV440" s="19"/>
      <c r="DW440" s="19"/>
      <c r="DX440" s="19"/>
      <c r="DY440" s="19"/>
      <c r="DZ440" s="19"/>
    </row>
    <row r="441" spans="1:130" ht="12.75" x14ac:dyDescent="0.2">
      <c r="A441" s="648"/>
      <c r="B441" s="648"/>
      <c r="C441" s="40"/>
      <c r="D441" s="40"/>
      <c r="E441" s="40"/>
      <c r="F441" s="40"/>
      <c r="G441" s="40"/>
      <c r="H441" s="635"/>
      <c r="I441" s="159">
        <f t="shared" si="296"/>
        <v>0</v>
      </c>
      <c r="J441" s="635"/>
      <c r="K441" s="40"/>
      <c r="L441" s="40"/>
      <c r="M441" s="635"/>
      <c r="N441" s="635"/>
      <c r="O441" s="635"/>
      <c r="P441" s="635"/>
      <c r="Q441" s="635"/>
      <c r="R441" s="635"/>
      <c r="S441" s="660"/>
      <c r="T441" s="648"/>
      <c r="U441" s="40"/>
      <c r="V441" s="40"/>
      <c r="W441" s="40"/>
      <c r="X441" s="40"/>
      <c r="Y441" s="40"/>
      <c r="Z441" s="635"/>
      <c r="AA441" s="51">
        <f t="shared" si="297"/>
        <v>0</v>
      </c>
      <c r="AB441" s="635"/>
      <c r="AC441" s="40"/>
      <c r="AD441" s="40"/>
      <c r="AE441" s="635"/>
      <c r="AF441" s="635"/>
      <c r="AG441" s="635"/>
      <c r="AH441" s="635"/>
      <c r="AI441" s="639"/>
      <c r="AJ441" s="635"/>
      <c r="AK441" s="643"/>
      <c r="AL441" s="648"/>
      <c r="AM441" s="40"/>
      <c r="AN441" s="40"/>
      <c r="AO441" s="40"/>
      <c r="AP441" s="40"/>
      <c r="AQ441" s="40"/>
      <c r="AR441" s="635"/>
      <c r="AS441" s="159"/>
      <c r="AT441" s="635"/>
      <c r="AU441" s="40"/>
      <c r="AV441" s="635"/>
      <c r="AW441" s="40"/>
      <c r="AX441" s="635"/>
      <c r="AY441" s="635"/>
      <c r="AZ441" s="635"/>
      <c r="BA441" s="635"/>
      <c r="BB441" s="635"/>
      <c r="BC441" s="635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18"/>
      <c r="BX441" s="118"/>
      <c r="BY441" s="118"/>
      <c r="BZ441" s="118"/>
      <c r="CA441" s="118"/>
      <c r="CB441" s="118"/>
      <c r="CC441" s="118"/>
      <c r="CD441" s="118"/>
      <c r="CE441" s="118"/>
      <c r="CF441" s="118"/>
      <c r="CG441" s="118"/>
      <c r="CH441" s="118"/>
      <c r="CI441" s="118"/>
      <c r="CJ441" s="118"/>
      <c r="CK441" s="118"/>
      <c r="CL441" s="118"/>
      <c r="CM441" s="118"/>
      <c r="CN441" s="92"/>
      <c r="CO441" s="93"/>
      <c r="CP441" s="93"/>
      <c r="CQ441" s="93"/>
      <c r="CR441" s="93"/>
      <c r="CS441" s="93"/>
      <c r="CT441" s="93"/>
      <c r="CU441" s="93"/>
      <c r="CV441" s="93"/>
      <c r="CW441" s="93"/>
      <c r="CX441" s="93"/>
      <c r="CY441" s="93"/>
      <c r="CZ441" s="93"/>
      <c r="DA441" s="93"/>
      <c r="DB441" s="93"/>
      <c r="DC441" s="94"/>
      <c r="DD441" s="118"/>
      <c r="DE441" s="118"/>
      <c r="DF441" s="118"/>
      <c r="DG441" s="118"/>
      <c r="DH441" s="118"/>
      <c r="DI441" s="118"/>
      <c r="DJ441" s="118"/>
      <c r="DK441" s="118"/>
      <c r="DL441" s="118"/>
      <c r="DM441" s="118"/>
      <c r="DN441" s="118"/>
      <c r="DO441" s="118"/>
      <c r="DP441" s="118"/>
      <c r="DQ441" s="118"/>
      <c r="DR441" s="118"/>
      <c r="DS441" s="118"/>
      <c r="DT441" s="118"/>
      <c r="DU441" s="19"/>
      <c r="DV441" s="19"/>
      <c r="DW441" s="19"/>
      <c r="DX441" s="19"/>
      <c r="DY441" s="19"/>
      <c r="DZ441" s="19"/>
    </row>
    <row r="442" spans="1:130" ht="12.75" x14ac:dyDescent="0.2">
      <c r="A442" s="166"/>
      <c r="B442" s="167" t="s">
        <v>40</v>
      </c>
      <c r="C442" s="168">
        <f>SUM(C417:C441)</f>
        <v>0</v>
      </c>
      <c r="D442" s="168" t="s">
        <v>49</v>
      </c>
      <c r="E442" s="168" t="s">
        <v>49</v>
      </c>
      <c r="F442" s="168" t="s">
        <v>49</v>
      </c>
      <c r="G442" s="168">
        <f t="shared" ref="G442:J442" si="307">SUM(G417:G441)</f>
        <v>0</v>
      </c>
      <c r="H442" s="168">
        <f t="shared" si="307"/>
        <v>0</v>
      </c>
      <c r="I442" s="168">
        <f t="shared" si="307"/>
        <v>887</v>
      </c>
      <c r="J442" s="168">
        <f t="shared" si="307"/>
        <v>887</v>
      </c>
      <c r="K442" s="168" t="s">
        <v>49</v>
      </c>
      <c r="L442" s="168"/>
      <c r="M442" s="168">
        <f>SUM(M417:M441)</f>
        <v>7.1</v>
      </c>
      <c r="N442" s="168">
        <f>SUM(N417:N437)</f>
        <v>0.9</v>
      </c>
      <c r="O442" s="169">
        <f t="shared" ref="O442:Q442" si="308">SUM(O417:O441)</f>
        <v>8</v>
      </c>
      <c r="P442" s="168">
        <f t="shared" si="308"/>
        <v>0</v>
      </c>
      <c r="Q442" s="168">
        <f t="shared" si="308"/>
        <v>426</v>
      </c>
      <c r="R442" s="170"/>
      <c r="S442" s="171">
        <f>AVERAGE(S426:S433)</f>
        <v>1.0410798122065728</v>
      </c>
      <c r="T442" s="167" t="s">
        <v>40</v>
      </c>
      <c r="U442" s="168">
        <f>SUM(U417:U441)</f>
        <v>0</v>
      </c>
      <c r="V442" s="168" t="s">
        <v>49</v>
      </c>
      <c r="W442" s="168" t="s">
        <v>49</v>
      </c>
      <c r="X442" s="168" t="s">
        <v>49</v>
      </c>
      <c r="Y442" s="168">
        <f t="shared" ref="Y442:AB442" si="309">SUM(Y417:Y441)</f>
        <v>0</v>
      </c>
      <c r="Z442" s="168">
        <f t="shared" si="309"/>
        <v>5</v>
      </c>
      <c r="AA442" s="168">
        <f t="shared" si="309"/>
        <v>2498</v>
      </c>
      <c r="AB442" s="168">
        <f t="shared" si="309"/>
        <v>2503</v>
      </c>
      <c r="AC442" s="168" t="s">
        <v>49</v>
      </c>
      <c r="AD442" s="168" t="s">
        <v>49</v>
      </c>
      <c r="AE442" s="168">
        <f t="shared" ref="AE442:AI442" si="310">SUM(AE417:AE441)</f>
        <v>21.5</v>
      </c>
      <c r="AF442" s="168">
        <f t="shared" si="310"/>
        <v>3.5</v>
      </c>
      <c r="AG442" s="169">
        <f t="shared" si="310"/>
        <v>25</v>
      </c>
      <c r="AH442" s="168">
        <f t="shared" si="310"/>
        <v>0</v>
      </c>
      <c r="AI442" s="168">
        <f t="shared" si="310"/>
        <v>1290</v>
      </c>
      <c r="AJ442" s="467"/>
      <c r="AK442" s="171">
        <f t="shared" ref="AK442:AK443" si="311">IF(AI442=0,0,AB442/AI442)</f>
        <v>1.9403100775193798</v>
      </c>
      <c r="AL442" s="167" t="s">
        <v>40</v>
      </c>
      <c r="AM442" s="168">
        <f>SUM(AM417:AM441)</f>
        <v>793</v>
      </c>
      <c r="AN442" s="168" t="s">
        <v>49</v>
      </c>
      <c r="AO442" s="168" t="s">
        <v>49</v>
      </c>
      <c r="AP442" s="168" t="s">
        <v>49</v>
      </c>
      <c r="AQ442" s="168">
        <f t="shared" ref="AQ442:AT442" si="312">SUM(AQ417:AQ441)</f>
        <v>34</v>
      </c>
      <c r="AR442" s="168">
        <f t="shared" si="312"/>
        <v>0</v>
      </c>
      <c r="AS442" s="168">
        <f t="shared" si="312"/>
        <v>3726</v>
      </c>
      <c r="AT442" s="168">
        <f t="shared" si="312"/>
        <v>3726</v>
      </c>
      <c r="AU442" s="168"/>
      <c r="AV442" s="168">
        <f>SUM(AV417:AV441)</f>
        <v>23.25</v>
      </c>
      <c r="AW442" s="168"/>
      <c r="AX442" s="172">
        <f t="shared" ref="AX442:BA442" si="313">SUM(AX417:AX441)</f>
        <v>6.75</v>
      </c>
      <c r="AY442" s="173">
        <f t="shared" si="313"/>
        <v>30</v>
      </c>
      <c r="AZ442" s="172">
        <f t="shared" si="313"/>
        <v>1</v>
      </c>
      <c r="BA442" s="168">
        <f t="shared" si="313"/>
        <v>1395</v>
      </c>
      <c r="BB442" s="170"/>
      <c r="BC442" s="174">
        <f t="shared" ref="BC442:BC443" si="314">IF(BA442=0,0,AT442/BA442)</f>
        <v>2.6709677419354838</v>
      </c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18"/>
      <c r="BX442" s="118"/>
      <c r="BY442" s="118"/>
      <c r="BZ442" s="118"/>
      <c r="CA442" s="118"/>
      <c r="CB442" s="118"/>
      <c r="CC442" s="118"/>
      <c r="CD442" s="118"/>
      <c r="CE442" s="118"/>
      <c r="CF442" s="118"/>
      <c r="CG442" s="118"/>
      <c r="CH442" s="118"/>
      <c r="CI442" s="118"/>
      <c r="CJ442" s="118"/>
      <c r="CK442" s="118"/>
      <c r="CL442" s="118"/>
      <c r="CM442" s="118"/>
      <c r="CN442" s="92"/>
      <c r="CO442" s="93"/>
      <c r="CP442" s="93"/>
      <c r="CQ442" s="93"/>
      <c r="CR442" s="93"/>
      <c r="CS442" s="93"/>
      <c r="CT442" s="93"/>
      <c r="CU442" s="93"/>
      <c r="CV442" s="93"/>
      <c r="CW442" s="93"/>
      <c r="CX442" s="93"/>
      <c r="CY442" s="93"/>
      <c r="CZ442" s="93"/>
      <c r="DA442" s="93"/>
      <c r="DB442" s="93"/>
      <c r="DC442" s="94"/>
      <c r="DD442" s="118"/>
      <c r="DE442" s="118"/>
      <c r="DF442" s="118"/>
      <c r="DG442" s="118"/>
      <c r="DH442" s="118"/>
      <c r="DI442" s="118"/>
      <c r="DJ442" s="118"/>
      <c r="DK442" s="118"/>
      <c r="DL442" s="118"/>
      <c r="DM442" s="118"/>
      <c r="DN442" s="118"/>
      <c r="DO442" s="118"/>
      <c r="DP442" s="118"/>
      <c r="DQ442" s="118"/>
      <c r="DR442" s="118"/>
      <c r="DS442" s="118"/>
      <c r="DT442" s="118"/>
      <c r="DU442" s="19"/>
      <c r="DV442" s="19"/>
      <c r="DW442" s="19"/>
      <c r="DX442" s="19"/>
      <c r="DY442" s="19"/>
      <c r="DZ442" s="19"/>
    </row>
    <row r="443" spans="1:130" ht="12.75" x14ac:dyDescent="0.2">
      <c r="A443" s="741" t="s">
        <v>12</v>
      </c>
      <c r="B443" s="674">
        <v>46167</v>
      </c>
      <c r="C443" s="175"/>
      <c r="D443" s="26"/>
      <c r="E443" s="26"/>
      <c r="F443" s="26"/>
      <c r="G443" s="137"/>
      <c r="H443" s="675"/>
      <c r="I443" s="62">
        <f t="shared" ref="I443:I467" si="315">IF(E443=0,0,F443-E443+1-G443)</f>
        <v>0</v>
      </c>
      <c r="J443" s="676">
        <f>SUM(I443:I447,H443)</f>
        <v>0</v>
      </c>
      <c r="K443" s="175"/>
      <c r="L443" s="175"/>
      <c r="M443" s="675"/>
      <c r="N443" s="675"/>
      <c r="O443" s="677">
        <f>SUM(M443:N447)</f>
        <v>0</v>
      </c>
      <c r="P443" s="675"/>
      <c r="Q443" s="657">
        <f>M443*60</f>
        <v>0</v>
      </c>
      <c r="R443" s="657">
        <f>IF(
   COUNTIF(K443:K447,"SI")&gt;0,
   1.8,
   IF(
      COUNTIF(L443:L447,"SI")&gt;0,
      1.6,
      2
   )
)</f>
        <v>2</v>
      </c>
      <c r="S443" s="678">
        <f>IF(Q443=0,0,J443/Q443)</f>
        <v>0</v>
      </c>
      <c r="T443" s="674">
        <v>46167</v>
      </c>
      <c r="U443" s="175"/>
      <c r="V443" s="26"/>
      <c r="W443" s="26"/>
      <c r="X443" s="26"/>
      <c r="Y443" s="175"/>
      <c r="Z443" s="680"/>
      <c r="AA443" s="151">
        <f t="shared" ref="AA443:AA467" si="316">IF(X443=0,0,X443-W443+1-Y443)</f>
        <v>0</v>
      </c>
      <c r="AB443" s="669">
        <f>SUM(AA443:AA447,Z443)</f>
        <v>0</v>
      </c>
      <c r="AC443" s="26"/>
      <c r="AD443" s="26"/>
      <c r="AE443" s="675"/>
      <c r="AF443" s="675"/>
      <c r="AG443" s="677">
        <f>SUM(AE443:AF447)</f>
        <v>0</v>
      </c>
      <c r="AH443" s="675">
        <v>0</v>
      </c>
      <c r="AI443" s="681">
        <f>AE443*60</f>
        <v>0</v>
      </c>
      <c r="AJ443" s="657">
        <f>IF(
   COUNTIF(AC443:AC447,"SI")&gt;0,
   1.8,
   IF(
      COUNTIF(AD443:AD447,"SI")&gt;0,
      1.6,
      2
   )
)</f>
        <v>2</v>
      </c>
      <c r="AK443" s="682">
        <f t="shared" si="311"/>
        <v>0</v>
      </c>
      <c r="AL443" s="674">
        <v>46167</v>
      </c>
      <c r="AM443" s="24">
        <f>115-73</f>
        <v>42</v>
      </c>
      <c r="AN443" s="31">
        <v>692</v>
      </c>
      <c r="AO443" s="31">
        <v>15753</v>
      </c>
      <c r="AP443" s="24">
        <v>16011</v>
      </c>
      <c r="AQ443" s="26">
        <v>4</v>
      </c>
      <c r="AR443" s="681"/>
      <c r="AS443" s="159">
        <f t="shared" ref="AS443:AS454" si="317">IF(AO443=0,0,AP443-AO443+1-AQ443)</f>
        <v>255</v>
      </c>
      <c r="AT443" s="683">
        <f>SUM(AS443:AS447)+AR443</f>
        <v>1055</v>
      </c>
      <c r="AU443" s="29" t="s">
        <v>51</v>
      </c>
      <c r="AV443" s="640">
        <v>7</v>
      </c>
      <c r="AW443" s="29" t="s">
        <v>51</v>
      </c>
      <c r="AX443" s="657">
        <v>2.75</v>
      </c>
      <c r="AY443" s="633">
        <f>SUM(AV443,AX443)</f>
        <v>9.75</v>
      </c>
      <c r="AZ443" s="657">
        <v>0.25</v>
      </c>
      <c r="BA443" s="657">
        <f>AV443*60</f>
        <v>420</v>
      </c>
      <c r="BB443" s="657">
        <f>IF(
   COUNTIF(AU443:AU447,"SI")&gt;0,
   1.8,
   IF(
      COUNTIF(AV443:AV447,"SI")&gt;0,
      1.6,
      2
   )
)</f>
        <v>1.8</v>
      </c>
      <c r="BC443" s="672">
        <f t="shared" si="314"/>
        <v>2.5119047619047619</v>
      </c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18"/>
      <c r="BX443" s="118"/>
      <c r="BY443" s="118"/>
      <c r="BZ443" s="118"/>
      <c r="CA443" s="118"/>
      <c r="CB443" s="118"/>
      <c r="CC443" s="118"/>
      <c r="CD443" s="118"/>
      <c r="CE443" s="118"/>
      <c r="CF443" s="118"/>
      <c r="CG443" s="118"/>
      <c r="CH443" s="118"/>
      <c r="CI443" s="118"/>
      <c r="CJ443" s="118"/>
      <c r="CK443" s="118"/>
      <c r="CL443" s="118"/>
      <c r="CM443" s="118"/>
      <c r="CN443" s="92"/>
      <c r="CO443" s="93"/>
      <c r="CP443" s="93"/>
      <c r="CQ443" s="93"/>
      <c r="CR443" s="93"/>
      <c r="CS443" s="93"/>
      <c r="CT443" s="93"/>
      <c r="CU443" s="93"/>
      <c r="CV443" s="93"/>
      <c r="CW443" s="93"/>
      <c r="CX443" s="93"/>
      <c r="CY443" s="93"/>
      <c r="CZ443" s="93"/>
      <c r="DA443" s="93"/>
      <c r="DB443" s="93"/>
      <c r="DC443" s="94"/>
      <c r="DD443" s="118"/>
      <c r="DE443" s="118"/>
      <c r="DF443" s="118"/>
      <c r="DG443" s="118"/>
      <c r="DH443" s="118"/>
      <c r="DI443" s="118"/>
      <c r="DJ443" s="118"/>
      <c r="DK443" s="118"/>
      <c r="DL443" s="118"/>
      <c r="DM443" s="118"/>
      <c r="DN443" s="118"/>
      <c r="DO443" s="118"/>
      <c r="DP443" s="118"/>
      <c r="DQ443" s="118"/>
      <c r="DR443" s="118"/>
      <c r="DS443" s="118"/>
      <c r="DT443" s="118"/>
      <c r="DU443" s="19"/>
      <c r="DV443" s="19"/>
      <c r="DW443" s="19"/>
      <c r="DX443" s="19"/>
      <c r="DY443" s="19"/>
      <c r="DZ443" s="19"/>
    </row>
    <row r="444" spans="1:130" ht="12.75" x14ac:dyDescent="0.2">
      <c r="A444" s="647"/>
      <c r="B444" s="647"/>
      <c r="C444" s="30"/>
      <c r="D444" s="158"/>
      <c r="E444" s="158"/>
      <c r="F444" s="158"/>
      <c r="G444" s="158"/>
      <c r="H444" s="634"/>
      <c r="I444" s="159">
        <f t="shared" si="315"/>
        <v>0</v>
      </c>
      <c r="J444" s="634"/>
      <c r="K444" s="30"/>
      <c r="L444" s="142"/>
      <c r="M444" s="634"/>
      <c r="N444" s="634"/>
      <c r="O444" s="634"/>
      <c r="P444" s="634"/>
      <c r="Q444" s="634"/>
      <c r="R444" s="634"/>
      <c r="S444" s="659"/>
      <c r="T444" s="647"/>
      <c r="U444" s="30"/>
      <c r="V444" s="30"/>
      <c r="W444" s="30"/>
      <c r="X444" s="30"/>
      <c r="Y444" s="30"/>
      <c r="Z444" s="638"/>
      <c r="AA444" s="51">
        <f t="shared" si="316"/>
        <v>0</v>
      </c>
      <c r="AB444" s="670"/>
      <c r="AC444" s="29"/>
      <c r="AD444" s="25"/>
      <c r="AE444" s="634"/>
      <c r="AF444" s="634"/>
      <c r="AG444" s="634"/>
      <c r="AH444" s="634"/>
      <c r="AI444" s="638"/>
      <c r="AJ444" s="634"/>
      <c r="AK444" s="642"/>
      <c r="AL444" s="647"/>
      <c r="AM444" s="28">
        <v>128</v>
      </c>
      <c r="AN444" s="28">
        <v>630</v>
      </c>
      <c r="AO444" s="28">
        <v>1003</v>
      </c>
      <c r="AP444" s="28">
        <v>1501</v>
      </c>
      <c r="AQ444" s="29"/>
      <c r="AR444" s="638"/>
      <c r="AS444" s="159">
        <f t="shared" si="317"/>
        <v>499</v>
      </c>
      <c r="AT444" s="670"/>
      <c r="AU444" s="29" t="s">
        <v>51</v>
      </c>
      <c r="AV444" s="634"/>
      <c r="AW444" s="29" t="s">
        <v>51</v>
      </c>
      <c r="AX444" s="634"/>
      <c r="AY444" s="634"/>
      <c r="AZ444" s="634"/>
      <c r="BA444" s="634"/>
      <c r="BB444" s="634"/>
      <c r="BC444" s="634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18"/>
      <c r="BX444" s="118"/>
      <c r="BY444" s="118"/>
      <c r="BZ444" s="118"/>
      <c r="CA444" s="118"/>
      <c r="CB444" s="118"/>
      <c r="CC444" s="118"/>
      <c r="CD444" s="118"/>
      <c r="CE444" s="118"/>
      <c r="CF444" s="118"/>
      <c r="CG444" s="118"/>
      <c r="CH444" s="118"/>
      <c r="CI444" s="118"/>
      <c r="CJ444" s="118"/>
      <c r="CK444" s="118"/>
      <c r="CL444" s="118"/>
      <c r="CM444" s="118"/>
      <c r="CN444" s="92"/>
      <c r="CO444" s="93"/>
      <c r="CP444" s="93"/>
      <c r="CQ444" s="93"/>
      <c r="CR444" s="93"/>
      <c r="CS444" s="93"/>
      <c r="CT444" s="93"/>
      <c r="CU444" s="93"/>
      <c r="CV444" s="93"/>
      <c r="CW444" s="93"/>
      <c r="CX444" s="93"/>
      <c r="CY444" s="93"/>
      <c r="CZ444" s="93"/>
      <c r="DA444" s="93"/>
      <c r="DB444" s="93"/>
      <c r="DC444" s="94"/>
      <c r="DD444" s="118"/>
      <c r="DE444" s="118"/>
      <c r="DF444" s="118"/>
      <c r="DG444" s="118"/>
      <c r="DH444" s="118"/>
      <c r="DI444" s="118"/>
      <c r="DJ444" s="118"/>
      <c r="DK444" s="118"/>
      <c r="DL444" s="118"/>
      <c r="DM444" s="118"/>
      <c r="DN444" s="118"/>
      <c r="DO444" s="118"/>
      <c r="DP444" s="118"/>
      <c r="DQ444" s="118"/>
      <c r="DR444" s="118"/>
      <c r="DS444" s="118"/>
      <c r="DT444" s="118"/>
      <c r="DU444" s="19"/>
      <c r="DV444" s="19"/>
      <c r="DW444" s="19"/>
      <c r="DX444" s="19"/>
      <c r="DY444" s="19"/>
      <c r="DZ444" s="19"/>
    </row>
    <row r="445" spans="1:130" ht="12.75" x14ac:dyDescent="0.2">
      <c r="A445" s="647"/>
      <c r="B445" s="647"/>
      <c r="C445" s="30"/>
      <c r="D445" s="158"/>
      <c r="E445" s="158"/>
      <c r="F445" s="158"/>
      <c r="G445" s="158"/>
      <c r="H445" s="634"/>
      <c r="I445" s="159">
        <f t="shared" si="315"/>
        <v>0</v>
      </c>
      <c r="J445" s="634"/>
      <c r="K445" s="158"/>
      <c r="L445" s="161"/>
      <c r="M445" s="634"/>
      <c r="N445" s="634"/>
      <c r="O445" s="634"/>
      <c r="P445" s="634"/>
      <c r="Q445" s="634"/>
      <c r="R445" s="634"/>
      <c r="S445" s="659"/>
      <c r="T445" s="647"/>
      <c r="U445" s="30"/>
      <c r="V445" s="158"/>
      <c r="W445" s="30"/>
      <c r="X445" s="30"/>
      <c r="Y445" s="30"/>
      <c r="Z445" s="638"/>
      <c r="AA445" s="51">
        <f t="shared" si="316"/>
        <v>0</v>
      </c>
      <c r="AB445" s="670"/>
      <c r="AC445" s="158"/>
      <c r="AD445" s="161"/>
      <c r="AE445" s="634"/>
      <c r="AF445" s="634"/>
      <c r="AG445" s="634"/>
      <c r="AH445" s="634"/>
      <c r="AI445" s="638"/>
      <c r="AJ445" s="634"/>
      <c r="AK445" s="642"/>
      <c r="AL445" s="647"/>
      <c r="AM445" s="28">
        <v>60</v>
      </c>
      <c r="AN445" s="28">
        <v>631</v>
      </c>
      <c r="AO445" s="28">
        <v>1502</v>
      </c>
      <c r="AP445" s="28">
        <v>1802</v>
      </c>
      <c r="AQ445" s="28"/>
      <c r="AR445" s="638"/>
      <c r="AS445" s="159">
        <f t="shared" si="317"/>
        <v>301</v>
      </c>
      <c r="AT445" s="670"/>
      <c r="AU445" s="29" t="s">
        <v>51</v>
      </c>
      <c r="AV445" s="634"/>
      <c r="AW445" s="29" t="s">
        <v>51</v>
      </c>
      <c r="AX445" s="634"/>
      <c r="AY445" s="634"/>
      <c r="AZ445" s="634"/>
      <c r="BA445" s="634"/>
      <c r="BB445" s="634"/>
      <c r="BC445" s="634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18"/>
      <c r="BX445" s="118"/>
      <c r="BY445" s="118"/>
      <c r="BZ445" s="118"/>
      <c r="CA445" s="118"/>
      <c r="CB445" s="118"/>
      <c r="CC445" s="118"/>
      <c r="CD445" s="118"/>
      <c r="CE445" s="118"/>
      <c r="CF445" s="118"/>
      <c r="CG445" s="118"/>
      <c r="CH445" s="118"/>
      <c r="CI445" s="118"/>
      <c r="CJ445" s="118"/>
      <c r="CK445" s="118"/>
      <c r="CL445" s="118"/>
      <c r="CM445" s="118"/>
      <c r="CN445" s="92"/>
      <c r="CO445" s="93"/>
      <c r="CP445" s="93"/>
      <c r="CQ445" s="93"/>
      <c r="CR445" s="93"/>
      <c r="CS445" s="93"/>
      <c r="CT445" s="93"/>
      <c r="CU445" s="93"/>
      <c r="CV445" s="93"/>
      <c r="CW445" s="93"/>
      <c r="CX445" s="93"/>
      <c r="CY445" s="93"/>
      <c r="CZ445" s="93"/>
      <c r="DA445" s="93"/>
      <c r="DB445" s="93"/>
      <c r="DC445" s="94"/>
      <c r="DD445" s="118"/>
      <c r="DE445" s="118"/>
      <c r="DF445" s="118"/>
      <c r="DG445" s="118"/>
      <c r="DH445" s="118"/>
      <c r="DI445" s="118"/>
      <c r="DJ445" s="118"/>
      <c r="DK445" s="118"/>
      <c r="DL445" s="118"/>
      <c r="DM445" s="118"/>
      <c r="DN445" s="118"/>
      <c r="DO445" s="118"/>
      <c r="DP445" s="118"/>
      <c r="DQ445" s="118"/>
      <c r="DR445" s="118"/>
      <c r="DS445" s="118"/>
      <c r="DT445" s="118"/>
      <c r="DU445" s="19"/>
      <c r="DV445" s="19"/>
      <c r="DW445" s="19"/>
      <c r="DX445" s="19"/>
      <c r="DY445" s="19"/>
      <c r="DZ445" s="19"/>
    </row>
    <row r="446" spans="1:130" ht="12.75" x14ac:dyDescent="0.2">
      <c r="A446" s="647"/>
      <c r="B446" s="647"/>
      <c r="C446" s="30"/>
      <c r="D446" s="30"/>
      <c r="E446" s="30"/>
      <c r="F446" s="30"/>
      <c r="G446" s="30"/>
      <c r="H446" s="634"/>
      <c r="I446" s="159">
        <f t="shared" si="315"/>
        <v>0</v>
      </c>
      <c r="J446" s="634"/>
      <c r="K446" s="30"/>
      <c r="L446" s="142"/>
      <c r="M446" s="634"/>
      <c r="N446" s="634"/>
      <c r="O446" s="634"/>
      <c r="P446" s="634"/>
      <c r="Q446" s="634"/>
      <c r="R446" s="634"/>
      <c r="S446" s="659"/>
      <c r="T446" s="647"/>
      <c r="U446" s="30"/>
      <c r="V446" s="30"/>
      <c r="W446" s="30"/>
      <c r="X446" s="30"/>
      <c r="Y446" s="30"/>
      <c r="Z446" s="638"/>
      <c r="AA446" s="51">
        <f t="shared" si="316"/>
        <v>0</v>
      </c>
      <c r="AB446" s="670"/>
      <c r="AC446" s="30"/>
      <c r="AD446" s="142"/>
      <c r="AE446" s="634"/>
      <c r="AF446" s="634"/>
      <c r="AG446" s="634"/>
      <c r="AH446" s="634"/>
      <c r="AI446" s="638"/>
      <c r="AJ446" s="634"/>
      <c r="AK446" s="642"/>
      <c r="AL446" s="647"/>
      <c r="AM446" s="29"/>
      <c r="AN446" s="29"/>
      <c r="AO446" s="29"/>
      <c r="AP446" s="29"/>
      <c r="AQ446" s="30"/>
      <c r="AR446" s="638"/>
      <c r="AS446" s="159">
        <f t="shared" si="317"/>
        <v>0</v>
      </c>
      <c r="AT446" s="671"/>
      <c r="AU446" s="30"/>
      <c r="AV446" s="635"/>
      <c r="AW446" s="142"/>
      <c r="AX446" s="634"/>
      <c r="AY446" s="634"/>
      <c r="AZ446" s="634"/>
      <c r="BA446" s="634"/>
      <c r="BB446" s="634"/>
      <c r="BC446" s="634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18"/>
      <c r="BX446" s="118"/>
      <c r="BY446" s="118"/>
      <c r="BZ446" s="118"/>
      <c r="CA446" s="118"/>
      <c r="CB446" s="118"/>
      <c r="CC446" s="118"/>
      <c r="CD446" s="118"/>
      <c r="CE446" s="118"/>
      <c r="CF446" s="118"/>
      <c r="CG446" s="118"/>
      <c r="CH446" s="118"/>
      <c r="CI446" s="118"/>
      <c r="CJ446" s="118"/>
      <c r="CK446" s="118"/>
      <c r="CL446" s="118"/>
      <c r="CM446" s="118"/>
      <c r="CN446" s="92"/>
      <c r="CO446" s="93"/>
      <c r="CP446" s="93"/>
      <c r="CQ446" s="93"/>
      <c r="CR446" s="93"/>
      <c r="CS446" s="93"/>
      <c r="CT446" s="93"/>
      <c r="CU446" s="93"/>
      <c r="CV446" s="93"/>
      <c r="CW446" s="93"/>
      <c r="CX446" s="93"/>
      <c r="CY446" s="93"/>
      <c r="CZ446" s="93"/>
      <c r="DA446" s="93"/>
      <c r="DB446" s="93"/>
      <c r="DC446" s="94"/>
      <c r="DD446" s="118"/>
      <c r="DE446" s="118"/>
      <c r="DF446" s="118"/>
      <c r="DG446" s="118"/>
      <c r="DH446" s="118"/>
      <c r="DI446" s="118"/>
      <c r="DJ446" s="118"/>
      <c r="DK446" s="118"/>
      <c r="DL446" s="118"/>
      <c r="DM446" s="118"/>
      <c r="DN446" s="118"/>
      <c r="DO446" s="118"/>
      <c r="DP446" s="118"/>
      <c r="DQ446" s="118"/>
      <c r="DR446" s="118"/>
      <c r="DS446" s="118"/>
      <c r="DT446" s="118"/>
      <c r="DU446" s="19"/>
      <c r="DV446" s="19"/>
      <c r="DW446" s="19"/>
      <c r="DX446" s="19"/>
      <c r="DY446" s="19"/>
      <c r="DZ446" s="19"/>
    </row>
    <row r="447" spans="1:130" ht="12.75" x14ac:dyDescent="0.2">
      <c r="A447" s="648"/>
      <c r="B447" s="648"/>
      <c r="C447" s="30"/>
      <c r="D447" s="30"/>
      <c r="E447" s="30"/>
      <c r="F447" s="30"/>
      <c r="G447" s="30"/>
      <c r="H447" s="635"/>
      <c r="I447" s="159">
        <f t="shared" si="315"/>
        <v>0</v>
      </c>
      <c r="J447" s="635"/>
      <c r="K447" s="30"/>
      <c r="L447" s="142"/>
      <c r="M447" s="635"/>
      <c r="N447" s="635"/>
      <c r="O447" s="635"/>
      <c r="P447" s="635"/>
      <c r="Q447" s="635"/>
      <c r="R447" s="635"/>
      <c r="S447" s="660"/>
      <c r="T447" s="648"/>
      <c r="U447" s="30"/>
      <c r="V447" s="30"/>
      <c r="W447" s="30"/>
      <c r="X447" s="30"/>
      <c r="Y447" s="30"/>
      <c r="Z447" s="639"/>
      <c r="AA447" s="51">
        <f t="shared" si="316"/>
        <v>0</v>
      </c>
      <c r="AB447" s="671"/>
      <c r="AC447" s="30"/>
      <c r="AD447" s="142"/>
      <c r="AE447" s="635"/>
      <c r="AF447" s="635"/>
      <c r="AG447" s="635"/>
      <c r="AH447" s="635"/>
      <c r="AI447" s="639"/>
      <c r="AJ447" s="635"/>
      <c r="AK447" s="643"/>
      <c r="AL447" s="648"/>
      <c r="AM447" s="30"/>
      <c r="AN447" s="30"/>
      <c r="AO447" s="30"/>
      <c r="AP447" s="30"/>
      <c r="AQ447" s="30"/>
      <c r="AR447" s="639"/>
      <c r="AS447" s="159">
        <f t="shared" si="317"/>
        <v>0</v>
      </c>
      <c r="AT447" s="146">
        <f>AS447</f>
        <v>0</v>
      </c>
      <c r="AU447" s="30"/>
      <c r="AV447" s="142"/>
      <c r="AW447" s="142"/>
      <c r="AX447" s="635"/>
      <c r="AY447" s="635"/>
      <c r="AZ447" s="635"/>
      <c r="BA447" s="147">
        <f t="shared" ref="BA447:BA448" si="318">AV447*60</f>
        <v>0</v>
      </c>
      <c r="BB447" s="635"/>
      <c r="BC447" s="148">
        <f t="shared" ref="BC447:BC448" si="319">IF(BA447=0,0,AT447/BA447)</f>
        <v>0</v>
      </c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18"/>
      <c r="BX447" s="118"/>
      <c r="BY447" s="118"/>
      <c r="BZ447" s="118"/>
      <c r="CA447" s="118"/>
      <c r="CB447" s="118"/>
      <c r="CC447" s="118"/>
      <c r="CD447" s="118"/>
      <c r="CE447" s="118"/>
      <c r="CF447" s="118"/>
      <c r="CG447" s="118"/>
      <c r="CH447" s="118"/>
      <c r="CI447" s="118"/>
      <c r="CJ447" s="118"/>
      <c r="CK447" s="118"/>
      <c r="CL447" s="118"/>
      <c r="CM447" s="118"/>
      <c r="CN447" s="92"/>
      <c r="CO447" s="93"/>
      <c r="CP447" s="93"/>
      <c r="CQ447" s="93"/>
      <c r="CR447" s="93"/>
      <c r="CS447" s="93"/>
      <c r="CT447" s="93"/>
      <c r="CU447" s="93"/>
      <c r="CV447" s="93"/>
      <c r="CW447" s="93"/>
      <c r="CX447" s="93"/>
      <c r="CY447" s="93"/>
      <c r="CZ447" s="93"/>
      <c r="DA447" s="93"/>
      <c r="DB447" s="93"/>
      <c r="DC447" s="94"/>
      <c r="DD447" s="118"/>
      <c r="DE447" s="118"/>
      <c r="DF447" s="118"/>
      <c r="DG447" s="118"/>
      <c r="DH447" s="118"/>
      <c r="DI447" s="118"/>
      <c r="DJ447" s="118"/>
      <c r="DK447" s="118"/>
      <c r="DL447" s="118"/>
      <c r="DM447" s="118"/>
      <c r="DN447" s="118"/>
      <c r="DO447" s="118"/>
      <c r="DP447" s="118"/>
      <c r="DQ447" s="118"/>
      <c r="DR447" s="118"/>
      <c r="DS447" s="118"/>
      <c r="DT447" s="118"/>
      <c r="DU447" s="19"/>
      <c r="DV447" s="19"/>
      <c r="DW447" s="19"/>
      <c r="DX447" s="19"/>
      <c r="DY447" s="19"/>
      <c r="DZ447" s="19"/>
    </row>
    <row r="448" spans="1:130" ht="12.75" x14ac:dyDescent="0.2">
      <c r="A448" s="651"/>
      <c r="B448" s="646">
        <v>46168</v>
      </c>
      <c r="C448" s="40"/>
      <c r="D448" s="40"/>
      <c r="E448" s="40"/>
      <c r="F448" s="40"/>
      <c r="G448" s="40"/>
      <c r="H448" s="653"/>
      <c r="I448" s="159">
        <f t="shared" si="315"/>
        <v>0</v>
      </c>
      <c r="J448" s="650">
        <f>SUM(I448:I451,H448)</f>
        <v>0</v>
      </c>
      <c r="K448" s="40"/>
      <c r="L448" s="40"/>
      <c r="M448" s="653"/>
      <c r="N448" s="653"/>
      <c r="O448" s="633">
        <f>SUM(M448:N451)</f>
        <v>0</v>
      </c>
      <c r="P448" s="653"/>
      <c r="Q448" s="636">
        <f>M448*60</f>
        <v>0</v>
      </c>
      <c r="R448" s="657">
        <f>IF(
   COUNTIF(K448:K451,"SI")&gt;0,
   1.8,
   IF(
      COUNTIF(L448:L451,"SI")&gt;0,
      1.6,
      2
   )
)</f>
        <v>2</v>
      </c>
      <c r="S448" s="678">
        <f>IF(Q448=0,0,J448/Q448)</f>
        <v>0</v>
      </c>
      <c r="T448" s="646">
        <v>46168</v>
      </c>
      <c r="U448" s="40"/>
      <c r="V448" s="38">
        <v>629</v>
      </c>
      <c r="W448" s="38">
        <v>913</v>
      </c>
      <c r="X448" s="38">
        <v>1000</v>
      </c>
      <c r="Y448" s="38"/>
      <c r="Z448" s="653"/>
      <c r="AA448" s="51">
        <f t="shared" si="316"/>
        <v>88</v>
      </c>
      <c r="AB448" s="650">
        <f>SUM(AA448:AA451)+Z448</f>
        <v>588</v>
      </c>
      <c r="AC448" s="38" t="s">
        <v>51</v>
      </c>
      <c r="AD448" s="38" t="s">
        <v>51</v>
      </c>
      <c r="AE448" s="636">
        <v>5</v>
      </c>
      <c r="AF448" s="636">
        <v>0.5</v>
      </c>
      <c r="AG448" s="633">
        <f>SUM(AE448:AF451)</f>
        <v>5.5</v>
      </c>
      <c r="AH448" s="636">
        <v>0</v>
      </c>
      <c r="AI448" s="637">
        <f>AE448*60</f>
        <v>300</v>
      </c>
      <c r="AJ448" s="640">
        <f>IF(
   COUNTIF(AC448:AC451,"SI")&gt;0,
   1.8,
   IF(
      COUNTIF(AD448:AD451,"SI")&gt;0,
      1.6,
      2
   )
)</f>
        <v>1.8</v>
      </c>
      <c r="AK448" s="641">
        <f>IF(AI448=0,0,AB448/AI448)</f>
        <v>1.96</v>
      </c>
      <c r="AL448" s="646">
        <v>46168</v>
      </c>
      <c r="AM448" s="31">
        <v>61</v>
      </c>
      <c r="AN448" s="31">
        <v>631</v>
      </c>
      <c r="AO448" s="31">
        <v>1803</v>
      </c>
      <c r="AP448" s="31">
        <v>2001</v>
      </c>
      <c r="AQ448" s="31"/>
      <c r="AR448" s="653"/>
      <c r="AS448" s="159">
        <f t="shared" si="317"/>
        <v>199</v>
      </c>
      <c r="AT448" s="683">
        <f>SUM(AS448:AS451)+AR448</f>
        <v>526</v>
      </c>
      <c r="AU448" s="653" t="s">
        <v>51</v>
      </c>
      <c r="AV448" s="653">
        <v>3.5</v>
      </c>
      <c r="AW448" s="31" t="s">
        <v>52</v>
      </c>
      <c r="AX448" s="653">
        <v>1</v>
      </c>
      <c r="AY448" s="633">
        <f>SUM(AV448:AX451)</f>
        <v>4.5</v>
      </c>
      <c r="AZ448" s="636">
        <v>0.2</v>
      </c>
      <c r="BA448" s="636">
        <f t="shared" si="318"/>
        <v>210</v>
      </c>
      <c r="BB448" s="657">
        <f>IF(
   COUNTIF(AU448:AU451,"SI")&gt;0,
   1.8,
   IF(
      COUNTIF(AV448:AV451,"SI")&gt;0,
      1.6,
      2
   )
)</f>
        <v>1.8</v>
      </c>
      <c r="BC448" s="667">
        <f t="shared" si="319"/>
        <v>2.5047619047619047</v>
      </c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18"/>
      <c r="BX448" s="118"/>
      <c r="BY448" s="118"/>
      <c r="BZ448" s="118"/>
      <c r="CA448" s="118"/>
      <c r="CB448" s="118"/>
      <c r="CC448" s="118"/>
      <c r="CD448" s="118"/>
      <c r="CE448" s="118"/>
      <c r="CF448" s="118"/>
      <c r="CG448" s="118"/>
      <c r="CH448" s="118"/>
      <c r="CI448" s="118"/>
      <c r="CJ448" s="118"/>
      <c r="CK448" s="118"/>
      <c r="CL448" s="118"/>
      <c r="CM448" s="118"/>
      <c r="CN448" s="92"/>
      <c r="CO448" s="93"/>
      <c r="CP448" s="93"/>
      <c r="CQ448" s="93"/>
      <c r="CR448" s="93"/>
      <c r="CS448" s="93"/>
      <c r="CT448" s="93"/>
      <c r="CU448" s="93"/>
      <c r="CV448" s="93"/>
      <c r="CW448" s="93"/>
      <c r="CX448" s="93"/>
      <c r="CY448" s="93"/>
      <c r="CZ448" s="93"/>
      <c r="DA448" s="93"/>
      <c r="DB448" s="93"/>
      <c r="DC448" s="94"/>
      <c r="DD448" s="118"/>
      <c r="DE448" s="118"/>
      <c r="DF448" s="118"/>
      <c r="DG448" s="118"/>
      <c r="DH448" s="118"/>
      <c r="DI448" s="118"/>
      <c r="DJ448" s="118"/>
      <c r="DK448" s="118"/>
      <c r="DL448" s="118"/>
      <c r="DM448" s="118"/>
      <c r="DN448" s="118"/>
      <c r="DO448" s="118"/>
      <c r="DP448" s="118"/>
      <c r="DQ448" s="118"/>
      <c r="DR448" s="118"/>
      <c r="DS448" s="118"/>
      <c r="DT448" s="118"/>
      <c r="DU448" s="19"/>
      <c r="DV448" s="19"/>
      <c r="DW448" s="19"/>
      <c r="DX448" s="19"/>
      <c r="DY448" s="19"/>
      <c r="DZ448" s="19"/>
    </row>
    <row r="449" spans="1:130" ht="12.75" x14ac:dyDescent="0.2">
      <c r="A449" s="647"/>
      <c r="B449" s="647"/>
      <c r="C449" s="40"/>
      <c r="D449" s="40"/>
      <c r="E449" s="40"/>
      <c r="F449" s="40"/>
      <c r="G449" s="40"/>
      <c r="H449" s="634"/>
      <c r="I449" s="159">
        <f t="shared" si="315"/>
        <v>0</v>
      </c>
      <c r="J449" s="634"/>
      <c r="K449" s="40"/>
      <c r="L449" s="40"/>
      <c r="M449" s="634"/>
      <c r="N449" s="634"/>
      <c r="O449" s="634"/>
      <c r="P449" s="634"/>
      <c r="Q449" s="634"/>
      <c r="R449" s="634"/>
      <c r="S449" s="659"/>
      <c r="T449" s="647"/>
      <c r="U449" s="40"/>
      <c r="V449" s="31">
        <v>632</v>
      </c>
      <c r="W449" s="31">
        <v>2001</v>
      </c>
      <c r="X449" s="31">
        <v>2500</v>
      </c>
      <c r="Y449" s="31"/>
      <c r="Z449" s="634"/>
      <c r="AA449" s="51">
        <f t="shared" si="316"/>
        <v>500</v>
      </c>
      <c r="AB449" s="634"/>
      <c r="AC449" s="38" t="s">
        <v>51</v>
      </c>
      <c r="AD449" s="38" t="s">
        <v>51</v>
      </c>
      <c r="AE449" s="634"/>
      <c r="AF449" s="634"/>
      <c r="AG449" s="634"/>
      <c r="AH449" s="634"/>
      <c r="AI449" s="638"/>
      <c r="AJ449" s="634"/>
      <c r="AK449" s="642"/>
      <c r="AL449" s="647"/>
      <c r="AM449" s="31">
        <v>84</v>
      </c>
      <c r="AN449" s="31">
        <v>633</v>
      </c>
      <c r="AO449" s="31">
        <v>2501</v>
      </c>
      <c r="AP449" s="31">
        <v>2835</v>
      </c>
      <c r="AQ449" s="31">
        <v>8</v>
      </c>
      <c r="AR449" s="634"/>
      <c r="AS449" s="159">
        <f t="shared" si="317"/>
        <v>327</v>
      </c>
      <c r="AT449" s="670"/>
      <c r="AU449" s="634"/>
      <c r="AV449" s="634"/>
      <c r="AW449" s="31" t="s">
        <v>52</v>
      </c>
      <c r="AX449" s="634"/>
      <c r="AY449" s="634"/>
      <c r="AZ449" s="634"/>
      <c r="BA449" s="634"/>
      <c r="BB449" s="634"/>
      <c r="BC449" s="634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18"/>
      <c r="BX449" s="118"/>
      <c r="BY449" s="118"/>
      <c r="BZ449" s="118"/>
      <c r="CA449" s="118"/>
      <c r="CB449" s="118"/>
      <c r="CC449" s="118"/>
      <c r="CD449" s="118"/>
      <c r="CE449" s="118"/>
      <c r="CF449" s="118"/>
      <c r="CG449" s="118"/>
      <c r="CH449" s="118"/>
      <c r="CI449" s="118"/>
      <c r="CJ449" s="118"/>
      <c r="CK449" s="118"/>
      <c r="CL449" s="118"/>
      <c r="CM449" s="118"/>
      <c r="CN449" s="92"/>
      <c r="CO449" s="93"/>
      <c r="CP449" s="93"/>
      <c r="CQ449" s="93"/>
      <c r="CR449" s="93"/>
      <c r="CS449" s="93"/>
      <c r="CT449" s="93"/>
      <c r="CU449" s="93"/>
      <c r="CV449" s="93"/>
      <c r="CW449" s="93"/>
      <c r="CX449" s="93"/>
      <c r="CY449" s="93"/>
      <c r="CZ449" s="93"/>
      <c r="DA449" s="93"/>
      <c r="DB449" s="93"/>
      <c r="DC449" s="94"/>
      <c r="DD449" s="118"/>
      <c r="DE449" s="118"/>
      <c r="DF449" s="118"/>
      <c r="DG449" s="118"/>
      <c r="DH449" s="118"/>
      <c r="DI449" s="118"/>
      <c r="DJ449" s="118"/>
      <c r="DK449" s="118"/>
      <c r="DL449" s="118"/>
      <c r="DM449" s="118"/>
      <c r="DN449" s="118"/>
      <c r="DO449" s="118"/>
      <c r="DP449" s="118"/>
      <c r="DQ449" s="118"/>
      <c r="DR449" s="118"/>
      <c r="DS449" s="118"/>
      <c r="DT449" s="118"/>
      <c r="DU449" s="19"/>
      <c r="DV449" s="19"/>
      <c r="DW449" s="19"/>
      <c r="DX449" s="19"/>
      <c r="DY449" s="19"/>
      <c r="DZ449" s="19"/>
    </row>
    <row r="450" spans="1:130" ht="12.75" x14ac:dyDescent="0.2">
      <c r="A450" s="647"/>
      <c r="B450" s="647"/>
      <c r="C450" s="40"/>
      <c r="D450" s="40"/>
      <c r="E450" s="40"/>
      <c r="F450" s="40"/>
      <c r="G450" s="40"/>
      <c r="H450" s="634"/>
      <c r="I450" s="159">
        <f t="shared" si="315"/>
        <v>0</v>
      </c>
      <c r="J450" s="634"/>
      <c r="K450" s="40"/>
      <c r="L450" s="40"/>
      <c r="M450" s="634"/>
      <c r="N450" s="634"/>
      <c r="O450" s="634"/>
      <c r="P450" s="634"/>
      <c r="Q450" s="634"/>
      <c r="R450" s="634"/>
      <c r="S450" s="659"/>
      <c r="T450" s="647"/>
      <c r="U450" s="40"/>
      <c r="V450" s="31"/>
      <c r="W450" s="31"/>
      <c r="X450" s="31"/>
      <c r="Y450" s="31"/>
      <c r="Z450" s="634"/>
      <c r="AA450" s="51">
        <f t="shared" si="316"/>
        <v>0</v>
      </c>
      <c r="AB450" s="634"/>
      <c r="AC450" s="38"/>
      <c r="AD450" s="38"/>
      <c r="AE450" s="634"/>
      <c r="AF450" s="634"/>
      <c r="AG450" s="634"/>
      <c r="AH450" s="634"/>
      <c r="AI450" s="638"/>
      <c r="AJ450" s="634"/>
      <c r="AK450" s="642"/>
      <c r="AL450" s="647"/>
      <c r="AM450" s="31"/>
      <c r="AN450" s="31"/>
      <c r="AO450" s="31"/>
      <c r="AP450" s="31"/>
      <c r="AQ450" s="159"/>
      <c r="AR450" s="634"/>
      <c r="AS450" s="159">
        <f t="shared" si="317"/>
        <v>0</v>
      </c>
      <c r="AT450" s="671"/>
      <c r="AU450" s="635"/>
      <c r="AV450" s="635"/>
      <c r="AW450" s="40"/>
      <c r="AX450" s="634"/>
      <c r="AY450" s="634"/>
      <c r="AZ450" s="634"/>
      <c r="BA450" s="634"/>
      <c r="BB450" s="634"/>
      <c r="BC450" s="635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18"/>
      <c r="BX450" s="118"/>
      <c r="BY450" s="118"/>
      <c r="BZ450" s="118"/>
      <c r="CA450" s="118"/>
      <c r="CB450" s="118"/>
      <c r="CC450" s="118"/>
      <c r="CD450" s="118"/>
      <c r="CE450" s="118"/>
      <c r="CF450" s="118"/>
      <c r="CG450" s="118"/>
      <c r="CH450" s="118"/>
      <c r="CI450" s="118"/>
      <c r="CJ450" s="118"/>
      <c r="CK450" s="118"/>
      <c r="CL450" s="118"/>
      <c r="CM450" s="118"/>
      <c r="CN450" s="92"/>
      <c r="CO450" s="93"/>
      <c r="CP450" s="93"/>
      <c r="CQ450" s="93"/>
      <c r="CR450" s="93"/>
      <c r="CS450" s="93"/>
      <c r="CT450" s="93"/>
      <c r="CU450" s="93"/>
      <c r="CV450" s="93"/>
      <c r="CW450" s="93"/>
      <c r="CX450" s="93"/>
      <c r="CY450" s="93"/>
      <c r="CZ450" s="93"/>
      <c r="DA450" s="93"/>
      <c r="DB450" s="93"/>
      <c r="DC450" s="94"/>
      <c r="DD450" s="118"/>
      <c r="DE450" s="118"/>
      <c r="DF450" s="118"/>
      <c r="DG450" s="118"/>
      <c r="DH450" s="118"/>
      <c r="DI450" s="118"/>
      <c r="DJ450" s="118"/>
      <c r="DK450" s="118"/>
      <c r="DL450" s="118"/>
      <c r="DM450" s="118"/>
      <c r="DN450" s="118"/>
      <c r="DO450" s="118"/>
      <c r="DP450" s="118"/>
      <c r="DQ450" s="118"/>
      <c r="DR450" s="118"/>
      <c r="DS450" s="118"/>
      <c r="DT450" s="118"/>
      <c r="DU450" s="19"/>
      <c r="DV450" s="19"/>
      <c r="DW450" s="19"/>
      <c r="DX450" s="19"/>
      <c r="DY450" s="19"/>
      <c r="DZ450" s="19"/>
    </row>
    <row r="451" spans="1:130" ht="12.75" x14ac:dyDescent="0.2">
      <c r="A451" s="648"/>
      <c r="B451" s="648"/>
      <c r="C451" s="40"/>
      <c r="D451" s="40"/>
      <c r="E451" s="40"/>
      <c r="F451" s="40"/>
      <c r="G451" s="40"/>
      <c r="H451" s="635"/>
      <c r="I451" s="159">
        <f t="shared" si="315"/>
        <v>0</v>
      </c>
      <c r="J451" s="635"/>
      <c r="K451" s="40"/>
      <c r="L451" s="40"/>
      <c r="M451" s="635"/>
      <c r="N451" s="635"/>
      <c r="O451" s="635"/>
      <c r="P451" s="635"/>
      <c r="Q451" s="635"/>
      <c r="R451" s="635"/>
      <c r="S451" s="660"/>
      <c r="T451" s="648"/>
      <c r="U451" s="40"/>
      <c r="V451" s="40"/>
      <c r="W451" s="40"/>
      <c r="X451" s="40"/>
      <c r="Y451" s="40"/>
      <c r="Z451" s="635"/>
      <c r="AA451" s="51">
        <f t="shared" si="316"/>
        <v>0</v>
      </c>
      <c r="AB451" s="634"/>
      <c r="AC451" s="40"/>
      <c r="AD451" s="40"/>
      <c r="AE451" s="634"/>
      <c r="AF451" s="635"/>
      <c r="AG451" s="635"/>
      <c r="AH451" s="635"/>
      <c r="AI451" s="638"/>
      <c r="AJ451" s="635"/>
      <c r="AK451" s="643"/>
      <c r="AL451" s="648"/>
      <c r="AM451" s="40"/>
      <c r="AN451" s="31"/>
      <c r="AO451" s="31"/>
      <c r="AP451" s="31"/>
      <c r="AQ451" s="40"/>
      <c r="AR451" s="635"/>
      <c r="AS451" s="159">
        <f t="shared" si="317"/>
        <v>0</v>
      </c>
      <c r="AT451" s="153"/>
      <c r="AU451" s="40"/>
      <c r="AV451" s="154"/>
      <c r="AW451" s="154"/>
      <c r="AX451" s="635"/>
      <c r="AY451" s="635"/>
      <c r="AZ451" s="635"/>
      <c r="BA451" s="154"/>
      <c r="BB451" s="635"/>
      <c r="BC451" s="155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18"/>
      <c r="BX451" s="118"/>
      <c r="BY451" s="118"/>
      <c r="BZ451" s="118"/>
      <c r="CA451" s="118"/>
      <c r="CB451" s="118"/>
      <c r="CC451" s="118"/>
      <c r="CD451" s="118"/>
      <c r="CE451" s="118"/>
      <c r="CF451" s="118"/>
      <c r="CG451" s="118"/>
      <c r="CH451" s="118"/>
      <c r="CI451" s="118"/>
      <c r="CJ451" s="118"/>
      <c r="CK451" s="118"/>
      <c r="CL451" s="118"/>
      <c r="CM451" s="118"/>
      <c r="CN451" s="92"/>
      <c r="CO451" s="93"/>
      <c r="CP451" s="93"/>
      <c r="CQ451" s="93"/>
      <c r="CR451" s="93"/>
      <c r="CS451" s="93"/>
      <c r="CT451" s="93"/>
      <c r="CU451" s="93"/>
      <c r="CV451" s="93"/>
      <c r="CW451" s="93"/>
      <c r="CX451" s="93"/>
      <c r="CY451" s="93"/>
      <c r="CZ451" s="93"/>
      <c r="DA451" s="93"/>
      <c r="DB451" s="93"/>
      <c r="DC451" s="94"/>
      <c r="DD451" s="118"/>
      <c r="DE451" s="118"/>
      <c r="DF451" s="118"/>
      <c r="DG451" s="118"/>
      <c r="DH451" s="118"/>
      <c r="DI451" s="118"/>
      <c r="DJ451" s="118"/>
      <c r="DK451" s="118"/>
      <c r="DL451" s="118"/>
      <c r="DM451" s="118"/>
      <c r="DN451" s="118"/>
      <c r="DO451" s="118"/>
      <c r="DP451" s="118"/>
      <c r="DQ451" s="118"/>
      <c r="DR451" s="118"/>
      <c r="DS451" s="118"/>
      <c r="DT451" s="118"/>
      <c r="DU451" s="19"/>
      <c r="DV451" s="19"/>
      <c r="DW451" s="19"/>
      <c r="DX451" s="19"/>
      <c r="DY451" s="19"/>
      <c r="DZ451" s="19"/>
    </row>
    <row r="452" spans="1:130" ht="12.75" x14ac:dyDescent="0.2">
      <c r="A452" s="654"/>
      <c r="B452" s="655">
        <v>46169</v>
      </c>
      <c r="C452" s="29">
        <v>25</v>
      </c>
      <c r="D452" s="29">
        <v>660</v>
      </c>
      <c r="E452" s="29">
        <v>16001</v>
      </c>
      <c r="F452" s="29">
        <v>16200</v>
      </c>
      <c r="G452" s="30"/>
      <c r="H452" s="649"/>
      <c r="I452" s="159">
        <f t="shared" si="315"/>
        <v>200</v>
      </c>
      <c r="J452" s="650">
        <f>SUM(I452:I455,H452)</f>
        <v>621</v>
      </c>
      <c r="K452" s="29"/>
      <c r="L452" s="29"/>
      <c r="M452" s="649">
        <v>5</v>
      </c>
      <c r="N452" s="649">
        <v>2</v>
      </c>
      <c r="O452" s="656">
        <f>SUM(M452:N455)</f>
        <v>7</v>
      </c>
      <c r="P452" s="649"/>
      <c r="Q452" s="644">
        <f>M452*60</f>
        <v>300</v>
      </c>
      <c r="R452" s="657">
        <f>IF(
   COUNTIF(K452:K455,"SI")&gt;0,
   1.8,
   IF(
      COUNTIF(L452:L455,"SI")&gt;0,
      1.6,
      2
   )
)</f>
        <v>2</v>
      </c>
      <c r="S452" s="658">
        <f>IF(Q452=0,0,J452/Q452)</f>
        <v>2.0699999999999998</v>
      </c>
      <c r="T452" s="655">
        <v>46169</v>
      </c>
      <c r="U452" s="30"/>
      <c r="V452" s="28"/>
      <c r="W452" s="28"/>
      <c r="X452" s="28"/>
      <c r="Y452" s="29"/>
      <c r="Z452" s="640"/>
      <c r="AA452" s="51">
        <f t="shared" si="316"/>
        <v>0</v>
      </c>
      <c r="AB452" s="650">
        <f>SUM(AA452:AA455,Z452)</f>
        <v>0</v>
      </c>
      <c r="AC452" s="28"/>
      <c r="AD452" s="28"/>
      <c r="AE452" s="640"/>
      <c r="AF452" s="640"/>
      <c r="AG452" s="633">
        <f>SUM(AE452:AF455)</f>
        <v>0</v>
      </c>
      <c r="AH452" s="640">
        <v>0</v>
      </c>
      <c r="AI452" s="664">
        <f>AE452*60</f>
        <v>0</v>
      </c>
      <c r="AJ452" s="640">
        <f>IF(
   COUNTIF(AC452:AC455,"SI")&gt;0,
   1.8,
   IF(
      COUNTIF(AD452:AD455,"SI")&gt;0,
      1.6,
      2
   )
)</f>
        <v>2</v>
      </c>
      <c r="AK452" s="641">
        <f>IF(AI452=0,0,AB452/AI452)</f>
        <v>0</v>
      </c>
      <c r="AL452" s="655">
        <v>46169</v>
      </c>
      <c r="AM452" s="31"/>
      <c r="AN452" s="31"/>
      <c r="AO452" s="31"/>
      <c r="AP452" s="31"/>
      <c r="AQ452" s="31"/>
      <c r="AR452" s="653"/>
      <c r="AS452" s="159">
        <f t="shared" si="317"/>
        <v>0</v>
      </c>
      <c r="AT452" s="650">
        <f>SUM(AS452:AS454,AR452)</f>
        <v>0</v>
      </c>
      <c r="AU452" s="653"/>
      <c r="AV452" s="653"/>
      <c r="AW452" s="31"/>
      <c r="AX452" s="653"/>
      <c r="AY452" s="633">
        <f>SUM(AV452:AX455)</f>
        <v>0</v>
      </c>
      <c r="AZ452" s="636">
        <v>0.2</v>
      </c>
      <c r="BA452" s="640">
        <f>AV452*60</f>
        <v>0</v>
      </c>
      <c r="BB452" s="657">
        <f>IF(
   COUNTIF(AU452:AU455,"SI")&gt;0,
   1.8,
   IF(
      COUNTIF(AV452:AV455,"SI")&gt;0,
      1.6,
      2
   )
)</f>
        <v>2</v>
      </c>
      <c r="BC452" s="666">
        <f>IF(BA452=0,0,AT452/BA452)</f>
        <v>0</v>
      </c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18"/>
      <c r="BX452" s="118"/>
      <c r="BY452" s="118"/>
      <c r="BZ452" s="118"/>
      <c r="CA452" s="118"/>
      <c r="CB452" s="118"/>
      <c r="CC452" s="118"/>
      <c r="CD452" s="118"/>
      <c r="CE452" s="118"/>
      <c r="CF452" s="118"/>
      <c r="CG452" s="118"/>
      <c r="CH452" s="118"/>
      <c r="CI452" s="118"/>
      <c r="CJ452" s="118"/>
      <c r="CK452" s="118"/>
      <c r="CL452" s="118"/>
      <c r="CM452" s="118"/>
      <c r="CN452" s="92"/>
      <c r="CO452" s="93"/>
      <c r="CP452" s="93"/>
      <c r="CQ452" s="93"/>
      <c r="CR452" s="93"/>
      <c r="CS452" s="93"/>
      <c r="CT452" s="93"/>
      <c r="CU452" s="93"/>
      <c r="CV452" s="93"/>
      <c r="CW452" s="93"/>
      <c r="CX452" s="93"/>
      <c r="CY452" s="93"/>
      <c r="CZ452" s="93"/>
      <c r="DA452" s="93"/>
      <c r="DB452" s="93"/>
      <c r="DC452" s="94"/>
      <c r="DD452" s="118"/>
      <c r="DE452" s="118"/>
      <c r="DF452" s="118"/>
      <c r="DG452" s="118"/>
      <c r="DH452" s="118"/>
      <c r="DI452" s="118"/>
      <c r="DJ452" s="118"/>
      <c r="DK452" s="118"/>
      <c r="DL452" s="118"/>
      <c r="DM452" s="118"/>
      <c r="DN452" s="118"/>
      <c r="DO452" s="118"/>
      <c r="DP452" s="118"/>
      <c r="DQ452" s="118"/>
      <c r="DR452" s="118"/>
      <c r="DS452" s="118"/>
      <c r="DT452" s="118"/>
      <c r="DU452" s="19"/>
      <c r="DV452" s="19"/>
      <c r="DW452" s="19"/>
      <c r="DX452" s="19"/>
      <c r="DY452" s="19"/>
      <c r="DZ452" s="19"/>
    </row>
    <row r="453" spans="1:130" ht="12.75" x14ac:dyDescent="0.2">
      <c r="A453" s="647"/>
      <c r="B453" s="647"/>
      <c r="C453" s="29">
        <v>42</v>
      </c>
      <c r="D453" s="29">
        <v>659</v>
      </c>
      <c r="E453" s="29">
        <v>15500</v>
      </c>
      <c r="F453" s="29">
        <v>15920</v>
      </c>
      <c r="G453" s="30"/>
      <c r="H453" s="634"/>
      <c r="I453" s="159">
        <f t="shared" si="315"/>
        <v>421</v>
      </c>
      <c r="J453" s="634"/>
      <c r="K453" s="30"/>
      <c r="L453" s="30"/>
      <c r="M453" s="634"/>
      <c r="N453" s="634"/>
      <c r="O453" s="634"/>
      <c r="P453" s="634"/>
      <c r="Q453" s="634"/>
      <c r="R453" s="634"/>
      <c r="S453" s="659"/>
      <c r="T453" s="647"/>
      <c r="U453" s="30"/>
      <c r="V453" s="28"/>
      <c r="W453" s="28"/>
      <c r="X453" s="28"/>
      <c r="Y453" s="29"/>
      <c r="Z453" s="634"/>
      <c r="AA453" s="51">
        <f t="shared" si="316"/>
        <v>0</v>
      </c>
      <c r="AB453" s="634"/>
      <c r="AC453" s="28"/>
      <c r="AD453" s="28"/>
      <c r="AE453" s="634"/>
      <c r="AF453" s="634"/>
      <c r="AG453" s="634"/>
      <c r="AH453" s="634"/>
      <c r="AI453" s="638"/>
      <c r="AJ453" s="634"/>
      <c r="AK453" s="642"/>
      <c r="AL453" s="647"/>
      <c r="AM453" s="31"/>
      <c r="AN453" s="31"/>
      <c r="AO453" s="31"/>
      <c r="AP453" s="31"/>
      <c r="AQ453" s="31"/>
      <c r="AR453" s="634"/>
      <c r="AS453" s="159">
        <f t="shared" si="317"/>
        <v>0</v>
      </c>
      <c r="AT453" s="634"/>
      <c r="AU453" s="634"/>
      <c r="AV453" s="634"/>
      <c r="AW453" s="31"/>
      <c r="AX453" s="634"/>
      <c r="AY453" s="634"/>
      <c r="AZ453" s="634"/>
      <c r="BA453" s="634"/>
      <c r="BB453" s="634"/>
      <c r="BC453" s="634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18"/>
      <c r="BX453" s="118"/>
      <c r="BY453" s="118"/>
      <c r="BZ453" s="118"/>
      <c r="CA453" s="118"/>
      <c r="CB453" s="118"/>
      <c r="CC453" s="118"/>
      <c r="CD453" s="118"/>
      <c r="CE453" s="118"/>
      <c r="CF453" s="118"/>
      <c r="CG453" s="118"/>
      <c r="CH453" s="118"/>
      <c r="CI453" s="118"/>
      <c r="CJ453" s="118"/>
      <c r="CK453" s="118"/>
      <c r="CL453" s="118"/>
      <c r="CM453" s="118"/>
      <c r="CN453" s="92"/>
      <c r="CO453" s="93"/>
      <c r="CP453" s="93"/>
      <c r="CQ453" s="93"/>
      <c r="CR453" s="93"/>
      <c r="CS453" s="93"/>
      <c r="CT453" s="93"/>
      <c r="CU453" s="93"/>
      <c r="CV453" s="93"/>
      <c r="CW453" s="93"/>
      <c r="CX453" s="93"/>
      <c r="CY453" s="93"/>
      <c r="CZ453" s="93"/>
      <c r="DA453" s="93"/>
      <c r="DB453" s="93"/>
      <c r="DC453" s="94"/>
      <c r="DD453" s="118"/>
      <c r="DE453" s="118"/>
      <c r="DF453" s="118"/>
      <c r="DG453" s="118"/>
      <c r="DH453" s="118"/>
      <c r="DI453" s="118"/>
      <c r="DJ453" s="118"/>
      <c r="DK453" s="118"/>
      <c r="DL453" s="118"/>
      <c r="DM453" s="118"/>
      <c r="DN453" s="118"/>
      <c r="DO453" s="118"/>
      <c r="DP453" s="118"/>
      <c r="DQ453" s="118"/>
      <c r="DR453" s="118"/>
      <c r="DS453" s="118"/>
      <c r="DT453" s="118"/>
      <c r="DU453" s="19"/>
      <c r="DV453" s="19"/>
      <c r="DW453" s="19"/>
      <c r="DX453" s="19"/>
      <c r="DY453" s="19"/>
      <c r="DZ453" s="19"/>
    </row>
    <row r="454" spans="1:130" ht="12.75" x14ac:dyDescent="0.2">
      <c r="A454" s="647"/>
      <c r="B454" s="647"/>
      <c r="C454" s="30"/>
      <c r="D454" s="30"/>
      <c r="E454" s="30"/>
      <c r="F454" s="30"/>
      <c r="G454" s="30"/>
      <c r="H454" s="634"/>
      <c r="I454" s="159">
        <f t="shared" si="315"/>
        <v>0</v>
      </c>
      <c r="J454" s="634"/>
      <c r="K454" s="30"/>
      <c r="L454" s="30"/>
      <c r="M454" s="634"/>
      <c r="N454" s="634"/>
      <c r="O454" s="634"/>
      <c r="P454" s="634"/>
      <c r="Q454" s="634"/>
      <c r="R454" s="634"/>
      <c r="S454" s="659"/>
      <c r="T454" s="647"/>
      <c r="U454" s="30"/>
      <c r="V454" s="28"/>
      <c r="W454" s="28"/>
      <c r="X454" s="28"/>
      <c r="Y454" s="29"/>
      <c r="Z454" s="634"/>
      <c r="AA454" s="51">
        <f t="shared" si="316"/>
        <v>0</v>
      </c>
      <c r="AB454" s="634"/>
      <c r="AC454" s="51"/>
      <c r="AD454" s="51"/>
      <c r="AE454" s="634"/>
      <c r="AF454" s="634"/>
      <c r="AG454" s="634"/>
      <c r="AH454" s="634"/>
      <c r="AI454" s="638"/>
      <c r="AJ454" s="634"/>
      <c r="AK454" s="642"/>
      <c r="AL454" s="647"/>
      <c r="AM454" s="31"/>
      <c r="AN454" s="31"/>
      <c r="AO454" s="31"/>
      <c r="AP454" s="31"/>
      <c r="AQ454" s="159"/>
      <c r="AR454" s="634"/>
      <c r="AS454" s="159">
        <f t="shared" si="317"/>
        <v>0</v>
      </c>
      <c r="AT454" s="635"/>
      <c r="AU454" s="635"/>
      <c r="AV454" s="635"/>
      <c r="AW454" s="31"/>
      <c r="AX454" s="634"/>
      <c r="AY454" s="634"/>
      <c r="AZ454" s="634"/>
      <c r="BA454" s="634"/>
      <c r="BB454" s="634"/>
      <c r="BC454" s="634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18"/>
      <c r="BX454" s="118"/>
      <c r="BY454" s="118"/>
      <c r="BZ454" s="118"/>
      <c r="CA454" s="118"/>
      <c r="CB454" s="118"/>
      <c r="CC454" s="118"/>
      <c r="CD454" s="118"/>
      <c r="CE454" s="118"/>
      <c r="CF454" s="118"/>
      <c r="CG454" s="118"/>
      <c r="CH454" s="118"/>
      <c r="CI454" s="118"/>
      <c r="CJ454" s="118"/>
      <c r="CK454" s="118"/>
      <c r="CL454" s="118"/>
      <c r="CM454" s="118"/>
      <c r="CN454" s="92"/>
      <c r="CO454" s="93"/>
      <c r="CP454" s="93"/>
      <c r="CQ454" s="93"/>
      <c r="CR454" s="93"/>
      <c r="CS454" s="93"/>
      <c r="CT454" s="93"/>
      <c r="CU454" s="93"/>
      <c r="CV454" s="93"/>
      <c r="CW454" s="93"/>
      <c r="CX454" s="93"/>
      <c r="CY454" s="93"/>
      <c r="CZ454" s="93"/>
      <c r="DA454" s="93"/>
      <c r="DB454" s="93"/>
      <c r="DC454" s="94"/>
      <c r="DD454" s="118"/>
      <c r="DE454" s="118"/>
      <c r="DF454" s="118"/>
      <c r="DG454" s="118"/>
      <c r="DH454" s="118"/>
      <c r="DI454" s="118"/>
      <c r="DJ454" s="118"/>
      <c r="DK454" s="118"/>
      <c r="DL454" s="118"/>
      <c r="DM454" s="118"/>
      <c r="DN454" s="118"/>
      <c r="DO454" s="118"/>
      <c r="DP454" s="118"/>
      <c r="DQ454" s="118"/>
      <c r="DR454" s="118"/>
      <c r="DS454" s="118"/>
      <c r="DT454" s="118"/>
      <c r="DU454" s="19"/>
      <c r="DV454" s="19"/>
      <c r="DW454" s="19"/>
      <c r="DX454" s="19"/>
      <c r="DY454" s="19"/>
      <c r="DZ454" s="19"/>
    </row>
    <row r="455" spans="1:130" ht="12.75" x14ac:dyDescent="0.2">
      <c r="A455" s="648"/>
      <c r="B455" s="648"/>
      <c r="C455" s="30"/>
      <c r="D455" s="30"/>
      <c r="E455" s="30"/>
      <c r="F455" s="30"/>
      <c r="G455" s="30"/>
      <c r="H455" s="635"/>
      <c r="I455" s="159">
        <f t="shared" si="315"/>
        <v>0</v>
      </c>
      <c r="J455" s="635"/>
      <c r="K455" s="30"/>
      <c r="L455" s="30"/>
      <c r="M455" s="635"/>
      <c r="N455" s="635"/>
      <c r="O455" s="635"/>
      <c r="P455" s="635"/>
      <c r="Q455" s="635"/>
      <c r="R455" s="635"/>
      <c r="S455" s="660"/>
      <c r="T455" s="648"/>
      <c r="U455" s="30"/>
      <c r="V455" s="30"/>
      <c r="W455" s="30"/>
      <c r="X455" s="30"/>
      <c r="Y455" s="30"/>
      <c r="Z455" s="635"/>
      <c r="AA455" s="51">
        <f t="shared" si="316"/>
        <v>0</v>
      </c>
      <c r="AB455" s="635"/>
      <c r="AC455" s="30"/>
      <c r="AD455" s="30"/>
      <c r="AE455" s="635"/>
      <c r="AF455" s="635"/>
      <c r="AG455" s="635"/>
      <c r="AH455" s="635"/>
      <c r="AI455" s="638"/>
      <c r="AJ455" s="635"/>
      <c r="AK455" s="643"/>
      <c r="AL455" s="648"/>
      <c r="AM455" s="29"/>
      <c r="AN455" s="31"/>
      <c r="AO455" s="31"/>
      <c r="AP455" s="31"/>
      <c r="AQ455" s="40"/>
      <c r="AR455" s="635"/>
      <c r="AS455" s="159"/>
      <c r="AT455" s="153">
        <f>AS455</f>
        <v>0</v>
      </c>
      <c r="AU455" s="31"/>
      <c r="AV455" s="35"/>
      <c r="AW455" s="35"/>
      <c r="AX455" s="635"/>
      <c r="AY455" s="635"/>
      <c r="AZ455" s="635"/>
      <c r="BA455" s="147">
        <f t="shared" ref="BA455:BA456" si="320">AV455*60</f>
        <v>0</v>
      </c>
      <c r="BB455" s="165"/>
      <c r="BC455" s="95">
        <f t="shared" ref="BC455:BC456" si="321">IF(BA455=0,0,AT455/BA455)</f>
        <v>0</v>
      </c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18"/>
      <c r="BX455" s="118"/>
      <c r="BY455" s="118"/>
      <c r="BZ455" s="118"/>
      <c r="CA455" s="118"/>
      <c r="CB455" s="118"/>
      <c r="CC455" s="118"/>
      <c r="CD455" s="118"/>
      <c r="CE455" s="118"/>
      <c r="CF455" s="118"/>
      <c r="CG455" s="118"/>
      <c r="CH455" s="118"/>
      <c r="CI455" s="118"/>
      <c r="CJ455" s="118"/>
      <c r="CK455" s="118"/>
      <c r="CL455" s="118"/>
      <c r="CM455" s="118"/>
      <c r="CN455" s="92"/>
      <c r="CO455" s="93"/>
      <c r="CP455" s="93"/>
      <c r="CQ455" s="93"/>
      <c r="CR455" s="93"/>
      <c r="CS455" s="93"/>
      <c r="CT455" s="93"/>
      <c r="CU455" s="93"/>
      <c r="CV455" s="93"/>
      <c r="CW455" s="93"/>
      <c r="CX455" s="93"/>
      <c r="CY455" s="93"/>
      <c r="CZ455" s="93"/>
      <c r="DA455" s="93"/>
      <c r="DB455" s="93"/>
      <c r="DC455" s="94"/>
      <c r="DD455" s="118"/>
      <c r="DE455" s="118"/>
      <c r="DF455" s="118"/>
      <c r="DG455" s="118"/>
      <c r="DH455" s="118"/>
      <c r="DI455" s="118"/>
      <c r="DJ455" s="118"/>
      <c r="DK455" s="118"/>
      <c r="DL455" s="118"/>
      <c r="DM455" s="118"/>
      <c r="DN455" s="118"/>
      <c r="DO455" s="118"/>
      <c r="DP455" s="118"/>
      <c r="DQ455" s="118"/>
      <c r="DR455" s="118"/>
      <c r="DS455" s="118"/>
      <c r="DT455" s="118"/>
      <c r="DU455" s="19"/>
      <c r="DV455" s="19"/>
      <c r="DW455" s="19"/>
      <c r="DX455" s="19"/>
      <c r="DY455" s="19"/>
      <c r="DZ455" s="19"/>
    </row>
    <row r="456" spans="1:130" ht="12.75" x14ac:dyDescent="0.2">
      <c r="A456" s="651"/>
      <c r="B456" s="646">
        <v>46170</v>
      </c>
      <c r="C456" s="31"/>
      <c r="D456" s="31"/>
      <c r="E456" s="31"/>
      <c r="F456" s="31"/>
      <c r="G456" s="142"/>
      <c r="H456" s="652"/>
      <c r="I456" s="159">
        <f t="shared" si="315"/>
        <v>0</v>
      </c>
      <c r="J456" s="650">
        <f>SUM(I456:I459,H456)</f>
        <v>0</v>
      </c>
      <c r="K456" s="40"/>
      <c r="L456" s="40"/>
      <c r="M456" s="653"/>
      <c r="N456" s="653"/>
      <c r="O456" s="633">
        <f>SUM(M456:N459)</f>
        <v>0</v>
      </c>
      <c r="P456" s="653"/>
      <c r="Q456" s="636">
        <f>M456*60</f>
        <v>0</v>
      </c>
      <c r="R456" s="657">
        <f>IF(
   COUNTIF(K456:K459,"SI")&gt;0,
   1.8,
   IF(
      COUNTIF(L456:L459,"SI")&gt;0,
      1.6,
      2
   )
)</f>
        <v>2</v>
      </c>
      <c r="S456" s="658">
        <f>IF(Q456=0,0,J456/Q456)</f>
        <v>0</v>
      </c>
      <c r="T456" s="646">
        <v>46170</v>
      </c>
      <c r="U456" s="40"/>
      <c r="V456" s="31"/>
      <c r="W456" s="31"/>
      <c r="X456" s="31"/>
      <c r="Y456" s="31"/>
      <c r="Z456" s="653"/>
      <c r="AA456" s="51">
        <f t="shared" si="316"/>
        <v>0</v>
      </c>
      <c r="AB456" s="650">
        <f>SUM(AA456:AA459,Z456)</f>
        <v>0</v>
      </c>
      <c r="AC456" s="31"/>
      <c r="AD456" s="31"/>
      <c r="AE456" s="653"/>
      <c r="AF456" s="636"/>
      <c r="AG456" s="633">
        <f>SUM(AE456:AF459)</f>
        <v>0</v>
      </c>
      <c r="AH456" s="636">
        <v>0</v>
      </c>
      <c r="AI456" s="637">
        <f>AE456*60</f>
        <v>0</v>
      </c>
      <c r="AJ456" s="640">
        <f>IF(
   COUNTIF(AC456:AC459,"SI")&gt;0,
   1.8,
   IF(
      COUNTIF(AD456:AD459,"SI")&gt;0,
      1.6,
      2
   )
)</f>
        <v>2</v>
      </c>
      <c r="AK456" s="641">
        <f>IF(AI456=0,0,AB456/AI456)</f>
        <v>0</v>
      </c>
      <c r="AL456" s="646">
        <v>46170</v>
      </c>
      <c r="AM456" s="31">
        <v>50</v>
      </c>
      <c r="AN456" s="31">
        <v>633</v>
      </c>
      <c r="AO456" s="31">
        <v>2835</v>
      </c>
      <c r="AP456" s="31">
        <v>3003</v>
      </c>
      <c r="AQ456" s="31"/>
      <c r="AR456" s="649"/>
      <c r="AS456" s="159">
        <f t="shared" ref="AS456:AS463" si="322">IF(AO456=0,0,AP456-AO456+1-AQ456)</f>
        <v>169</v>
      </c>
      <c r="AT456" s="650">
        <f>SUM(AS456:AS459)+AR456</f>
        <v>1207</v>
      </c>
      <c r="AU456" s="38" t="s">
        <v>51</v>
      </c>
      <c r="AV456" s="640">
        <v>8</v>
      </c>
      <c r="AW456" s="28" t="s">
        <v>51</v>
      </c>
      <c r="AX456" s="640">
        <v>2</v>
      </c>
      <c r="AY456" s="633">
        <f>SUM(AV456:AV458,AX456)</f>
        <v>10</v>
      </c>
      <c r="AZ456" s="636">
        <v>0.25</v>
      </c>
      <c r="BA456" s="636">
        <f t="shared" si="320"/>
        <v>480</v>
      </c>
      <c r="BB456" s="644">
        <f>IF(
   COUNTIF(AU456:AU457,"SI")&gt;0,
   1.8,
   IF(
      COUNTIF(AW456:AW457,"SI")&gt;0,
      1.6,
      2
   )
)</f>
        <v>1.8</v>
      </c>
      <c r="BC456" s="645">
        <f t="shared" si="321"/>
        <v>2.5145833333333334</v>
      </c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18"/>
      <c r="BX456" s="118"/>
      <c r="BY456" s="118"/>
      <c r="BZ456" s="118"/>
      <c r="CA456" s="118"/>
      <c r="CB456" s="118"/>
      <c r="CC456" s="118"/>
      <c r="CD456" s="118"/>
      <c r="CE456" s="118"/>
      <c r="CF456" s="118"/>
      <c r="CG456" s="118"/>
      <c r="CH456" s="118"/>
      <c r="CI456" s="118"/>
      <c r="CJ456" s="118"/>
      <c r="CK456" s="118"/>
      <c r="CL456" s="118"/>
      <c r="CM456" s="118"/>
      <c r="CN456" s="92"/>
      <c r="CO456" s="93"/>
      <c r="CP456" s="93"/>
      <c r="CQ456" s="93"/>
      <c r="CR456" s="93"/>
      <c r="CS456" s="93"/>
      <c r="CT456" s="93"/>
      <c r="CU456" s="93"/>
      <c r="CV456" s="93"/>
      <c r="CW456" s="93"/>
      <c r="CX456" s="93"/>
      <c r="CY456" s="93"/>
      <c r="CZ456" s="93"/>
      <c r="DA456" s="93"/>
      <c r="DB456" s="93"/>
      <c r="DC456" s="94"/>
      <c r="DD456" s="118"/>
      <c r="DE456" s="118"/>
      <c r="DF456" s="118"/>
      <c r="DG456" s="118"/>
      <c r="DH456" s="118"/>
      <c r="DI456" s="118"/>
      <c r="DJ456" s="118"/>
      <c r="DK456" s="118"/>
      <c r="DL456" s="118"/>
      <c r="DM456" s="118"/>
      <c r="DN456" s="118"/>
      <c r="DO456" s="118"/>
      <c r="DP456" s="118"/>
      <c r="DQ456" s="118"/>
      <c r="DR456" s="118"/>
      <c r="DS456" s="118"/>
      <c r="DT456" s="118"/>
      <c r="DU456" s="19"/>
      <c r="DV456" s="19"/>
      <c r="DW456" s="19"/>
      <c r="DX456" s="19"/>
      <c r="DY456" s="19"/>
      <c r="DZ456" s="19"/>
    </row>
    <row r="457" spans="1:130" ht="12.75" x14ac:dyDescent="0.2">
      <c r="A457" s="647"/>
      <c r="B457" s="647"/>
      <c r="C457" s="40"/>
      <c r="D457" s="31"/>
      <c r="E457" s="31"/>
      <c r="F457" s="31"/>
      <c r="G457" s="40"/>
      <c r="H457" s="634"/>
      <c r="I457" s="159">
        <f t="shared" si="315"/>
        <v>0</v>
      </c>
      <c r="J457" s="634"/>
      <c r="K457" s="40"/>
      <c r="L457" s="40"/>
      <c r="M457" s="634"/>
      <c r="N457" s="634"/>
      <c r="O457" s="634"/>
      <c r="P457" s="634"/>
      <c r="Q457" s="634"/>
      <c r="R457" s="634"/>
      <c r="S457" s="659"/>
      <c r="T457" s="647"/>
      <c r="U457" s="40"/>
      <c r="V457" s="31"/>
      <c r="W457" s="31"/>
      <c r="X457" s="31"/>
      <c r="Y457" s="31"/>
      <c r="Z457" s="634"/>
      <c r="AA457" s="51">
        <f t="shared" si="316"/>
        <v>0</v>
      </c>
      <c r="AB457" s="634"/>
      <c r="AC457" s="31"/>
      <c r="AD457" s="31"/>
      <c r="AE457" s="634"/>
      <c r="AF457" s="634"/>
      <c r="AG457" s="634"/>
      <c r="AH457" s="634"/>
      <c r="AI457" s="638"/>
      <c r="AJ457" s="634"/>
      <c r="AK457" s="642"/>
      <c r="AL457" s="647"/>
      <c r="AM457" s="31">
        <v>113</v>
      </c>
      <c r="AN457" s="31">
        <v>634</v>
      </c>
      <c r="AO457" s="31">
        <v>3004</v>
      </c>
      <c r="AP457" s="31">
        <v>3503</v>
      </c>
      <c r="AQ457" s="31">
        <v>6</v>
      </c>
      <c r="AR457" s="634"/>
      <c r="AS457" s="159">
        <f t="shared" si="322"/>
        <v>494</v>
      </c>
      <c r="AT457" s="634"/>
      <c r="AU457" s="38" t="s">
        <v>51</v>
      </c>
      <c r="AV457" s="634"/>
      <c r="AW457" s="28" t="s">
        <v>51</v>
      </c>
      <c r="AX457" s="634"/>
      <c r="AY457" s="634"/>
      <c r="AZ457" s="634"/>
      <c r="BA457" s="635"/>
      <c r="BB457" s="634"/>
      <c r="BC457" s="634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18"/>
      <c r="BX457" s="118"/>
      <c r="BY457" s="118"/>
      <c r="BZ457" s="118"/>
      <c r="CA457" s="118"/>
      <c r="CB457" s="118"/>
      <c r="CC457" s="118"/>
      <c r="CD457" s="118"/>
      <c r="CE457" s="118"/>
      <c r="CF457" s="118"/>
      <c r="CG457" s="118"/>
      <c r="CH457" s="118"/>
      <c r="CI457" s="118"/>
      <c r="CJ457" s="118"/>
      <c r="CK457" s="118"/>
      <c r="CL457" s="118"/>
      <c r="CM457" s="118"/>
      <c r="CN457" s="92"/>
      <c r="CO457" s="93"/>
      <c r="CP457" s="93"/>
      <c r="CQ457" s="93"/>
      <c r="CR457" s="93"/>
      <c r="CS457" s="93"/>
      <c r="CT457" s="93"/>
      <c r="CU457" s="93"/>
      <c r="CV457" s="93"/>
      <c r="CW457" s="93"/>
      <c r="CX457" s="93"/>
      <c r="CY457" s="93"/>
      <c r="CZ457" s="93"/>
      <c r="DA457" s="93"/>
      <c r="DB457" s="93"/>
      <c r="DC457" s="94"/>
      <c r="DD457" s="118"/>
      <c r="DE457" s="118"/>
      <c r="DF457" s="118"/>
      <c r="DG457" s="118"/>
      <c r="DH457" s="118"/>
      <c r="DI457" s="118"/>
      <c r="DJ457" s="118"/>
      <c r="DK457" s="118"/>
      <c r="DL457" s="118"/>
      <c r="DM457" s="118"/>
      <c r="DN457" s="118"/>
      <c r="DO457" s="118"/>
      <c r="DP457" s="118"/>
      <c r="DQ457" s="118"/>
      <c r="DR457" s="118"/>
      <c r="DS457" s="118"/>
      <c r="DT457" s="118"/>
      <c r="DU457" s="19"/>
      <c r="DV457" s="19"/>
      <c r="DW457" s="19"/>
      <c r="DX457" s="19"/>
      <c r="DY457" s="19"/>
      <c r="DZ457" s="19"/>
    </row>
    <row r="458" spans="1:130" ht="12.75" x14ac:dyDescent="0.2">
      <c r="A458" s="647"/>
      <c r="B458" s="647"/>
      <c r="C458" s="40"/>
      <c r="D458" s="31"/>
      <c r="E458" s="31"/>
      <c r="F458" s="31"/>
      <c r="G458" s="160"/>
      <c r="H458" s="634"/>
      <c r="I458" s="159">
        <f t="shared" si="315"/>
        <v>0</v>
      </c>
      <c r="J458" s="634"/>
      <c r="K458" s="40"/>
      <c r="L458" s="40"/>
      <c r="M458" s="634"/>
      <c r="N458" s="634"/>
      <c r="O458" s="634"/>
      <c r="P458" s="634"/>
      <c r="Q458" s="634"/>
      <c r="R458" s="634"/>
      <c r="S458" s="659"/>
      <c r="T458" s="647"/>
      <c r="U458" s="40"/>
      <c r="V458" s="31"/>
      <c r="W458" s="31"/>
      <c r="X458" s="31"/>
      <c r="Y458" s="40"/>
      <c r="Z458" s="634"/>
      <c r="AA458" s="51">
        <f t="shared" si="316"/>
        <v>0</v>
      </c>
      <c r="AB458" s="634"/>
      <c r="AC458" s="31"/>
      <c r="AD458" s="31"/>
      <c r="AE458" s="634"/>
      <c r="AF458" s="634"/>
      <c r="AG458" s="634"/>
      <c r="AH458" s="634"/>
      <c r="AI458" s="638"/>
      <c r="AJ458" s="634"/>
      <c r="AK458" s="642"/>
      <c r="AL458" s="647"/>
      <c r="AM458" s="31">
        <v>122</v>
      </c>
      <c r="AN458" s="31">
        <v>635</v>
      </c>
      <c r="AO458" s="31">
        <v>3504</v>
      </c>
      <c r="AP458" s="31">
        <v>4001</v>
      </c>
      <c r="AQ458" s="28">
        <v>3</v>
      </c>
      <c r="AR458" s="634"/>
      <c r="AS458" s="159">
        <f t="shared" si="322"/>
        <v>495</v>
      </c>
      <c r="AT458" s="634"/>
      <c r="AU458" s="152" t="s">
        <v>51</v>
      </c>
      <c r="AV458" s="28"/>
      <c r="AW458" s="152" t="s">
        <v>51</v>
      </c>
      <c r="AX458" s="634"/>
      <c r="AY458" s="634"/>
      <c r="AZ458" s="634"/>
      <c r="BA458" s="150">
        <f>AV458*60</f>
        <v>0</v>
      </c>
      <c r="BB458" s="156"/>
      <c r="BC458" s="95">
        <f>IF(BA458=0,0,AT458/BA458)</f>
        <v>0</v>
      </c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18"/>
      <c r="BX458" s="118"/>
      <c r="BY458" s="118"/>
      <c r="BZ458" s="118"/>
      <c r="CA458" s="118"/>
      <c r="CB458" s="118"/>
      <c r="CC458" s="118"/>
      <c r="CD458" s="118"/>
      <c r="CE458" s="118"/>
      <c r="CF458" s="118"/>
      <c r="CG458" s="118"/>
      <c r="CH458" s="118"/>
      <c r="CI458" s="118"/>
      <c r="CJ458" s="118"/>
      <c r="CK458" s="118"/>
      <c r="CL458" s="118"/>
      <c r="CM458" s="118"/>
      <c r="CN458" s="92"/>
      <c r="CO458" s="93"/>
      <c r="CP458" s="93"/>
      <c r="CQ458" s="93"/>
      <c r="CR458" s="93"/>
      <c r="CS458" s="93"/>
      <c r="CT458" s="93"/>
      <c r="CU458" s="93"/>
      <c r="CV458" s="93"/>
      <c r="CW458" s="93"/>
      <c r="CX458" s="93"/>
      <c r="CY458" s="93"/>
      <c r="CZ458" s="93"/>
      <c r="DA458" s="93"/>
      <c r="DB458" s="93"/>
      <c r="DC458" s="94"/>
      <c r="DD458" s="118"/>
      <c r="DE458" s="118"/>
      <c r="DF458" s="118"/>
      <c r="DG458" s="118"/>
      <c r="DH458" s="118"/>
      <c r="DI458" s="118"/>
      <c r="DJ458" s="118"/>
      <c r="DK458" s="118"/>
      <c r="DL458" s="118"/>
      <c r="DM458" s="118"/>
      <c r="DN458" s="118"/>
      <c r="DO458" s="118"/>
      <c r="DP458" s="118"/>
      <c r="DQ458" s="118"/>
      <c r="DR458" s="118"/>
      <c r="DS458" s="118"/>
      <c r="DT458" s="118"/>
      <c r="DU458" s="19"/>
      <c r="DV458" s="19"/>
      <c r="DW458" s="19"/>
      <c r="DX458" s="19"/>
      <c r="DY458" s="19"/>
      <c r="DZ458" s="19"/>
    </row>
    <row r="459" spans="1:130" ht="12.75" x14ac:dyDescent="0.2">
      <c r="A459" s="648"/>
      <c r="B459" s="648"/>
      <c r="C459" s="40"/>
      <c r="D459" s="160"/>
      <c r="E459" s="160"/>
      <c r="F459" s="160"/>
      <c r="G459" s="160"/>
      <c r="H459" s="635"/>
      <c r="I459" s="159">
        <f t="shared" si="315"/>
        <v>0</v>
      </c>
      <c r="J459" s="635"/>
      <c r="K459" s="40"/>
      <c r="L459" s="40"/>
      <c r="M459" s="635"/>
      <c r="N459" s="635"/>
      <c r="O459" s="635"/>
      <c r="P459" s="635"/>
      <c r="Q459" s="635"/>
      <c r="R459" s="635"/>
      <c r="S459" s="660"/>
      <c r="T459" s="648"/>
      <c r="U459" s="40"/>
      <c r="V459" s="40"/>
      <c r="W459" s="40"/>
      <c r="X459" s="40"/>
      <c r="Y459" s="40"/>
      <c r="Z459" s="635"/>
      <c r="AA459" s="51">
        <f t="shared" si="316"/>
        <v>0</v>
      </c>
      <c r="AB459" s="635"/>
      <c r="AC459" s="40"/>
      <c r="AD459" s="40"/>
      <c r="AE459" s="635"/>
      <c r="AF459" s="635"/>
      <c r="AG459" s="635"/>
      <c r="AH459" s="635"/>
      <c r="AI459" s="639"/>
      <c r="AJ459" s="635"/>
      <c r="AK459" s="643"/>
      <c r="AL459" s="648"/>
      <c r="AM459" s="28">
        <v>10</v>
      </c>
      <c r="AN459" s="28">
        <v>636</v>
      </c>
      <c r="AO459" s="28">
        <v>4002</v>
      </c>
      <c r="AP459" s="28">
        <v>4050</v>
      </c>
      <c r="AQ459" s="51"/>
      <c r="AR459" s="635"/>
      <c r="AS459" s="159">
        <f t="shared" si="322"/>
        <v>49</v>
      </c>
      <c r="AT459" s="635"/>
      <c r="AU459" s="150"/>
      <c r="AV459" s="50"/>
      <c r="AW459" s="51"/>
      <c r="AX459" s="635"/>
      <c r="AY459" s="635"/>
      <c r="AZ459" s="635"/>
      <c r="BA459" s="465"/>
      <c r="BB459" s="165"/>
      <c r="BC459" s="466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18"/>
      <c r="BX459" s="118"/>
      <c r="BY459" s="118"/>
      <c r="BZ459" s="118"/>
      <c r="CA459" s="118"/>
      <c r="CB459" s="118"/>
      <c r="CC459" s="118"/>
      <c r="CD459" s="118"/>
      <c r="CE459" s="118"/>
      <c r="CF459" s="118"/>
      <c r="CG459" s="118"/>
      <c r="CH459" s="118"/>
      <c r="CI459" s="118"/>
      <c r="CJ459" s="118"/>
      <c r="CK459" s="118"/>
      <c r="CL459" s="118"/>
      <c r="CM459" s="118"/>
      <c r="CN459" s="92"/>
      <c r="CO459" s="93"/>
      <c r="CP459" s="93"/>
      <c r="CQ459" s="93"/>
      <c r="CR459" s="93"/>
      <c r="CS459" s="93"/>
      <c r="CT459" s="93"/>
      <c r="CU459" s="93"/>
      <c r="CV459" s="93"/>
      <c r="CW459" s="93"/>
      <c r="CX459" s="93"/>
      <c r="CY459" s="93"/>
      <c r="CZ459" s="93"/>
      <c r="DA459" s="93"/>
      <c r="DB459" s="93"/>
      <c r="DC459" s="94"/>
      <c r="DD459" s="118"/>
      <c r="DE459" s="118"/>
      <c r="DF459" s="118"/>
      <c r="DG459" s="118"/>
      <c r="DH459" s="118"/>
      <c r="DI459" s="118"/>
      <c r="DJ459" s="118"/>
      <c r="DK459" s="118"/>
      <c r="DL459" s="118"/>
      <c r="DM459" s="118"/>
      <c r="DN459" s="118"/>
      <c r="DO459" s="118"/>
      <c r="DP459" s="118"/>
      <c r="DQ459" s="118"/>
      <c r="DR459" s="118"/>
      <c r="DS459" s="118"/>
      <c r="DT459" s="118"/>
      <c r="DU459" s="19"/>
      <c r="DV459" s="19"/>
      <c r="DW459" s="19"/>
      <c r="DX459" s="19"/>
      <c r="DY459" s="19"/>
      <c r="DZ459" s="19"/>
    </row>
    <row r="460" spans="1:130" ht="12.75" x14ac:dyDescent="0.2">
      <c r="A460" s="654"/>
      <c r="B460" s="655">
        <v>46171</v>
      </c>
      <c r="C460" s="29"/>
      <c r="D460" s="29"/>
      <c r="E460" s="29"/>
      <c r="F460" s="29"/>
      <c r="G460" s="158"/>
      <c r="H460" s="649"/>
      <c r="I460" s="159">
        <f t="shared" si="315"/>
        <v>0</v>
      </c>
      <c r="J460" s="650">
        <f>SUM(I460:I463,H460)</f>
        <v>0</v>
      </c>
      <c r="K460" s="158"/>
      <c r="L460" s="158"/>
      <c r="M460" s="653"/>
      <c r="N460" s="653"/>
      <c r="O460" s="633">
        <f>SUM(M460:N463)</f>
        <v>0</v>
      </c>
      <c r="P460" s="649"/>
      <c r="Q460" s="640">
        <f>M460*60</f>
        <v>0</v>
      </c>
      <c r="R460" s="657">
        <f>IF(
   COUNTIF(K460:K463,"SI")&gt;0,
   1.8,
   IF(
      COUNTIF(L460:L463,"SI")&gt;0,
      1.6,
      2
   )
)</f>
        <v>2</v>
      </c>
      <c r="S460" s="658">
        <f>IF(Q460=0,0,J460/Q460)</f>
        <v>0</v>
      </c>
      <c r="T460" s="655">
        <v>46171</v>
      </c>
      <c r="U460" s="30"/>
      <c r="V460" s="28">
        <v>638</v>
      </c>
      <c r="W460" s="28">
        <v>5000</v>
      </c>
      <c r="X460" s="28">
        <v>5300</v>
      </c>
      <c r="Y460" s="28">
        <v>0</v>
      </c>
      <c r="Z460" s="640">
        <v>3</v>
      </c>
      <c r="AA460" s="51">
        <f t="shared" si="316"/>
        <v>301</v>
      </c>
      <c r="AB460" s="650">
        <f>X460-W460+1+Z460-Y460</f>
        <v>304</v>
      </c>
      <c r="AC460" s="28" t="s">
        <v>51</v>
      </c>
      <c r="AD460" s="28" t="s">
        <v>51</v>
      </c>
      <c r="AE460" s="640">
        <v>3.75</v>
      </c>
      <c r="AF460" s="640">
        <v>1.5</v>
      </c>
      <c r="AG460" s="633">
        <f>SUM(AE460:AF463)</f>
        <v>7.25</v>
      </c>
      <c r="AH460" s="640">
        <v>0</v>
      </c>
      <c r="AI460" s="664">
        <f>AE460*60</f>
        <v>225</v>
      </c>
      <c r="AJ460" s="640">
        <f>IF(
   COUNTIF(AC460:AC463,"SI")&gt;0,
   1.8,
   IF(
      COUNTIF(AD460:AD463,"SI")&gt;0,
      1.6,
      2
   )
)</f>
        <v>1.8</v>
      </c>
      <c r="AK460" s="665">
        <f>IF(AI460=0,0,AB460/AI460)</f>
        <v>1.3511111111111112</v>
      </c>
      <c r="AL460" s="655">
        <v>46171</v>
      </c>
      <c r="AM460" s="28">
        <v>114</v>
      </c>
      <c r="AN460" s="28">
        <v>636</v>
      </c>
      <c r="AO460" s="28">
        <v>4051</v>
      </c>
      <c r="AP460" s="41">
        <v>4507</v>
      </c>
      <c r="AQ460" s="28">
        <v>1</v>
      </c>
      <c r="AR460" s="649"/>
      <c r="AS460" s="159">
        <f t="shared" si="322"/>
        <v>456</v>
      </c>
      <c r="AT460" s="650">
        <f>SUM(AS460:AS462)+AR460</f>
        <v>755</v>
      </c>
      <c r="AU460" s="38" t="s">
        <v>51</v>
      </c>
      <c r="AV460" s="640">
        <v>5</v>
      </c>
      <c r="AW460" s="28" t="s">
        <v>51</v>
      </c>
      <c r="AX460" s="640">
        <v>0.75</v>
      </c>
      <c r="AY460" s="633">
        <f>SUM(AV460:AV463,AX460)</f>
        <v>5.75</v>
      </c>
      <c r="AZ460" s="649">
        <v>0.1</v>
      </c>
      <c r="BA460" s="640">
        <f>AV460*60</f>
        <v>300</v>
      </c>
      <c r="BB460" s="644">
        <f>IF(
   COUNTIF(AU460:AU463,"SI")&gt;0,
   1.8,
   IF(
      COUNTIF(AV460:AV463,"SI")&gt;0,
      1.6,
      2
   )
)</f>
        <v>1.8</v>
      </c>
      <c r="BC460" s="645">
        <f>IF(BA460=0,0,AT460/BA460)</f>
        <v>2.5166666666666666</v>
      </c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18"/>
      <c r="BX460" s="118"/>
      <c r="BY460" s="118"/>
      <c r="BZ460" s="118"/>
      <c r="CA460" s="118"/>
      <c r="CB460" s="118"/>
      <c r="CC460" s="118"/>
      <c r="CD460" s="118"/>
      <c r="CE460" s="118"/>
      <c r="CF460" s="118"/>
      <c r="CG460" s="118"/>
      <c r="CH460" s="118"/>
      <c r="CI460" s="118"/>
      <c r="CJ460" s="118"/>
      <c r="CK460" s="118"/>
      <c r="CL460" s="118"/>
      <c r="CM460" s="118"/>
      <c r="CN460" s="92"/>
      <c r="CO460" s="93"/>
      <c r="CP460" s="93"/>
      <c r="CQ460" s="93"/>
      <c r="CR460" s="93"/>
      <c r="CS460" s="93"/>
      <c r="CT460" s="93"/>
      <c r="CU460" s="93"/>
      <c r="CV460" s="93"/>
      <c r="CW460" s="93"/>
      <c r="CX460" s="93"/>
      <c r="CY460" s="93"/>
      <c r="CZ460" s="93"/>
      <c r="DA460" s="93"/>
      <c r="DB460" s="93"/>
      <c r="DC460" s="94"/>
      <c r="DD460" s="118"/>
      <c r="DE460" s="118"/>
      <c r="DF460" s="118"/>
      <c r="DG460" s="118"/>
      <c r="DH460" s="118"/>
      <c r="DI460" s="118"/>
      <c r="DJ460" s="118"/>
      <c r="DK460" s="118"/>
      <c r="DL460" s="118"/>
      <c r="DM460" s="118"/>
      <c r="DN460" s="118"/>
      <c r="DO460" s="118"/>
      <c r="DP460" s="118"/>
      <c r="DQ460" s="118"/>
      <c r="DR460" s="118"/>
      <c r="DS460" s="118"/>
      <c r="DT460" s="118"/>
      <c r="DU460" s="19"/>
      <c r="DV460" s="19"/>
      <c r="DW460" s="19"/>
      <c r="DX460" s="19"/>
      <c r="DY460" s="19"/>
      <c r="DZ460" s="19"/>
    </row>
    <row r="461" spans="1:130" ht="12.75" x14ac:dyDescent="0.2">
      <c r="A461" s="647"/>
      <c r="B461" s="647"/>
      <c r="C461" s="29"/>
      <c r="D461" s="30"/>
      <c r="E461" s="29"/>
      <c r="F461" s="29"/>
      <c r="G461" s="30"/>
      <c r="H461" s="634"/>
      <c r="I461" s="159">
        <f t="shared" si="315"/>
        <v>0</v>
      </c>
      <c r="J461" s="634"/>
      <c r="K461" s="30"/>
      <c r="L461" s="30"/>
      <c r="M461" s="634"/>
      <c r="N461" s="634"/>
      <c r="O461" s="634"/>
      <c r="P461" s="634"/>
      <c r="Q461" s="634"/>
      <c r="R461" s="634"/>
      <c r="S461" s="659"/>
      <c r="T461" s="647"/>
      <c r="U461" s="30"/>
      <c r="V461" s="28"/>
      <c r="W461" s="28"/>
      <c r="X461" s="28"/>
      <c r="Y461" s="29"/>
      <c r="Z461" s="634"/>
      <c r="AA461" s="51">
        <f t="shared" si="316"/>
        <v>0</v>
      </c>
      <c r="AB461" s="634"/>
      <c r="AC461" s="28"/>
      <c r="AD461" s="28"/>
      <c r="AE461" s="634"/>
      <c r="AF461" s="634"/>
      <c r="AG461" s="634"/>
      <c r="AH461" s="634"/>
      <c r="AI461" s="638"/>
      <c r="AJ461" s="634"/>
      <c r="AK461" s="642"/>
      <c r="AL461" s="647"/>
      <c r="AM461" s="28">
        <v>76</v>
      </c>
      <c r="AN461" s="28">
        <v>637</v>
      </c>
      <c r="AO461" s="28">
        <v>4508</v>
      </c>
      <c r="AP461" s="28">
        <v>4806</v>
      </c>
      <c r="AQ461" s="30"/>
      <c r="AR461" s="634"/>
      <c r="AS461" s="159">
        <f t="shared" si="322"/>
        <v>299</v>
      </c>
      <c r="AT461" s="634"/>
      <c r="AU461" s="38" t="s">
        <v>51</v>
      </c>
      <c r="AV461" s="634"/>
      <c r="AW461" s="28" t="s">
        <v>51</v>
      </c>
      <c r="AX461" s="634"/>
      <c r="AY461" s="634"/>
      <c r="AZ461" s="634"/>
      <c r="BA461" s="634"/>
      <c r="BB461" s="634"/>
      <c r="BC461" s="634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18"/>
      <c r="BX461" s="118"/>
      <c r="BY461" s="118"/>
      <c r="BZ461" s="118"/>
      <c r="CA461" s="118"/>
      <c r="CB461" s="118"/>
      <c r="CC461" s="118"/>
      <c r="CD461" s="118"/>
      <c r="CE461" s="118"/>
      <c r="CF461" s="118"/>
      <c r="CG461" s="118"/>
      <c r="CH461" s="118"/>
      <c r="CI461" s="118"/>
      <c r="CJ461" s="118"/>
      <c r="CK461" s="118"/>
      <c r="CL461" s="118"/>
      <c r="CM461" s="118"/>
      <c r="CN461" s="92"/>
      <c r="CO461" s="93"/>
      <c r="CP461" s="93"/>
      <c r="CQ461" s="93"/>
      <c r="CR461" s="93"/>
      <c r="CS461" s="93"/>
      <c r="CT461" s="93"/>
      <c r="CU461" s="93"/>
      <c r="CV461" s="93"/>
      <c r="CW461" s="93"/>
      <c r="CX461" s="93"/>
      <c r="CY461" s="93"/>
      <c r="CZ461" s="93"/>
      <c r="DA461" s="93"/>
      <c r="DB461" s="93"/>
      <c r="DC461" s="94"/>
      <c r="DD461" s="118"/>
      <c r="DE461" s="118"/>
      <c r="DF461" s="118"/>
      <c r="DG461" s="118"/>
      <c r="DH461" s="118"/>
      <c r="DI461" s="118"/>
      <c r="DJ461" s="118"/>
      <c r="DK461" s="118"/>
      <c r="DL461" s="118"/>
      <c r="DM461" s="118"/>
      <c r="DN461" s="118"/>
      <c r="DO461" s="118"/>
      <c r="DP461" s="118"/>
      <c r="DQ461" s="118"/>
      <c r="DR461" s="118"/>
      <c r="DS461" s="118"/>
      <c r="DT461" s="118"/>
      <c r="DU461" s="19"/>
      <c r="DV461" s="19"/>
      <c r="DW461" s="19"/>
      <c r="DX461" s="19"/>
      <c r="DY461" s="19"/>
      <c r="DZ461" s="19"/>
    </row>
    <row r="462" spans="1:130" ht="12.75" x14ac:dyDescent="0.2">
      <c r="A462" s="647"/>
      <c r="B462" s="647"/>
      <c r="C462" s="30"/>
      <c r="D462" s="30"/>
      <c r="E462" s="30"/>
      <c r="F462" s="30"/>
      <c r="G462" s="30"/>
      <c r="H462" s="634"/>
      <c r="I462" s="159">
        <f t="shared" si="315"/>
        <v>0</v>
      </c>
      <c r="J462" s="634"/>
      <c r="K462" s="30"/>
      <c r="L462" s="30"/>
      <c r="M462" s="634"/>
      <c r="N462" s="634"/>
      <c r="O462" s="634"/>
      <c r="P462" s="634"/>
      <c r="Q462" s="634"/>
      <c r="R462" s="634"/>
      <c r="S462" s="659"/>
      <c r="T462" s="647"/>
      <c r="U462" s="30"/>
      <c r="V462" s="29">
        <v>479</v>
      </c>
      <c r="W462" s="29">
        <v>15504</v>
      </c>
      <c r="X462" s="29">
        <v>15881</v>
      </c>
      <c r="Y462" s="29">
        <v>2</v>
      </c>
      <c r="Z462" s="634"/>
      <c r="AA462" s="51">
        <f t="shared" si="316"/>
        <v>376</v>
      </c>
      <c r="AB462" s="742">
        <f>X462-W462+1-Y462</f>
        <v>376</v>
      </c>
      <c r="AC462" s="28" t="s">
        <v>52</v>
      </c>
      <c r="AD462" s="28" t="s">
        <v>52</v>
      </c>
      <c r="AE462" s="644">
        <v>2</v>
      </c>
      <c r="AF462" s="634"/>
      <c r="AG462" s="634"/>
      <c r="AH462" s="634"/>
      <c r="AI462" s="743">
        <f>AE462*60</f>
        <v>120</v>
      </c>
      <c r="AJ462" s="634"/>
      <c r="AK462" s="665">
        <f>IF(AI462=0,0,AB462/AI462)</f>
        <v>3.1333333333333333</v>
      </c>
      <c r="AL462" s="647"/>
      <c r="AM462" s="41"/>
      <c r="AN462" s="28"/>
      <c r="AO462" s="28"/>
      <c r="AP462" s="28"/>
      <c r="AQ462" s="48"/>
      <c r="AR462" s="634"/>
      <c r="AS462" s="159">
        <f t="shared" si="322"/>
        <v>0</v>
      </c>
      <c r="AT462" s="635"/>
      <c r="AU462" s="152"/>
      <c r="AV462" s="635"/>
      <c r="AW462" s="152"/>
      <c r="AX462" s="634"/>
      <c r="AY462" s="634"/>
      <c r="AZ462" s="634"/>
      <c r="BA462" s="634"/>
      <c r="BB462" s="634"/>
      <c r="BC462" s="635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18"/>
      <c r="BX462" s="118"/>
      <c r="BY462" s="118"/>
      <c r="BZ462" s="118"/>
      <c r="CA462" s="118"/>
      <c r="CB462" s="118"/>
      <c r="CC462" s="118"/>
      <c r="CD462" s="118"/>
      <c r="CE462" s="118"/>
      <c r="CF462" s="118"/>
      <c r="CG462" s="118"/>
      <c r="CH462" s="118"/>
      <c r="CI462" s="118"/>
      <c r="CJ462" s="118"/>
      <c r="CK462" s="118"/>
      <c r="CL462" s="118"/>
      <c r="CM462" s="118"/>
      <c r="CN462" s="92"/>
      <c r="CO462" s="93"/>
      <c r="CP462" s="93"/>
      <c r="CQ462" s="93"/>
      <c r="CR462" s="93"/>
      <c r="CS462" s="93"/>
      <c r="CT462" s="93"/>
      <c r="CU462" s="93"/>
      <c r="CV462" s="93"/>
      <c r="CW462" s="93"/>
      <c r="CX462" s="93"/>
      <c r="CY462" s="93"/>
      <c r="CZ462" s="93"/>
      <c r="DA462" s="93"/>
      <c r="DB462" s="93"/>
      <c r="DC462" s="94"/>
      <c r="DD462" s="118"/>
      <c r="DE462" s="118"/>
      <c r="DF462" s="118"/>
      <c r="DG462" s="118"/>
      <c r="DH462" s="118"/>
      <c r="DI462" s="118"/>
      <c r="DJ462" s="118"/>
      <c r="DK462" s="118"/>
      <c r="DL462" s="118"/>
      <c r="DM462" s="118"/>
      <c r="DN462" s="118"/>
      <c r="DO462" s="118"/>
      <c r="DP462" s="118"/>
      <c r="DQ462" s="118"/>
      <c r="DR462" s="118"/>
      <c r="DS462" s="118"/>
      <c r="DT462" s="118"/>
      <c r="DU462" s="19"/>
      <c r="DV462" s="19"/>
      <c r="DW462" s="19"/>
      <c r="DX462" s="19"/>
      <c r="DY462" s="19"/>
      <c r="DZ462" s="19"/>
    </row>
    <row r="463" spans="1:130" ht="12.75" x14ac:dyDescent="0.2">
      <c r="A463" s="648"/>
      <c r="B463" s="648"/>
      <c r="C463" s="30"/>
      <c r="D463" s="30"/>
      <c r="E463" s="30"/>
      <c r="F463" s="30"/>
      <c r="G463" s="30"/>
      <c r="H463" s="635"/>
      <c r="I463" s="159">
        <f t="shared" si="315"/>
        <v>0</v>
      </c>
      <c r="J463" s="635"/>
      <c r="K463" s="30"/>
      <c r="L463" s="30"/>
      <c r="M463" s="635"/>
      <c r="N463" s="635"/>
      <c r="O463" s="635"/>
      <c r="P463" s="635"/>
      <c r="Q463" s="635"/>
      <c r="R463" s="635"/>
      <c r="S463" s="660"/>
      <c r="T463" s="648"/>
      <c r="U463" s="30"/>
      <c r="V463" s="30"/>
      <c r="W463" s="30"/>
      <c r="X463" s="30"/>
      <c r="Y463" s="30"/>
      <c r="Z463" s="635"/>
      <c r="AA463" s="51">
        <f t="shared" si="316"/>
        <v>0</v>
      </c>
      <c r="AB463" s="635"/>
      <c r="AC463" s="30"/>
      <c r="AD463" s="30"/>
      <c r="AE463" s="635"/>
      <c r="AF463" s="635"/>
      <c r="AG463" s="635"/>
      <c r="AH463" s="635"/>
      <c r="AI463" s="639"/>
      <c r="AJ463" s="635"/>
      <c r="AK463" s="642"/>
      <c r="AL463" s="648"/>
      <c r="AM463" s="51"/>
      <c r="AN463" s="28"/>
      <c r="AO463" s="28"/>
      <c r="AP463" s="28"/>
      <c r="AQ463" s="51"/>
      <c r="AR463" s="635"/>
      <c r="AS463" s="159">
        <f t="shared" si="322"/>
        <v>0</v>
      </c>
      <c r="AT463" s="464"/>
      <c r="AU463" s="38"/>
      <c r="AV463" s="50"/>
      <c r="AW463" s="51"/>
      <c r="AX463" s="635"/>
      <c r="AY463" s="635"/>
      <c r="AZ463" s="635"/>
      <c r="BA463" s="27"/>
      <c r="BB463" s="635"/>
      <c r="BC463" s="504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18"/>
      <c r="BX463" s="118"/>
      <c r="BY463" s="118"/>
      <c r="BZ463" s="118"/>
      <c r="CA463" s="118"/>
      <c r="CB463" s="118"/>
      <c r="CC463" s="118"/>
      <c r="CD463" s="118"/>
      <c r="CE463" s="118"/>
      <c r="CF463" s="118"/>
      <c r="CG463" s="118"/>
      <c r="CH463" s="118"/>
      <c r="CI463" s="118"/>
      <c r="CJ463" s="118"/>
      <c r="CK463" s="118"/>
      <c r="CL463" s="118"/>
      <c r="CM463" s="118"/>
      <c r="CN463" s="92"/>
      <c r="CO463" s="93"/>
      <c r="CP463" s="93"/>
      <c r="CQ463" s="93"/>
      <c r="CR463" s="93"/>
      <c r="CS463" s="93"/>
      <c r="CT463" s="93"/>
      <c r="CU463" s="93"/>
      <c r="CV463" s="93"/>
      <c r="CW463" s="93"/>
      <c r="CX463" s="93"/>
      <c r="CY463" s="93"/>
      <c r="CZ463" s="93"/>
      <c r="DA463" s="93"/>
      <c r="DB463" s="93"/>
      <c r="DC463" s="94"/>
      <c r="DD463" s="118"/>
      <c r="DE463" s="118"/>
      <c r="DF463" s="118"/>
      <c r="DG463" s="118"/>
      <c r="DH463" s="118"/>
      <c r="DI463" s="118"/>
      <c r="DJ463" s="118"/>
      <c r="DK463" s="118"/>
      <c r="DL463" s="118"/>
      <c r="DM463" s="118"/>
      <c r="DN463" s="118"/>
      <c r="DO463" s="118"/>
      <c r="DP463" s="118"/>
      <c r="DQ463" s="118"/>
      <c r="DR463" s="118"/>
      <c r="DS463" s="118"/>
      <c r="DT463" s="118"/>
      <c r="DU463" s="19"/>
      <c r="DV463" s="19"/>
      <c r="DW463" s="19"/>
      <c r="DX463" s="19"/>
      <c r="DY463" s="19"/>
      <c r="DZ463" s="19"/>
    </row>
    <row r="464" spans="1:130" ht="12.75" x14ac:dyDescent="0.2">
      <c r="A464" s="651"/>
      <c r="B464" s="646">
        <v>46172</v>
      </c>
      <c r="C464" s="31"/>
      <c r="D464" s="31"/>
      <c r="E464" s="31"/>
      <c r="F464" s="31"/>
      <c r="G464" s="40"/>
      <c r="H464" s="653"/>
      <c r="I464" s="159">
        <f t="shared" si="315"/>
        <v>0</v>
      </c>
      <c r="J464" s="650">
        <f>SUM(I464:I467,H464)</f>
        <v>0</v>
      </c>
      <c r="K464" s="40"/>
      <c r="L464" s="40"/>
      <c r="M464" s="653"/>
      <c r="N464" s="653"/>
      <c r="O464" s="633">
        <f>SUM(M464:N467)</f>
        <v>0</v>
      </c>
      <c r="P464" s="653"/>
      <c r="Q464" s="636">
        <f>M464*60</f>
        <v>0</v>
      </c>
      <c r="R464" s="657">
        <f>IF(
   COUNTIF(K464:K467,"SI")&gt;0,
   1.8,
   IF(
      COUNTIF(L464:L467,"SI")&gt;0,
      1.6,
      2
   )
)</f>
        <v>2</v>
      </c>
      <c r="S464" s="658">
        <f>IF(Q464=0,0,J464/Q464)</f>
        <v>0</v>
      </c>
      <c r="T464" s="646">
        <v>46172</v>
      </c>
      <c r="U464" s="40"/>
      <c r="V464" s="31">
        <v>638</v>
      </c>
      <c r="W464" s="31">
        <v>5301</v>
      </c>
      <c r="X464" s="31">
        <v>5501</v>
      </c>
      <c r="Y464" s="31"/>
      <c r="Z464" s="653"/>
      <c r="AA464" s="51">
        <f t="shared" si="316"/>
        <v>201</v>
      </c>
      <c r="AB464" s="650">
        <f>SUM(AA464:AA467,Z464)</f>
        <v>521</v>
      </c>
      <c r="AC464" s="31" t="s">
        <v>51</v>
      </c>
      <c r="AD464" s="31" t="s">
        <v>51</v>
      </c>
      <c r="AE464" s="653">
        <v>5</v>
      </c>
      <c r="AF464" s="653">
        <v>1.5</v>
      </c>
      <c r="AG464" s="633">
        <f>SUM(AE464:AF467)</f>
        <v>6.5</v>
      </c>
      <c r="AH464" s="653">
        <v>0</v>
      </c>
      <c r="AI464" s="637">
        <f>AE464*60</f>
        <v>300</v>
      </c>
      <c r="AJ464" s="640">
        <f>IF(
   COUNTIF(AC464:AC467,"SI")&gt;0,
   1.8,
   IF(
      COUNTIF(AD464:AD467,"SI")&gt;0,
      1.6,
      2
   )
)</f>
        <v>1.8</v>
      </c>
      <c r="AK464" s="665">
        <f>IF(AI464=0,0,AB464/AI464)</f>
        <v>1.7366666666666666</v>
      </c>
      <c r="AL464" s="646">
        <v>46172</v>
      </c>
      <c r="AM464" s="31"/>
      <c r="AN464" s="29"/>
      <c r="AO464" s="31"/>
      <c r="AP464" s="31"/>
      <c r="AQ464" s="40"/>
      <c r="AR464" s="653"/>
      <c r="AS464" s="159"/>
      <c r="AT464" s="650">
        <f>SUM(AS464:AS467,AR464)</f>
        <v>0</v>
      </c>
      <c r="AU464" s="40"/>
      <c r="AV464" s="653"/>
      <c r="AW464" s="40"/>
      <c r="AX464" s="653"/>
      <c r="AY464" s="633">
        <f>SUM(AV464:AX467)</f>
        <v>0</v>
      </c>
      <c r="AZ464" s="653"/>
      <c r="BA464" s="636">
        <f>AV464*60</f>
        <v>0</v>
      </c>
      <c r="BB464" s="657">
        <f>IF(
   COUNTIF(AU464:AU467,"SI")&gt;0,
   1.8,
   IF(
      COUNTIF(AV464:AV467,"SI")&gt;0,
      1.6,
      2
   )
)</f>
        <v>2</v>
      </c>
      <c r="BC464" s="666">
        <f>IF(BA464=0,0,AT464/BA464)</f>
        <v>0</v>
      </c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18"/>
      <c r="BX464" s="118"/>
      <c r="BY464" s="118"/>
      <c r="BZ464" s="118"/>
      <c r="CA464" s="118"/>
      <c r="CB464" s="118"/>
      <c r="CC464" s="118"/>
      <c r="CD464" s="118"/>
      <c r="CE464" s="118"/>
      <c r="CF464" s="118"/>
      <c r="CG464" s="118"/>
      <c r="CH464" s="118"/>
      <c r="CI464" s="118"/>
      <c r="CJ464" s="118"/>
      <c r="CK464" s="118"/>
      <c r="CL464" s="118"/>
      <c r="CM464" s="118"/>
      <c r="CN464" s="92"/>
      <c r="CO464" s="93"/>
      <c r="CP464" s="93"/>
      <c r="CQ464" s="93"/>
      <c r="CR464" s="93"/>
      <c r="CS464" s="93"/>
      <c r="CT464" s="93"/>
      <c r="CU464" s="93"/>
      <c r="CV464" s="93"/>
      <c r="CW464" s="93"/>
      <c r="CX464" s="93"/>
      <c r="CY464" s="93"/>
      <c r="CZ464" s="93"/>
      <c r="DA464" s="93"/>
      <c r="DB464" s="93"/>
      <c r="DC464" s="94"/>
      <c r="DD464" s="118"/>
      <c r="DE464" s="118"/>
      <c r="DF464" s="118"/>
      <c r="DG464" s="118"/>
      <c r="DH464" s="118"/>
      <c r="DI464" s="118"/>
      <c r="DJ464" s="118"/>
      <c r="DK464" s="118"/>
      <c r="DL464" s="118"/>
      <c r="DM464" s="118"/>
      <c r="DN464" s="118"/>
      <c r="DO464" s="118"/>
      <c r="DP464" s="118"/>
      <c r="DQ464" s="118"/>
      <c r="DR464" s="118"/>
      <c r="DS464" s="118"/>
      <c r="DT464" s="118"/>
      <c r="DU464" s="19"/>
      <c r="DV464" s="19"/>
      <c r="DW464" s="19"/>
      <c r="DX464" s="19"/>
      <c r="DY464" s="19"/>
      <c r="DZ464" s="19"/>
    </row>
    <row r="465" spans="1:130" ht="12.75" x14ac:dyDescent="0.2">
      <c r="A465" s="647"/>
      <c r="B465" s="647"/>
      <c r="C465" s="40"/>
      <c r="D465" s="40"/>
      <c r="E465" s="40"/>
      <c r="F465" s="40"/>
      <c r="G465" s="40"/>
      <c r="H465" s="634"/>
      <c r="I465" s="159">
        <f t="shared" si="315"/>
        <v>0</v>
      </c>
      <c r="J465" s="634"/>
      <c r="K465" s="40"/>
      <c r="L465" s="40"/>
      <c r="M465" s="634"/>
      <c r="N465" s="634"/>
      <c r="O465" s="634"/>
      <c r="P465" s="634"/>
      <c r="Q465" s="634"/>
      <c r="R465" s="634"/>
      <c r="S465" s="659"/>
      <c r="T465" s="647"/>
      <c r="U465" s="40"/>
      <c r="V465" s="31">
        <v>639</v>
      </c>
      <c r="W465" s="31">
        <v>5502</v>
      </c>
      <c r="X465" s="31">
        <v>5821</v>
      </c>
      <c r="Y465" s="31"/>
      <c r="Z465" s="634"/>
      <c r="AA465" s="51">
        <f t="shared" si="316"/>
        <v>320</v>
      </c>
      <c r="AB465" s="634"/>
      <c r="AC465" s="31" t="s">
        <v>51</v>
      </c>
      <c r="AD465" s="31" t="s">
        <v>51</v>
      </c>
      <c r="AE465" s="634"/>
      <c r="AF465" s="634"/>
      <c r="AG465" s="634"/>
      <c r="AH465" s="634"/>
      <c r="AI465" s="638"/>
      <c r="AJ465" s="634"/>
      <c r="AK465" s="642"/>
      <c r="AL465" s="647"/>
      <c r="AM465" s="31"/>
      <c r="AN465" s="31"/>
      <c r="AO465" s="31"/>
      <c r="AP465" s="31"/>
      <c r="AQ465" s="31"/>
      <c r="AR465" s="634"/>
      <c r="AS465" s="159"/>
      <c r="AT465" s="634"/>
      <c r="AU465" s="40"/>
      <c r="AV465" s="634"/>
      <c r="AW465" s="40"/>
      <c r="AX465" s="634"/>
      <c r="AY465" s="634"/>
      <c r="AZ465" s="634"/>
      <c r="BA465" s="634"/>
      <c r="BB465" s="634"/>
      <c r="BC465" s="634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18"/>
      <c r="BX465" s="118"/>
      <c r="BY465" s="118"/>
      <c r="BZ465" s="118"/>
      <c r="CA465" s="118"/>
      <c r="CB465" s="118"/>
      <c r="CC465" s="118"/>
      <c r="CD465" s="118"/>
      <c r="CE465" s="118"/>
      <c r="CF465" s="118"/>
      <c r="CG465" s="118"/>
      <c r="CH465" s="118"/>
      <c r="CI465" s="118"/>
      <c r="CJ465" s="118"/>
      <c r="CK465" s="118"/>
      <c r="CL465" s="118"/>
      <c r="CM465" s="118"/>
      <c r="CN465" s="92"/>
      <c r="CO465" s="93"/>
      <c r="CP465" s="93"/>
      <c r="CQ465" s="93"/>
      <c r="CR465" s="93"/>
      <c r="CS465" s="93"/>
      <c r="CT465" s="93"/>
      <c r="CU465" s="93"/>
      <c r="CV465" s="93"/>
      <c r="CW465" s="93"/>
      <c r="CX465" s="93"/>
      <c r="CY465" s="93"/>
      <c r="CZ465" s="93"/>
      <c r="DA465" s="93"/>
      <c r="DB465" s="93"/>
      <c r="DC465" s="94"/>
      <c r="DD465" s="118"/>
      <c r="DE465" s="118"/>
      <c r="DF465" s="118"/>
      <c r="DG465" s="118"/>
      <c r="DH465" s="118"/>
      <c r="DI465" s="118"/>
      <c r="DJ465" s="118"/>
      <c r="DK465" s="118"/>
      <c r="DL465" s="118"/>
      <c r="DM465" s="118"/>
      <c r="DN465" s="118"/>
      <c r="DO465" s="118"/>
      <c r="DP465" s="118"/>
      <c r="DQ465" s="118"/>
      <c r="DR465" s="118"/>
      <c r="DS465" s="118"/>
      <c r="DT465" s="118"/>
      <c r="DU465" s="19"/>
      <c r="DV465" s="19"/>
      <c r="DW465" s="19"/>
      <c r="DX465" s="19"/>
      <c r="DY465" s="19"/>
      <c r="DZ465" s="19"/>
    </row>
    <row r="466" spans="1:130" ht="12.75" x14ac:dyDescent="0.2">
      <c r="A466" s="647"/>
      <c r="B466" s="647"/>
      <c r="C466" s="40"/>
      <c r="D466" s="40"/>
      <c r="E466" s="40"/>
      <c r="F466" s="40"/>
      <c r="G466" s="40"/>
      <c r="H466" s="634"/>
      <c r="I466" s="159">
        <f t="shared" si="315"/>
        <v>0</v>
      </c>
      <c r="J466" s="634"/>
      <c r="K466" s="40"/>
      <c r="L466" s="40"/>
      <c r="M466" s="634"/>
      <c r="N466" s="634"/>
      <c r="O466" s="634"/>
      <c r="P466" s="634"/>
      <c r="Q466" s="634"/>
      <c r="R466" s="634"/>
      <c r="S466" s="659"/>
      <c r="T466" s="647"/>
      <c r="U466" s="40"/>
      <c r="V466" s="31"/>
      <c r="W466" s="31"/>
      <c r="X466" s="31"/>
      <c r="Y466" s="31"/>
      <c r="Z466" s="634"/>
      <c r="AA466" s="51">
        <f t="shared" si="316"/>
        <v>0</v>
      </c>
      <c r="AB466" s="634"/>
      <c r="AC466" s="31"/>
      <c r="AD466" s="31"/>
      <c r="AE466" s="634"/>
      <c r="AF466" s="634"/>
      <c r="AG466" s="634"/>
      <c r="AH466" s="634"/>
      <c r="AI466" s="638"/>
      <c r="AJ466" s="634"/>
      <c r="AK466" s="642"/>
      <c r="AL466" s="647"/>
      <c r="AM466" s="40"/>
      <c r="AN466" s="40"/>
      <c r="AO466" s="40"/>
      <c r="AP466" s="40"/>
      <c r="AQ466" s="40"/>
      <c r="AR466" s="634"/>
      <c r="AS466" s="159"/>
      <c r="AT466" s="634"/>
      <c r="AU466" s="40"/>
      <c r="AV466" s="634"/>
      <c r="AW466" s="40"/>
      <c r="AX466" s="634"/>
      <c r="AY466" s="634"/>
      <c r="AZ466" s="634"/>
      <c r="BA466" s="634"/>
      <c r="BB466" s="634"/>
      <c r="BC466" s="634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18"/>
      <c r="BX466" s="118"/>
      <c r="BY466" s="118"/>
      <c r="BZ466" s="118"/>
      <c r="CA466" s="118"/>
      <c r="CB466" s="118"/>
      <c r="CC466" s="118"/>
      <c r="CD466" s="118"/>
      <c r="CE466" s="118"/>
      <c r="CF466" s="118"/>
      <c r="CG466" s="118"/>
      <c r="CH466" s="118"/>
      <c r="CI466" s="118"/>
      <c r="CJ466" s="118"/>
      <c r="CK466" s="118"/>
      <c r="CL466" s="118"/>
      <c r="CM466" s="118"/>
      <c r="CN466" s="92"/>
      <c r="CO466" s="93"/>
      <c r="CP466" s="93"/>
      <c r="CQ466" s="93"/>
      <c r="CR466" s="93"/>
      <c r="CS466" s="93"/>
      <c r="CT466" s="93"/>
      <c r="CU466" s="93"/>
      <c r="CV466" s="93"/>
      <c r="CW466" s="93"/>
      <c r="CX466" s="93"/>
      <c r="CY466" s="93"/>
      <c r="CZ466" s="93"/>
      <c r="DA466" s="93"/>
      <c r="DB466" s="93"/>
      <c r="DC466" s="94"/>
      <c r="DD466" s="118"/>
      <c r="DE466" s="118"/>
      <c r="DF466" s="118"/>
      <c r="DG466" s="118"/>
      <c r="DH466" s="118"/>
      <c r="DI466" s="118"/>
      <c r="DJ466" s="118"/>
      <c r="DK466" s="118"/>
      <c r="DL466" s="118"/>
      <c r="DM466" s="118"/>
      <c r="DN466" s="118"/>
      <c r="DO466" s="118"/>
      <c r="DP466" s="118"/>
      <c r="DQ466" s="118"/>
      <c r="DR466" s="118"/>
      <c r="DS466" s="118"/>
      <c r="DT466" s="118"/>
      <c r="DU466" s="19"/>
      <c r="DV466" s="19"/>
      <c r="DW466" s="19"/>
      <c r="DX466" s="19"/>
      <c r="DY466" s="19"/>
      <c r="DZ466" s="19"/>
    </row>
    <row r="467" spans="1:130" ht="12.75" x14ac:dyDescent="0.2">
      <c r="A467" s="648"/>
      <c r="B467" s="648"/>
      <c r="C467" s="40"/>
      <c r="D467" s="40"/>
      <c r="E467" s="40"/>
      <c r="F467" s="40"/>
      <c r="G467" s="40"/>
      <c r="H467" s="635"/>
      <c r="I467" s="159">
        <f t="shared" si="315"/>
        <v>0</v>
      </c>
      <c r="J467" s="635"/>
      <c r="K467" s="40"/>
      <c r="L467" s="40"/>
      <c r="M467" s="635"/>
      <c r="N467" s="635"/>
      <c r="O467" s="635"/>
      <c r="P467" s="635"/>
      <c r="Q467" s="635"/>
      <c r="R467" s="635"/>
      <c r="S467" s="660"/>
      <c r="T467" s="648"/>
      <c r="U467" s="40"/>
      <c r="V467" s="40"/>
      <c r="W467" s="40"/>
      <c r="X467" s="40"/>
      <c r="Y467" s="40"/>
      <c r="Z467" s="635"/>
      <c r="AA467" s="51">
        <f t="shared" si="316"/>
        <v>0</v>
      </c>
      <c r="AB467" s="635"/>
      <c r="AC467" s="40"/>
      <c r="AD467" s="40"/>
      <c r="AE467" s="635"/>
      <c r="AF467" s="635"/>
      <c r="AG467" s="635"/>
      <c r="AH467" s="635"/>
      <c r="AI467" s="639"/>
      <c r="AJ467" s="635"/>
      <c r="AK467" s="643"/>
      <c r="AL467" s="648"/>
      <c r="AM467" s="40"/>
      <c r="AN467" s="40"/>
      <c r="AO467" s="40"/>
      <c r="AP467" s="40"/>
      <c r="AQ467" s="40"/>
      <c r="AR467" s="635"/>
      <c r="AS467" s="159"/>
      <c r="AT467" s="635"/>
      <c r="AU467" s="40"/>
      <c r="AV467" s="635"/>
      <c r="AW467" s="40"/>
      <c r="AX467" s="635"/>
      <c r="AY467" s="635"/>
      <c r="AZ467" s="635"/>
      <c r="BA467" s="635"/>
      <c r="BB467" s="635"/>
      <c r="BC467" s="635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18"/>
      <c r="BX467" s="118"/>
      <c r="BY467" s="118"/>
      <c r="BZ467" s="118"/>
      <c r="CA467" s="118"/>
      <c r="CB467" s="118"/>
      <c r="CC467" s="118"/>
      <c r="CD467" s="118"/>
      <c r="CE467" s="118"/>
      <c r="CF467" s="118"/>
      <c r="CG467" s="118"/>
      <c r="CH467" s="118"/>
      <c r="CI467" s="118"/>
      <c r="CJ467" s="118"/>
      <c r="CK467" s="118"/>
      <c r="CL467" s="118"/>
      <c r="CM467" s="118"/>
      <c r="CN467" s="92"/>
      <c r="CO467" s="93"/>
      <c r="CP467" s="93"/>
      <c r="CQ467" s="93"/>
      <c r="CR467" s="93"/>
      <c r="CS467" s="93"/>
      <c r="CT467" s="93"/>
      <c r="CU467" s="93"/>
      <c r="CV467" s="93"/>
      <c r="CW467" s="93"/>
      <c r="CX467" s="93"/>
      <c r="CY467" s="93"/>
      <c r="CZ467" s="93"/>
      <c r="DA467" s="93"/>
      <c r="DB467" s="93"/>
      <c r="DC467" s="94"/>
      <c r="DD467" s="118"/>
      <c r="DE467" s="118"/>
      <c r="DF467" s="118"/>
      <c r="DG467" s="118"/>
      <c r="DH467" s="118"/>
      <c r="DI467" s="118"/>
      <c r="DJ467" s="118"/>
      <c r="DK467" s="118"/>
      <c r="DL467" s="118"/>
      <c r="DM467" s="118"/>
      <c r="DN467" s="118"/>
      <c r="DO467" s="118"/>
      <c r="DP467" s="118"/>
      <c r="DQ467" s="118"/>
      <c r="DR467" s="118"/>
      <c r="DS467" s="118"/>
      <c r="DT467" s="118"/>
      <c r="DU467" s="19"/>
      <c r="DV467" s="19"/>
      <c r="DW467" s="19"/>
      <c r="DX467" s="19"/>
      <c r="DY467" s="19"/>
      <c r="DZ467" s="19"/>
    </row>
    <row r="468" spans="1:130" ht="12.75" x14ac:dyDescent="0.2">
      <c r="A468" s="166"/>
      <c r="B468" s="167" t="s">
        <v>40</v>
      </c>
      <c r="C468" s="168">
        <f>SUM(C443:C467)</f>
        <v>67</v>
      </c>
      <c r="D468" s="168" t="s">
        <v>49</v>
      </c>
      <c r="E468" s="168" t="s">
        <v>49</v>
      </c>
      <c r="F468" s="168" t="s">
        <v>49</v>
      </c>
      <c r="G468" s="168">
        <f t="shared" ref="G468:J468" si="323">SUM(G443:G467)</f>
        <v>0</v>
      </c>
      <c r="H468" s="168">
        <f t="shared" si="323"/>
        <v>0</v>
      </c>
      <c r="I468" s="168">
        <f t="shared" si="323"/>
        <v>621</v>
      </c>
      <c r="J468" s="168">
        <f t="shared" si="323"/>
        <v>621</v>
      </c>
      <c r="K468" s="168" t="s">
        <v>49</v>
      </c>
      <c r="L468" s="168"/>
      <c r="M468" s="168">
        <f>SUM(M443:M467)</f>
        <v>5</v>
      </c>
      <c r="N468" s="168">
        <f>SUM(N443:N463)</f>
        <v>2</v>
      </c>
      <c r="O468" s="169">
        <f t="shared" ref="O468:Q468" si="324">SUM(O443:O467)</f>
        <v>7</v>
      </c>
      <c r="P468" s="168">
        <f t="shared" si="324"/>
        <v>0</v>
      </c>
      <c r="Q468" s="168">
        <f t="shared" si="324"/>
        <v>300</v>
      </c>
      <c r="R468" s="170"/>
      <c r="S468" s="171">
        <f>AVERAGE(S452:S459)</f>
        <v>1.0349999999999999</v>
      </c>
      <c r="T468" s="167" t="s">
        <v>40</v>
      </c>
      <c r="U468" s="168">
        <f>SUM(U443:U467)</f>
        <v>0</v>
      </c>
      <c r="V468" s="168" t="s">
        <v>49</v>
      </c>
      <c r="W468" s="168" t="s">
        <v>49</v>
      </c>
      <c r="X468" s="168" t="s">
        <v>49</v>
      </c>
      <c r="Y468" s="168">
        <f t="shared" ref="Y468:AB468" si="325">SUM(Y443:Y467)</f>
        <v>2</v>
      </c>
      <c r="Z468" s="168">
        <f t="shared" si="325"/>
        <v>3</v>
      </c>
      <c r="AA468" s="168">
        <f t="shared" si="325"/>
        <v>1786</v>
      </c>
      <c r="AB468" s="168">
        <f t="shared" si="325"/>
        <v>1789</v>
      </c>
      <c r="AC468" s="168" t="s">
        <v>49</v>
      </c>
      <c r="AD468" s="168" t="s">
        <v>49</v>
      </c>
      <c r="AE468" s="168">
        <f t="shared" ref="AE468:AI468" si="326">SUM(AE443:AE467)</f>
        <v>15.75</v>
      </c>
      <c r="AF468" s="168">
        <f t="shared" si="326"/>
        <v>3.5</v>
      </c>
      <c r="AG468" s="169">
        <f t="shared" si="326"/>
        <v>19.25</v>
      </c>
      <c r="AH468" s="168">
        <f t="shared" si="326"/>
        <v>0</v>
      </c>
      <c r="AI468" s="168">
        <f t="shared" si="326"/>
        <v>945</v>
      </c>
      <c r="AJ468" s="467"/>
      <c r="AK468" s="171">
        <f t="shared" ref="AK468:AK469" si="327">IF(AI468=0,0,AB468/AI468)</f>
        <v>1.8931216931216932</v>
      </c>
      <c r="AL468" s="167" t="s">
        <v>40</v>
      </c>
      <c r="AM468" s="168">
        <f>SUM(AM443:AM467)</f>
        <v>860</v>
      </c>
      <c r="AN468" s="168" t="s">
        <v>49</v>
      </c>
      <c r="AO468" s="168" t="s">
        <v>49</v>
      </c>
      <c r="AP468" s="168" t="s">
        <v>49</v>
      </c>
      <c r="AQ468" s="168">
        <f t="shared" ref="AQ468:AT468" si="328">SUM(AQ443:AQ467)</f>
        <v>22</v>
      </c>
      <c r="AR468" s="168">
        <f t="shared" si="328"/>
        <v>0</v>
      </c>
      <c r="AS468" s="168">
        <f t="shared" si="328"/>
        <v>3543</v>
      </c>
      <c r="AT468" s="168">
        <f t="shared" si="328"/>
        <v>3543</v>
      </c>
      <c r="AU468" s="168" t="s">
        <v>49</v>
      </c>
      <c r="AV468" s="168">
        <f>SUM(AV443:AV467)</f>
        <v>23.5</v>
      </c>
      <c r="AW468" s="168"/>
      <c r="AX468" s="172">
        <f t="shared" ref="AX468:BA468" si="329">SUM(AX443:AX467)</f>
        <v>6.5</v>
      </c>
      <c r="AY468" s="173">
        <f t="shared" si="329"/>
        <v>30</v>
      </c>
      <c r="AZ468" s="172">
        <f t="shared" si="329"/>
        <v>1</v>
      </c>
      <c r="BA468" s="168">
        <f t="shared" si="329"/>
        <v>1410</v>
      </c>
      <c r="BB468" s="170"/>
      <c r="BC468" s="174">
        <f t="shared" ref="BC468:BC469" si="330">IF(BA468=0,0,AT468/BA468)</f>
        <v>2.5127659574468084</v>
      </c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18"/>
      <c r="BX468" s="118"/>
      <c r="BY468" s="118"/>
      <c r="BZ468" s="118"/>
      <c r="CA468" s="118"/>
      <c r="CB468" s="118"/>
      <c r="CC468" s="118"/>
      <c r="CD468" s="118"/>
      <c r="CE468" s="118"/>
      <c r="CF468" s="118"/>
      <c r="CG468" s="118"/>
      <c r="CH468" s="118"/>
      <c r="CI468" s="118"/>
      <c r="CJ468" s="118"/>
      <c r="CK468" s="118"/>
      <c r="CL468" s="118"/>
      <c r="CM468" s="118"/>
      <c r="CN468" s="92"/>
      <c r="CO468" s="93"/>
      <c r="CP468" s="93"/>
      <c r="CQ468" s="93"/>
      <c r="CR468" s="93"/>
      <c r="CS468" s="93"/>
      <c r="CT468" s="93"/>
      <c r="CU468" s="93"/>
      <c r="CV468" s="93"/>
      <c r="CW468" s="93"/>
      <c r="CX468" s="93"/>
      <c r="CY468" s="93"/>
      <c r="CZ468" s="93"/>
      <c r="DA468" s="93"/>
      <c r="DB468" s="93"/>
      <c r="DC468" s="94"/>
      <c r="DD468" s="118"/>
      <c r="DE468" s="118"/>
      <c r="DF468" s="118"/>
      <c r="DG468" s="118"/>
      <c r="DH468" s="118"/>
      <c r="DI468" s="118"/>
      <c r="DJ468" s="118"/>
      <c r="DK468" s="118"/>
      <c r="DL468" s="118"/>
      <c r="DM468" s="118"/>
      <c r="DN468" s="118"/>
      <c r="DO468" s="118"/>
      <c r="DP468" s="118"/>
      <c r="DQ468" s="118"/>
      <c r="DR468" s="118"/>
      <c r="DS468" s="118"/>
      <c r="DT468" s="118"/>
      <c r="DU468" s="19"/>
      <c r="DV468" s="19"/>
      <c r="DW468" s="19"/>
      <c r="DX468" s="19"/>
      <c r="DY468" s="19"/>
      <c r="DZ468" s="19"/>
    </row>
    <row r="469" spans="1:130" ht="12.75" x14ac:dyDescent="0.2">
      <c r="A469" s="741" t="s">
        <v>12</v>
      </c>
      <c r="B469" s="674">
        <v>46174</v>
      </c>
      <c r="C469" s="175"/>
      <c r="D469" s="26"/>
      <c r="E469" s="26"/>
      <c r="F469" s="26"/>
      <c r="G469" s="137"/>
      <c r="H469" s="675"/>
      <c r="I469" s="62">
        <f t="shared" ref="I469:I493" si="331">IF(E469=0,0,F469-E469+1-G469)</f>
        <v>0</v>
      </c>
      <c r="J469" s="676">
        <f>SUM(I469:I473,H469)</f>
        <v>0</v>
      </c>
      <c r="K469" s="175"/>
      <c r="L469" s="175"/>
      <c r="M469" s="675"/>
      <c r="N469" s="675"/>
      <c r="O469" s="677">
        <f>SUM(M469:N473)</f>
        <v>0</v>
      </c>
      <c r="P469" s="675"/>
      <c r="Q469" s="657">
        <f>M469*60</f>
        <v>0</v>
      </c>
      <c r="R469" s="657">
        <f>IF(
   COUNTIF(K469:K473,"SI")&gt;0,
   1.8,
   IF(
      COUNTIF(L469:L473,"SI")&gt;0,
      1.6,
      2
   )
)</f>
        <v>2</v>
      </c>
      <c r="S469" s="678">
        <f>IF(Q469=0,0,J469/Q469)</f>
        <v>0</v>
      </c>
      <c r="T469" s="674">
        <v>46174</v>
      </c>
      <c r="U469" s="175"/>
      <c r="V469" s="26"/>
      <c r="W469" s="26"/>
      <c r="X469" s="26"/>
      <c r="Y469" s="175"/>
      <c r="Z469" s="680"/>
      <c r="AA469" s="151">
        <f t="shared" ref="AA469:AA493" si="332">IF(X469=0,0,X469-W469+1-Y469)</f>
        <v>0</v>
      </c>
      <c r="AB469" s="669">
        <f>SUM(AA469:AA473,Z469)</f>
        <v>0</v>
      </c>
      <c r="AC469" s="26"/>
      <c r="AD469" s="26"/>
      <c r="AE469" s="675"/>
      <c r="AF469" s="675"/>
      <c r="AG469" s="677">
        <f>SUM(AE469:AF473)</f>
        <v>0</v>
      </c>
      <c r="AH469" s="675">
        <v>0</v>
      </c>
      <c r="AI469" s="681">
        <f>AE469*60</f>
        <v>0</v>
      </c>
      <c r="AJ469" s="657">
        <f>IF(
   COUNTIF(AC469:AC473,"SI")&gt;0,
   1.8,
   IF(
      COUNTIF(AD469:AD473,"SI")&gt;0,
      1.6,
      2
   )
)</f>
        <v>2</v>
      </c>
      <c r="AK469" s="682">
        <f t="shared" si="327"/>
        <v>0</v>
      </c>
      <c r="AL469" s="674">
        <v>46174</v>
      </c>
      <c r="AM469" s="24">
        <f>123-AM461</f>
        <v>47</v>
      </c>
      <c r="AN469" s="31">
        <v>637</v>
      </c>
      <c r="AO469" s="31">
        <v>4807</v>
      </c>
      <c r="AP469" s="24">
        <v>5002</v>
      </c>
      <c r="AQ469" s="26"/>
      <c r="AR469" s="681"/>
      <c r="AS469" s="159">
        <f t="shared" ref="AS469:AS480" si="333">IF(AO469=0,0,AP469-AO469+1-AQ469)</f>
        <v>196</v>
      </c>
      <c r="AT469" s="683">
        <f>SUM(AS469:AS473)+AR469</f>
        <v>1243</v>
      </c>
      <c r="AU469" s="29" t="s">
        <v>51</v>
      </c>
      <c r="AV469" s="640">
        <v>8.25</v>
      </c>
      <c r="AW469" s="29" t="s">
        <v>51</v>
      </c>
      <c r="AX469" s="657">
        <v>1.5</v>
      </c>
      <c r="AY469" s="633">
        <f>SUM(AV469,AX469)</f>
        <v>9.75</v>
      </c>
      <c r="AZ469" s="657">
        <v>0.15</v>
      </c>
      <c r="BA469" s="657">
        <f>AV469*60</f>
        <v>495</v>
      </c>
      <c r="BB469" s="657">
        <f>IF(
   COUNTIF(AU469:AU473,"SI")&gt;0,
   1.8,
   IF(
      COUNTIF(AV469:AV473,"SI")&gt;0,
      1.6,
      2
   )
)</f>
        <v>1.8</v>
      </c>
      <c r="BC469" s="672">
        <f t="shared" si="330"/>
        <v>2.5111111111111111</v>
      </c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18"/>
      <c r="BX469" s="118"/>
      <c r="BY469" s="118"/>
      <c r="BZ469" s="118"/>
      <c r="CA469" s="118"/>
      <c r="CB469" s="118"/>
      <c r="CC469" s="118"/>
      <c r="CD469" s="118"/>
      <c r="CE469" s="118"/>
      <c r="CF469" s="118"/>
      <c r="CG469" s="118"/>
      <c r="CH469" s="118"/>
      <c r="CI469" s="118"/>
      <c r="CJ469" s="118"/>
      <c r="CK469" s="118"/>
      <c r="CL469" s="118"/>
      <c r="CM469" s="118"/>
      <c r="CN469" s="92"/>
      <c r="CO469" s="93"/>
      <c r="CP469" s="93"/>
      <c r="CQ469" s="93"/>
      <c r="CR469" s="93"/>
      <c r="CS469" s="93"/>
      <c r="CT469" s="93"/>
      <c r="CU469" s="93"/>
      <c r="CV469" s="93"/>
      <c r="CW469" s="93"/>
      <c r="CX469" s="93"/>
      <c r="CY469" s="93"/>
      <c r="CZ469" s="93"/>
      <c r="DA469" s="93"/>
      <c r="DB469" s="93"/>
      <c r="DC469" s="94"/>
      <c r="DD469" s="118"/>
      <c r="DE469" s="118"/>
      <c r="DF469" s="118"/>
      <c r="DG469" s="118"/>
      <c r="DH469" s="118"/>
      <c r="DI469" s="118"/>
      <c r="DJ469" s="118"/>
      <c r="DK469" s="118"/>
      <c r="DL469" s="118"/>
      <c r="DM469" s="118"/>
      <c r="DN469" s="118"/>
      <c r="DO469" s="118"/>
      <c r="DP469" s="118"/>
      <c r="DQ469" s="118"/>
      <c r="DR469" s="118"/>
      <c r="DS469" s="118"/>
      <c r="DT469" s="118"/>
      <c r="DU469" s="19"/>
      <c r="DV469" s="19"/>
      <c r="DW469" s="19"/>
      <c r="DX469" s="19"/>
      <c r="DY469" s="19"/>
      <c r="DZ469" s="19"/>
    </row>
    <row r="470" spans="1:130" ht="12.75" x14ac:dyDescent="0.2">
      <c r="A470" s="647"/>
      <c r="B470" s="647"/>
      <c r="C470" s="30"/>
      <c r="D470" s="158"/>
      <c r="E470" s="158"/>
      <c r="F470" s="158"/>
      <c r="G470" s="158"/>
      <c r="H470" s="634"/>
      <c r="I470" s="159">
        <f t="shared" si="331"/>
        <v>0</v>
      </c>
      <c r="J470" s="634"/>
      <c r="K470" s="30"/>
      <c r="L470" s="142"/>
      <c r="M470" s="634"/>
      <c r="N470" s="634"/>
      <c r="O470" s="634"/>
      <c r="P470" s="634"/>
      <c r="Q470" s="634"/>
      <c r="R470" s="634"/>
      <c r="S470" s="659"/>
      <c r="T470" s="647"/>
      <c r="U470" s="30"/>
      <c r="V470" s="30"/>
      <c r="W470" s="30"/>
      <c r="X470" s="30"/>
      <c r="Y470" s="30"/>
      <c r="Z470" s="638"/>
      <c r="AA470" s="51">
        <f t="shared" si="332"/>
        <v>0</v>
      </c>
      <c r="AB470" s="670"/>
      <c r="AC470" s="29"/>
      <c r="AD470" s="25"/>
      <c r="AE470" s="634"/>
      <c r="AF470" s="634"/>
      <c r="AG470" s="634"/>
      <c r="AH470" s="634"/>
      <c r="AI470" s="638"/>
      <c r="AJ470" s="634"/>
      <c r="AK470" s="642"/>
      <c r="AL470" s="647"/>
      <c r="AM470" s="28">
        <v>124</v>
      </c>
      <c r="AN470" s="28">
        <v>640</v>
      </c>
      <c r="AO470" s="28">
        <v>6008</v>
      </c>
      <c r="AP470" s="28">
        <v>6501</v>
      </c>
      <c r="AQ470" s="29">
        <v>10</v>
      </c>
      <c r="AR470" s="638"/>
      <c r="AS470" s="159">
        <f t="shared" si="333"/>
        <v>484</v>
      </c>
      <c r="AT470" s="670"/>
      <c r="AU470" s="29" t="s">
        <v>51</v>
      </c>
      <c r="AV470" s="634"/>
      <c r="AW470" s="29" t="s">
        <v>51</v>
      </c>
      <c r="AX470" s="634"/>
      <c r="AY470" s="634"/>
      <c r="AZ470" s="634"/>
      <c r="BA470" s="634"/>
      <c r="BB470" s="634"/>
      <c r="BC470" s="634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18"/>
      <c r="BX470" s="118"/>
      <c r="BY470" s="118"/>
      <c r="BZ470" s="118"/>
      <c r="CA470" s="118"/>
      <c r="CB470" s="118"/>
      <c r="CC470" s="118"/>
      <c r="CD470" s="118"/>
      <c r="CE470" s="118"/>
      <c r="CF470" s="118"/>
      <c r="CG470" s="118"/>
      <c r="CH470" s="118"/>
      <c r="CI470" s="118"/>
      <c r="CJ470" s="118"/>
      <c r="CK470" s="118"/>
      <c r="CL470" s="118"/>
      <c r="CM470" s="118"/>
      <c r="CN470" s="92"/>
      <c r="CO470" s="93"/>
      <c r="CP470" s="93"/>
      <c r="CQ470" s="93"/>
      <c r="CR470" s="93"/>
      <c r="CS470" s="93"/>
      <c r="CT470" s="93"/>
      <c r="CU470" s="93"/>
      <c r="CV470" s="93"/>
      <c r="CW470" s="93"/>
      <c r="CX470" s="93"/>
      <c r="CY470" s="93"/>
      <c r="CZ470" s="93"/>
      <c r="DA470" s="93"/>
      <c r="DB470" s="93"/>
      <c r="DC470" s="94"/>
      <c r="DD470" s="118"/>
      <c r="DE470" s="118"/>
      <c r="DF470" s="118"/>
      <c r="DG470" s="118"/>
      <c r="DH470" s="118"/>
      <c r="DI470" s="118"/>
      <c r="DJ470" s="118"/>
      <c r="DK470" s="118"/>
      <c r="DL470" s="118"/>
      <c r="DM470" s="118"/>
      <c r="DN470" s="118"/>
      <c r="DO470" s="118"/>
      <c r="DP470" s="118"/>
      <c r="DQ470" s="118"/>
      <c r="DR470" s="118"/>
      <c r="DS470" s="118"/>
      <c r="DT470" s="118"/>
      <c r="DU470" s="19"/>
      <c r="DV470" s="19"/>
      <c r="DW470" s="19"/>
      <c r="DX470" s="19"/>
      <c r="DY470" s="19"/>
      <c r="DZ470" s="19"/>
    </row>
    <row r="471" spans="1:130" ht="12.75" x14ac:dyDescent="0.2">
      <c r="A471" s="647"/>
      <c r="B471" s="647"/>
      <c r="C471" s="30"/>
      <c r="D471" s="158"/>
      <c r="E471" s="158"/>
      <c r="F471" s="158"/>
      <c r="G471" s="158"/>
      <c r="H471" s="634"/>
      <c r="I471" s="159">
        <f t="shared" si="331"/>
        <v>0</v>
      </c>
      <c r="J471" s="634"/>
      <c r="K471" s="158"/>
      <c r="L471" s="161"/>
      <c r="M471" s="634"/>
      <c r="N471" s="634"/>
      <c r="O471" s="634"/>
      <c r="P471" s="634"/>
      <c r="Q471" s="634"/>
      <c r="R471" s="634"/>
      <c r="S471" s="659"/>
      <c r="T471" s="647"/>
      <c r="U471" s="30"/>
      <c r="V471" s="158"/>
      <c r="W471" s="30"/>
      <c r="X471" s="30"/>
      <c r="Y471" s="30"/>
      <c r="Z471" s="638"/>
      <c r="AA471" s="51">
        <f t="shared" si="332"/>
        <v>0</v>
      </c>
      <c r="AB471" s="670"/>
      <c r="AC471" s="158"/>
      <c r="AD471" s="161"/>
      <c r="AE471" s="634"/>
      <c r="AF471" s="634"/>
      <c r="AG471" s="634"/>
      <c r="AH471" s="634"/>
      <c r="AI471" s="638"/>
      <c r="AJ471" s="634"/>
      <c r="AK471" s="642"/>
      <c r="AL471" s="647"/>
      <c r="AM471" s="28">
        <v>124</v>
      </c>
      <c r="AN471" s="28">
        <v>641</v>
      </c>
      <c r="AO471" s="28">
        <v>6502</v>
      </c>
      <c r="AP471" s="28">
        <v>7001</v>
      </c>
      <c r="AQ471" s="28">
        <v>5</v>
      </c>
      <c r="AR471" s="638"/>
      <c r="AS471" s="159">
        <f t="shared" si="333"/>
        <v>495</v>
      </c>
      <c r="AT471" s="670"/>
      <c r="AU471" s="29" t="s">
        <v>51</v>
      </c>
      <c r="AV471" s="634"/>
      <c r="AW471" s="29" t="s">
        <v>51</v>
      </c>
      <c r="AX471" s="634"/>
      <c r="AY471" s="634"/>
      <c r="AZ471" s="634"/>
      <c r="BA471" s="634"/>
      <c r="BB471" s="634"/>
      <c r="BC471" s="634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18"/>
      <c r="BX471" s="118"/>
      <c r="BY471" s="118"/>
      <c r="BZ471" s="118"/>
      <c r="CA471" s="118"/>
      <c r="CB471" s="118"/>
      <c r="CC471" s="118"/>
      <c r="CD471" s="118"/>
      <c r="CE471" s="118"/>
      <c r="CF471" s="118"/>
      <c r="CG471" s="118"/>
      <c r="CH471" s="118"/>
      <c r="CI471" s="118"/>
      <c r="CJ471" s="118"/>
      <c r="CK471" s="118"/>
      <c r="CL471" s="118"/>
      <c r="CM471" s="118"/>
      <c r="CN471" s="92"/>
      <c r="CO471" s="93"/>
      <c r="CP471" s="93"/>
      <c r="CQ471" s="93"/>
      <c r="CR471" s="93"/>
      <c r="CS471" s="93"/>
      <c r="CT471" s="93"/>
      <c r="CU471" s="93"/>
      <c r="CV471" s="93"/>
      <c r="CW471" s="93"/>
      <c r="CX471" s="93"/>
      <c r="CY471" s="93"/>
      <c r="CZ471" s="93"/>
      <c r="DA471" s="93"/>
      <c r="DB471" s="93"/>
      <c r="DC471" s="94"/>
      <c r="DD471" s="118"/>
      <c r="DE471" s="118"/>
      <c r="DF471" s="118"/>
      <c r="DG471" s="118"/>
      <c r="DH471" s="118"/>
      <c r="DI471" s="118"/>
      <c r="DJ471" s="118"/>
      <c r="DK471" s="118"/>
      <c r="DL471" s="118"/>
      <c r="DM471" s="118"/>
      <c r="DN471" s="118"/>
      <c r="DO471" s="118"/>
      <c r="DP471" s="118"/>
      <c r="DQ471" s="118"/>
      <c r="DR471" s="118"/>
      <c r="DS471" s="118"/>
      <c r="DT471" s="118"/>
      <c r="DU471" s="19"/>
      <c r="DV471" s="19"/>
      <c r="DW471" s="19"/>
      <c r="DX471" s="19"/>
      <c r="DY471" s="19"/>
      <c r="DZ471" s="19"/>
    </row>
    <row r="472" spans="1:130" ht="12.75" x14ac:dyDescent="0.2">
      <c r="A472" s="647"/>
      <c r="B472" s="647"/>
      <c r="C472" s="30"/>
      <c r="D472" s="30"/>
      <c r="E472" s="30"/>
      <c r="F472" s="30"/>
      <c r="G472" s="30"/>
      <c r="H472" s="634"/>
      <c r="I472" s="159">
        <f t="shared" si="331"/>
        <v>0</v>
      </c>
      <c r="J472" s="634"/>
      <c r="K472" s="30"/>
      <c r="L472" s="142"/>
      <c r="M472" s="634"/>
      <c r="N472" s="634"/>
      <c r="O472" s="634"/>
      <c r="P472" s="634"/>
      <c r="Q472" s="634"/>
      <c r="R472" s="634"/>
      <c r="S472" s="659"/>
      <c r="T472" s="647"/>
      <c r="U472" s="30"/>
      <c r="V472" s="30"/>
      <c r="W472" s="30"/>
      <c r="X472" s="30"/>
      <c r="Y472" s="30"/>
      <c r="Z472" s="638"/>
      <c r="AA472" s="51">
        <f t="shared" si="332"/>
        <v>0</v>
      </c>
      <c r="AB472" s="670"/>
      <c r="AC472" s="30"/>
      <c r="AD472" s="142"/>
      <c r="AE472" s="634"/>
      <c r="AF472" s="634"/>
      <c r="AG472" s="634"/>
      <c r="AH472" s="634"/>
      <c r="AI472" s="638"/>
      <c r="AJ472" s="634"/>
      <c r="AK472" s="642"/>
      <c r="AL472" s="647"/>
      <c r="AM472" s="29">
        <v>7</v>
      </c>
      <c r="AN472" s="29">
        <v>642</v>
      </c>
      <c r="AO472" s="29">
        <v>7002</v>
      </c>
      <c r="AP472" s="29">
        <v>7069</v>
      </c>
      <c r="AQ472" s="30"/>
      <c r="AR472" s="638"/>
      <c r="AS472" s="159">
        <f t="shared" si="333"/>
        <v>68</v>
      </c>
      <c r="AT472" s="671"/>
      <c r="AU472" s="29" t="s">
        <v>51</v>
      </c>
      <c r="AV472" s="635"/>
      <c r="AW472" s="25" t="s">
        <v>51</v>
      </c>
      <c r="AX472" s="634"/>
      <c r="AY472" s="634"/>
      <c r="AZ472" s="634"/>
      <c r="BA472" s="634"/>
      <c r="BB472" s="634"/>
      <c r="BC472" s="634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18"/>
      <c r="BX472" s="118"/>
      <c r="BY472" s="118"/>
      <c r="BZ472" s="118"/>
      <c r="CA472" s="118"/>
      <c r="CB472" s="118"/>
      <c r="CC472" s="118"/>
      <c r="CD472" s="118"/>
      <c r="CE472" s="118"/>
      <c r="CF472" s="118"/>
      <c r="CG472" s="118"/>
      <c r="CH472" s="118"/>
      <c r="CI472" s="118"/>
      <c r="CJ472" s="118"/>
      <c r="CK472" s="118"/>
      <c r="CL472" s="118"/>
      <c r="CM472" s="118"/>
      <c r="CN472" s="92"/>
      <c r="CO472" s="93"/>
      <c r="CP472" s="93"/>
      <c r="CQ472" s="93"/>
      <c r="CR472" s="93"/>
      <c r="CS472" s="93"/>
      <c r="CT472" s="93"/>
      <c r="CU472" s="93"/>
      <c r="CV472" s="93"/>
      <c r="CW472" s="93"/>
      <c r="CX472" s="93"/>
      <c r="CY472" s="93"/>
      <c r="CZ472" s="93"/>
      <c r="DA472" s="93"/>
      <c r="DB472" s="93"/>
      <c r="DC472" s="94"/>
      <c r="DD472" s="118"/>
      <c r="DE472" s="118"/>
      <c r="DF472" s="118"/>
      <c r="DG472" s="118"/>
      <c r="DH472" s="118"/>
      <c r="DI472" s="118"/>
      <c r="DJ472" s="118"/>
      <c r="DK472" s="118"/>
      <c r="DL472" s="118"/>
      <c r="DM472" s="118"/>
      <c r="DN472" s="118"/>
      <c r="DO472" s="118"/>
      <c r="DP472" s="118"/>
      <c r="DQ472" s="118"/>
      <c r="DR472" s="118"/>
      <c r="DS472" s="118"/>
      <c r="DT472" s="118"/>
      <c r="DU472" s="19"/>
      <c r="DV472" s="19"/>
      <c r="DW472" s="19"/>
      <c r="DX472" s="19"/>
      <c r="DY472" s="19"/>
      <c r="DZ472" s="19"/>
    </row>
    <row r="473" spans="1:130" ht="12.75" x14ac:dyDescent="0.2">
      <c r="A473" s="648"/>
      <c r="B473" s="648"/>
      <c r="C473" s="30"/>
      <c r="D473" s="30"/>
      <c r="E473" s="30"/>
      <c r="F473" s="30"/>
      <c r="G473" s="30"/>
      <c r="H473" s="635"/>
      <c r="I473" s="159">
        <f t="shared" si="331"/>
        <v>0</v>
      </c>
      <c r="J473" s="635"/>
      <c r="K473" s="30"/>
      <c r="L473" s="142"/>
      <c r="M473" s="635"/>
      <c r="N473" s="635"/>
      <c r="O473" s="635"/>
      <c r="P473" s="635"/>
      <c r="Q473" s="635"/>
      <c r="R473" s="635"/>
      <c r="S473" s="660"/>
      <c r="T473" s="648"/>
      <c r="U473" s="30"/>
      <c r="V473" s="30"/>
      <c r="W473" s="30"/>
      <c r="X473" s="30"/>
      <c r="Y473" s="30"/>
      <c r="Z473" s="639"/>
      <c r="AA473" s="51">
        <f t="shared" si="332"/>
        <v>0</v>
      </c>
      <c r="AB473" s="671"/>
      <c r="AC473" s="30"/>
      <c r="AD473" s="142"/>
      <c r="AE473" s="635"/>
      <c r="AF473" s="635"/>
      <c r="AG473" s="635"/>
      <c r="AH473" s="635"/>
      <c r="AI473" s="639"/>
      <c r="AJ473" s="635"/>
      <c r="AK473" s="643"/>
      <c r="AL473" s="648"/>
      <c r="AM473" s="30"/>
      <c r="AN473" s="30"/>
      <c r="AO473" s="30"/>
      <c r="AP473" s="30"/>
      <c r="AQ473" s="30"/>
      <c r="AR473" s="639"/>
      <c r="AS473" s="159">
        <f t="shared" si="333"/>
        <v>0</v>
      </c>
      <c r="AT473" s="146">
        <f>AS473</f>
        <v>0</v>
      </c>
      <c r="AU473" s="30"/>
      <c r="AV473" s="142"/>
      <c r="AW473" s="142"/>
      <c r="AX473" s="635"/>
      <c r="AY473" s="635"/>
      <c r="AZ473" s="635"/>
      <c r="BA473" s="147">
        <f t="shared" ref="BA473:BA474" si="334">AV473*60</f>
        <v>0</v>
      </c>
      <c r="BB473" s="635"/>
      <c r="BC473" s="148">
        <f t="shared" ref="BC473:BC474" si="335">IF(BA473=0,0,AT473/BA473)</f>
        <v>0</v>
      </c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18"/>
      <c r="BX473" s="118"/>
      <c r="BY473" s="118"/>
      <c r="BZ473" s="118"/>
      <c r="CA473" s="118"/>
      <c r="CB473" s="118"/>
      <c r="CC473" s="118"/>
      <c r="CD473" s="118"/>
      <c r="CE473" s="118"/>
      <c r="CF473" s="118"/>
      <c r="CG473" s="118"/>
      <c r="CH473" s="118"/>
      <c r="CI473" s="118"/>
      <c r="CJ473" s="118"/>
      <c r="CK473" s="118"/>
      <c r="CL473" s="118"/>
      <c r="CM473" s="118"/>
      <c r="CN473" s="92"/>
      <c r="CO473" s="93"/>
      <c r="CP473" s="93"/>
      <c r="CQ473" s="93"/>
      <c r="CR473" s="93"/>
      <c r="CS473" s="93"/>
      <c r="CT473" s="93"/>
      <c r="CU473" s="93"/>
      <c r="CV473" s="93"/>
      <c r="CW473" s="93"/>
      <c r="CX473" s="93"/>
      <c r="CY473" s="93"/>
      <c r="CZ473" s="93"/>
      <c r="DA473" s="93"/>
      <c r="DB473" s="93"/>
      <c r="DC473" s="94"/>
      <c r="DD473" s="118"/>
      <c r="DE473" s="118"/>
      <c r="DF473" s="118"/>
      <c r="DG473" s="118"/>
      <c r="DH473" s="118"/>
      <c r="DI473" s="118"/>
      <c r="DJ473" s="118"/>
      <c r="DK473" s="118"/>
      <c r="DL473" s="118"/>
      <c r="DM473" s="118"/>
      <c r="DN473" s="118"/>
      <c r="DO473" s="118"/>
      <c r="DP473" s="118"/>
      <c r="DQ473" s="118"/>
      <c r="DR473" s="118"/>
      <c r="DS473" s="118"/>
      <c r="DT473" s="118"/>
      <c r="DU473" s="19"/>
      <c r="DV473" s="19"/>
      <c r="DW473" s="19"/>
      <c r="DX473" s="19"/>
      <c r="DY473" s="19"/>
      <c r="DZ473" s="19"/>
    </row>
    <row r="474" spans="1:130" ht="12.75" x14ac:dyDescent="0.2">
      <c r="A474" s="651"/>
      <c r="B474" s="646">
        <v>46175</v>
      </c>
      <c r="C474" s="40"/>
      <c r="D474" s="40"/>
      <c r="E474" s="40"/>
      <c r="F474" s="40"/>
      <c r="G474" s="40"/>
      <c r="H474" s="653"/>
      <c r="I474" s="159">
        <f t="shared" si="331"/>
        <v>0</v>
      </c>
      <c r="J474" s="650">
        <f>SUM(I474:I477,H474)</f>
        <v>0</v>
      </c>
      <c r="K474" s="40"/>
      <c r="L474" s="40"/>
      <c r="M474" s="653"/>
      <c r="N474" s="653"/>
      <c r="O474" s="633">
        <f>SUM(M474:N477)</f>
        <v>0</v>
      </c>
      <c r="P474" s="653"/>
      <c r="Q474" s="636">
        <f>M474*60</f>
        <v>0</v>
      </c>
      <c r="R474" s="657">
        <f>IF(
   COUNTIF(K474:K477,"SI")&gt;0,
   1.8,
   IF(
      COUNTIF(L474:L477,"SI")&gt;0,
      1.6,
      2
   )
)</f>
        <v>2</v>
      </c>
      <c r="S474" s="678">
        <f>IF(Q474=0,0,J474/Q474)</f>
        <v>0</v>
      </c>
      <c r="T474" s="646">
        <v>46175</v>
      </c>
      <c r="U474" s="40"/>
      <c r="V474" s="38">
        <v>639</v>
      </c>
      <c r="W474" s="38">
        <v>5822</v>
      </c>
      <c r="X474" s="38">
        <v>6000</v>
      </c>
      <c r="Y474" s="38"/>
      <c r="Z474" s="653"/>
      <c r="AA474" s="51">
        <f t="shared" si="332"/>
        <v>179</v>
      </c>
      <c r="AB474" s="650">
        <f>SUM(AA474:AA477)+Z474</f>
        <v>556</v>
      </c>
      <c r="AC474" s="38" t="s">
        <v>51</v>
      </c>
      <c r="AD474" s="38" t="s">
        <v>51</v>
      </c>
      <c r="AE474" s="636">
        <v>4.75</v>
      </c>
      <c r="AF474" s="636">
        <v>1.25</v>
      </c>
      <c r="AG474" s="633">
        <f>SUM(AE474:AF477)</f>
        <v>6</v>
      </c>
      <c r="AH474" s="636">
        <v>0</v>
      </c>
      <c r="AI474" s="637">
        <f>AE474*60</f>
        <v>285</v>
      </c>
      <c r="AJ474" s="640">
        <f>IF(
   COUNTIF(AC474:AC477,"SI")&gt;0,
   1.8,
   IF(
      COUNTIF(AD474:AD477,"SI")&gt;0,
      1.6,
      2
   )
)</f>
        <v>1.8</v>
      </c>
      <c r="AK474" s="641">
        <f>IF(AI474=0,0,AB474/AI474)</f>
        <v>1.9508771929824562</v>
      </c>
      <c r="AL474" s="646">
        <v>46175</v>
      </c>
      <c r="AM474" s="31"/>
      <c r="AN474" s="31"/>
      <c r="AO474" s="31"/>
      <c r="AP474" s="31"/>
      <c r="AQ474" s="31"/>
      <c r="AR474" s="653"/>
      <c r="AS474" s="159">
        <f t="shared" si="333"/>
        <v>0</v>
      </c>
      <c r="AT474" s="683">
        <f>SUM(AS474:AS477)+AR474</f>
        <v>0</v>
      </c>
      <c r="AU474" s="653"/>
      <c r="AV474" s="653"/>
      <c r="AW474" s="31"/>
      <c r="AX474" s="653"/>
      <c r="AY474" s="633">
        <f>SUM(AV474:AX477)</f>
        <v>0</v>
      </c>
      <c r="AZ474" s="636">
        <v>0.25</v>
      </c>
      <c r="BA474" s="636">
        <f t="shared" si="334"/>
        <v>0</v>
      </c>
      <c r="BB474" s="657">
        <f>IF(
   COUNTIF(AU474:AU477,"SI")&gt;0,
   1.8,
   IF(
      COUNTIF(AV474:AV477,"SI")&gt;0,
      1.6,
      2
   )
)</f>
        <v>2</v>
      </c>
      <c r="BC474" s="667">
        <f t="shared" si="335"/>
        <v>0</v>
      </c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18"/>
      <c r="BX474" s="118"/>
      <c r="BY474" s="118"/>
      <c r="BZ474" s="118"/>
      <c r="CA474" s="118"/>
      <c r="CB474" s="118"/>
      <c r="CC474" s="118"/>
      <c r="CD474" s="118"/>
      <c r="CE474" s="118"/>
      <c r="CF474" s="118"/>
      <c r="CG474" s="118"/>
      <c r="CH474" s="118"/>
      <c r="CI474" s="118"/>
      <c r="CJ474" s="118"/>
      <c r="CK474" s="118"/>
      <c r="CL474" s="118"/>
      <c r="CM474" s="118"/>
      <c r="CN474" s="92"/>
      <c r="CO474" s="93"/>
      <c r="CP474" s="93"/>
      <c r="CQ474" s="93"/>
      <c r="CR474" s="93"/>
      <c r="CS474" s="93"/>
      <c r="CT474" s="93"/>
      <c r="CU474" s="93"/>
      <c r="CV474" s="93"/>
      <c r="CW474" s="93"/>
      <c r="CX474" s="93"/>
      <c r="CY474" s="93"/>
      <c r="CZ474" s="93"/>
      <c r="DA474" s="93"/>
      <c r="DB474" s="93"/>
      <c r="DC474" s="94"/>
      <c r="DD474" s="118"/>
      <c r="DE474" s="118"/>
      <c r="DF474" s="118"/>
      <c r="DG474" s="118"/>
      <c r="DH474" s="118"/>
      <c r="DI474" s="118"/>
      <c r="DJ474" s="118"/>
      <c r="DK474" s="118"/>
      <c r="DL474" s="118"/>
      <c r="DM474" s="118"/>
      <c r="DN474" s="118"/>
      <c r="DO474" s="118"/>
      <c r="DP474" s="118"/>
      <c r="DQ474" s="118"/>
      <c r="DR474" s="118"/>
      <c r="DS474" s="118"/>
      <c r="DT474" s="118"/>
      <c r="DU474" s="19"/>
      <c r="DV474" s="19"/>
      <c r="DW474" s="19"/>
      <c r="DX474" s="19"/>
      <c r="DY474" s="19"/>
      <c r="DZ474" s="19"/>
    </row>
    <row r="475" spans="1:130" ht="12.75" x14ac:dyDescent="0.2">
      <c r="A475" s="647"/>
      <c r="B475" s="647"/>
      <c r="C475" s="40"/>
      <c r="D475" s="40"/>
      <c r="E475" s="40"/>
      <c r="F475" s="40"/>
      <c r="G475" s="40"/>
      <c r="H475" s="634"/>
      <c r="I475" s="159">
        <f t="shared" si="331"/>
        <v>0</v>
      </c>
      <c r="J475" s="634"/>
      <c r="K475" s="40"/>
      <c r="L475" s="40"/>
      <c r="M475" s="634"/>
      <c r="N475" s="634"/>
      <c r="O475" s="634"/>
      <c r="P475" s="634"/>
      <c r="Q475" s="634"/>
      <c r="R475" s="634"/>
      <c r="S475" s="659"/>
      <c r="T475" s="647"/>
      <c r="U475" s="40"/>
      <c r="V475" s="31">
        <v>643</v>
      </c>
      <c r="W475" s="31">
        <v>7524</v>
      </c>
      <c r="X475" s="31">
        <v>7900</v>
      </c>
      <c r="Y475" s="31"/>
      <c r="Z475" s="634"/>
      <c r="AA475" s="51">
        <f t="shared" si="332"/>
        <v>377</v>
      </c>
      <c r="AB475" s="634"/>
      <c r="AC475" s="38" t="s">
        <v>51</v>
      </c>
      <c r="AD475" s="38" t="s">
        <v>51</v>
      </c>
      <c r="AE475" s="634"/>
      <c r="AF475" s="634"/>
      <c r="AG475" s="634"/>
      <c r="AH475" s="634"/>
      <c r="AI475" s="638"/>
      <c r="AJ475" s="634"/>
      <c r="AK475" s="642"/>
      <c r="AL475" s="647"/>
      <c r="AM475" s="31"/>
      <c r="AN475" s="31"/>
      <c r="AO475" s="31"/>
      <c r="AP475" s="31"/>
      <c r="AQ475" s="31"/>
      <c r="AR475" s="634"/>
      <c r="AS475" s="159">
        <f t="shared" si="333"/>
        <v>0</v>
      </c>
      <c r="AT475" s="670"/>
      <c r="AU475" s="634"/>
      <c r="AV475" s="634"/>
      <c r="AW475" s="31"/>
      <c r="AX475" s="634"/>
      <c r="AY475" s="634"/>
      <c r="AZ475" s="634"/>
      <c r="BA475" s="634"/>
      <c r="BB475" s="634"/>
      <c r="BC475" s="634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18"/>
      <c r="BX475" s="118"/>
      <c r="BY475" s="118"/>
      <c r="BZ475" s="118"/>
      <c r="CA475" s="118"/>
      <c r="CB475" s="118"/>
      <c r="CC475" s="118"/>
      <c r="CD475" s="118"/>
      <c r="CE475" s="118"/>
      <c r="CF475" s="118"/>
      <c r="CG475" s="118"/>
      <c r="CH475" s="118"/>
      <c r="CI475" s="118"/>
      <c r="CJ475" s="118"/>
      <c r="CK475" s="118"/>
      <c r="CL475" s="118"/>
      <c r="CM475" s="118"/>
      <c r="CN475" s="92"/>
      <c r="CO475" s="93"/>
      <c r="CP475" s="93"/>
      <c r="CQ475" s="93"/>
      <c r="CR475" s="93"/>
      <c r="CS475" s="93"/>
      <c r="CT475" s="93"/>
      <c r="CU475" s="93"/>
      <c r="CV475" s="93"/>
      <c r="CW475" s="93"/>
      <c r="CX475" s="93"/>
      <c r="CY475" s="93"/>
      <c r="CZ475" s="93"/>
      <c r="DA475" s="93"/>
      <c r="DB475" s="93"/>
      <c r="DC475" s="94"/>
      <c r="DD475" s="118"/>
      <c r="DE475" s="118"/>
      <c r="DF475" s="118"/>
      <c r="DG475" s="118"/>
      <c r="DH475" s="118"/>
      <c r="DI475" s="118"/>
      <c r="DJ475" s="118"/>
      <c r="DK475" s="118"/>
      <c r="DL475" s="118"/>
      <c r="DM475" s="118"/>
      <c r="DN475" s="118"/>
      <c r="DO475" s="118"/>
      <c r="DP475" s="118"/>
      <c r="DQ475" s="118"/>
      <c r="DR475" s="118"/>
      <c r="DS475" s="118"/>
      <c r="DT475" s="118"/>
      <c r="DU475" s="19"/>
      <c r="DV475" s="19"/>
      <c r="DW475" s="19"/>
      <c r="DX475" s="19"/>
      <c r="DY475" s="19"/>
      <c r="DZ475" s="19"/>
    </row>
    <row r="476" spans="1:130" ht="12.75" x14ac:dyDescent="0.2">
      <c r="A476" s="647"/>
      <c r="B476" s="647"/>
      <c r="C476" s="40"/>
      <c r="D476" s="40"/>
      <c r="E476" s="40"/>
      <c r="F476" s="40"/>
      <c r="G476" s="40"/>
      <c r="H476" s="634"/>
      <c r="I476" s="159">
        <f t="shared" si="331"/>
        <v>0</v>
      </c>
      <c r="J476" s="634"/>
      <c r="K476" s="40"/>
      <c r="L476" s="40"/>
      <c r="M476" s="634"/>
      <c r="N476" s="634"/>
      <c r="O476" s="634"/>
      <c r="P476" s="634"/>
      <c r="Q476" s="634"/>
      <c r="R476" s="634"/>
      <c r="S476" s="659"/>
      <c r="T476" s="647"/>
      <c r="U476" s="40"/>
      <c r="V476" s="31"/>
      <c r="W476" s="31"/>
      <c r="X476" s="31"/>
      <c r="Y476" s="31"/>
      <c r="Z476" s="634"/>
      <c r="AA476" s="51">
        <f t="shared" si="332"/>
        <v>0</v>
      </c>
      <c r="AB476" s="634"/>
      <c r="AC476" s="38"/>
      <c r="AD476" s="38"/>
      <c r="AE476" s="634"/>
      <c r="AF476" s="634"/>
      <c r="AG476" s="634"/>
      <c r="AH476" s="634"/>
      <c r="AI476" s="638"/>
      <c r="AJ476" s="634"/>
      <c r="AK476" s="642"/>
      <c r="AL476" s="647"/>
      <c r="AM476" s="31"/>
      <c r="AN476" s="31"/>
      <c r="AO476" s="31"/>
      <c r="AP476" s="31"/>
      <c r="AQ476" s="159"/>
      <c r="AR476" s="634"/>
      <c r="AS476" s="159">
        <f t="shared" si="333"/>
        <v>0</v>
      </c>
      <c r="AT476" s="671"/>
      <c r="AU476" s="635"/>
      <c r="AV476" s="635"/>
      <c r="AW476" s="40"/>
      <c r="AX476" s="634"/>
      <c r="AY476" s="634"/>
      <c r="AZ476" s="634"/>
      <c r="BA476" s="634"/>
      <c r="BB476" s="634"/>
      <c r="BC476" s="635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18"/>
      <c r="BX476" s="118"/>
      <c r="BY476" s="118"/>
      <c r="BZ476" s="118"/>
      <c r="CA476" s="118"/>
      <c r="CB476" s="118"/>
      <c r="CC476" s="118"/>
      <c r="CD476" s="118"/>
      <c r="CE476" s="118"/>
      <c r="CF476" s="118"/>
      <c r="CG476" s="118"/>
      <c r="CH476" s="118"/>
      <c r="CI476" s="118"/>
      <c r="CJ476" s="118"/>
      <c r="CK476" s="118"/>
      <c r="CL476" s="118"/>
      <c r="CM476" s="118"/>
      <c r="CN476" s="92"/>
      <c r="CO476" s="93"/>
      <c r="CP476" s="93"/>
      <c r="CQ476" s="93"/>
      <c r="CR476" s="93"/>
      <c r="CS476" s="93"/>
      <c r="CT476" s="93"/>
      <c r="CU476" s="93"/>
      <c r="CV476" s="93"/>
      <c r="CW476" s="93"/>
      <c r="CX476" s="93"/>
      <c r="CY476" s="93"/>
      <c r="CZ476" s="93"/>
      <c r="DA476" s="93"/>
      <c r="DB476" s="93"/>
      <c r="DC476" s="94"/>
      <c r="DD476" s="118"/>
      <c r="DE476" s="118"/>
      <c r="DF476" s="118"/>
      <c r="DG476" s="118"/>
      <c r="DH476" s="118"/>
      <c r="DI476" s="118"/>
      <c r="DJ476" s="118"/>
      <c r="DK476" s="118"/>
      <c r="DL476" s="118"/>
      <c r="DM476" s="118"/>
      <c r="DN476" s="118"/>
      <c r="DO476" s="118"/>
      <c r="DP476" s="118"/>
      <c r="DQ476" s="118"/>
      <c r="DR476" s="118"/>
      <c r="DS476" s="118"/>
      <c r="DT476" s="118"/>
      <c r="DU476" s="19"/>
      <c r="DV476" s="19"/>
      <c r="DW476" s="19"/>
      <c r="DX476" s="19"/>
      <c r="DY476" s="19"/>
      <c r="DZ476" s="19"/>
    </row>
    <row r="477" spans="1:130" ht="12.75" x14ac:dyDescent="0.2">
      <c r="A477" s="648"/>
      <c r="B477" s="648"/>
      <c r="C477" s="40"/>
      <c r="D477" s="40"/>
      <c r="E477" s="40"/>
      <c r="F477" s="40"/>
      <c r="G477" s="40"/>
      <c r="H477" s="635"/>
      <c r="I477" s="159">
        <f t="shared" si="331"/>
        <v>0</v>
      </c>
      <c r="J477" s="635"/>
      <c r="K477" s="40"/>
      <c r="L477" s="40"/>
      <c r="M477" s="635"/>
      <c r="N477" s="635"/>
      <c r="O477" s="635"/>
      <c r="P477" s="635"/>
      <c r="Q477" s="635"/>
      <c r="R477" s="635"/>
      <c r="S477" s="660"/>
      <c r="T477" s="648"/>
      <c r="U477" s="40"/>
      <c r="V477" s="40"/>
      <c r="W477" s="40"/>
      <c r="X477" s="40"/>
      <c r="Y477" s="40"/>
      <c r="Z477" s="635"/>
      <c r="AA477" s="51">
        <f t="shared" si="332"/>
        <v>0</v>
      </c>
      <c r="AB477" s="634"/>
      <c r="AC477" s="40"/>
      <c r="AD477" s="40"/>
      <c r="AE477" s="634"/>
      <c r="AF477" s="635"/>
      <c r="AG477" s="635"/>
      <c r="AH477" s="635"/>
      <c r="AI477" s="638"/>
      <c r="AJ477" s="635"/>
      <c r="AK477" s="643"/>
      <c r="AL477" s="648"/>
      <c r="AM477" s="40"/>
      <c r="AN477" s="31"/>
      <c r="AO477" s="31"/>
      <c r="AP477" s="31"/>
      <c r="AQ477" s="40"/>
      <c r="AR477" s="635"/>
      <c r="AS477" s="159">
        <f t="shared" si="333"/>
        <v>0</v>
      </c>
      <c r="AT477" s="153"/>
      <c r="AU477" s="40"/>
      <c r="AV477" s="154"/>
      <c r="AW477" s="154"/>
      <c r="AX477" s="635"/>
      <c r="AY477" s="635"/>
      <c r="AZ477" s="635"/>
      <c r="BA477" s="154"/>
      <c r="BB477" s="635"/>
      <c r="BC477" s="155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18"/>
      <c r="BX477" s="118"/>
      <c r="BY477" s="118"/>
      <c r="BZ477" s="118"/>
      <c r="CA477" s="118"/>
      <c r="CB477" s="118"/>
      <c r="CC477" s="118"/>
      <c r="CD477" s="118"/>
      <c r="CE477" s="118"/>
      <c r="CF477" s="118"/>
      <c r="CG477" s="118"/>
      <c r="CH477" s="118"/>
      <c r="CI477" s="118"/>
      <c r="CJ477" s="118"/>
      <c r="CK477" s="118"/>
      <c r="CL477" s="118"/>
      <c r="CM477" s="118"/>
      <c r="CN477" s="92"/>
      <c r="CO477" s="93"/>
      <c r="CP477" s="93"/>
      <c r="CQ477" s="93"/>
      <c r="CR477" s="93"/>
      <c r="CS477" s="93"/>
      <c r="CT477" s="93"/>
      <c r="CU477" s="93"/>
      <c r="CV477" s="93"/>
      <c r="CW477" s="93"/>
      <c r="CX477" s="93"/>
      <c r="CY477" s="93"/>
      <c r="CZ477" s="93"/>
      <c r="DA477" s="93"/>
      <c r="DB477" s="93"/>
      <c r="DC477" s="94"/>
      <c r="DD477" s="118"/>
      <c r="DE477" s="118"/>
      <c r="DF477" s="118"/>
      <c r="DG477" s="118"/>
      <c r="DH477" s="118"/>
      <c r="DI477" s="118"/>
      <c r="DJ477" s="118"/>
      <c r="DK477" s="118"/>
      <c r="DL477" s="118"/>
      <c r="DM477" s="118"/>
      <c r="DN477" s="118"/>
      <c r="DO477" s="118"/>
      <c r="DP477" s="118"/>
      <c r="DQ477" s="118"/>
      <c r="DR477" s="118"/>
      <c r="DS477" s="118"/>
      <c r="DT477" s="118"/>
      <c r="DU477" s="19"/>
      <c r="DV477" s="19"/>
      <c r="DW477" s="19"/>
      <c r="DX477" s="19"/>
      <c r="DY477" s="19"/>
      <c r="DZ477" s="19"/>
    </row>
    <row r="478" spans="1:130" ht="12.75" x14ac:dyDescent="0.2">
      <c r="A478" s="654"/>
      <c r="B478" s="655">
        <v>46176</v>
      </c>
      <c r="C478" s="29"/>
      <c r="D478" s="29"/>
      <c r="E478" s="29"/>
      <c r="F478" s="29"/>
      <c r="G478" s="30"/>
      <c r="H478" s="649"/>
      <c r="I478" s="159">
        <f t="shared" si="331"/>
        <v>0</v>
      </c>
      <c r="J478" s="650">
        <f>SUM(I478:I481,H478)</f>
        <v>0</v>
      </c>
      <c r="K478" s="29"/>
      <c r="L478" s="29"/>
      <c r="M478" s="649"/>
      <c r="N478" s="649"/>
      <c r="O478" s="656">
        <f>SUM(M478:N481)</f>
        <v>0</v>
      </c>
      <c r="P478" s="649"/>
      <c r="Q478" s="644">
        <f>M478*60</f>
        <v>0</v>
      </c>
      <c r="R478" s="657">
        <f>IF(
   COUNTIF(K478:K481,"SI")&gt;0,
   1.8,
   IF(
      COUNTIF(L478:L481,"SI")&gt;0,
      1.6,
      2
   )
)</f>
        <v>2</v>
      </c>
      <c r="S478" s="658">
        <f>IF(Q478=0,0,J478/Q478)</f>
        <v>0</v>
      </c>
      <c r="T478" s="655">
        <v>46176</v>
      </c>
      <c r="U478" s="30"/>
      <c r="V478" s="28">
        <v>643</v>
      </c>
      <c r="W478" s="28">
        <v>7900</v>
      </c>
      <c r="X478" s="28">
        <v>8000</v>
      </c>
      <c r="Y478" s="29"/>
      <c r="Z478" s="640">
        <v>1</v>
      </c>
      <c r="AA478" s="51">
        <f t="shared" si="332"/>
        <v>101</v>
      </c>
      <c r="AB478" s="650">
        <f>SUM(AA478:AA481,Z478)</f>
        <v>352</v>
      </c>
      <c r="AC478" s="28" t="s">
        <v>51</v>
      </c>
      <c r="AD478" s="28" t="s">
        <v>51</v>
      </c>
      <c r="AE478" s="640">
        <v>3</v>
      </c>
      <c r="AF478" s="640">
        <v>0</v>
      </c>
      <c r="AG478" s="633">
        <f>SUM(AE478:AF481)</f>
        <v>3</v>
      </c>
      <c r="AH478" s="640">
        <v>0</v>
      </c>
      <c r="AI478" s="664">
        <f>AE478*60</f>
        <v>180</v>
      </c>
      <c r="AJ478" s="640">
        <f>IF(
   COUNTIF(AC478:AC481,"SI")&gt;0,
   1.8,
   IF(
      COUNTIF(AD478:AD481,"SI")&gt;0,
      1.6,
      2
   )
)</f>
        <v>1.8</v>
      </c>
      <c r="AK478" s="641">
        <f>IF(AI478=0,0,AB478/AI478)</f>
        <v>1.9555555555555555</v>
      </c>
      <c r="AL478" s="655">
        <v>46176</v>
      </c>
      <c r="AM478" s="31">
        <v>111</v>
      </c>
      <c r="AN478" s="31">
        <v>642</v>
      </c>
      <c r="AO478" s="31">
        <v>7070</v>
      </c>
      <c r="AP478" s="31">
        <v>7523</v>
      </c>
      <c r="AQ478" s="31">
        <v>9</v>
      </c>
      <c r="AR478" s="653"/>
      <c r="AS478" s="159">
        <f t="shared" si="333"/>
        <v>445</v>
      </c>
      <c r="AT478" s="650">
        <f>SUM(AS478:AS480,AR478)</f>
        <v>1058</v>
      </c>
      <c r="AU478" s="653" t="s">
        <v>51</v>
      </c>
      <c r="AV478" s="653">
        <v>7</v>
      </c>
      <c r="AW478" s="31" t="s">
        <v>51</v>
      </c>
      <c r="AX478" s="653">
        <v>0.25</v>
      </c>
      <c r="AY478" s="633">
        <f>SUM(AV478:AX481)</f>
        <v>7.25</v>
      </c>
      <c r="AZ478" s="636">
        <v>0.25</v>
      </c>
      <c r="BA478" s="640">
        <f>AV478*60</f>
        <v>420</v>
      </c>
      <c r="BB478" s="657">
        <f>IF(
   COUNTIF(AU478:AU481,"SI")&gt;0,
   1.8,
   IF(
      COUNTIF(AV478:AV481,"SI")&gt;0,
      1.6,
      2
   )
)</f>
        <v>1.8</v>
      </c>
      <c r="BC478" s="666">
        <f>IF(BA478=0,0,AT478/BA478)</f>
        <v>2.519047619047619</v>
      </c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18"/>
      <c r="BX478" s="118"/>
      <c r="BY478" s="118"/>
      <c r="BZ478" s="118"/>
      <c r="CA478" s="118"/>
      <c r="CB478" s="118"/>
      <c r="CC478" s="118"/>
      <c r="CD478" s="118"/>
      <c r="CE478" s="118"/>
      <c r="CF478" s="118"/>
      <c r="CG478" s="118"/>
      <c r="CH478" s="118"/>
      <c r="CI478" s="118"/>
      <c r="CJ478" s="118"/>
      <c r="CK478" s="118"/>
      <c r="CL478" s="118"/>
      <c r="CM478" s="118"/>
      <c r="CN478" s="92"/>
      <c r="CO478" s="93"/>
      <c r="CP478" s="93"/>
      <c r="CQ478" s="93"/>
      <c r="CR478" s="93"/>
      <c r="CS478" s="93"/>
      <c r="CT478" s="93"/>
      <c r="CU478" s="93"/>
      <c r="CV478" s="93"/>
      <c r="CW478" s="93"/>
      <c r="CX478" s="93"/>
      <c r="CY478" s="93"/>
      <c r="CZ478" s="93"/>
      <c r="DA478" s="93"/>
      <c r="DB478" s="93"/>
      <c r="DC478" s="94"/>
      <c r="DD478" s="118"/>
      <c r="DE478" s="118"/>
      <c r="DF478" s="118"/>
      <c r="DG478" s="118"/>
      <c r="DH478" s="118"/>
      <c r="DI478" s="118"/>
      <c r="DJ478" s="118"/>
      <c r="DK478" s="118"/>
      <c r="DL478" s="118"/>
      <c r="DM478" s="118"/>
      <c r="DN478" s="118"/>
      <c r="DO478" s="118"/>
      <c r="DP478" s="118"/>
      <c r="DQ478" s="118"/>
      <c r="DR478" s="118"/>
      <c r="DS478" s="118"/>
      <c r="DT478" s="118"/>
      <c r="DU478" s="19"/>
      <c r="DV478" s="19"/>
      <c r="DW478" s="19"/>
      <c r="DX478" s="19"/>
      <c r="DY478" s="19"/>
      <c r="DZ478" s="19"/>
    </row>
    <row r="479" spans="1:130" ht="12.75" x14ac:dyDescent="0.2">
      <c r="A479" s="647"/>
      <c r="B479" s="647"/>
      <c r="C479" s="29"/>
      <c r="D479" s="29"/>
      <c r="E479" s="29"/>
      <c r="F479" s="29"/>
      <c r="G479" s="30"/>
      <c r="H479" s="634"/>
      <c r="I479" s="159">
        <f t="shared" si="331"/>
        <v>0</v>
      </c>
      <c r="J479" s="634"/>
      <c r="K479" s="30"/>
      <c r="L479" s="30"/>
      <c r="M479" s="634"/>
      <c r="N479" s="634"/>
      <c r="O479" s="634"/>
      <c r="P479" s="634"/>
      <c r="Q479" s="634"/>
      <c r="R479" s="634"/>
      <c r="S479" s="659"/>
      <c r="T479" s="647"/>
      <c r="U479" s="30"/>
      <c r="V479" s="28">
        <v>649</v>
      </c>
      <c r="W479" s="28">
        <v>10501</v>
      </c>
      <c r="X479" s="28">
        <v>10750</v>
      </c>
      <c r="Y479" s="29"/>
      <c r="Z479" s="634"/>
      <c r="AA479" s="51">
        <f t="shared" si="332"/>
        <v>250</v>
      </c>
      <c r="AB479" s="634"/>
      <c r="AC479" s="28" t="s">
        <v>51</v>
      </c>
      <c r="AD479" s="28" t="s">
        <v>51</v>
      </c>
      <c r="AE479" s="634"/>
      <c r="AF479" s="634"/>
      <c r="AG479" s="634"/>
      <c r="AH479" s="634"/>
      <c r="AI479" s="638"/>
      <c r="AJ479" s="634"/>
      <c r="AK479" s="642"/>
      <c r="AL479" s="647"/>
      <c r="AM479" s="31">
        <v>132</v>
      </c>
      <c r="AN479" s="31">
        <v>644</v>
      </c>
      <c r="AO479" s="31">
        <v>8002</v>
      </c>
      <c r="AP479" s="31">
        <v>8503</v>
      </c>
      <c r="AQ479" s="31">
        <v>2</v>
      </c>
      <c r="AR479" s="634"/>
      <c r="AS479" s="159">
        <f t="shared" si="333"/>
        <v>500</v>
      </c>
      <c r="AT479" s="634"/>
      <c r="AU479" s="634"/>
      <c r="AV479" s="634"/>
      <c r="AW479" s="31" t="s">
        <v>51</v>
      </c>
      <c r="AX479" s="634"/>
      <c r="AY479" s="634"/>
      <c r="AZ479" s="634"/>
      <c r="BA479" s="634"/>
      <c r="BB479" s="634"/>
      <c r="BC479" s="634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18"/>
      <c r="BX479" s="118"/>
      <c r="BY479" s="118"/>
      <c r="BZ479" s="118"/>
      <c r="CA479" s="118"/>
      <c r="CB479" s="118"/>
      <c r="CC479" s="118"/>
      <c r="CD479" s="118"/>
      <c r="CE479" s="118"/>
      <c r="CF479" s="118"/>
      <c r="CG479" s="118"/>
      <c r="CH479" s="118"/>
      <c r="CI479" s="118"/>
      <c r="CJ479" s="118"/>
      <c r="CK479" s="118"/>
      <c r="CL479" s="118"/>
      <c r="CM479" s="118"/>
      <c r="CN479" s="92"/>
      <c r="CO479" s="93"/>
      <c r="CP479" s="93"/>
      <c r="CQ479" s="93"/>
      <c r="CR479" s="93"/>
      <c r="CS479" s="93"/>
      <c r="CT479" s="93"/>
      <c r="CU479" s="93"/>
      <c r="CV479" s="93"/>
      <c r="CW479" s="93"/>
      <c r="CX479" s="93"/>
      <c r="CY479" s="93"/>
      <c r="CZ479" s="93"/>
      <c r="DA479" s="93"/>
      <c r="DB479" s="93"/>
      <c r="DC479" s="94"/>
      <c r="DD479" s="118"/>
      <c r="DE479" s="118"/>
      <c r="DF479" s="118"/>
      <c r="DG479" s="118"/>
      <c r="DH479" s="118"/>
      <c r="DI479" s="118"/>
      <c r="DJ479" s="118"/>
      <c r="DK479" s="118"/>
      <c r="DL479" s="118"/>
      <c r="DM479" s="118"/>
      <c r="DN479" s="118"/>
      <c r="DO479" s="118"/>
      <c r="DP479" s="118"/>
      <c r="DQ479" s="118"/>
      <c r="DR479" s="118"/>
      <c r="DS479" s="118"/>
      <c r="DT479" s="118"/>
      <c r="DU479" s="19"/>
      <c r="DV479" s="19"/>
      <c r="DW479" s="19"/>
      <c r="DX479" s="19"/>
      <c r="DY479" s="19"/>
      <c r="DZ479" s="19"/>
    </row>
    <row r="480" spans="1:130" ht="12.75" x14ac:dyDescent="0.2">
      <c r="A480" s="647"/>
      <c r="B480" s="647"/>
      <c r="C480" s="30"/>
      <c r="D480" s="30"/>
      <c r="E480" s="30"/>
      <c r="F480" s="30"/>
      <c r="G480" s="30"/>
      <c r="H480" s="634"/>
      <c r="I480" s="159">
        <f t="shared" si="331"/>
        <v>0</v>
      </c>
      <c r="J480" s="634"/>
      <c r="K480" s="30"/>
      <c r="L480" s="30"/>
      <c r="M480" s="634"/>
      <c r="N480" s="634"/>
      <c r="O480" s="634"/>
      <c r="P480" s="634"/>
      <c r="Q480" s="634"/>
      <c r="R480" s="634"/>
      <c r="S480" s="659"/>
      <c r="T480" s="647"/>
      <c r="U480" s="30"/>
      <c r="V480" s="28"/>
      <c r="W480" s="28"/>
      <c r="X480" s="28"/>
      <c r="Y480" s="29"/>
      <c r="Z480" s="634"/>
      <c r="AA480" s="51">
        <f t="shared" si="332"/>
        <v>0</v>
      </c>
      <c r="AB480" s="634"/>
      <c r="AC480" s="51"/>
      <c r="AD480" s="51"/>
      <c r="AE480" s="634"/>
      <c r="AF480" s="634"/>
      <c r="AG480" s="634"/>
      <c r="AH480" s="634"/>
      <c r="AI480" s="638"/>
      <c r="AJ480" s="634"/>
      <c r="AK480" s="642"/>
      <c r="AL480" s="647"/>
      <c r="AM480" s="31">
        <v>20</v>
      </c>
      <c r="AN480" s="31">
        <v>645</v>
      </c>
      <c r="AO480" s="31">
        <v>8504</v>
      </c>
      <c r="AP480" s="31">
        <v>8618</v>
      </c>
      <c r="AQ480" s="28">
        <v>2</v>
      </c>
      <c r="AR480" s="634"/>
      <c r="AS480" s="159">
        <f t="shared" si="333"/>
        <v>113</v>
      </c>
      <c r="AT480" s="635"/>
      <c r="AU480" s="635"/>
      <c r="AV480" s="635"/>
      <c r="AW480" s="31" t="s">
        <v>51</v>
      </c>
      <c r="AX480" s="634"/>
      <c r="AY480" s="634"/>
      <c r="AZ480" s="634"/>
      <c r="BA480" s="634"/>
      <c r="BB480" s="634"/>
      <c r="BC480" s="634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18"/>
      <c r="BX480" s="118"/>
      <c r="BY480" s="118"/>
      <c r="BZ480" s="118"/>
      <c r="CA480" s="118"/>
      <c r="CB480" s="118"/>
      <c r="CC480" s="118"/>
      <c r="CD480" s="118"/>
      <c r="CE480" s="118"/>
      <c r="CF480" s="118"/>
      <c r="CG480" s="118"/>
      <c r="CH480" s="118"/>
      <c r="CI480" s="118"/>
      <c r="CJ480" s="118"/>
      <c r="CK480" s="118"/>
      <c r="CL480" s="118"/>
      <c r="CM480" s="118"/>
      <c r="CN480" s="92"/>
      <c r="CO480" s="93"/>
      <c r="CP480" s="93"/>
      <c r="CQ480" s="93"/>
      <c r="CR480" s="93"/>
      <c r="CS480" s="93"/>
      <c r="CT480" s="93"/>
      <c r="CU480" s="93"/>
      <c r="CV480" s="93"/>
      <c r="CW480" s="93"/>
      <c r="CX480" s="93"/>
      <c r="CY480" s="93"/>
      <c r="CZ480" s="93"/>
      <c r="DA480" s="93"/>
      <c r="DB480" s="93"/>
      <c r="DC480" s="94"/>
      <c r="DD480" s="118"/>
      <c r="DE480" s="118"/>
      <c r="DF480" s="118"/>
      <c r="DG480" s="118"/>
      <c r="DH480" s="118"/>
      <c r="DI480" s="118"/>
      <c r="DJ480" s="118"/>
      <c r="DK480" s="118"/>
      <c r="DL480" s="118"/>
      <c r="DM480" s="118"/>
      <c r="DN480" s="118"/>
      <c r="DO480" s="118"/>
      <c r="DP480" s="118"/>
      <c r="DQ480" s="118"/>
      <c r="DR480" s="118"/>
      <c r="DS480" s="118"/>
      <c r="DT480" s="118"/>
      <c r="DU480" s="19"/>
      <c r="DV480" s="19"/>
      <c r="DW480" s="19"/>
      <c r="DX480" s="19"/>
      <c r="DY480" s="19"/>
      <c r="DZ480" s="19"/>
    </row>
    <row r="481" spans="1:130" ht="12.75" x14ac:dyDescent="0.2">
      <c r="A481" s="648"/>
      <c r="B481" s="648"/>
      <c r="C481" s="30"/>
      <c r="D481" s="30"/>
      <c r="E481" s="30"/>
      <c r="F481" s="30"/>
      <c r="G481" s="30"/>
      <c r="H481" s="635"/>
      <c r="I481" s="159">
        <f t="shared" si="331"/>
        <v>0</v>
      </c>
      <c r="J481" s="635"/>
      <c r="K481" s="30"/>
      <c r="L481" s="30"/>
      <c r="M481" s="635"/>
      <c r="N481" s="635"/>
      <c r="O481" s="635"/>
      <c r="P481" s="635"/>
      <c r="Q481" s="635"/>
      <c r="R481" s="635"/>
      <c r="S481" s="660"/>
      <c r="T481" s="648"/>
      <c r="U481" s="30"/>
      <c r="V481" s="30"/>
      <c r="W481" s="30"/>
      <c r="X481" s="30"/>
      <c r="Y481" s="30"/>
      <c r="Z481" s="635"/>
      <c r="AA481" s="51">
        <f t="shared" si="332"/>
        <v>0</v>
      </c>
      <c r="AB481" s="635"/>
      <c r="AC481" s="30"/>
      <c r="AD481" s="30"/>
      <c r="AE481" s="635"/>
      <c r="AF481" s="635"/>
      <c r="AG481" s="635"/>
      <c r="AH481" s="635"/>
      <c r="AI481" s="638"/>
      <c r="AJ481" s="635"/>
      <c r="AK481" s="643"/>
      <c r="AL481" s="648"/>
      <c r="AM481" s="29"/>
      <c r="AN481" s="31"/>
      <c r="AO481" s="31"/>
      <c r="AP481" s="31"/>
      <c r="AQ481" s="40"/>
      <c r="AR481" s="635"/>
      <c r="AS481" s="159"/>
      <c r="AT481" s="153">
        <f>AS481</f>
        <v>0</v>
      </c>
      <c r="AU481" s="31"/>
      <c r="AV481" s="35"/>
      <c r="AW481" s="35"/>
      <c r="AX481" s="635"/>
      <c r="AY481" s="635"/>
      <c r="AZ481" s="635"/>
      <c r="BA481" s="147">
        <f t="shared" ref="BA481:BA482" si="336">AV481*60</f>
        <v>0</v>
      </c>
      <c r="BB481" s="165"/>
      <c r="BC481" s="95">
        <f t="shared" ref="BC481:BC482" si="337">IF(BA481=0,0,AT481/BA481)</f>
        <v>0</v>
      </c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18"/>
      <c r="BX481" s="118"/>
      <c r="BY481" s="118"/>
      <c r="BZ481" s="118"/>
      <c r="CA481" s="118"/>
      <c r="CB481" s="118"/>
      <c r="CC481" s="118"/>
      <c r="CD481" s="118"/>
      <c r="CE481" s="118"/>
      <c r="CF481" s="118"/>
      <c r="CG481" s="118"/>
      <c r="CH481" s="118"/>
      <c r="CI481" s="118"/>
      <c r="CJ481" s="118"/>
      <c r="CK481" s="118"/>
      <c r="CL481" s="118"/>
      <c r="CM481" s="118"/>
      <c r="CN481" s="92"/>
      <c r="CO481" s="93"/>
      <c r="CP481" s="93"/>
      <c r="CQ481" s="93"/>
      <c r="CR481" s="93"/>
      <c r="CS481" s="93"/>
      <c r="CT481" s="93"/>
      <c r="CU481" s="93"/>
      <c r="CV481" s="93"/>
      <c r="CW481" s="93"/>
      <c r="CX481" s="93"/>
      <c r="CY481" s="93"/>
      <c r="CZ481" s="93"/>
      <c r="DA481" s="93"/>
      <c r="DB481" s="93"/>
      <c r="DC481" s="94"/>
      <c r="DD481" s="118"/>
      <c r="DE481" s="118"/>
      <c r="DF481" s="118"/>
      <c r="DG481" s="118"/>
      <c r="DH481" s="118"/>
      <c r="DI481" s="118"/>
      <c r="DJ481" s="118"/>
      <c r="DK481" s="118"/>
      <c r="DL481" s="118"/>
      <c r="DM481" s="118"/>
      <c r="DN481" s="118"/>
      <c r="DO481" s="118"/>
      <c r="DP481" s="118"/>
      <c r="DQ481" s="118"/>
      <c r="DR481" s="118"/>
      <c r="DS481" s="118"/>
      <c r="DT481" s="118"/>
      <c r="DU481" s="19"/>
      <c r="DV481" s="19"/>
      <c r="DW481" s="19"/>
      <c r="DX481" s="19"/>
      <c r="DY481" s="19"/>
      <c r="DZ481" s="19"/>
    </row>
    <row r="482" spans="1:130" ht="12.75" x14ac:dyDescent="0.2">
      <c r="A482" s="651"/>
      <c r="B482" s="646">
        <v>46177</v>
      </c>
      <c r="C482" s="31"/>
      <c r="D482" s="31"/>
      <c r="E482" s="31"/>
      <c r="F482" s="31"/>
      <c r="G482" s="142"/>
      <c r="H482" s="652"/>
      <c r="I482" s="159">
        <f t="shared" si="331"/>
        <v>0</v>
      </c>
      <c r="J482" s="650">
        <f>SUM(I482:I485,H482)</f>
        <v>0</v>
      </c>
      <c r="K482" s="40"/>
      <c r="L482" s="40"/>
      <c r="M482" s="653"/>
      <c r="N482" s="653"/>
      <c r="O482" s="633">
        <f>SUM(M482:N485)</f>
        <v>0</v>
      </c>
      <c r="P482" s="653"/>
      <c r="Q482" s="636">
        <f>M482*60</f>
        <v>0</v>
      </c>
      <c r="R482" s="657">
        <f>IF(
   COUNTIF(K482:K485,"SI")&gt;0,
   1.8,
   IF(
      COUNTIF(L482:L485,"SI")&gt;0,
      1.6,
      2
   )
)</f>
        <v>2</v>
      </c>
      <c r="S482" s="658">
        <f>IF(Q482=0,0,J482/Q482)</f>
        <v>0</v>
      </c>
      <c r="T482" s="646">
        <v>46177</v>
      </c>
      <c r="U482" s="40"/>
      <c r="V482" s="31"/>
      <c r="W482" s="31"/>
      <c r="X482" s="31"/>
      <c r="Y482" s="31"/>
      <c r="Z482" s="653"/>
      <c r="AA482" s="51">
        <f t="shared" si="332"/>
        <v>0</v>
      </c>
      <c r="AB482" s="650">
        <f>SUM(AA482:AA485,Z482)</f>
        <v>0</v>
      </c>
      <c r="AC482" s="31"/>
      <c r="AD482" s="31"/>
      <c r="AE482" s="653"/>
      <c r="AF482" s="636"/>
      <c r="AG482" s="633">
        <f>SUM(AE482:AF485)</f>
        <v>0</v>
      </c>
      <c r="AH482" s="636">
        <v>0</v>
      </c>
      <c r="AI482" s="637">
        <f>AE482*60</f>
        <v>0</v>
      </c>
      <c r="AJ482" s="640">
        <f>IF(
   COUNTIF(AC482:AC485,"SI")&gt;0,
   1.8,
   IF(
      COUNTIF(AD482:AD485,"SI")&gt;0,
      1.6,
      2
   )
)</f>
        <v>2</v>
      </c>
      <c r="AK482" s="641">
        <f>IF(AI482=0,0,AB482/AI482)</f>
        <v>0</v>
      </c>
      <c r="AL482" s="646">
        <v>46177</v>
      </c>
      <c r="AM482" s="31">
        <v>109</v>
      </c>
      <c r="AN482" s="31">
        <v>645</v>
      </c>
      <c r="AO482" s="31">
        <v>8617</v>
      </c>
      <c r="AP482" s="31">
        <v>9002</v>
      </c>
      <c r="AQ482" s="31">
        <v>7</v>
      </c>
      <c r="AR482" s="649"/>
      <c r="AS482" s="159">
        <f t="shared" ref="AS482:AS490" si="338">IF(AO482=0,0,AP482-AO482+1-AQ482)</f>
        <v>379</v>
      </c>
      <c r="AT482" s="650">
        <f>SUM(AS482:AS485)+AR482</f>
        <v>1396</v>
      </c>
      <c r="AU482" s="38" t="s">
        <v>51</v>
      </c>
      <c r="AV482" s="640">
        <v>9.25</v>
      </c>
      <c r="AW482" s="28" t="s">
        <v>51</v>
      </c>
      <c r="AX482" s="640">
        <v>0.25</v>
      </c>
      <c r="AY482" s="633">
        <f>SUM(AV482:AV484,AX482)</f>
        <v>9.5</v>
      </c>
      <c r="AZ482" s="636">
        <v>0.25</v>
      </c>
      <c r="BA482" s="636">
        <f t="shared" si="336"/>
        <v>555</v>
      </c>
      <c r="BB482" s="644">
        <f>IF(
   COUNTIF(AU482:AU483,"SI")&gt;0,
   1.8,
   IF(
      COUNTIF(AW482:AW483,"SI")&gt;0,
      1.6,
      2
   )
)</f>
        <v>1.8</v>
      </c>
      <c r="BC482" s="645">
        <f t="shared" si="337"/>
        <v>2.5153153153153154</v>
      </c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18"/>
      <c r="BX482" s="118"/>
      <c r="BY482" s="118"/>
      <c r="BZ482" s="118"/>
      <c r="CA482" s="118"/>
      <c r="CB482" s="118"/>
      <c r="CC482" s="118"/>
      <c r="CD482" s="118"/>
      <c r="CE482" s="118"/>
      <c r="CF482" s="118"/>
      <c r="CG482" s="118"/>
      <c r="CH482" s="118"/>
      <c r="CI482" s="118"/>
      <c r="CJ482" s="118"/>
      <c r="CK482" s="118"/>
      <c r="CL482" s="118"/>
      <c r="CM482" s="118"/>
      <c r="CN482" s="92"/>
      <c r="CO482" s="93"/>
      <c r="CP482" s="93"/>
      <c r="CQ482" s="93"/>
      <c r="CR482" s="93"/>
      <c r="CS482" s="93"/>
      <c r="CT482" s="93"/>
      <c r="CU482" s="93"/>
      <c r="CV482" s="93"/>
      <c r="CW482" s="93"/>
      <c r="CX482" s="93"/>
      <c r="CY482" s="93"/>
      <c r="CZ482" s="93"/>
      <c r="DA482" s="93"/>
      <c r="DB482" s="93"/>
      <c r="DC482" s="94"/>
      <c r="DD482" s="118"/>
      <c r="DE482" s="118"/>
      <c r="DF482" s="118"/>
      <c r="DG482" s="118"/>
      <c r="DH482" s="118"/>
      <c r="DI482" s="118"/>
      <c r="DJ482" s="118"/>
      <c r="DK482" s="118"/>
      <c r="DL482" s="118"/>
      <c r="DM482" s="118"/>
      <c r="DN482" s="118"/>
      <c r="DO482" s="118"/>
      <c r="DP482" s="118"/>
      <c r="DQ482" s="118"/>
      <c r="DR482" s="118"/>
      <c r="DS482" s="118"/>
      <c r="DT482" s="118"/>
      <c r="DU482" s="19"/>
      <c r="DV482" s="19"/>
      <c r="DW482" s="19"/>
      <c r="DX482" s="19"/>
      <c r="DY482" s="19"/>
      <c r="DZ482" s="19"/>
    </row>
    <row r="483" spans="1:130" ht="12.75" x14ac:dyDescent="0.2">
      <c r="A483" s="647"/>
      <c r="B483" s="647"/>
      <c r="C483" s="40"/>
      <c r="D483" s="31"/>
      <c r="E483" s="31"/>
      <c r="F483" s="31"/>
      <c r="G483" s="40"/>
      <c r="H483" s="634"/>
      <c r="I483" s="159">
        <f t="shared" si="331"/>
        <v>0</v>
      </c>
      <c r="J483" s="634"/>
      <c r="K483" s="40"/>
      <c r="L483" s="40"/>
      <c r="M483" s="634"/>
      <c r="N483" s="634"/>
      <c r="O483" s="634"/>
      <c r="P483" s="634"/>
      <c r="Q483" s="634"/>
      <c r="R483" s="634"/>
      <c r="S483" s="659"/>
      <c r="T483" s="647"/>
      <c r="U483" s="40"/>
      <c r="V483" s="31"/>
      <c r="W483" s="31"/>
      <c r="X483" s="31"/>
      <c r="Y483" s="31"/>
      <c r="Z483" s="634"/>
      <c r="AA483" s="51">
        <f t="shared" si="332"/>
        <v>0</v>
      </c>
      <c r="AB483" s="634"/>
      <c r="AC483" s="31"/>
      <c r="AD483" s="31"/>
      <c r="AE483" s="634"/>
      <c r="AF483" s="634"/>
      <c r="AG483" s="634"/>
      <c r="AH483" s="634"/>
      <c r="AI483" s="638"/>
      <c r="AJ483" s="634"/>
      <c r="AK483" s="642"/>
      <c r="AL483" s="647"/>
      <c r="AM483" s="31">
        <v>106</v>
      </c>
      <c r="AN483" s="31">
        <v>646</v>
      </c>
      <c r="AO483" s="31">
        <v>9003</v>
      </c>
      <c r="AP483" s="31">
        <v>9501</v>
      </c>
      <c r="AQ483" s="31">
        <v>4</v>
      </c>
      <c r="AR483" s="634"/>
      <c r="AS483" s="159">
        <f t="shared" si="338"/>
        <v>495</v>
      </c>
      <c r="AT483" s="634"/>
      <c r="AU483" s="38" t="s">
        <v>51</v>
      </c>
      <c r="AV483" s="634"/>
      <c r="AW483" s="28" t="s">
        <v>51</v>
      </c>
      <c r="AX483" s="634"/>
      <c r="AY483" s="634"/>
      <c r="AZ483" s="634"/>
      <c r="BA483" s="635"/>
      <c r="BB483" s="634"/>
      <c r="BC483" s="634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18"/>
      <c r="BX483" s="118"/>
      <c r="BY483" s="118"/>
      <c r="BZ483" s="118"/>
      <c r="CA483" s="118"/>
      <c r="CB483" s="118"/>
      <c r="CC483" s="118"/>
      <c r="CD483" s="118"/>
      <c r="CE483" s="118"/>
      <c r="CF483" s="118"/>
      <c r="CG483" s="118"/>
      <c r="CH483" s="118"/>
      <c r="CI483" s="118"/>
      <c r="CJ483" s="118"/>
      <c r="CK483" s="118"/>
      <c r="CL483" s="118"/>
      <c r="CM483" s="118"/>
      <c r="CN483" s="92"/>
      <c r="CO483" s="93"/>
      <c r="CP483" s="93"/>
      <c r="CQ483" s="93"/>
      <c r="CR483" s="93"/>
      <c r="CS483" s="93"/>
      <c r="CT483" s="93"/>
      <c r="CU483" s="93"/>
      <c r="CV483" s="93"/>
      <c r="CW483" s="93"/>
      <c r="CX483" s="93"/>
      <c r="CY483" s="93"/>
      <c r="CZ483" s="93"/>
      <c r="DA483" s="93"/>
      <c r="DB483" s="93"/>
      <c r="DC483" s="94"/>
      <c r="DD483" s="118"/>
      <c r="DE483" s="118"/>
      <c r="DF483" s="118"/>
      <c r="DG483" s="118"/>
      <c r="DH483" s="118"/>
      <c r="DI483" s="118"/>
      <c r="DJ483" s="118"/>
      <c r="DK483" s="118"/>
      <c r="DL483" s="118"/>
      <c r="DM483" s="118"/>
      <c r="DN483" s="118"/>
      <c r="DO483" s="118"/>
      <c r="DP483" s="118"/>
      <c r="DQ483" s="118"/>
      <c r="DR483" s="118"/>
      <c r="DS483" s="118"/>
      <c r="DT483" s="118"/>
      <c r="DU483" s="19"/>
      <c r="DV483" s="19"/>
      <c r="DW483" s="19"/>
      <c r="DX483" s="19"/>
      <c r="DY483" s="19"/>
      <c r="DZ483" s="19"/>
    </row>
    <row r="484" spans="1:130" ht="12.75" x14ac:dyDescent="0.2">
      <c r="A484" s="647"/>
      <c r="B484" s="647"/>
      <c r="C484" s="40"/>
      <c r="D484" s="31"/>
      <c r="E484" s="31"/>
      <c r="F484" s="31"/>
      <c r="G484" s="160"/>
      <c r="H484" s="634"/>
      <c r="I484" s="159">
        <f t="shared" si="331"/>
        <v>0</v>
      </c>
      <c r="J484" s="634"/>
      <c r="K484" s="40"/>
      <c r="L484" s="40"/>
      <c r="M484" s="634"/>
      <c r="N484" s="634"/>
      <c r="O484" s="634"/>
      <c r="P484" s="634"/>
      <c r="Q484" s="634"/>
      <c r="R484" s="634"/>
      <c r="S484" s="659"/>
      <c r="T484" s="647"/>
      <c r="U484" s="40"/>
      <c r="V484" s="31"/>
      <c r="W484" s="31"/>
      <c r="X484" s="31"/>
      <c r="Y484" s="40"/>
      <c r="Z484" s="634"/>
      <c r="AA484" s="51">
        <f t="shared" si="332"/>
        <v>0</v>
      </c>
      <c r="AB484" s="634"/>
      <c r="AC484" s="31"/>
      <c r="AD484" s="31"/>
      <c r="AE484" s="634"/>
      <c r="AF484" s="634"/>
      <c r="AG484" s="634"/>
      <c r="AH484" s="634"/>
      <c r="AI484" s="638"/>
      <c r="AJ484" s="634"/>
      <c r="AK484" s="642"/>
      <c r="AL484" s="647"/>
      <c r="AM484" s="31">
        <v>133</v>
      </c>
      <c r="AN484" s="31">
        <v>647</v>
      </c>
      <c r="AO484" s="31">
        <v>9502</v>
      </c>
      <c r="AP484" s="31">
        <v>10007</v>
      </c>
      <c r="AQ484" s="28">
        <v>6</v>
      </c>
      <c r="AR484" s="634"/>
      <c r="AS484" s="159">
        <f t="shared" si="338"/>
        <v>500</v>
      </c>
      <c r="AT484" s="634"/>
      <c r="AU484" s="152" t="s">
        <v>51</v>
      </c>
      <c r="AV484" s="28"/>
      <c r="AW484" s="152" t="s">
        <v>51</v>
      </c>
      <c r="AX484" s="634"/>
      <c r="AY484" s="634"/>
      <c r="AZ484" s="634"/>
      <c r="BA484" s="150">
        <f>AV484*60</f>
        <v>0</v>
      </c>
      <c r="BB484" s="156"/>
      <c r="BC484" s="95">
        <f>IF(BA484=0,0,AT484/BA484)</f>
        <v>0</v>
      </c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18"/>
      <c r="BX484" s="118"/>
      <c r="BY484" s="118"/>
      <c r="BZ484" s="118"/>
      <c r="CA484" s="118"/>
      <c r="CB484" s="118"/>
      <c r="CC484" s="118"/>
      <c r="CD484" s="118"/>
      <c r="CE484" s="118"/>
      <c r="CF484" s="118"/>
      <c r="CG484" s="118"/>
      <c r="CH484" s="118"/>
      <c r="CI484" s="118"/>
      <c r="CJ484" s="118"/>
      <c r="CK484" s="118"/>
      <c r="CL484" s="118"/>
      <c r="CM484" s="118"/>
      <c r="CN484" s="92"/>
      <c r="CO484" s="93"/>
      <c r="CP484" s="93"/>
      <c r="CQ484" s="93"/>
      <c r="CR484" s="93"/>
      <c r="CS484" s="93"/>
      <c r="CT484" s="93"/>
      <c r="CU484" s="93"/>
      <c r="CV484" s="93"/>
      <c r="CW484" s="93"/>
      <c r="CX484" s="93"/>
      <c r="CY484" s="93"/>
      <c r="CZ484" s="93"/>
      <c r="DA484" s="93"/>
      <c r="DB484" s="93"/>
      <c r="DC484" s="94"/>
      <c r="DD484" s="118"/>
      <c r="DE484" s="118"/>
      <c r="DF484" s="118"/>
      <c r="DG484" s="118"/>
      <c r="DH484" s="118"/>
      <c r="DI484" s="118"/>
      <c r="DJ484" s="118"/>
      <c r="DK484" s="118"/>
      <c r="DL484" s="118"/>
      <c r="DM484" s="118"/>
      <c r="DN484" s="118"/>
      <c r="DO484" s="118"/>
      <c r="DP484" s="118"/>
      <c r="DQ484" s="118"/>
      <c r="DR484" s="118"/>
      <c r="DS484" s="118"/>
      <c r="DT484" s="118"/>
      <c r="DU484" s="19"/>
      <c r="DV484" s="19"/>
      <c r="DW484" s="19"/>
      <c r="DX484" s="19"/>
      <c r="DY484" s="19"/>
      <c r="DZ484" s="19"/>
    </row>
    <row r="485" spans="1:130" ht="12.75" x14ac:dyDescent="0.2">
      <c r="A485" s="648"/>
      <c r="B485" s="648"/>
      <c r="C485" s="40"/>
      <c r="D485" s="160"/>
      <c r="E485" s="160"/>
      <c r="F485" s="160"/>
      <c r="G485" s="160"/>
      <c r="H485" s="635"/>
      <c r="I485" s="159">
        <f t="shared" si="331"/>
        <v>0</v>
      </c>
      <c r="J485" s="635"/>
      <c r="K485" s="40"/>
      <c r="L485" s="40"/>
      <c r="M485" s="635"/>
      <c r="N485" s="635"/>
      <c r="O485" s="635"/>
      <c r="P485" s="635"/>
      <c r="Q485" s="635"/>
      <c r="R485" s="635"/>
      <c r="S485" s="660"/>
      <c r="T485" s="648"/>
      <c r="U485" s="40"/>
      <c r="V485" s="40"/>
      <c r="W485" s="40"/>
      <c r="X485" s="40"/>
      <c r="Y485" s="40"/>
      <c r="Z485" s="635"/>
      <c r="AA485" s="51">
        <f t="shared" si="332"/>
        <v>0</v>
      </c>
      <c r="AB485" s="635"/>
      <c r="AC485" s="40"/>
      <c r="AD485" s="40"/>
      <c r="AE485" s="635"/>
      <c r="AF485" s="635"/>
      <c r="AG485" s="635"/>
      <c r="AH485" s="635"/>
      <c r="AI485" s="639"/>
      <c r="AJ485" s="635"/>
      <c r="AK485" s="643"/>
      <c r="AL485" s="648"/>
      <c r="AM485" s="28">
        <v>5</v>
      </c>
      <c r="AN485" s="28">
        <v>648</v>
      </c>
      <c r="AO485" s="28">
        <v>10008</v>
      </c>
      <c r="AP485" s="28">
        <v>10032</v>
      </c>
      <c r="AQ485" s="28">
        <v>3</v>
      </c>
      <c r="AR485" s="635"/>
      <c r="AS485" s="159">
        <f t="shared" si="338"/>
        <v>22</v>
      </c>
      <c r="AT485" s="635"/>
      <c r="AU485" s="38" t="s">
        <v>51</v>
      </c>
      <c r="AV485" s="50"/>
      <c r="AW485" s="28" t="s">
        <v>51</v>
      </c>
      <c r="AX485" s="635"/>
      <c r="AY485" s="635"/>
      <c r="AZ485" s="635"/>
      <c r="BA485" s="465"/>
      <c r="BB485" s="165"/>
      <c r="BC485" s="466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18"/>
      <c r="BX485" s="118"/>
      <c r="BY485" s="118"/>
      <c r="BZ485" s="118"/>
      <c r="CA485" s="118"/>
      <c r="CB485" s="118"/>
      <c r="CC485" s="118"/>
      <c r="CD485" s="118"/>
      <c r="CE485" s="118"/>
      <c r="CF485" s="118"/>
      <c r="CG485" s="118"/>
      <c r="CH485" s="118"/>
      <c r="CI485" s="118"/>
      <c r="CJ485" s="118"/>
      <c r="CK485" s="118"/>
      <c r="CL485" s="118"/>
      <c r="CM485" s="118"/>
      <c r="CN485" s="92"/>
      <c r="CO485" s="93"/>
      <c r="CP485" s="93"/>
      <c r="CQ485" s="93"/>
      <c r="CR485" s="93"/>
      <c r="CS485" s="93"/>
      <c r="CT485" s="93"/>
      <c r="CU485" s="93"/>
      <c r="CV485" s="93"/>
      <c r="CW485" s="93"/>
      <c r="CX485" s="93"/>
      <c r="CY485" s="93"/>
      <c r="CZ485" s="93"/>
      <c r="DA485" s="93"/>
      <c r="DB485" s="93"/>
      <c r="DC485" s="94"/>
      <c r="DD485" s="118"/>
      <c r="DE485" s="118"/>
      <c r="DF485" s="118"/>
      <c r="DG485" s="118"/>
      <c r="DH485" s="118"/>
      <c r="DI485" s="118"/>
      <c r="DJ485" s="118"/>
      <c r="DK485" s="118"/>
      <c r="DL485" s="118"/>
      <c r="DM485" s="118"/>
      <c r="DN485" s="118"/>
      <c r="DO485" s="118"/>
      <c r="DP485" s="118"/>
      <c r="DQ485" s="118"/>
      <c r="DR485" s="118"/>
      <c r="DS485" s="118"/>
      <c r="DT485" s="118"/>
      <c r="DU485" s="19"/>
      <c r="DV485" s="19"/>
      <c r="DW485" s="19"/>
      <c r="DX485" s="19"/>
      <c r="DY485" s="19"/>
      <c r="DZ485" s="19"/>
    </row>
    <row r="486" spans="1:130" ht="12.75" x14ac:dyDescent="0.2">
      <c r="A486" s="654"/>
      <c r="B486" s="655">
        <v>46178</v>
      </c>
      <c r="C486" s="29"/>
      <c r="D486" s="29"/>
      <c r="E486" s="29"/>
      <c r="F486" s="29"/>
      <c r="G486" s="158"/>
      <c r="H486" s="649"/>
      <c r="I486" s="159">
        <f t="shared" si="331"/>
        <v>0</v>
      </c>
      <c r="J486" s="650">
        <f>SUM(I486:I489,H486)</f>
        <v>0</v>
      </c>
      <c r="K486" s="158"/>
      <c r="L486" s="158"/>
      <c r="M486" s="653"/>
      <c r="N486" s="653"/>
      <c r="O486" s="633">
        <f>SUM(M486:N489)</f>
        <v>0</v>
      </c>
      <c r="P486" s="649"/>
      <c r="Q486" s="640">
        <f>M486*60</f>
        <v>0</v>
      </c>
      <c r="R486" s="657">
        <f>IF(
   COUNTIF(K486:K489,"SI")&gt;0,
   1.8,
   IF(
      COUNTIF(L486:L489,"SI")&gt;0,
      1.6,
      2
   )
)</f>
        <v>2</v>
      </c>
      <c r="S486" s="658">
        <f>IF(Q486=0,0,J486/Q486)</f>
        <v>0</v>
      </c>
      <c r="T486" s="655">
        <v>46178</v>
      </c>
      <c r="U486" s="30"/>
      <c r="V486" s="28">
        <v>649</v>
      </c>
      <c r="W486" s="28">
        <v>10751</v>
      </c>
      <c r="X486" s="28">
        <v>11003</v>
      </c>
      <c r="Y486" s="28"/>
      <c r="Z486" s="640">
        <v>0</v>
      </c>
      <c r="AA486" s="51">
        <f t="shared" si="332"/>
        <v>253</v>
      </c>
      <c r="AB486" s="650">
        <f>SUM(AA486:AA489)</f>
        <v>984</v>
      </c>
      <c r="AC486" s="28" t="s">
        <v>51</v>
      </c>
      <c r="AD486" s="28" t="s">
        <v>51</v>
      </c>
      <c r="AE486" s="640">
        <v>8.5</v>
      </c>
      <c r="AF486" s="640">
        <v>0.5</v>
      </c>
      <c r="AG486" s="633">
        <f>SUM(AE486:AF489)</f>
        <v>9</v>
      </c>
      <c r="AH486" s="640">
        <v>0</v>
      </c>
      <c r="AI486" s="664">
        <f>AE486*60</f>
        <v>510</v>
      </c>
      <c r="AJ486" s="640">
        <f>IF(
   COUNTIF(AC486:AC489,"SI")&gt;0,
   1.8,
   IF(
      COUNTIF(AD486:AD489,"SI")&gt;0,
      1.6,
      2
   )
)</f>
        <v>1.8</v>
      </c>
      <c r="AK486" s="665">
        <f>IF(AI486=0,0,AB486/AI486)</f>
        <v>1.9294117647058824</v>
      </c>
      <c r="AL486" s="655">
        <v>46178</v>
      </c>
      <c r="AM486" s="28"/>
      <c r="AN486" s="28"/>
      <c r="AO486" s="28"/>
      <c r="AP486" s="41"/>
      <c r="AQ486" s="28"/>
      <c r="AR486" s="649"/>
      <c r="AS486" s="159">
        <f t="shared" si="338"/>
        <v>0</v>
      </c>
      <c r="AT486" s="650">
        <f>SUM(AS486:AS488)+AR486</f>
        <v>0</v>
      </c>
      <c r="AU486" s="38"/>
      <c r="AV486" s="640"/>
      <c r="AW486" s="28"/>
      <c r="AX486" s="640"/>
      <c r="AY486" s="633">
        <f>SUM(AV486:AV489,AX486)</f>
        <v>0</v>
      </c>
      <c r="AZ486" s="649">
        <v>0.1</v>
      </c>
      <c r="BA486" s="640">
        <f>AV486*60</f>
        <v>0</v>
      </c>
      <c r="BB486" s="644">
        <f>IF(
   COUNTIF(AU486:AU489,"SI")&gt;0,
   1.8,
   IF(
      COUNTIF(AV486:AV489,"SI")&gt;0,
      1.6,
      2
   )
)</f>
        <v>2</v>
      </c>
      <c r="BC486" s="645">
        <f>IF(BA486=0,0,AT486/BA486)</f>
        <v>0</v>
      </c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18"/>
      <c r="BX486" s="118"/>
      <c r="BY486" s="118"/>
      <c r="BZ486" s="118"/>
      <c r="CA486" s="118"/>
      <c r="CB486" s="118"/>
      <c r="CC486" s="118"/>
      <c r="CD486" s="118"/>
      <c r="CE486" s="118"/>
      <c r="CF486" s="118"/>
      <c r="CG486" s="118"/>
      <c r="CH486" s="118"/>
      <c r="CI486" s="118"/>
      <c r="CJ486" s="118"/>
      <c r="CK486" s="118"/>
      <c r="CL486" s="118"/>
      <c r="CM486" s="118"/>
      <c r="CN486" s="92"/>
      <c r="CO486" s="93"/>
      <c r="CP486" s="93"/>
      <c r="CQ486" s="93"/>
      <c r="CR486" s="93"/>
      <c r="CS486" s="93"/>
      <c r="CT486" s="93"/>
      <c r="CU486" s="93"/>
      <c r="CV486" s="93"/>
      <c r="CW486" s="93"/>
      <c r="CX486" s="93"/>
      <c r="CY486" s="93"/>
      <c r="CZ486" s="93"/>
      <c r="DA486" s="93"/>
      <c r="DB486" s="93"/>
      <c r="DC486" s="94"/>
      <c r="DD486" s="118"/>
      <c r="DE486" s="118"/>
      <c r="DF486" s="118"/>
      <c r="DG486" s="118"/>
      <c r="DH486" s="118"/>
      <c r="DI486" s="118"/>
      <c r="DJ486" s="118"/>
      <c r="DK486" s="118"/>
      <c r="DL486" s="118"/>
      <c r="DM486" s="118"/>
      <c r="DN486" s="118"/>
      <c r="DO486" s="118"/>
      <c r="DP486" s="118"/>
      <c r="DQ486" s="118"/>
      <c r="DR486" s="118"/>
      <c r="DS486" s="118"/>
      <c r="DT486" s="118"/>
      <c r="DU486" s="19"/>
      <c r="DV486" s="19"/>
      <c r="DW486" s="19"/>
      <c r="DX486" s="19"/>
      <c r="DY486" s="19"/>
      <c r="DZ486" s="19"/>
    </row>
    <row r="487" spans="1:130" ht="12.75" x14ac:dyDescent="0.2">
      <c r="A487" s="647"/>
      <c r="B487" s="647"/>
      <c r="C487" s="29"/>
      <c r="D487" s="30"/>
      <c r="E487" s="29"/>
      <c r="F487" s="29"/>
      <c r="G487" s="30"/>
      <c r="H487" s="634"/>
      <c r="I487" s="159">
        <f t="shared" si="331"/>
        <v>0</v>
      </c>
      <c r="J487" s="634"/>
      <c r="K487" s="30"/>
      <c r="L487" s="30"/>
      <c r="M487" s="634"/>
      <c r="N487" s="634"/>
      <c r="O487" s="634"/>
      <c r="P487" s="634"/>
      <c r="Q487" s="634"/>
      <c r="R487" s="634"/>
      <c r="S487" s="659"/>
      <c r="T487" s="647"/>
      <c r="U487" s="30"/>
      <c r="V487" s="28">
        <v>650</v>
      </c>
      <c r="W487" s="28">
        <v>11004</v>
      </c>
      <c r="X487" s="28">
        <v>11500</v>
      </c>
      <c r="Y487" s="29"/>
      <c r="Z487" s="634"/>
      <c r="AA487" s="51">
        <f t="shared" si="332"/>
        <v>497</v>
      </c>
      <c r="AB487" s="634"/>
      <c r="AC487" s="28" t="s">
        <v>51</v>
      </c>
      <c r="AD487" s="28" t="s">
        <v>51</v>
      </c>
      <c r="AE487" s="634"/>
      <c r="AF487" s="634"/>
      <c r="AG487" s="634"/>
      <c r="AH487" s="634"/>
      <c r="AI487" s="638"/>
      <c r="AJ487" s="634"/>
      <c r="AK487" s="642"/>
      <c r="AL487" s="647"/>
      <c r="AM487" s="28"/>
      <c r="AN487" s="28"/>
      <c r="AO487" s="28"/>
      <c r="AP487" s="28"/>
      <c r="AQ487" s="30"/>
      <c r="AR487" s="634"/>
      <c r="AS487" s="159">
        <f t="shared" si="338"/>
        <v>0</v>
      </c>
      <c r="AT487" s="634"/>
      <c r="AU487" s="38"/>
      <c r="AV487" s="634"/>
      <c r="AW487" s="28"/>
      <c r="AX487" s="634"/>
      <c r="AY487" s="634"/>
      <c r="AZ487" s="634"/>
      <c r="BA487" s="634"/>
      <c r="BB487" s="634"/>
      <c r="BC487" s="634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18"/>
      <c r="BX487" s="118"/>
      <c r="BY487" s="118"/>
      <c r="BZ487" s="118"/>
      <c r="CA487" s="118"/>
      <c r="CB487" s="118"/>
      <c r="CC487" s="118"/>
      <c r="CD487" s="118"/>
      <c r="CE487" s="118"/>
      <c r="CF487" s="118"/>
      <c r="CG487" s="118"/>
      <c r="CH487" s="118"/>
      <c r="CI487" s="118"/>
      <c r="CJ487" s="118"/>
      <c r="CK487" s="118"/>
      <c r="CL487" s="118"/>
      <c r="CM487" s="118"/>
      <c r="CN487" s="92"/>
      <c r="CO487" s="93"/>
      <c r="CP487" s="93"/>
      <c r="CQ487" s="93"/>
      <c r="CR487" s="93"/>
      <c r="CS487" s="93"/>
      <c r="CT487" s="93"/>
      <c r="CU487" s="93"/>
      <c r="CV487" s="93"/>
      <c r="CW487" s="93"/>
      <c r="CX487" s="93"/>
      <c r="CY487" s="93"/>
      <c r="CZ487" s="93"/>
      <c r="DA487" s="93"/>
      <c r="DB487" s="93"/>
      <c r="DC487" s="94"/>
      <c r="DD487" s="118"/>
      <c r="DE487" s="118"/>
      <c r="DF487" s="118"/>
      <c r="DG487" s="118"/>
      <c r="DH487" s="118"/>
      <c r="DI487" s="118"/>
      <c r="DJ487" s="118"/>
      <c r="DK487" s="118"/>
      <c r="DL487" s="118"/>
      <c r="DM487" s="118"/>
      <c r="DN487" s="118"/>
      <c r="DO487" s="118"/>
      <c r="DP487" s="118"/>
      <c r="DQ487" s="118"/>
      <c r="DR487" s="118"/>
      <c r="DS487" s="118"/>
      <c r="DT487" s="118"/>
      <c r="DU487" s="19"/>
      <c r="DV487" s="19"/>
      <c r="DW487" s="19"/>
      <c r="DX487" s="19"/>
      <c r="DY487" s="19"/>
      <c r="DZ487" s="19"/>
    </row>
    <row r="488" spans="1:130" ht="12.75" x14ac:dyDescent="0.2">
      <c r="A488" s="647"/>
      <c r="B488" s="647"/>
      <c r="C488" s="30"/>
      <c r="D488" s="30"/>
      <c r="E488" s="30"/>
      <c r="F488" s="30"/>
      <c r="G488" s="30"/>
      <c r="H488" s="634"/>
      <c r="I488" s="159">
        <f t="shared" si="331"/>
        <v>0</v>
      </c>
      <c r="J488" s="634"/>
      <c r="K488" s="30"/>
      <c r="L488" s="30"/>
      <c r="M488" s="634"/>
      <c r="N488" s="634"/>
      <c r="O488" s="634"/>
      <c r="P488" s="634"/>
      <c r="Q488" s="634"/>
      <c r="R488" s="634"/>
      <c r="S488" s="659"/>
      <c r="T488" s="647"/>
      <c r="U488" s="30"/>
      <c r="V488" s="29">
        <v>651</v>
      </c>
      <c r="W488" s="29">
        <v>11501</v>
      </c>
      <c r="X488" s="29">
        <v>11734</v>
      </c>
      <c r="Y488" s="29"/>
      <c r="Z488" s="634"/>
      <c r="AA488" s="51">
        <f t="shared" si="332"/>
        <v>234</v>
      </c>
      <c r="AB488" s="634"/>
      <c r="AC488" s="28" t="s">
        <v>51</v>
      </c>
      <c r="AD488" s="28" t="s">
        <v>51</v>
      </c>
      <c r="AE488" s="634"/>
      <c r="AF488" s="634"/>
      <c r="AG488" s="634"/>
      <c r="AH488" s="634"/>
      <c r="AI488" s="638"/>
      <c r="AJ488" s="634"/>
      <c r="AK488" s="642"/>
      <c r="AL488" s="647"/>
      <c r="AM488" s="41"/>
      <c r="AN488" s="28"/>
      <c r="AO488" s="28"/>
      <c r="AP488" s="28"/>
      <c r="AQ488" s="48"/>
      <c r="AR488" s="634"/>
      <c r="AS488" s="159">
        <f t="shared" si="338"/>
        <v>0</v>
      </c>
      <c r="AT488" s="635"/>
      <c r="AU488" s="152"/>
      <c r="AV488" s="635"/>
      <c r="AW488" s="152"/>
      <c r="AX488" s="634"/>
      <c r="AY488" s="634"/>
      <c r="AZ488" s="634"/>
      <c r="BA488" s="634"/>
      <c r="BB488" s="634"/>
      <c r="BC488" s="635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18"/>
      <c r="BX488" s="118"/>
      <c r="BY488" s="118"/>
      <c r="BZ488" s="118"/>
      <c r="CA488" s="118"/>
      <c r="CB488" s="118"/>
      <c r="CC488" s="118"/>
      <c r="CD488" s="118"/>
      <c r="CE488" s="118"/>
      <c r="CF488" s="118"/>
      <c r="CG488" s="118"/>
      <c r="CH488" s="118"/>
      <c r="CI488" s="118"/>
      <c r="CJ488" s="118"/>
      <c r="CK488" s="118"/>
      <c r="CL488" s="118"/>
      <c r="CM488" s="118"/>
      <c r="CN488" s="92"/>
      <c r="CO488" s="93"/>
      <c r="CP488" s="93"/>
      <c r="CQ488" s="93"/>
      <c r="CR488" s="93"/>
      <c r="CS488" s="93"/>
      <c r="CT488" s="93"/>
      <c r="CU488" s="93"/>
      <c r="CV488" s="93"/>
      <c r="CW488" s="93"/>
      <c r="CX488" s="93"/>
      <c r="CY488" s="93"/>
      <c r="CZ488" s="93"/>
      <c r="DA488" s="93"/>
      <c r="DB488" s="93"/>
      <c r="DC488" s="94"/>
      <c r="DD488" s="118"/>
      <c r="DE488" s="118"/>
      <c r="DF488" s="118"/>
      <c r="DG488" s="118"/>
      <c r="DH488" s="118"/>
      <c r="DI488" s="118"/>
      <c r="DJ488" s="118"/>
      <c r="DK488" s="118"/>
      <c r="DL488" s="118"/>
      <c r="DM488" s="118"/>
      <c r="DN488" s="118"/>
      <c r="DO488" s="118"/>
      <c r="DP488" s="118"/>
      <c r="DQ488" s="118"/>
      <c r="DR488" s="118"/>
      <c r="DS488" s="118"/>
      <c r="DT488" s="118"/>
      <c r="DU488" s="19"/>
      <c r="DV488" s="19"/>
      <c r="DW488" s="19"/>
      <c r="DX488" s="19"/>
      <c r="DY488" s="19"/>
      <c r="DZ488" s="19"/>
    </row>
    <row r="489" spans="1:130" ht="12.75" x14ac:dyDescent="0.2">
      <c r="A489" s="648"/>
      <c r="B489" s="648"/>
      <c r="C489" s="30"/>
      <c r="D489" s="30"/>
      <c r="E489" s="30"/>
      <c r="F489" s="30"/>
      <c r="G489" s="30"/>
      <c r="H489" s="635"/>
      <c r="I489" s="159">
        <f t="shared" si="331"/>
        <v>0</v>
      </c>
      <c r="J489" s="635"/>
      <c r="K489" s="30"/>
      <c r="L489" s="30"/>
      <c r="M489" s="635"/>
      <c r="N489" s="635"/>
      <c r="O489" s="635"/>
      <c r="P489" s="635"/>
      <c r="Q489" s="635"/>
      <c r="R489" s="635"/>
      <c r="S489" s="660"/>
      <c r="T489" s="648"/>
      <c r="U489" s="30"/>
      <c r="V489" s="30"/>
      <c r="W489" s="30"/>
      <c r="X489" s="30"/>
      <c r="Y489" s="30"/>
      <c r="Z489" s="635"/>
      <c r="AA489" s="51">
        <f t="shared" si="332"/>
        <v>0</v>
      </c>
      <c r="AB489" s="634"/>
      <c r="AC489" s="30"/>
      <c r="AD489" s="30"/>
      <c r="AE489" s="634"/>
      <c r="AF489" s="635"/>
      <c r="AG489" s="635"/>
      <c r="AH489" s="635"/>
      <c r="AI489" s="638"/>
      <c r="AJ489" s="635"/>
      <c r="AK489" s="642"/>
      <c r="AL489" s="648"/>
      <c r="AM489" s="51"/>
      <c r="AN489" s="28"/>
      <c r="AO489" s="28"/>
      <c r="AP489" s="28"/>
      <c r="AQ489" s="51"/>
      <c r="AR489" s="635"/>
      <c r="AS489" s="159">
        <f t="shared" si="338"/>
        <v>0</v>
      </c>
      <c r="AT489" s="464"/>
      <c r="AU489" s="38"/>
      <c r="AV489" s="50"/>
      <c r="AW489" s="51"/>
      <c r="AX489" s="635"/>
      <c r="AY489" s="635"/>
      <c r="AZ489" s="635"/>
      <c r="BA489" s="27"/>
      <c r="BB489" s="635"/>
      <c r="BC489" s="504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18"/>
      <c r="BX489" s="118"/>
      <c r="BY489" s="118"/>
      <c r="BZ489" s="118"/>
      <c r="CA489" s="118"/>
      <c r="CB489" s="118"/>
      <c r="CC489" s="118"/>
      <c r="CD489" s="118"/>
      <c r="CE489" s="118"/>
      <c r="CF489" s="118"/>
      <c r="CG489" s="118"/>
      <c r="CH489" s="118"/>
      <c r="CI489" s="118"/>
      <c r="CJ489" s="118"/>
      <c r="CK489" s="118"/>
      <c r="CL489" s="118"/>
      <c r="CM489" s="118"/>
      <c r="CN489" s="92"/>
      <c r="CO489" s="93"/>
      <c r="CP489" s="93"/>
      <c r="CQ489" s="93"/>
      <c r="CR489" s="93"/>
      <c r="CS489" s="93"/>
      <c r="CT489" s="93"/>
      <c r="CU489" s="93"/>
      <c r="CV489" s="93"/>
      <c r="CW489" s="93"/>
      <c r="CX489" s="93"/>
      <c r="CY489" s="93"/>
      <c r="CZ489" s="93"/>
      <c r="DA489" s="93"/>
      <c r="DB489" s="93"/>
      <c r="DC489" s="94"/>
      <c r="DD489" s="118"/>
      <c r="DE489" s="118"/>
      <c r="DF489" s="118"/>
      <c r="DG489" s="118"/>
      <c r="DH489" s="118"/>
      <c r="DI489" s="118"/>
      <c r="DJ489" s="118"/>
      <c r="DK489" s="118"/>
      <c r="DL489" s="118"/>
      <c r="DM489" s="118"/>
      <c r="DN489" s="118"/>
      <c r="DO489" s="118"/>
      <c r="DP489" s="118"/>
      <c r="DQ489" s="118"/>
      <c r="DR489" s="118"/>
      <c r="DS489" s="118"/>
      <c r="DT489" s="118"/>
      <c r="DU489" s="19"/>
      <c r="DV489" s="19"/>
      <c r="DW489" s="19"/>
      <c r="DX489" s="19"/>
      <c r="DY489" s="19"/>
      <c r="DZ489" s="19"/>
    </row>
    <row r="490" spans="1:130" ht="12.75" x14ac:dyDescent="0.2">
      <c r="A490" s="651"/>
      <c r="B490" s="646">
        <v>46179</v>
      </c>
      <c r="C490" s="31"/>
      <c r="D490" s="31"/>
      <c r="E490" s="31"/>
      <c r="F490" s="31"/>
      <c r="G490" s="40"/>
      <c r="H490" s="653"/>
      <c r="I490" s="159">
        <f t="shared" si="331"/>
        <v>0</v>
      </c>
      <c r="J490" s="650">
        <f>SUM(I490:I493,H490)</f>
        <v>0</v>
      </c>
      <c r="K490" s="40"/>
      <c r="L490" s="40"/>
      <c r="M490" s="653"/>
      <c r="N490" s="653"/>
      <c r="O490" s="633">
        <f>SUM(M490:N493)</f>
        <v>0</v>
      </c>
      <c r="P490" s="653"/>
      <c r="Q490" s="636">
        <f>M490*60</f>
        <v>0</v>
      </c>
      <c r="R490" s="657">
        <f>IF(
   COUNTIF(K490:K493,"SI")&gt;0,
   1.8,
   IF(
      COUNTIF(L490:L493,"SI")&gt;0,
      1.6,
      2
   )
)</f>
        <v>2</v>
      </c>
      <c r="S490" s="658">
        <f>IF(Q490=0,0,J490/Q490)</f>
        <v>0</v>
      </c>
      <c r="T490" s="646">
        <v>46179</v>
      </c>
      <c r="U490" s="40"/>
      <c r="V490" s="31"/>
      <c r="W490" s="31"/>
      <c r="X490" s="31"/>
      <c r="Y490" s="31"/>
      <c r="Z490" s="653"/>
      <c r="AA490" s="51">
        <f t="shared" si="332"/>
        <v>0</v>
      </c>
      <c r="AB490" s="650">
        <f>SUM(AA490:AA493,Z490)</f>
        <v>0</v>
      </c>
      <c r="AC490" s="31"/>
      <c r="AD490" s="31"/>
      <c r="AE490" s="653"/>
      <c r="AF490" s="653"/>
      <c r="AG490" s="633">
        <f>SUM(AE490:AF493)</f>
        <v>0</v>
      </c>
      <c r="AH490" s="653">
        <v>0</v>
      </c>
      <c r="AI490" s="637">
        <f>AE490*60</f>
        <v>0</v>
      </c>
      <c r="AJ490" s="640">
        <f>IF(
   COUNTIF(AC490:AC493,"SI")&gt;0,
   1.8,
   IF(
      COUNTIF(AD490:AD493,"SI")&gt;0,
      1.6,
      2
   )
)</f>
        <v>2</v>
      </c>
      <c r="AK490" s="665">
        <f>IF(AI490=0,0,AB490/AI490)</f>
        <v>0</v>
      </c>
      <c r="AL490" s="646">
        <v>46179</v>
      </c>
      <c r="AM490" s="31">
        <v>114</v>
      </c>
      <c r="AN490" s="29">
        <v>648</v>
      </c>
      <c r="AO490" s="31">
        <v>10033</v>
      </c>
      <c r="AP490" s="31">
        <v>10502</v>
      </c>
      <c r="AQ490" s="40"/>
      <c r="AR490" s="653">
        <v>39</v>
      </c>
      <c r="AS490" s="159">
        <f t="shared" si="338"/>
        <v>470</v>
      </c>
      <c r="AT490" s="650">
        <f>SUM(AS490:AS493,AR490)</f>
        <v>509</v>
      </c>
      <c r="AU490" s="31" t="s">
        <v>51</v>
      </c>
      <c r="AV490" s="653">
        <v>3.35</v>
      </c>
      <c r="AW490" s="31" t="s">
        <v>51</v>
      </c>
      <c r="AX490" s="653">
        <v>0.15</v>
      </c>
      <c r="AY490" s="633">
        <f>SUM(AV490:AX493)</f>
        <v>3.5</v>
      </c>
      <c r="AZ490" s="653"/>
      <c r="BA490" s="636">
        <f>AV490*60</f>
        <v>201</v>
      </c>
      <c r="BB490" s="657">
        <f>IF(
   COUNTIF(AU490:AU493,"SI")&gt;0,
   1.8,
   IF(
      COUNTIF(AV490:AV493,"SI")&gt;0,
      1.6,
      2
   )
)</f>
        <v>1.8</v>
      </c>
      <c r="BC490" s="666">
        <f>IF(BA490=0,0,AT490/BA490)</f>
        <v>2.5323383084577116</v>
      </c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18"/>
      <c r="BX490" s="118"/>
      <c r="BY490" s="118"/>
      <c r="BZ490" s="118"/>
      <c r="CA490" s="118"/>
      <c r="CB490" s="118"/>
      <c r="CC490" s="118"/>
      <c r="CD490" s="118"/>
      <c r="CE490" s="118"/>
      <c r="CF490" s="118"/>
      <c r="CG490" s="118"/>
      <c r="CH490" s="118"/>
      <c r="CI490" s="118"/>
      <c r="CJ490" s="118"/>
      <c r="CK490" s="118"/>
      <c r="CL490" s="118"/>
      <c r="CM490" s="118"/>
      <c r="CN490" s="92"/>
      <c r="CO490" s="93"/>
      <c r="CP490" s="93"/>
      <c r="CQ490" s="93"/>
      <c r="CR490" s="93"/>
      <c r="CS490" s="93"/>
      <c r="CT490" s="93"/>
      <c r="CU490" s="93"/>
      <c r="CV490" s="93"/>
      <c r="CW490" s="93"/>
      <c r="CX490" s="93"/>
      <c r="CY490" s="93"/>
      <c r="CZ490" s="93"/>
      <c r="DA490" s="93"/>
      <c r="DB490" s="93"/>
      <c r="DC490" s="94"/>
      <c r="DD490" s="118"/>
      <c r="DE490" s="118"/>
      <c r="DF490" s="118"/>
      <c r="DG490" s="118"/>
      <c r="DH490" s="118"/>
      <c r="DI490" s="118"/>
      <c r="DJ490" s="118"/>
      <c r="DK490" s="118"/>
      <c r="DL490" s="118"/>
      <c r="DM490" s="118"/>
      <c r="DN490" s="118"/>
      <c r="DO490" s="118"/>
      <c r="DP490" s="118"/>
      <c r="DQ490" s="118"/>
      <c r="DR490" s="118"/>
      <c r="DS490" s="118"/>
      <c r="DT490" s="118"/>
      <c r="DU490" s="19"/>
      <c r="DV490" s="19"/>
      <c r="DW490" s="19"/>
      <c r="DX490" s="19"/>
      <c r="DY490" s="19"/>
      <c r="DZ490" s="19"/>
    </row>
    <row r="491" spans="1:130" ht="12.75" x14ac:dyDescent="0.2">
      <c r="A491" s="647"/>
      <c r="B491" s="647"/>
      <c r="C491" s="40"/>
      <c r="D491" s="40"/>
      <c r="E491" s="40"/>
      <c r="F491" s="40"/>
      <c r="G491" s="40"/>
      <c r="H491" s="634"/>
      <c r="I491" s="159">
        <f t="shared" si="331"/>
        <v>0</v>
      </c>
      <c r="J491" s="634"/>
      <c r="K491" s="40"/>
      <c r="L491" s="40"/>
      <c r="M491" s="634"/>
      <c r="N491" s="634"/>
      <c r="O491" s="634"/>
      <c r="P491" s="634"/>
      <c r="Q491" s="634"/>
      <c r="R491" s="634"/>
      <c r="S491" s="659"/>
      <c r="T491" s="647"/>
      <c r="U491" s="40"/>
      <c r="V491" s="31"/>
      <c r="W491" s="31"/>
      <c r="X491" s="31"/>
      <c r="Y491" s="31"/>
      <c r="Z491" s="634"/>
      <c r="AA491" s="51">
        <f t="shared" si="332"/>
        <v>0</v>
      </c>
      <c r="AB491" s="634"/>
      <c r="AC491" s="31"/>
      <c r="AD491" s="31"/>
      <c r="AE491" s="634"/>
      <c r="AF491" s="634"/>
      <c r="AG491" s="634"/>
      <c r="AH491" s="634"/>
      <c r="AI491" s="638"/>
      <c r="AJ491" s="634"/>
      <c r="AK491" s="642"/>
      <c r="AL491" s="647"/>
      <c r="AM491" s="31"/>
      <c r="AN491" s="31"/>
      <c r="AO491" s="31"/>
      <c r="AP491" s="31"/>
      <c r="AQ491" s="31"/>
      <c r="AR491" s="634"/>
      <c r="AS491" s="159"/>
      <c r="AT491" s="634"/>
      <c r="AU491" s="31"/>
      <c r="AV491" s="634"/>
      <c r="AW491" s="40"/>
      <c r="AX491" s="634"/>
      <c r="AY491" s="634"/>
      <c r="AZ491" s="634"/>
      <c r="BA491" s="634"/>
      <c r="BB491" s="634"/>
      <c r="BC491" s="634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18"/>
      <c r="BX491" s="118"/>
      <c r="BY491" s="118"/>
      <c r="BZ491" s="118"/>
      <c r="CA491" s="118"/>
      <c r="CB491" s="118"/>
      <c r="CC491" s="118"/>
      <c r="CD491" s="118"/>
      <c r="CE491" s="118"/>
      <c r="CF491" s="118"/>
      <c r="CG491" s="118"/>
      <c r="CH491" s="118"/>
      <c r="CI491" s="118"/>
      <c r="CJ491" s="118"/>
      <c r="CK491" s="118"/>
      <c r="CL491" s="118"/>
      <c r="CM491" s="118"/>
      <c r="CN491" s="92"/>
      <c r="CO491" s="93"/>
      <c r="CP491" s="93"/>
      <c r="CQ491" s="93"/>
      <c r="CR491" s="93"/>
      <c r="CS491" s="93"/>
      <c r="CT491" s="93"/>
      <c r="CU491" s="93"/>
      <c r="CV491" s="93"/>
      <c r="CW491" s="93"/>
      <c r="CX491" s="93"/>
      <c r="CY491" s="93"/>
      <c r="CZ491" s="93"/>
      <c r="DA491" s="93"/>
      <c r="DB491" s="93"/>
      <c r="DC491" s="94"/>
      <c r="DD491" s="118"/>
      <c r="DE491" s="118"/>
      <c r="DF491" s="118"/>
      <c r="DG491" s="118"/>
      <c r="DH491" s="118"/>
      <c r="DI491" s="118"/>
      <c r="DJ491" s="118"/>
      <c r="DK491" s="118"/>
      <c r="DL491" s="118"/>
      <c r="DM491" s="118"/>
      <c r="DN491" s="118"/>
      <c r="DO491" s="118"/>
      <c r="DP491" s="118"/>
      <c r="DQ491" s="118"/>
      <c r="DR491" s="118"/>
      <c r="DS491" s="118"/>
      <c r="DT491" s="118"/>
      <c r="DU491" s="19"/>
      <c r="DV491" s="19"/>
      <c r="DW491" s="19"/>
      <c r="DX491" s="19"/>
      <c r="DY491" s="19"/>
      <c r="DZ491" s="19"/>
    </row>
    <row r="492" spans="1:130" ht="12.75" x14ac:dyDescent="0.2">
      <c r="A492" s="647"/>
      <c r="B492" s="647"/>
      <c r="C492" s="40"/>
      <c r="D492" s="40"/>
      <c r="E492" s="40"/>
      <c r="F492" s="40"/>
      <c r="G492" s="40"/>
      <c r="H492" s="634"/>
      <c r="I492" s="159">
        <f t="shared" si="331"/>
        <v>0</v>
      </c>
      <c r="J492" s="634"/>
      <c r="K492" s="40"/>
      <c r="L492" s="40"/>
      <c r="M492" s="634"/>
      <c r="N492" s="634"/>
      <c r="O492" s="634"/>
      <c r="P492" s="634"/>
      <c r="Q492" s="634"/>
      <c r="R492" s="634"/>
      <c r="S492" s="659"/>
      <c r="T492" s="647"/>
      <c r="U492" s="40"/>
      <c r="V492" s="31"/>
      <c r="W492" s="31"/>
      <c r="X492" s="31"/>
      <c r="Y492" s="31"/>
      <c r="Z492" s="634"/>
      <c r="AA492" s="51">
        <f t="shared" si="332"/>
        <v>0</v>
      </c>
      <c r="AB492" s="634"/>
      <c r="AC492" s="31"/>
      <c r="AD492" s="31"/>
      <c r="AE492" s="634"/>
      <c r="AF492" s="634"/>
      <c r="AG492" s="634"/>
      <c r="AH492" s="634"/>
      <c r="AI492" s="638"/>
      <c r="AJ492" s="634"/>
      <c r="AK492" s="642"/>
      <c r="AL492" s="647"/>
      <c r="AM492" s="40"/>
      <c r="AN492" s="40"/>
      <c r="AO492" s="40"/>
      <c r="AP492" s="40"/>
      <c r="AQ492" s="40"/>
      <c r="AR492" s="634"/>
      <c r="AS492" s="159"/>
      <c r="AT492" s="634"/>
      <c r="AU492" s="40"/>
      <c r="AV492" s="634"/>
      <c r="AW492" s="40"/>
      <c r="AX492" s="634"/>
      <c r="AY492" s="634"/>
      <c r="AZ492" s="634"/>
      <c r="BA492" s="634"/>
      <c r="BB492" s="634"/>
      <c r="BC492" s="634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18"/>
      <c r="BX492" s="118"/>
      <c r="BY492" s="118"/>
      <c r="BZ492" s="118"/>
      <c r="CA492" s="118"/>
      <c r="CB492" s="118"/>
      <c r="CC492" s="118"/>
      <c r="CD492" s="118"/>
      <c r="CE492" s="118"/>
      <c r="CF492" s="118"/>
      <c r="CG492" s="118"/>
      <c r="CH492" s="118"/>
      <c r="CI492" s="118"/>
      <c r="CJ492" s="118"/>
      <c r="CK492" s="118"/>
      <c r="CL492" s="118"/>
      <c r="CM492" s="118"/>
      <c r="CN492" s="92"/>
      <c r="CO492" s="93"/>
      <c r="CP492" s="93"/>
      <c r="CQ492" s="93"/>
      <c r="CR492" s="93"/>
      <c r="CS492" s="93"/>
      <c r="CT492" s="93"/>
      <c r="CU492" s="93"/>
      <c r="CV492" s="93"/>
      <c r="CW492" s="93"/>
      <c r="CX492" s="93"/>
      <c r="CY492" s="93"/>
      <c r="CZ492" s="93"/>
      <c r="DA492" s="93"/>
      <c r="DB492" s="93"/>
      <c r="DC492" s="94"/>
      <c r="DD492" s="118"/>
      <c r="DE492" s="118"/>
      <c r="DF492" s="118"/>
      <c r="DG492" s="118"/>
      <c r="DH492" s="118"/>
      <c r="DI492" s="118"/>
      <c r="DJ492" s="118"/>
      <c r="DK492" s="118"/>
      <c r="DL492" s="118"/>
      <c r="DM492" s="118"/>
      <c r="DN492" s="118"/>
      <c r="DO492" s="118"/>
      <c r="DP492" s="118"/>
      <c r="DQ492" s="118"/>
      <c r="DR492" s="118"/>
      <c r="DS492" s="118"/>
      <c r="DT492" s="118"/>
      <c r="DU492" s="19"/>
      <c r="DV492" s="19"/>
      <c r="DW492" s="19"/>
      <c r="DX492" s="19"/>
      <c r="DY492" s="19"/>
      <c r="DZ492" s="19"/>
    </row>
    <row r="493" spans="1:130" ht="12.75" x14ac:dyDescent="0.2">
      <c r="A493" s="648"/>
      <c r="B493" s="648"/>
      <c r="C493" s="40"/>
      <c r="D493" s="40"/>
      <c r="E493" s="40"/>
      <c r="F493" s="40"/>
      <c r="G493" s="40"/>
      <c r="H493" s="635"/>
      <c r="I493" s="159">
        <f t="shared" si="331"/>
        <v>0</v>
      </c>
      <c r="J493" s="635"/>
      <c r="K493" s="40"/>
      <c r="L493" s="40"/>
      <c r="M493" s="635"/>
      <c r="N493" s="635"/>
      <c r="O493" s="635"/>
      <c r="P493" s="635"/>
      <c r="Q493" s="635"/>
      <c r="R493" s="635"/>
      <c r="S493" s="660"/>
      <c r="T493" s="648"/>
      <c r="U493" s="40"/>
      <c r="V493" s="40"/>
      <c r="W493" s="40"/>
      <c r="X493" s="40"/>
      <c r="Y493" s="40"/>
      <c r="Z493" s="635"/>
      <c r="AA493" s="51">
        <f t="shared" si="332"/>
        <v>0</v>
      </c>
      <c r="AB493" s="635"/>
      <c r="AC493" s="40"/>
      <c r="AD493" s="40"/>
      <c r="AE493" s="635"/>
      <c r="AF493" s="635"/>
      <c r="AG493" s="635"/>
      <c r="AH493" s="635"/>
      <c r="AI493" s="639"/>
      <c r="AJ493" s="635"/>
      <c r="AK493" s="643"/>
      <c r="AL493" s="648"/>
      <c r="AM493" s="40"/>
      <c r="AN493" s="40"/>
      <c r="AO493" s="40"/>
      <c r="AP493" s="40"/>
      <c r="AQ493" s="40"/>
      <c r="AR493" s="635"/>
      <c r="AS493" s="159"/>
      <c r="AT493" s="635"/>
      <c r="AU493" s="40"/>
      <c r="AV493" s="635"/>
      <c r="AW493" s="40"/>
      <c r="AX493" s="635"/>
      <c r="AY493" s="635"/>
      <c r="AZ493" s="635"/>
      <c r="BA493" s="635"/>
      <c r="BB493" s="635"/>
      <c r="BC493" s="635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18"/>
      <c r="BX493" s="118"/>
      <c r="BY493" s="118"/>
      <c r="BZ493" s="118"/>
      <c r="CA493" s="118"/>
      <c r="CB493" s="118"/>
      <c r="CC493" s="118"/>
      <c r="CD493" s="118"/>
      <c r="CE493" s="118"/>
      <c r="CF493" s="118"/>
      <c r="CG493" s="118"/>
      <c r="CH493" s="118"/>
      <c r="CI493" s="118"/>
      <c r="CJ493" s="118"/>
      <c r="CK493" s="118"/>
      <c r="CL493" s="118"/>
      <c r="CM493" s="118"/>
      <c r="CN493" s="92"/>
      <c r="CO493" s="93"/>
      <c r="CP493" s="93"/>
      <c r="CQ493" s="93"/>
      <c r="CR493" s="93"/>
      <c r="CS493" s="93"/>
      <c r="CT493" s="93"/>
      <c r="CU493" s="93"/>
      <c r="CV493" s="93"/>
      <c r="CW493" s="93"/>
      <c r="CX493" s="93"/>
      <c r="CY493" s="93"/>
      <c r="CZ493" s="93"/>
      <c r="DA493" s="93"/>
      <c r="DB493" s="93"/>
      <c r="DC493" s="94"/>
      <c r="DD493" s="118"/>
      <c r="DE493" s="118"/>
      <c r="DF493" s="118"/>
      <c r="DG493" s="118"/>
      <c r="DH493" s="118"/>
      <c r="DI493" s="118"/>
      <c r="DJ493" s="118"/>
      <c r="DK493" s="118"/>
      <c r="DL493" s="118"/>
      <c r="DM493" s="118"/>
      <c r="DN493" s="118"/>
      <c r="DO493" s="118"/>
      <c r="DP493" s="118"/>
      <c r="DQ493" s="118"/>
      <c r="DR493" s="118"/>
      <c r="DS493" s="118"/>
      <c r="DT493" s="118"/>
      <c r="DU493" s="19"/>
      <c r="DV493" s="19"/>
      <c r="DW493" s="19"/>
      <c r="DX493" s="19"/>
      <c r="DY493" s="19"/>
      <c r="DZ493" s="19"/>
    </row>
    <row r="494" spans="1:130" ht="12.75" x14ac:dyDescent="0.2">
      <c r="A494" s="521" t="s">
        <v>12</v>
      </c>
      <c r="B494" s="167" t="s">
        <v>40</v>
      </c>
      <c r="C494" s="168">
        <f>SUM(C469:C493)</f>
        <v>0</v>
      </c>
      <c r="D494" s="168" t="s">
        <v>49</v>
      </c>
      <c r="E494" s="168" t="s">
        <v>49</v>
      </c>
      <c r="F494" s="168" t="s">
        <v>49</v>
      </c>
      <c r="G494" s="168">
        <f t="shared" ref="G494:J494" si="339">SUM(G469:G493)</f>
        <v>0</v>
      </c>
      <c r="H494" s="168">
        <f t="shared" si="339"/>
        <v>0</v>
      </c>
      <c r="I494" s="168">
        <f t="shared" si="339"/>
        <v>0</v>
      </c>
      <c r="J494" s="168">
        <f t="shared" si="339"/>
        <v>0</v>
      </c>
      <c r="K494" s="168" t="s">
        <v>49</v>
      </c>
      <c r="L494" s="168"/>
      <c r="M494" s="168">
        <f>SUM(M469:M493)</f>
        <v>0</v>
      </c>
      <c r="N494" s="168">
        <f>SUM(N469:N489)</f>
        <v>0</v>
      </c>
      <c r="O494" s="169">
        <f t="shared" ref="O494:Q494" si="340">SUM(O469:O493)</f>
        <v>0</v>
      </c>
      <c r="P494" s="168">
        <f t="shared" si="340"/>
        <v>0</v>
      </c>
      <c r="Q494" s="168">
        <f t="shared" si="340"/>
        <v>0</v>
      </c>
      <c r="R494" s="170"/>
      <c r="S494" s="171">
        <f>AVERAGE(S478:S485)</f>
        <v>0</v>
      </c>
      <c r="T494" s="167" t="s">
        <v>40</v>
      </c>
      <c r="U494" s="168">
        <f>SUM(U469:U493)</f>
        <v>0</v>
      </c>
      <c r="V494" s="168" t="s">
        <v>49</v>
      </c>
      <c r="W494" s="168" t="s">
        <v>49</v>
      </c>
      <c r="X494" s="168" t="s">
        <v>49</v>
      </c>
      <c r="Y494" s="168">
        <f t="shared" ref="Y494:AB494" si="341">SUM(Y469:Y493)</f>
        <v>0</v>
      </c>
      <c r="Z494" s="168">
        <f t="shared" si="341"/>
        <v>1</v>
      </c>
      <c r="AA494" s="168">
        <f t="shared" si="341"/>
        <v>1891</v>
      </c>
      <c r="AB494" s="168">
        <f t="shared" si="341"/>
        <v>1892</v>
      </c>
      <c r="AC494" s="168" t="s">
        <v>49</v>
      </c>
      <c r="AD494" s="168" t="s">
        <v>49</v>
      </c>
      <c r="AE494" s="168">
        <f t="shared" ref="AE494:AI494" si="342">SUM(AE469:AE493)</f>
        <v>16.25</v>
      </c>
      <c r="AF494" s="168">
        <f t="shared" si="342"/>
        <v>1.75</v>
      </c>
      <c r="AG494" s="169">
        <f t="shared" si="342"/>
        <v>18</v>
      </c>
      <c r="AH494" s="168">
        <f t="shared" si="342"/>
        <v>0</v>
      </c>
      <c r="AI494" s="168">
        <f t="shared" si="342"/>
        <v>975</v>
      </c>
      <c r="AJ494" s="467"/>
      <c r="AK494" s="171">
        <f t="shared" ref="AK494:AK495" si="343">IF(AI494=0,0,AB494/AI494)</f>
        <v>1.9405128205128206</v>
      </c>
      <c r="AL494" s="167" t="s">
        <v>40</v>
      </c>
      <c r="AM494" s="168">
        <f>SUM(AM469:AM493)</f>
        <v>1032</v>
      </c>
      <c r="AN494" s="168" t="s">
        <v>49</v>
      </c>
      <c r="AO494" s="168" t="s">
        <v>49</v>
      </c>
      <c r="AP494" s="168" t="s">
        <v>49</v>
      </c>
      <c r="AQ494" s="168">
        <f t="shared" ref="AQ494:AT494" si="344">SUM(AQ469:AQ493)</f>
        <v>48</v>
      </c>
      <c r="AR494" s="168">
        <f t="shared" si="344"/>
        <v>39</v>
      </c>
      <c r="AS494" s="168">
        <f t="shared" si="344"/>
        <v>4167</v>
      </c>
      <c r="AT494" s="168">
        <f t="shared" si="344"/>
        <v>4206</v>
      </c>
      <c r="AU494" s="168" t="s">
        <v>49</v>
      </c>
      <c r="AV494" s="168">
        <f>SUM(AV469:AV493)</f>
        <v>27.85</v>
      </c>
      <c r="AW494" s="168"/>
      <c r="AX494" s="172">
        <f t="shared" ref="AX494:BA494" si="345">SUM(AX469:AX493)</f>
        <v>2.15</v>
      </c>
      <c r="AY494" s="173">
        <f t="shared" si="345"/>
        <v>30</v>
      </c>
      <c r="AZ494" s="172">
        <f t="shared" si="345"/>
        <v>1</v>
      </c>
      <c r="BA494" s="168">
        <f t="shared" si="345"/>
        <v>1671</v>
      </c>
      <c r="BB494" s="170"/>
      <c r="BC494" s="174">
        <f t="shared" ref="BC494:BC495" si="346">IF(BA494=0,0,AT494/BA494)</f>
        <v>2.5170556552962298</v>
      </c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18"/>
      <c r="BX494" s="118"/>
      <c r="BY494" s="118"/>
      <c r="BZ494" s="118"/>
      <c r="CA494" s="118"/>
      <c r="CB494" s="118"/>
      <c r="CC494" s="118"/>
      <c r="CD494" s="118"/>
      <c r="CE494" s="118"/>
      <c r="CF494" s="118"/>
      <c r="CG494" s="118"/>
      <c r="CH494" s="118"/>
      <c r="CI494" s="118"/>
      <c r="CJ494" s="118"/>
      <c r="CK494" s="118"/>
      <c r="CL494" s="118"/>
      <c r="CM494" s="118"/>
      <c r="CN494" s="92"/>
      <c r="CO494" s="93"/>
      <c r="CP494" s="93"/>
      <c r="CQ494" s="93"/>
      <c r="CR494" s="93"/>
      <c r="CS494" s="93"/>
      <c r="CT494" s="93"/>
      <c r="CU494" s="93"/>
      <c r="CV494" s="93"/>
      <c r="CW494" s="93"/>
      <c r="CX494" s="93"/>
      <c r="CY494" s="93"/>
      <c r="CZ494" s="93"/>
      <c r="DA494" s="93"/>
      <c r="DB494" s="93"/>
      <c r="DC494" s="94"/>
      <c r="DD494" s="118"/>
      <c r="DE494" s="118"/>
      <c r="DF494" s="118"/>
      <c r="DG494" s="118"/>
      <c r="DH494" s="118"/>
      <c r="DI494" s="118"/>
      <c r="DJ494" s="118"/>
      <c r="DK494" s="118"/>
      <c r="DL494" s="118"/>
      <c r="DM494" s="118"/>
      <c r="DN494" s="118"/>
      <c r="DO494" s="118"/>
      <c r="DP494" s="118"/>
      <c r="DQ494" s="118"/>
      <c r="DR494" s="118"/>
      <c r="DS494" s="118"/>
      <c r="DT494" s="118"/>
      <c r="DU494" s="19"/>
      <c r="DV494" s="19"/>
      <c r="DW494" s="19"/>
      <c r="DX494" s="19"/>
      <c r="DY494" s="19"/>
      <c r="DZ494" s="19"/>
    </row>
    <row r="495" spans="1:130" ht="12.75" x14ac:dyDescent="0.2">
      <c r="A495" s="741" t="s">
        <v>12</v>
      </c>
      <c r="B495" s="674">
        <v>46181</v>
      </c>
      <c r="C495" s="175"/>
      <c r="D495" s="26"/>
      <c r="E495" s="26"/>
      <c r="F495" s="26"/>
      <c r="G495" s="137"/>
      <c r="H495" s="675"/>
      <c r="I495" s="62">
        <f t="shared" ref="I495:I519" si="347">IF(E495=0,0,F495-E495+1-G495)</f>
        <v>0</v>
      </c>
      <c r="J495" s="676">
        <f>SUM(I495:I499,H495)</f>
        <v>0</v>
      </c>
      <c r="K495" s="175"/>
      <c r="L495" s="175"/>
      <c r="M495" s="675"/>
      <c r="N495" s="675"/>
      <c r="O495" s="677">
        <f>SUM(M495:N499)</f>
        <v>0</v>
      </c>
      <c r="P495" s="675"/>
      <c r="Q495" s="657">
        <f>M495*60</f>
        <v>0</v>
      </c>
      <c r="R495" s="657">
        <f>IF(
   COUNTIF(K495:K499,"SI")&gt;0,
   1.8,
   IF(
      COUNTIF(L495:L499,"SI")&gt;0,
      1.6,
      2
   )
)</f>
        <v>2</v>
      </c>
      <c r="S495" s="678">
        <f>IF(Q495=0,0,J495/Q495)</f>
        <v>0</v>
      </c>
      <c r="T495" s="674">
        <v>46181</v>
      </c>
      <c r="U495" s="175"/>
      <c r="V495" s="26"/>
      <c r="W495" s="26"/>
      <c r="X495" s="26"/>
      <c r="Y495" s="175"/>
      <c r="Z495" s="680"/>
      <c r="AA495" s="151">
        <f t="shared" ref="AA495:AA519" si="348">IF(X495=0,0,X495-W495+1-Y495)</f>
        <v>0</v>
      </c>
      <c r="AB495" s="669">
        <f>SUM(AA495:AA499,Z495)</f>
        <v>0</v>
      </c>
      <c r="AC495" s="26"/>
      <c r="AD495" s="26"/>
      <c r="AE495" s="675"/>
      <c r="AF495" s="675"/>
      <c r="AG495" s="677">
        <f>SUM(AE495:AF499)</f>
        <v>0</v>
      </c>
      <c r="AH495" s="675">
        <v>0</v>
      </c>
      <c r="AI495" s="681">
        <f>AE495*60</f>
        <v>0</v>
      </c>
      <c r="AJ495" s="657">
        <f>IF(
   COUNTIF(AC495:AC499,"SI")&gt;0,
   1.8,
   IF(
      COUNTIF(AD495:AD499,"SI")&gt;0,
      1.6,
      2
   )
)</f>
        <v>2</v>
      </c>
      <c r="AK495" s="682">
        <f t="shared" si="343"/>
        <v>0</v>
      </c>
      <c r="AL495" s="674">
        <v>46181</v>
      </c>
      <c r="AM495" s="24">
        <v>98</v>
      </c>
      <c r="AN495" s="31">
        <v>652</v>
      </c>
      <c r="AO495" s="31">
        <v>12003</v>
      </c>
      <c r="AP495" s="24">
        <v>12502</v>
      </c>
      <c r="AQ495" s="26">
        <v>12</v>
      </c>
      <c r="AR495" s="681"/>
      <c r="AS495" s="159">
        <f t="shared" ref="AS495:AS506" si="349">IF(AO495=0,0,AP495-AO495+1-AQ495)</f>
        <v>488</v>
      </c>
      <c r="AT495" s="683">
        <f>SUM(AS495:AS499)+AR495</f>
        <v>1245</v>
      </c>
      <c r="AU495" s="29" t="s">
        <v>51</v>
      </c>
      <c r="AV495" s="640">
        <v>8.25</v>
      </c>
      <c r="AW495" s="29" t="s">
        <v>51</v>
      </c>
      <c r="AX495" s="657">
        <v>0.25</v>
      </c>
      <c r="AY495" s="633">
        <f>SUM(AV495,AX495)</f>
        <v>8.5</v>
      </c>
      <c r="AZ495" s="657">
        <v>0.25</v>
      </c>
      <c r="BA495" s="657">
        <f>AV495*60</f>
        <v>495</v>
      </c>
      <c r="BB495" s="657">
        <f>IF(
   COUNTIF(AU495:AU499,"SI")&gt;0,
   1.8,
   IF(
      COUNTIF(AV495:AV499,"SI")&gt;0,
      1.6,
      2
   )
)</f>
        <v>1.8</v>
      </c>
      <c r="BC495" s="672">
        <f t="shared" si="346"/>
        <v>2.5151515151515151</v>
      </c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18"/>
      <c r="BX495" s="118"/>
      <c r="BY495" s="118"/>
      <c r="BZ495" s="118"/>
      <c r="CA495" s="118"/>
      <c r="CB495" s="118"/>
      <c r="CC495" s="118"/>
      <c r="CD495" s="118"/>
      <c r="CE495" s="118"/>
      <c r="CF495" s="118"/>
      <c r="CG495" s="118"/>
      <c r="CH495" s="118"/>
      <c r="CI495" s="118"/>
      <c r="CJ495" s="118"/>
      <c r="CK495" s="118"/>
      <c r="CL495" s="118"/>
      <c r="CM495" s="118"/>
      <c r="CN495" s="92"/>
      <c r="CO495" s="93"/>
      <c r="CP495" s="93"/>
      <c r="CQ495" s="93"/>
      <c r="CR495" s="93"/>
      <c r="CS495" s="93"/>
      <c r="CT495" s="93"/>
      <c r="CU495" s="93"/>
      <c r="CV495" s="93"/>
      <c r="CW495" s="93"/>
      <c r="CX495" s="93"/>
      <c r="CY495" s="93"/>
      <c r="CZ495" s="93"/>
      <c r="DA495" s="93"/>
      <c r="DB495" s="93"/>
      <c r="DC495" s="94"/>
      <c r="DD495" s="118"/>
      <c r="DE495" s="118"/>
      <c r="DF495" s="118"/>
      <c r="DG495" s="118"/>
      <c r="DH495" s="118"/>
      <c r="DI495" s="118"/>
      <c r="DJ495" s="118"/>
      <c r="DK495" s="118"/>
      <c r="DL495" s="118"/>
      <c r="DM495" s="118"/>
      <c r="DN495" s="118"/>
      <c r="DO495" s="118"/>
      <c r="DP495" s="118"/>
      <c r="DQ495" s="118"/>
      <c r="DR495" s="118"/>
      <c r="DS495" s="118"/>
      <c r="DT495" s="118"/>
      <c r="DU495" s="19"/>
      <c r="DV495" s="19"/>
      <c r="DW495" s="19"/>
      <c r="DX495" s="19"/>
      <c r="DY495" s="19"/>
      <c r="DZ495" s="19"/>
    </row>
    <row r="496" spans="1:130" ht="12.75" x14ac:dyDescent="0.2">
      <c r="A496" s="647"/>
      <c r="B496" s="647"/>
      <c r="C496" s="30"/>
      <c r="D496" s="158"/>
      <c r="E496" s="158"/>
      <c r="F496" s="158"/>
      <c r="G496" s="158"/>
      <c r="H496" s="634"/>
      <c r="I496" s="159">
        <f t="shared" si="347"/>
        <v>0</v>
      </c>
      <c r="J496" s="634"/>
      <c r="K496" s="30"/>
      <c r="L496" s="142"/>
      <c r="M496" s="634"/>
      <c r="N496" s="634"/>
      <c r="O496" s="634"/>
      <c r="P496" s="634"/>
      <c r="Q496" s="634"/>
      <c r="R496" s="634"/>
      <c r="S496" s="659"/>
      <c r="T496" s="647"/>
      <c r="U496" s="30"/>
      <c r="V496" s="30"/>
      <c r="W496" s="30"/>
      <c r="X496" s="30"/>
      <c r="Y496" s="30"/>
      <c r="Z496" s="638"/>
      <c r="AA496" s="51">
        <f t="shared" si="348"/>
        <v>0</v>
      </c>
      <c r="AB496" s="670"/>
      <c r="AC496" s="29"/>
      <c r="AD496" s="25"/>
      <c r="AE496" s="634"/>
      <c r="AF496" s="634"/>
      <c r="AG496" s="634"/>
      <c r="AH496" s="634"/>
      <c r="AI496" s="638"/>
      <c r="AJ496" s="634"/>
      <c r="AK496" s="642"/>
      <c r="AL496" s="647"/>
      <c r="AM496" s="28">
        <v>133</v>
      </c>
      <c r="AN496" s="28">
        <v>653</v>
      </c>
      <c r="AO496" s="28">
        <v>12503</v>
      </c>
      <c r="AP496" s="28">
        <v>13002</v>
      </c>
      <c r="AQ496" s="29">
        <v>6</v>
      </c>
      <c r="AR496" s="638"/>
      <c r="AS496" s="159">
        <f t="shared" si="349"/>
        <v>494</v>
      </c>
      <c r="AT496" s="670"/>
      <c r="AU496" s="29" t="s">
        <v>51</v>
      </c>
      <c r="AV496" s="634"/>
      <c r="AW496" s="29" t="s">
        <v>51</v>
      </c>
      <c r="AX496" s="634"/>
      <c r="AY496" s="634"/>
      <c r="AZ496" s="634"/>
      <c r="BA496" s="634"/>
      <c r="BB496" s="634"/>
      <c r="BC496" s="634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18"/>
      <c r="BX496" s="118"/>
      <c r="BY496" s="118"/>
      <c r="BZ496" s="118"/>
      <c r="CA496" s="118"/>
      <c r="CB496" s="118"/>
      <c r="CC496" s="118"/>
      <c r="CD496" s="118"/>
      <c r="CE496" s="118"/>
      <c r="CF496" s="118"/>
      <c r="CG496" s="118"/>
      <c r="CH496" s="118"/>
      <c r="CI496" s="118"/>
      <c r="CJ496" s="118"/>
      <c r="CK496" s="118"/>
      <c r="CL496" s="118"/>
      <c r="CM496" s="118"/>
      <c r="CN496" s="92"/>
      <c r="CO496" s="93"/>
      <c r="CP496" s="93"/>
      <c r="CQ496" s="93"/>
      <c r="CR496" s="93"/>
      <c r="CS496" s="93"/>
      <c r="CT496" s="93"/>
      <c r="CU496" s="93"/>
      <c r="CV496" s="93"/>
      <c r="CW496" s="93"/>
      <c r="CX496" s="93"/>
      <c r="CY496" s="93"/>
      <c r="CZ496" s="93"/>
      <c r="DA496" s="93"/>
      <c r="DB496" s="93"/>
      <c r="DC496" s="94"/>
      <c r="DD496" s="118"/>
      <c r="DE496" s="118"/>
      <c r="DF496" s="118"/>
      <c r="DG496" s="118"/>
      <c r="DH496" s="118"/>
      <c r="DI496" s="118"/>
      <c r="DJ496" s="118"/>
      <c r="DK496" s="118"/>
      <c r="DL496" s="118"/>
      <c r="DM496" s="118"/>
      <c r="DN496" s="118"/>
      <c r="DO496" s="118"/>
      <c r="DP496" s="118"/>
      <c r="DQ496" s="118"/>
      <c r="DR496" s="118"/>
      <c r="DS496" s="118"/>
      <c r="DT496" s="118"/>
      <c r="DU496" s="19"/>
      <c r="DV496" s="19"/>
      <c r="DW496" s="19"/>
      <c r="DX496" s="19"/>
      <c r="DY496" s="19"/>
      <c r="DZ496" s="19"/>
    </row>
    <row r="497" spans="1:130" ht="12.75" x14ac:dyDescent="0.2">
      <c r="A497" s="647"/>
      <c r="B497" s="647"/>
      <c r="C497" s="30"/>
      <c r="D497" s="158"/>
      <c r="E497" s="158"/>
      <c r="F497" s="158"/>
      <c r="G497" s="158"/>
      <c r="H497" s="634"/>
      <c r="I497" s="159">
        <f t="shared" si="347"/>
        <v>0</v>
      </c>
      <c r="J497" s="634"/>
      <c r="K497" s="158"/>
      <c r="L497" s="161"/>
      <c r="M497" s="634"/>
      <c r="N497" s="634"/>
      <c r="O497" s="634"/>
      <c r="P497" s="634"/>
      <c r="Q497" s="634"/>
      <c r="R497" s="634"/>
      <c r="S497" s="659"/>
      <c r="T497" s="647"/>
      <c r="U497" s="30"/>
      <c r="V497" s="158"/>
      <c r="W497" s="30"/>
      <c r="X497" s="30"/>
      <c r="Y497" s="30"/>
      <c r="Z497" s="638"/>
      <c r="AA497" s="51">
        <f t="shared" si="348"/>
        <v>0</v>
      </c>
      <c r="AB497" s="670"/>
      <c r="AC497" s="158"/>
      <c r="AD497" s="161"/>
      <c r="AE497" s="634"/>
      <c r="AF497" s="634"/>
      <c r="AG497" s="634"/>
      <c r="AH497" s="634"/>
      <c r="AI497" s="638"/>
      <c r="AJ497" s="634"/>
      <c r="AK497" s="642"/>
      <c r="AL497" s="647"/>
      <c r="AM497" s="28">
        <v>68</v>
      </c>
      <c r="AN497" s="28">
        <v>654</v>
      </c>
      <c r="AO497" s="28">
        <v>13003</v>
      </c>
      <c r="AP497" s="28">
        <v>13270</v>
      </c>
      <c r="AQ497" s="28">
        <v>5</v>
      </c>
      <c r="AR497" s="638"/>
      <c r="AS497" s="159">
        <f t="shared" si="349"/>
        <v>263</v>
      </c>
      <c r="AT497" s="670"/>
      <c r="AU497" s="29" t="s">
        <v>51</v>
      </c>
      <c r="AV497" s="634"/>
      <c r="AW497" s="29" t="s">
        <v>51</v>
      </c>
      <c r="AX497" s="634"/>
      <c r="AY497" s="634"/>
      <c r="AZ497" s="634"/>
      <c r="BA497" s="634"/>
      <c r="BB497" s="634"/>
      <c r="BC497" s="634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18"/>
      <c r="BX497" s="118"/>
      <c r="BY497" s="118"/>
      <c r="BZ497" s="118"/>
      <c r="CA497" s="118"/>
      <c r="CB497" s="118"/>
      <c r="CC497" s="118"/>
      <c r="CD497" s="118"/>
      <c r="CE497" s="118"/>
      <c r="CF497" s="118"/>
      <c r="CG497" s="118"/>
      <c r="CH497" s="118"/>
      <c r="CI497" s="118"/>
      <c r="CJ497" s="118"/>
      <c r="CK497" s="118"/>
      <c r="CL497" s="118"/>
      <c r="CM497" s="118"/>
      <c r="CN497" s="92"/>
      <c r="CO497" s="93"/>
      <c r="CP497" s="93"/>
      <c r="CQ497" s="93"/>
      <c r="CR497" s="93"/>
      <c r="CS497" s="93"/>
      <c r="CT497" s="93"/>
      <c r="CU497" s="93"/>
      <c r="CV497" s="93"/>
      <c r="CW497" s="93"/>
      <c r="CX497" s="93"/>
      <c r="CY497" s="93"/>
      <c r="CZ497" s="93"/>
      <c r="DA497" s="93"/>
      <c r="DB497" s="93"/>
      <c r="DC497" s="94"/>
      <c r="DD497" s="118"/>
      <c r="DE497" s="118"/>
      <c r="DF497" s="118"/>
      <c r="DG497" s="118"/>
      <c r="DH497" s="118"/>
      <c r="DI497" s="118"/>
      <c r="DJ497" s="118"/>
      <c r="DK497" s="118"/>
      <c r="DL497" s="118"/>
      <c r="DM497" s="118"/>
      <c r="DN497" s="118"/>
      <c r="DO497" s="118"/>
      <c r="DP497" s="118"/>
      <c r="DQ497" s="118"/>
      <c r="DR497" s="118"/>
      <c r="DS497" s="118"/>
      <c r="DT497" s="118"/>
      <c r="DU497" s="19"/>
      <c r="DV497" s="19"/>
      <c r="DW497" s="19"/>
      <c r="DX497" s="19"/>
      <c r="DY497" s="19"/>
      <c r="DZ497" s="19"/>
    </row>
    <row r="498" spans="1:130" ht="12.75" x14ac:dyDescent="0.2">
      <c r="A498" s="647"/>
      <c r="B498" s="647"/>
      <c r="C498" s="30"/>
      <c r="D498" s="30"/>
      <c r="E498" s="30"/>
      <c r="F498" s="30"/>
      <c r="G498" s="30"/>
      <c r="H498" s="634"/>
      <c r="I498" s="159">
        <f t="shared" si="347"/>
        <v>0</v>
      </c>
      <c r="J498" s="634"/>
      <c r="K498" s="30"/>
      <c r="L498" s="142"/>
      <c r="M498" s="634"/>
      <c r="N498" s="634"/>
      <c r="O498" s="634"/>
      <c r="P498" s="634"/>
      <c r="Q498" s="634"/>
      <c r="R498" s="634"/>
      <c r="S498" s="659"/>
      <c r="T498" s="647"/>
      <c r="U498" s="30"/>
      <c r="V498" s="30"/>
      <c r="W498" s="30"/>
      <c r="X498" s="30"/>
      <c r="Y498" s="30"/>
      <c r="Z498" s="638"/>
      <c r="AA498" s="51">
        <f t="shared" si="348"/>
        <v>0</v>
      </c>
      <c r="AB498" s="670"/>
      <c r="AC498" s="30"/>
      <c r="AD498" s="142"/>
      <c r="AE498" s="634"/>
      <c r="AF498" s="634"/>
      <c r="AG498" s="634"/>
      <c r="AH498" s="634"/>
      <c r="AI498" s="638"/>
      <c r="AJ498" s="634"/>
      <c r="AK498" s="642"/>
      <c r="AL498" s="647"/>
      <c r="AM498" s="29"/>
      <c r="AN498" s="29"/>
      <c r="AO498" s="29"/>
      <c r="AP498" s="29"/>
      <c r="AQ498" s="30"/>
      <c r="AR498" s="638"/>
      <c r="AS498" s="159">
        <f t="shared" si="349"/>
        <v>0</v>
      </c>
      <c r="AT498" s="671"/>
      <c r="AU498" s="29"/>
      <c r="AV498" s="635"/>
      <c r="AW498" s="25"/>
      <c r="AX498" s="634"/>
      <c r="AY498" s="634"/>
      <c r="AZ498" s="634"/>
      <c r="BA498" s="634"/>
      <c r="BB498" s="634"/>
      <c r="BC498" s="634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18"/>
      <c r="BX498" s="118"/>
      <c r="BY498" s="118"/>
      <c r="BZ498" s="118"/>
      <c r="CA498" s="118"/>
      <c r="CB498" s="118"/>
      <c r="CC498" s="118"/>
      <c r="CD498" s="118"/>
      <c r="CE498" s="118"/>
      <c r="CF498" s="118"/>
      <c r="CG498" s="118"/>
      <c r="CH498" s="118"/>
      <c r="CI498" s="118"/>
      <c r="CJ498" s="118"/>
      <c r="CK498" s="118"/>
      <c r="CL498" s="118"/>
      <c r="CM498" s="118"/>
      <c r="CN498" s="92"/>
      <c r="CO498" s="93"/>
      <c r="CP498" s="93"/>
      <c r="CQ498" s="93"/>
      <c r="CR498" s="93"/>
      <c r="CS498" s="93"/>
      <c r="CT498" s="93"/>
      <c r="CU498" s="93"/>
      <c r="CV498" s="93"/>
      <c r="CW498" s="93"/>
      <c r="CX498" s="93"/>
      <c r="CY498" s="93"/>
      <c r="CZ498" s="93"/>
      <c r="DA498" s="93"/>
      <c r="DB498" s="93"/>
      <c r="DC498" s="94"/>
      <c r="DD498" s="118"/>
      <c r="DE498" s="118"/>
      <c r="DF498" s="118"/>
      <c r="DG498" s="118"/>
      <c r="DH498" s="118"/>
      <c r="DI498" s="118"/>
      <c r="DJ498" s="118"/>
      <c r="DK498" s="118"/>
      <c r="DL498" s="118"/>
      <c r="DM498" s="118"/>
      <c r="DN498" s="118"/>
      <c r="DO498" s="118"/>
      <c r="DP498" s="118"/>
      <c r="DQ498" s="118"/>
      <c r="DR498" s="118"/>
      <c r="DS498" s="118"/>
      <c r="DT498" s="118"/>
      <c r="DU498" s="19"/>
      <c r="DV498" s="19"/>
      <c r="DW498" s="19"/>
      <c r="DX498" s="19"/>
      <c r="DY498" s="19"/>
      <c r="DZ498" s="19"/>
    </row>
    <row r="499" spans="1:130" ht="12.75" x14ac:dyDescent="0.2">
      <c r="A499" s="648"/>
      <c r="B499" s="648"/>
      <c r="C499" s="30"/>
      <c r="D499" s="30"/>
      <c r="E499" s="30"/>
      <c r="F499" s="30"/>
      <c r="G499" s="30"/>
      <c r="H499" s="635"/>
      <c r="I499" s="159">
        <f t="shared" si="347"/>
        <v>0</v>
      </c>
      <c r="J499" s="635"/>
      <c r="K499" s="30"/>
      <c r="L499" s="142"/>
      <c r="M499" s="635"/>
      <c r="N499" s="635"/>
      <c r="O499" s="635"/>
      <c r="P499" s="635"/>
      <c r="Q499" s="635"/>
      <c r="R499" s="635"/>
      <c r="S499" s="660"/>
      <c r="T499" s="648"/>
      <c r="U499" s="30"/>
      <c r="V499" s="30"/>
      <c r="W499" s="30"/>
      <c r="X499" s="30"/>
      <c r="Y499" s="30"/>
      <c r="Z499" s="639"/>
      <c r="AA499" s="51">
        <f t="shared" si="348"/>
        <v>0</v>
      </c>
      <c r="AB499" s="671"/>
      <c r="AC499" s="30"/>
      <c r="AD499" s="142"/>
      <c r="AE499" s="635"/>
      <c r="AF499" s="635"/>
      <c r="AG499" s="635"/>
      <c r="AH499" s="635"/>
      <c r="AI499" s="639"/>
      <c r="AJ499" s="635"/>
      <c r="AK499" s="643"/>
      <c r="AL499" s="648"/>
      <c r="AM499" s="30"/>
      <c r="AN499" s="30"/>
      <c r="AO499" s="30"/>
      <c r="AP499" s="30"/>
      <c r="AQ499" s="30"/>
      <c r="AR499" s="639"/>
      <c r="AS499" s="159">
        <f t="shared" si="349"/>
        <v>0</v>
      </c>
      <c r="AT499" s="146">
        <f>AS499</f>
        <v>0</v>
      </c>
      <c r="AU499" s="30"/>
      <c r="AV499" s="142"/>
      <c r="AW499" s="142"/>
      <c r="AX499" s="635"/>
      <c r="AY499" s="635"/>
      <c r="AZ499" s="635"/>
      <c r="BA499" s="147">
        <f t="shared" ref="BA499:BA500" si="350">AV499*60</f>
        <v>0</v>
      </c>
      <c r="BB499" s="635"/>
      <c r="BC499" s="148">
        <f t="shared" ref="BC499:BC500" si="351">IF(BA499=0,0,AT499/BA499)</f>
        <v>0</v>
      </c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18"/>
      <c r="BX499" s="118"/>
      <c r="BY499" s="118"/>
      <c r="BZ499" s="118"/>
      <c r="CA499" s="118"/>
      <c r="CB499" s="118"/>
      <c r="CC499" s="118"/>
      <c r="CD499" s="118"/>
      <c r="CE499" s="118"/>
      <c r="CF499" s="118"/>
      <c r="CG499" s="118"/>
      <c r="CH499" s="118"/>
      <c r="CI499" s="118"/>
      <c r="CJ499" s="118"/>
      <c r="CK499" s="118"/>
      <c r="CL499" s="118"/>
      <c r="CM499" s="118"/>
      <c r="CN499" s="92"/>
      <c r="CO499" s="93"/>
      <c r="CP499" s="93"/>
      <c r="CQ499" s="93"/>
      <c r="CR499" s="93"/>
      <c r="CS499" s="93"/>
      <c r="CT499" s="93"/>
      <c r="CU499" s="93"/>
      <c r="CV499" s="93"/>
      <c r="CW499" s="93"/>
      <c r="CX499" s="93"/>
      <c r="CY499" s="93"/>
      <c r="CZ499" s="93"/>
      <c r="DA499" s="93"/>
      <c r="DB499" s="93"/>
      <c r="DC499" s="94"/>
      <c r="DD499" s="118"/>
      <c r="DE499" s="118"/>
      <c r="DF499" s="118"/>
      <c r="DG499" s="118"/>
      <c r="DH499" s="118"/>
      <c r="DI499" s="118"/>
      <c r="DJ499" s="118"/>
      <c r="DK499" s="118"/>
      <c r="DL499" s="118"/>
      <c r="DM499" s="118"/>
      <c r="DN499" s="118"/>
      <c r="DO499" s="118"/>
      <c r="DP499" s="118"/>
      <c r="DQ499" s="118"/>
      <c r="DR499" s="118"/>
      <c r="DS499" s="118"/>
      <c r="DT499" s="118"/>
      <c r="DU499" s="19"/>
      <c r="DV499" s="19"/>
      <c r="DW499" s="19"/>
      <c r="DX499" s="19"/>
      <c r="DY499" s="19"/>
      <c r="DZ499" s="19"/>
    </row>
    <row r="500" spans="1:130" ht="12.75" x14ac:dyDescent="0.2">
      <c r="A500" s="651"/>
      <c r="B500" s="646">
        <v>46182</v>
      </c>
      <c r="C500" s="40"/>
      <c r="D500" s="40"/>
      <c r="E500" s="40"/>
      <c r="F500" s="40"/>
      <c r="G500" s="40"/>
      <c r="H500" s="653"/>
      <c r="I500" s="159">
        <f t="shared" si="347"/>
        <v>0</v>
      </c>
      <c r="J500" s="650">
        <f>SUM(I500:I503,H500)</f>
        <v>0</v>
      </c>
      <c r="K500" s="40"/>
      <c r="L500" s="40"/>
      <c r="M500" s="653"/>
      <c r="N500" s="653"/>
      <c r="O500" s="633">
        <f>SUM(M500:N503)</f>
        <v>0</v>
      </c>
      <c r="P500" s="653"/>
      <c r="Q500" s="636">
        <f>M500*60</f>
        <v>0</v>
      </c>
      <c r="R500" s="657">
        <f>IF(
   COUNTIF(K500:K503,"SI")&gt;0,
   1.8,
   IF(
      COUNTIF(L500:L503,"SI")&gt;0,
      1.6,
      2
   )
)</f>
        <v>2</v>
      </c>
      <c r="S500" s="678">
        <f>IF(Q500=0,0,J500/Q500)</f>
        <v>0</v>
      </c>
      <c r="T500" s="646">
        <v>46182</v>
      </c>
      <c r="U500" s="40"/>
      <c r="V500" s="38"/>
      <c r="W500" s="38"/>
      <c r="X500" s="38"/>
      <c r="Y500" s="38"/>
      <c r="Z500" s="653">
        <v>7</v>
      </c>
      <c r="AA500" s="51">
        <f t="shared" si="348"/>
        <v>0</v>
      </c>
      <c r="AB500" s="650">
        <f>SUM(AA500:AA503)+Z500</f>
        <v>7</v>
      </c>
      <c r="AC500" s="38"/>
      <c r="AD500" s="38"/>
      <c r="AE500" s="636">
        <v>0</v>
      </c>
      <c r="AF500" s="636">
        <v>8.5</v>
      </c>
      <c r="AG500" s="633">
        <f>SUM(AE500:AF503)</f>
        <v>8.5</v>
      </c>
      <c r="AH500" s="636">
        <v>0</v>
      </c>
      <c r="AI500" s="637">
        <f>AE500*60</f>
        <v>0</v>
      </c>
      <c r="AJ500" s="640">
        <f>IF(
   COUNTIF(AC500:AC503,"SI")&gt;0,
   1.8,
   IF(
      COUNTIF(AD500:AD503,"SI")&gt;0,
      1.6,
      2
   )
)</f>
        <v>2</v>
      </c>
      <c r="AK500" s="641">
        <f>IF(AI500=0,0,AB500/AI500)</f>
        <v>0</v>
      </c>
      <c r="AL500" s="646">
        <v>46182</v>
      </c>
      <c r="AM500" s="31"/>
      <c r="AN500" s="31"/>
      <c r="AO500" s="31"/>
      <c r="AP500" s="31"/>
      <c r="AQ500" s="31"/>
      <c r="AR500" s="653"/>
      <c r="AS500" s="159">
        <f t="shared" si="349"/>
        <v>0</v>
      </c>
      <c r="AT500" s="683">
        <f>SUM(AS500:AS503)+AR500</f>
        <v>0</v>
      </c>
      <c r="AU500" s="653"/>
      <c r="AV500" s="653"/>
      <c r="AW500" s="31"/>
      <c r="AX500" s="653"/>
      <c r="AY500" s="633">
        <f>SUM(AV500:AX503)</f>
        <v>0</v>
      </c>
      <c r="AZ500" s="636">
        <v>0.25</v>
      </c>
      <c r="BA500" s="636">
        <f t="shared" si="350"/>
        <v>0</v>
      </c>
      <c r="BB500" s="657">
        <f>IF(
   COUNTIF(AU500:AU503,"SI")&gt;0,
   1.8,
   IF(
      COUNTIF(AV500:AV503,"SI")&gt;0,
      1.6,
      2
   )
)</f>
        <v>2</v>
      </c>
      <c r="BC500" s="667">
        <f t="shared" si="351"/>
        <v>0</v>
      </c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18"/>
      <c r="BX500" s="118"/>
      <c r="BY500" s="118"/>
      <c r="BZ500" s="118"/>
      <c r="CA500" s="118"/>
      <c r="CB500" s="118"/>
      <c r="CC500" s="118"/>
      <c r="CD500" s="118"/>
      <c r="CE500" s="118"/>
      <c r="CF500" s="118"/>
      <c r="CG500" s="118"/>
      <c r="CH500" s="118"/>
      <c r="CI500" s="118"/>
      <c r="CJ500" s="118"/>
      <c r="CK500" s="118"/>
      <c r="CL500" s="118"/>
      <c r="CM500" s="118"/>
      <c r="CN500" s="92"/>
      <c r="CO500" s="93"/>
      <c r="CP500" s="93"/>
      <c r="CQ500" s="93"/>
      <c r="CR500" s="93"/>
      <c r="CS500" s="93"/>
      <c r="CT500" s="93"/>
      <c r="CU500" s="93"/>
      <c r="CV500" s="93"/>
      <c r="CW500" s="93"/>
      <c r="CX500" s="93"/>
      <c r="CY500" s="93"/>
      <c r="CZ500" s="93"/>
      <c r="DA500" s="93"/>
      <c r="DB500" s="93"/>
      <c r="DC500" s="94"/>
      <c r="DD500" s="118"/>
      <c r="DE500" s="118"/>
      <c r="DF500" s="118"/>
      <c r="DG500" s="118"/>
      <c r="DH500" s="118"/>
      <c r="DI500" s="118"/>
      <c r="DJ500" s="118"/>
      <c r="DK500" s="118"/>
      <c r="DL500" s="118"/>
      <c r="DM500" s="118"/>
      <c r="DN500" s="118"/>
      <c r="DO500" s="118"/>
      <c r="DP500" s="118"/>
      <c r="DQ500" s="118"/>
      <c r="DR500" s="118"/>
      <c r="DS500" s="118"/>
      <c r="DT500" s="118"/>
      <c r="DU500" s="19"/>
      <c r="DV500" s="19"/>
      <c r="DW500" s="19"/>
      <c r="DX500" s="19"/>
      <c r="DY500" s="19"/>
      <c r="DZ500" s="19"/>
    </row>
    <row r="501" spans="1:130" ht="12.75" x14ac:dyDescent="0.2">
      <c r="A501" s="647"/>
      <c r="B501" s="647"/>
      <c r="C501" s="40"/>
      <c r="D501" s="40"/>
      <c r="E501" s="40"/>
      <c r="F501" s="40"/>
      <c r="G501" s="40"/>
      <c r="H501" s="634"/>
      <c r="I501" s="159">
        <f t="shared" si="347"/>
        <v>0</v>
      </c>
      <c r="J501" s="634"/>
      <c r="K501" s="40"/>
      <c r="L501" s="40"/>
      <c r="M501" s="634"/>
      <c r="N501" s="634"/>
      <c r="O501" s="634"/>
      <c r="P501" s="634"/>
      <c r="Q501" s="634"/>
      <c r="R501" s="634"/>
      <c r="S501" s="659"/>
      <c r="T501" s="647"/>
      <c r="U501" s="40"/>
      <c r="V501" s="31"/>
      <c r="W501" s="31"/>
      <c r="X501" s="31"/>
      <c r="Y501" s="31"/>
      <c r="Z501" s="634"/>
      <c r="AA501" s="51">
        <f t="shared" si="348"/>
        <v>0</v>
      </c>
      <c r="AB501" s="634"/>
      <c r="AC501" s="38"/>
      <c r="AD501" s="38"/>
      <c r="AE501" s="634"/>
      <c r="AF501" s="634"/>
      <c r="AG501" s="634"/>
      <c r="AH501" s="634"/>
      <c r="AI501" s="638"/>
      <c r="AJ501" s="634"/>
      <c r="AK501" s="642"/>
      <c r="AL501" s="647"/>
      <c r="AM501" s="31"/>
      <c r="AN501" s="31"/>
      <c r="AO501" s="31"/>
      <c r="AP501" s="31"/>
      <c r="AQ501" s="31"/>
      <c r="AR501" s="634"/>
      <c r="AS501" s="159">
        <f t="shared" si="349"/>
        <v>0</v>
      </c>
      <c r="AT501" s="670"/>
      <c r="AU501" s="634"/>
      <c r="AV501" s="634"/>
      <c r="AW501" s="31"/>
      <c r="AX501" s="634"/>
      <c r="AY501" s="634"/>
      <c r="AZ501" s="634"/>
      <c r="BA501" s="634"/>
      <c r="BB501" s="634"/>
      <c r="BC501" s="634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18"/>
      <c r="BX501" s="118"/>
      <c r="BY501" s="118"/>
      <c r="BZ501" s="118"/>
      <c r="CA501" s="118"/>
      <c r="CB501" s="118"/>
      <c r="CC501" s="118"/>
      <c r="CD501" s="118"/>
      <c r="CE501" s="118"/>
      <c r="CF501" s="118"/>
      <c r="CG501" s="118"/>
      <c r="CH501" s="118"/>
      <c r="CI501" s="118"/>
      <c r="CJ501" s="118"/>
      <c r="CK501" s="118"/>
      <c r="CL501" s="118"/>
      <c r="CM501" s="118"/>
      <c r="CN501" s="92"/>
      <c r="CO501" s="93"/>
      <c r="CP501" s="93"/>
      <c r="CQ501" s="93"/>
      <c r="CR501" s="93"/>
      <c r="CS501" s="93"/>
      <c r="CT501" s="93"/>
      <c r="CU501" s="93"/>
      <c r="CV501" s="93"/>
      <c r="CW501" s="93"/>
      <c r="CX501" s="93"/>
      <c r="CY501" s="93"/>
      <c r="CZ501" s="93"/>
      <c r="DA501" s="93"/>
      <c r="DB501" s="93"/>
      <c r="DC501" s="94"/>
      <c r="DD501" s="118"/>
      <c r="DE501" s="118"/>
      <c r="DF501" s="118"/>
      <c r="DG501" s="118"/>
      <c r="DH501" s="118"/>
      <c r="DI501" s="118"/>
      <c r="DJ501" s="118"/>
      <c r="DK501" s="118"/>
      <c r="DL501" s="118"/>
      <c r="DM501" s="118"/>
      <c r="DN501" s="118"/>
      <c r="DO501" s="118"/>
      <c r="DP501" s="118"/>
      <c r="DQ501" s="118"/>
      <c r="DR501" s="118"/>
      <c r="DS501" s="118"/>
      <c r="DT501" s="118"/>
      <c r="DU501" s="19"/>
      <c r="DV501" s="19"/>
      <c r="DW501" s="19"/>
      <c r="DX501" s="19"/>
      <c r="DY501" s="19"/>
      <c r="DZ501" s="19"/>
    </row>
    <row r="502" spans="1:130" ht="12.75" x14ac:dyDescent="0.2">
      <c r="A502" s="647"/>
      <c r="B502" s="647"/>
      <c r="C502" s="40"/>
      <c r="D502" s="40"/>
      <c r="E502" s="40"/>
      <c r="F502" s="40"/>
      <c r="G502" s="40"/>
      <c r="H502" s="634"/>
      <c r="I502" s="159">
        <f t="shared" si="347"/>
        <v>0</v>
      </c>
      <c r="J502" s="634"/>
      <c r="K502" s="40"/>
      <c r="L502" s="40"/>
      <c r="M502" s="634"/>
      <c r="N502" s="634"/>
      <c r="O502" s="634"/>
      <c r="P502" s="634"/>
      <c r="Q502" s="634"/>
      <c r="R502" s="634"/>
      <c r="S502" s="659"/>
      <c r="T502" s="647"/>
      <c r="U502" s="40"/>
      <c r="V502" s="31"/>
      <c r="W502" s="31"/>
      <c r="X502" s="31"/>
      <c r="Y502" s="31"/>
      <c r="Z502" s="634"/>
      <c r="AA502" s="51">
        <f t="shared" si="348"/>
        <v>0</v>
      </c>
      <c r="AB502" s="634"/>
      <c r="AC502" s="38"/>
      <c r="AD502" s="38"/>
      <c r="AE502" s="634"/>
      <c r="AF502" s="634"/>
      <c r="AG502" s="634"/>
      <c r="AH502" s="634"/>
      <c r="AI502" s="638"/>
      <c r="AJ502" s="634"/>
      <c r="AK502" s="642"/>
      <c r="AL502" s="647"/>
      <c r="AM502" s="31"/>
      <c r="AN502" s="31"/>
      <c r="AO502" s="31"/>
      <c r="AP502" s="31"/>
      <c r="AQ502" s="159"/>
      <c r="AR502" s="634"/>
      <c r="AS502" s="159">
        <f t="shared" si="349"/>
        <v>0</v>
      </c>
      <c r="AT502" s="671"/>
      <c r="AU502" s="635"/>
      <c r="AV502" s="635"/>
      <c r="AW502" s="40"/>
      <c r="AX502" s="634"/>
      <c r="AY502" s="634"/>
      <c r="AZ502" s="634"/>
      <c r="BA502" s="634"/>
      <c r="BB502" s="634"/>
      <c r="BC502" s="635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18"/>
      <c r="BX502" s="118"/>
      <c r="BY502" s="118"/>
      <c r="BZ502" s="118"/>
      <c r="CA502" s="118"/>
      <c r="CB502" s="118"/>
      <c r="CC502" s="118"/>
      <c r="CD502" s="118"/>
      <c r="CE502" s="118"/>
      <c r="CF502" s="118"/>
      <c r="CG502" s="118"/>
      <c r="CH502" s="118"/>
      <c r="CI502" s="118"/>
      <c r="CJ502" s="118"/>
      <c r="CK502" s="118"/>
      <c r="CL502" s="118"/>
      <c r="CM502" s="118"/>
      <c r="CN502" s="92"/>
      <c r="CO502" s="93"/>
      <c r="CP502" s="93"/>
      <c r="CQ502" s="93"/>
      <c r="CR502" s="93"/>
      <c r="CS502" s="93"/>
      <c r="CT502" s="93"/>
      <c r="CU502" s="93"/>
      <c r="CV502" s="93"/>
      <c r="CW502" s="93"/>
      <c r="CX502" s="93"/>
      <c r="CY502" s="93"/>
      <c r="CZ502" s="93"/>
      <c r="DA502" s="93"/>
      <c r="DB502" s="93"/>
      <c r="DC502" s="94"/>
      <c r="DD502" s="118"/>
      <c r="DE502" s="118"/>
      <c r="DF502" s="118"/>
      <c r="DG502" s="118"/>
      <c r="DH502" s="118"/>
      <c r="DI502" s="118"/>
      <c r="DJ502" s="118"/>
      <c r="DK502" s="118"/>
      <c r="DL502" s="118"/>
      <c r="DM502" s="118"/>
      <c r="DN502" s="118"/>
      <c r="DO502" s="118"/>
      <c r="DP502" s="118"/>
      <c r="DQ502" s="118"/>
      <c r="DR502" s="118"/>
      <c r="DS502" s="118"/>
      <c r="DT502" s="118"/>
      <c r="DU502" s="19"/>
      <c r="DV502" s="19"/>
      <c r="DW502" s="19"/>
      <c r="DX502" s="19"/>
      <c r="DY502" s="19"/>
      <c r="DZ502" s="19"/>
    </row>
    <row r="503" spans="1:130" ht="12.75" x14ac:dyDescent="0.2">
      <c r="A503" s="648"/>
      <c r="B503" s="648"/>
      <c r="C503" s="40"/>
      <c r="D503" s="40"/>
      <c r="E503" s="40"/>
      <c r="F503" s="40"/>
      <c r="G503" s="40"/>
      <c r="H503" s="635"/>
      <c r="I503" s="159">
        <f t="shared" si="347"/>
        <v>0</v>
      </c>
      <c r="J503" s="635"/>
      <c r="K503" s="40"/>
      <c r="L503" s="40"/>
      <c r="M503" s="635"/>
      <c r="N503" s="635"/>
      <c r="O503" s="635"/>
      <c r="P503" s="635"/>
      <c r="Q503" s="635"/>
      <c r="R503" s="635"/>
      <c r="S503" s="660"/>
      <c r="T503" s="648"/>
      <c r="U503" s="40"/>
      <c r="V503" s="40"/>
      <c r="W503" s="40"/>
      <c r="X503" s="40"/>
      <c r="Y503" s="40"/>
      <c r="Z503" s="635"/>
      <c r="AA503" s="51">
        <f t="shared" si="348"/>
        <v>0</v>
      </c>
      <c r="AB503" s="634"/>
      <c r="AC503" s="40"/>
      <c r="AD503" s="40"/>
      <c r="AE503" s="634"/>
      <c r="AF503" s="635"/>
      <c r="AG503" s="635"/>
      <c r="AH503" s="635"/>
      <c r="AI503" s="638"/>
      <c r="AJ503" s="635"/>
      <c r="AK503" s="643"/>
      <c r="AL503" s="648"/>
      <c r="AM503" s="40"/>
      <c r="AN503" s="31"/>
      <c r="AO503" s="31"/>
      <c r="AP503" s="31"/>
      <c r="AQ503" s="40"/>
      <c r="AR503" s="635"/>
      <c r="AS503" s="159">
        <f t="shared" si="349"/>
        <v>0</v>
      </c>
      <c r="AT503" s="153"/>
      <c r="AU503" s="40"/>
      <c r="AV503" s="154"/>
      <c r="AW503" s="154"/>
      <c r="AX503" s="635"/>
      <c r="AY503" s="635"/>
      <c r="AZ503" s="635"/>
      <c r="BA503" s="154"/>
      <c r="BB503" s="635"/>
      <c r="BC503" s="155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18"/>
      <c r="BX503" s="118"/>
      <c r="BY503" s="118"/>
      <c r="BZ503" s="118"/>
      <c r="CA503" s="118"/>
      <c r="CB503" s="118"/>
      <c r="CC503" s="118"/>
      <c r="CD503" s="118"/>
      <c r="CE503" s="118"/>
      <c r="CF503" s="118"/>
      <c r="CG503" s="118"/>
      <c r="CH503" s="118"/>
      <c r="CI503" s="118"/>
      <c r="CJ503" s="118"/>
      <c r="CK503" s="118"/>
      <c r="CL503" s="118"/>
      <c r="CM503" s="118"/>
      <c r="CN503" s="92"/>
      <c r="CO503" s="93"/>
      <c r="CP503" s="93"/>
      <c r="CQ503" s="93"/>
      <c r="CR503" s="93"/>
      <c r="CS503" s="93"/>
      <c r="CT503" s="93"/>
      <c r="CU503" s="93"/>
      <c r="CV503" s="93"/>
      <c r="CW503" s="93"/>
      <c r="CX503" s="93"/>
      <c r="CY503" s="93"/>
      <c r="CZ503" s="93"/>
      <c r="DA503" s="93"/>
      <c r="DB503" s="93"/>
      <c r="DC503" s="94"/>
      <c r="DD503" s="118"/>
      <c r="DE503" s="118"/>
      <c r="DF503" s="118"/>
      <c r="DG503" s="118"/>
      <c r="DH503" s="118"/>
      <c r="DI503" s="118"/>
      <c r="DJ503" s="118"/>
      <c r="DK503" s="118"/>
      <c r="DL503" s="118"/>
      <c r="DM503" s="118"/>
      <c r="DN503" s="118"/>
      <c r="DO503" s="118"/>
      <c r="DP503" s="118"/>
      <c r="DQ503" s="118"/>
      <c r="DR503" s="118"/>
      <c r="DS503" s="118"/>
      <c r="DT503" s="118"/>
      <c r="DU503" s="19"/>
      <c r="DV503" s="19"/>
      <c r="DW503" s="19"/>
      <c r="DX503" s="19"/>
      <c r="DY503" s="19"/>
      <c r="DZ503" s="19"/>
    </row>
    <row r="504" spans="1:130" ht="12.75" x14ac:dyDescent="0.2">
      <c r="A504" s="654"/>
      <c r="B504" s="655">
        <v>46183</v>
      </c>
      <c r="C504" s="29"/>
      <c r="D504" s="29"/>
      <c r="E504" s="29"/>
      <c r="F504" s="29"/>
      <c r="G504" s="30"/>
      <c r="H504" s="649"/>
      <c r="I504" s="159">
        <f t="shared" si="347"/>
        <v>0</v>
      </c>
      <c r="J504" s="650">
        <f>SUM(I504:I507,H504)</f>
        <v>0</v>
      </c>
      <c r="K504" s="29"/>
      <c r="L504" s="29"/>
      <c r="M504" s="649"/>
      <c r="N504" s="649"/>
      <c r="O504" s="656">
        <f>SUM(M504:N507)</f>
        <v>0</v>
      </c>
      <c r="P504" s="649"/>
      <c r="Q504" s="644">
        <f>M504*60</f>
        <v>0</v>
      </c>
      <c r="R504" s="657">
        <f>IF(
   COUNTIF(K504:K507,"SI")&gt;0,
   1.8,
   IF(
      COUNTIF(L504:L507,"SI")&gt;0,
      1.6,
      2
   )
)</f>
        <v>2</v>
      </c>
      <c r="S504" s="658">
        <f>IF(Q504=0,0,J504/Q504)</f>
        <v>0</v>
      </c>
      <c r="T504" s="655">
        <v>46183</v>
      </c>
      <c r="U504" s="30"/>
      <c r="V504" s="28"/>
      <c r="W504" s="28"/>
      <c r="X504" s="28"/>
      <c r="Y504" s="29"/>
      <c r="Z504" s="640"/>
      <c r="AA504" s="51">
        <f t="shared" si="348"/>
        <v>0</v>
      </c>
      <c r="AB504" s="650">
        <f>SUM(AA504:AA507,Z504)</f>
        <v>0</v>
      </c>
      <c r="AC504" s="28"/>
      <c r="AD504" s="28"/>
      <c r="AE504" s="640">
        <v>0</v>
      </c>
      <c r="AF504" s="640">
        <v>6.25</v>
      </c>
      <c r="AG504" s="633">
        <f>SUM(AE504:AF507)</f>
        <v>6.25</v>
      </c>
      <c r="AH504" s="640">
        <v>0</v>
      </c>
      <c r="AI504" s="664">
        <f>AE504*60</f>
        <v>0</v>
      </c>
      <c r="AJ504" s="640">
        <f>IF(
   COUNTIF(AC504:AC507,"SI")&gt;0,
   1.8,
   IF(
      COUNTIF(AD504:AD507,"SI")&gt;0,
      1.6,
      2
   )
)</f>
        <v>2</v>
      </c>
      <c r="AK504" s="641">
        <f>IF(AI504=0,0,AB504/AI504)</f>
        <v>0</v>
      </c>
      <c r="AL504" s="655">
        <v>46183</v>
      </c>
      <c r="AM504" s="31">
        <f>125-AM497</f>
        <v>57</v>
      </c>
      <c r="AN504" s="31">
        <v>654</v>
      </c>
      <c r="AO504" s="31">
        <v>13271</v>
      </c>
      <c r="AP504" s="31">
        <v>13508</v>
      </c>
      <c r="AQ504" s="31">
        <v>8</v>
      </c>
      <c r="AR504" s="653"/>
      <c r="AS504" s="159">
        <f t="shared" si="349"/>
        <v>230</v>
      </c>
      <c r="AT504" s="650">
        <f>SUM(AS504:AS506,AR504)</f>
        <v>729</v>
      </c>
      <c r="AU504" s="653" t="s">
        <v>51</v>
      </c>
      <c r="AV504" s="653">
        <v>4.75</v>
      </c>
      <c r="AW504" s="31" t="s">
        <v>51</v>
      </c>
      <c r="AX504" s="653">
        <v>2.75</v>
      </c>
      <c r="AY504" s="633">
        <f>SUM(AV504:AX507)</f>
        <v>7.5</v>
      </c>
      <c r="AZ504" s="636">
        <v>0.15</v>
      </c>
      <c r="BA504" s="640">
        <f>AV504*60</f>
        <v>285</v>
      </c>
      <c r="BB504" s="657">
        <f>IF(
   COUNTIF(AU504:AU507,"SI")&gt;0,
   1.8,
   IF(
      COUNTIF(AV504:AV507,"SI")&gt;0,
      1.6,
      2
   )
)</f>
        <v>1.8</v>
      </c>
      <c r="BC504" s="666">
        <f>IF(BA504=0,0,AT504/BA504)</f>
        <v>2.5578947368421052</v>
      </c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18"/>
      <c r="BX504" s="118"/>
      <c r="BY504" s="118"/>
      <c r="BZ504" s="118"/>
      <c r="CA504" s="118"/>
      <c r="CB504" s="118"/>
      <c r="CC504" s="118"/>
      <c r="CD504" s="118"/>
      <c r="CE504" s="118"/>
      <c r="CF504" s="118"/>
      <c r="CG504" s="118"/>
      <c r="CH504" s="118"/>
      <c r="CI504" s="118"/>
      <c r="CJ504" s="118"/>
      <c r="CK504" s="118"/>
      <c r="CL504" s="118"/>
      <c r="CM504" s="118"/>
      <c r="CN504" s="92"/>
      <c r="CO504" s="93"/>
      <c r="CP504" s="93"/>
      <c r="CQ504" s="93"/>
      <c r="CR504" s="93"/>
      <c r="CS504" s="93"/>
      <c r="CT504" s="93"/>
      <c r="CU504" s="93"/>
      <c r="CV504" s="93"/>
      <c r="CW504" s="93"/>
      <c r="CX504" s="93"/>
      <c r="CY504" s="93"/>
      <c r="CZ504" s="93"/>
      <c r="DA504" s="93"/>
      <c r="DB504" s="93"/>
      <c r="DC504" s="94"/>
      <c r="DD504" s="118"/>
      <c r="DE504" s="118"/>
      <c r="DF504" s="118"/>
      <c r="DG504" s="118"/>
      <c r="DH504" s="118"/>
      <c r="DI504" s="118"/>
      <c r="DJ504" s="118"/>
      <c r="DK504" s="118"/>
      <c r="DL504" s="118"/>
      <c r="DM504" s="118"/>
      <c r="DN504" s="118"/>
      <c r="DO504" s="118"/>
      <c r="DP504" s="118"/>
      <c r="DQ504" s="118"/>
      <c r="DR504" s="118"/>
      <c r="DS504" s="118"/>
      <c r="DT504" s="118"/>
      <c r="DU504" s="19"/>
      <c r="DV504" s="19"/>
      <c r="DW504" s="19"/>
      <c r="DX504" s="19"/>
      <c r="DY504" s="19"/>
      <c r="DZ504" s="19"/>
    </row>
    <row r="505" spans="1:130" ht="12.75" x14ac:dyDescent="0.2">
      <c r="A505" s="647"/>
      <c r="B505" s="647"/>
      <c r="C505" s="29"/>
      <c r="D505" s="29"/>
      <c r="E505" s="29"/>
      <c r="F505" s="29"/>
      <c r="G505" s="30"/>
      <c r="H505" s="634"/>
      <c r="I505" s="159">
        <f t="shared" si="347"/>
        <v>0</v>
      </c>
      <c r="J505" s="634"/>
      <c r="K505" s="30"/>
      <c r="L505" s="30"/>
      <c r="M505" s="634"/>
      <c r="N505" s="634"/>
      <c r="O505" s="634"/>
      <c r="P505" s="634"/>
      <c r="Q505" s="634"/>
      <c r="R505" s="634"/>
      <c r="S505" s="659"/>
      <c r="T505" s="647"/>
      <c r="U505" s="30"/>
      <c r="V505" s="28"/>
      <c r="W505" s="28"/>
      <c r="X505" s="28"/>
      <c r="Y505" s="29"/>
      <c r="Z505" s="634"/>
      <c r="AA505" s="51">
        <f t="shared" si="348"/>
        <v>0</v>
      </c>
      <c r="AB505" s="634"/>
      <c r="AC505" s="28"/>
      <c r="AD505" s="28"/>
      <c r="AE505" s="634"/>
      <c r="AF505" s="634"/>
      <c r="AG505" s="634"/>
      <c r="AH505" s="634"/>
      <c r="AI505" s="638"/>
      <c r="AJ505" s="634"/>
      <c r="AK505" s="642"/>
      <c r="AL505" s="647"/>
      <c r="AM505" s="31">
        <v>124</v>
      </c>
      <c r="AN505" s="31">
        <v>655</v>
      </c>
      <c r="AO505" s="31">
        <v>13509</v>
      </c>
      <c r="AP505" s="31">
        <v>14001</v>
      </c>
      <c r="AQ505" s="31">
        <v>3</v>
      </c>
      <c r="AR505" s="634"/>
      <c r="AS505" s="159">
        <f t="shared" si="349"/>
        <v>490</v>
      </c>
      <c r="AT505" s="634"/>
      <c r="AU505" s="634"/>
      <c r="AV505" s="634"/>
      <c r="AW505" s="31" t="s">
        <v>51</v>
      </c>
      <c r="AX505" s="634"/>
      <c r="AY505" s="634"/>
      <c r="AZ505" s="634"/>
      <c r="BA505" s="634"/>
      <c r="BB505" s="634"/>
      <c r="BC505" s="634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18"/>
      <c r="BX505" s="118"/>
      <c r="BY505" s="118"/>
      <c r="BZ505" s="118"/>
      <c r="CA505" s="118"/>
      <c r="CB505" s="118"/>
      <c r="CC505" s="118"/>
      <c r="CD505" s="118"/>
      <c r="CE505" s="118"/>
      <c r="CF505" s="118"/>
      <c r="CG505" s="118"/>
      <c r="CH505" s="118"/>
      <c r="CI505" s="118"/>
      <c r="CJ505" s="118"/>
      <c r="CK505" s="118"/>
      <c r="CL505" s="118"/>
      <c r="CM505" s="118"/>
      <c r="CN505" s="92"/>
      <c r="CO505" s="93"/>
      <c r="CP505" s="93"/>
      <c r="CQ505" s="93"/>
      <c r="CR505" s="93"/>
      <c r="CS505" s="93"/>
      <c r="CT505" s="93"/>
      <c r="CU505" s="93"/>
      <c r="CV505" s="93"/>
      <c r="CW505" s="93"/>
      <c r="CX505" s="93"/>
      <c r="CY505" s="93"/>
      <c r="CZ505" s="93"/>
      <c r="DA505" s="93"/>
      <c r="DB505" s="93"/>
      <c r="DC505" s="94"/>
      <c r="DD505" s="118"/>
      <c r="DE505" s="118"/>
      <c r="DF505" s="118"/>
      <c r="DG505" s="118"/>
      <c r="DH505" s="118"/>
      <c r="DI505" s="118"/>
      <c r="DJ505" s="118"/>
      <c r="DK505" s="118"/>
      <c r="DL505" s="118"/>
      <c r="DM505" s="118"/>
      <c r="DN505" s="118"/>
      <c r="DO505" s="118"/>
      <c r="DP505" s="118"/>
      <c r="DQ505" s="118"/>
      <c r="DR505" s="118"/>
      <c r="DS505" s="118"/>
      <c r="DT505" s="118"/>
      <c r="DU505" s="19"/>
      <c r="DV505" s="19"/>
      <c r="DW505" s="19"/>
      <c r="DX505" s="19"/>
      <c r="DY505" s="19"/>
      <c r="DZ505" s="19"/>
    </row>
    <row r="506" spans="1:130" ht="12.75" x14ac:dyDescent="0.2">
      <c r="A506" s="647"/>
      <c r="B506" s="647"/>
      <c r="C506" s="30"/>
      <c r="D506" s="30"/>
      <c r="E506" s="30"/>
      <c r="F506" s="30"/>
      <c r="G506" s="30"/>
      <c r="H506" s="634"/>
      <c r="I506" s="159">
        <f t="shared" si="347"/>
        <v>0</v>
      </c>
      <c r="J506" s="634"/>
      <c r="K506" s="30"/>
      <c r="L506" s="30"/>
      <c r="M506" s="634"/>
      <c r="N506" s="634"/>
      <c r="O506" s="634"/>
      <c r="P506" s="634"/>
      <c r="Q506" s="634"/>
      <c r="R506" s="634"/>
      <c r="S506" s="659"/>
      <c r="T506" s="647"/>
      <c r="U506" s="30"/>
      <c r="V506" s="28"/>
      <c r="W506" s="28"/>
      <c r="X506" s="28"/>
      <c r="Y506" s="29"/>
      <c r="Z506" s="634"/>
      <c r="AA506" s="51">
        <f t="shared" si="348"/>
        <v>0</v>
      </c>
      <c r="AB506" s="634"/>
      <c r="AC506" s="51"/>
      <c r="AD506" s="51"/>
      <c r="AE506" s="634"/>
      <c r="AF506" s="634"/>
      <c r="AG506" s="634"/>
      <c r="AH506" s="634"/>
      <c r="AI506" s="638"/>
      <c r="AJ506" s="634"/>
      <c r="AK506" s="642"/>
      <c r="AL506" s="647"/>
      <c r="AM506" s="31">
        <v>2</v>
      </c>
      <c r="AN506" s="31">
        <v>656</v>
      </c>
      <c r="AO506" s="31">
        <v>14002</v>
      </c>
      <c r="AP506" s="31">
        <v>14010</v>
      </c>
      <c r="AQ506" s="28"/>
      <c r="AR506" s="634"/>
      <c r="AS506" s="159">
        <f t="shared" si="349"/>
        <v>9</v>
      </c>
      <c r="AT506" s="635"/>
      <c r="AU506" s="635"/>
      <c r="AV506" s="635"/>
      <c r="AW506" s="31"/>
      <c r="AX506" s="634"/>
      <c r="AY506" s="634"/>
      <c r="AZ506" s="634"/>
      <c r="BA506" s="634"/>
      <c r="BB506" s="634"/>
      <c r="BC506" s="634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18"/>
      <c r="BX506" s="118"/>
      <c r="BY506" s="118"/>
      <c r="BZ506" s="118"/>
      <c r="CA506" s="118"/>
      <c r="CB506" s="118"/>
      <c r="CC506" s="118"/>
      <c r="CD506" s="118"/>
      <c r="CE506" s="118"/>
      <c r="CF506" s="118"/>
      <c r="CG506" s="118"/>
      <c r="CH506" s="118"/>
      <c r="CI506" s="118"/>
      <c r="CJ506" s="118"/>
      <c r="CK506" s="118"/>
      <c r="CL506" s="118"/>
      <c r="CM506" s="118"/>
      <c r="CN506" s="92"/>
      <c r="CO506" s="93"/>
      <c r="CP506" s="93"/>
      <c r="CQ506" s="93"/>
      <c r="CR506" s="93"/>
      <c r="CS506" s="93"/>
      <c r="CT506" s="93"/>
      <c r="CU506" s="93"/>
      <c r="CV506" s="93"/>
      <c r="CW506" s="93"/>
      <c r="CX506" s="93"/>
      <c r="CY506" s="93"/>
      <c r="CZ506" s="93"/>
      <c r="DA506" s="93"/>
      <c r="DB506" s="93"/>
      <c r="DC506" s="94"/>
      <c r="DD506" s="118"/>
      <c r="DE506" s="118"/>
      <c r="DF506" s="118"/>
      <c r="DG506" s="118"/>
      <c r="DH506" s="118"/>
      <c r="DI506" s="118"/>
      <c r="DJ506" s="118"/>
      <c r="DK506" s="118"/>
      <c r="DL506" s="118"/>
      <c r="DM506" s="118"/>
      <c r="DN506" s="118"/>
      <c r="DO506" s="118"/>
      <c r="DP506" s="118"/>
      <c r="DQ506" s="118"/>
      <c r="DR506" s="118"/>
      <c r="DS506" s="118"/>
      <c r="DT506" s="118"/>
      <c r="DU506" s="19"/>
      <c r="DV506" s="19"/>
      <c r="DW506" s="19"/>
      <c r="DX506" s="19"/>
      <c r="DY506" s="19"/>
      <c r="DZ506" s="19"/>
    </row>
    <row r="507" spans="1:130" ht="12.75" x14ac:dyDescent="0.2">
      <c r="A507" s="648"/>
      <c r="B507" s="648"/>
      <c r="C507" s="30"/>
      <c r="D507" s="30"/>
      <c r="E507" s="30"/>
      <c r="F507" s="30"/>
      <c r="G507" s="30"/>
      <c r="H507" s="635"/>
      <c r="I507" s="159">
        <f t="shared" si="347"/>
        <v>0</v>
      </c>
      <c r="J507" s="635"/>
      <c r="K507" s="30"/>
      <c r="L507" s="30"/>
      <c r="M507" s="635"/>
      <c r="N507" s="635"/>
      <c r="O507" s="635"/>
      <c r="P507" s="635"/>
      <c r="Q507" s="635"/>
      <c r="R507" s="635"/>
      <c r="S507" s="660"/>
      <c r="T507" s="648"/>
      <c r="U507" s="30"/>
      <c r="V507" s="30"/>
      <c r="W507" s="30"/>
      <c r="X507" s="30"/>
      <c r="Y507" s="30"/>
      <c r="Z507" s="635"/>
      <c r="AA507" s="51">
        <f t="shared" si="348"/>
        <v>0</v>
      </c>
      <c r="AB507" s="635"/>
      <c r="AC507" s="30"/>
      <c r="AD507" s="30"/>
      <c r="AE507" s="635"/>
      <c r="AF507" s="635"/>
      <c r="AG507" s="635"/>
      <c r="AH507" s="635"/>
      <c r="AI507" s="638"/>
      <c r="AJ507" s="635"/>
      <c r="AK507" s="643"/>
      <c r="AL507" s="648"/>
      <c r="AM507" s="29"/>
      <c r="AN507" s="31"/>
      <c r="AO507" s="31"/>
      <c r="AP507" s="31"/>
      <c r="AQ507" s="40"/>
      <c r="AR507" s="635"/>
      <c r="AS507" s="159"/>
      <c r="AT507" s="153">
        <f>AS507</f>
        <v>0</v>
      </c>
      <c r="AU507" s="31"/>
      <c r="AV507" s="35"/>
      <c r="AW507" s="35"/>
      <c r="AX507" s="635"/>
      <c r="AY507" s="635"/>
      <c r="AZ507" s="635"/>
      <c r="BA507" s="147">
        <f t="shared" ref="BA507:BA508" si="352">AV507*60</f>
        <v>0</v>
      </c>
      <c r="BB507" s="165"/>
      <c r="BC507" s="95">
        <f t="shared" ref="BC507:BC508" si="353">IF(BA507=0,0,AT507/BA507)</f>
        <v>0</v>
      </c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18"/>
      <c r="BX507" s="118"/>
      <c r="BY507" s="118"/>
      <c r="BZ507" s="118"/>
      <c r="CA507" s="118"/>
      <c r="CB507" s="118"/>
      <c r="CC507" s="118"/>
      <c r="CD507" s="118"/>
      <c r="CE507" s="118"/>
      <c r="CF507" s="118"/>
      <c r="CG507" s="118"/>
      <c r="CH507" s="118"/>
      <c r="CI507" s="118"/>
      <c r="CJ507" s="118"/>
      <c r="CK507" s="118"/>
      <c r="CL507" s="118"/>
      <c r="CM507" s="118"/>
      <c r="CN507" s="92"/>
      <c r="CO507" s="93"/>
      <c r="CP507" s="93"/>
      <c r="CQ507" s="93"/>
      <c r="CR507" s="93"/>
      <c r="CS507" s="93"/>
      <c r="CT507" s="93"/>
      <c r="CU507" s="93"/>
      <c r="CV507" s="93"/>
      <c r="CW507" s="93"/>
      <c r="CX507" s="93"/>
      <c r="CY507" s="93"/>
      <c r="CZ507" s="93"/>
      <c r="DA507" s="93"/>
      <c r="DB507" s="93"/>
      <c r="DC507" s="94"/>
      <c r="DD507" s="118"/>
      <c r="DE507" s="118"/>
      <c r="DF507" s="118"/>
      <c r="DG507" s="118"/>
      <c r="DH507" s="118"/>
      <c r="DI507" s="118"/>
      <c r="DJ507" s="118"/>
      <c r="DK507" s="118"/>
      <c r="DL507" s="118"/>
      <c r="DM507" s="118"/>
      <c r="DN507" s="118"/>
      <c r="DO507" s="118"/>
      <c r="DP507" s="118"/>
      <c r="DQ507" s="118"/>
      <c r="DR507" s="118"/>
      <c r="DS507" s="118"/>
      <c r="DT507" s="118"/>
      <c r="DU507" s="19"/>
      <c r="DV507" s="19"/>
      <c r="DW507" s="19"/>
      <c r="DX507" s="19"/>
      <c r="DY507" s="19"/>
      <c r="DZ507" s="19"/>
    </row>
    <row r="508" spans="1:130" ht="12.75" x14ac:dyDescent="0.2">
      <c r="A508" s="651"/>
      <c r="B508" s="646">
        <v>46184</v>
      </c>
      <c r="C508" s="31"/>
      <c r="D508" s="31"/>
      <c r="E508" s="31"/>
      <c r="F508" s="31"/>
      <c r="G508" s="142"/>
      <c r="H508" s="652"/>
      <c r="I508" s="159">
        <f t="shared" si="347"/>
        <v>0</v>
      </c>
      <c r="J508" s="650">
        <f>SUM(I508:I511,H508)</f>
        <v>0</v>
      </c>
      <c r="K508" s="40"/>
      <c r="L508" s="40"/>
      <c r="M508" s="653"/>
      <c r="N508" s="653"/>
      <c r="O508" s="633">
        <f>SUM(M508:N511)</f>
        <v>0</v>
      </c>
      <c r="P508" s="653"/>
      <c r="Q508" s="636">
        <f>M508*60</f>
        <v>0</v>
      </c>
      <c r="R508" s="657">
        <f>IF(
   COUNTIF(K508:K511,"SI")&gt;0,
   1.8,
   IF(
      COUNTIF(L508:L511,"SI")&gt;0,
      1.6,
      2
   )
)</f>
        <v>2</v>
      </c>
      <c r="S508" s="658">
        <f>IF(Q508=0,0,J508/Q508)</f>
        <v>0</v>
      </c>
      <c r="T508" s="646">
        <v>46184</v>
      </c>
      <c r="U508" s="40"/>
      <c r="V508" s="31"/>
      <c r="W508" s="31"/>
      <c r="X508" s="31"/>
      <c r="Y508" s="31"/>
      <c r="Z508" s="653"/>
      <c r="AA508" s="51">
        <f t="shared" si="348"/>
        <v>0</v>
      </c>
      <c r="AB508" s="650">
        <f>SUM(AA508:AA511,Z508)</f>
        <v>0</v>
      </c>
      <c r="AC508" s="31"/>
      <c r="AD508" s="31"/>
      <c r="AE508" s="653">
        <v>0</v>
      </c>
      <c r="AF508" s="636">
        <v>4.5</v>
      </c>
      <c r="AG508" s="633">
        <f>SUM(AE508:AF511)</f>
        <v>4.5</v>
      </c>
      <c r="AH508" s="636">
        <v>0</v>
      </c>
      <c r="AI508" s="637">
        <f>AE508*60</f>
        <v>0</v>
      </c>
      <c r="AJ508" s="640">
        <f>IF(
   COUNTIF(AC508:AC511,"SI")&gt;0,
   1.8,
   IF(
      COUNTIF(AD508:AD511,"SI")&gt;0,
      1.6,
      2
   )
)</f>
        <v>2</v>
      </c>
      <c r="AK508" s="641">
        <f>IF(AI508=0,0,AB508/AI508)</f>
        <v>0</v>
      </c>
      <c r="AL508" s="646">
        <v>46184</v>
      </c>
      <c r="AM508" s="31">
        <v>124</v>
      </c>
      <c r="AN508" s="31">
        <v>656</v>
      </c>
      <c r="AO508" s="31">
        <v>14011</v>
      </c>
      <c r="AP508" s="31">
        <v>14502</v>
      </c>
      <c r="AQ508" s="31"/>
      <c r="AR508" s="649"/>
      <c r="AS508" s="159">
        <f t="shared" ref="AS508:AS516" si="354">IF(AO508=0,0,AP508-AO508+1-AQ508)</f>
        <v>492</v>
      </c>
      <c r="AT508" s="650">
        <f>SUM(AS508:AS511)+AR508</f>
        <v>720</v>
      </c>
      <c r="AU508" s="38" t="s">
        <v>51</v>
      </c>
      <c r="AV508" s="640">
        <v>4.75</v>
      </c>
      <c r="AW508" s="28" t="s">
        <v>51</v>
      </c>
      <c r="AX508" s="640">
        <v>1.75</v>
      </c>
      <c r="AY508" s="633">
        <f>SUM(AV508:AV510,AX508)</f>
        <v>6.5</v>
      </c>
      <c r="AZ508" s="636">
        <v>0.15</v>
      </c>
      <c r="BA508" s="636">
        <f t="shared" si="352"/>
        <v>285</v>
      </c>
      <c r="BB508" s="644">
        <f>IF(
   COUNTIF(AU508:AU509,"SI")&gt;0,
   1.8,
   IF(
      COUNTIF(AW508:AW509,"SI")&gt;0,
      1.6,
      2
   )
)</f>
        <v>1.8</v>
      </c>
      <c r="BC508" s="645">
        <f t="shared" si="353"/>
        <v>2.5263157894736841</v>
      </c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18"/>
      <c r="BX508" s="118"/>
      <c r="BY508" s="118"/>
      <c r="BZ508" s="118"/>
      <c r="CA508" s="118"/>
      <c r="CB508" s="118"/>
      <c r="CC508" s="118"/>
      <c r="CD508" s="118"/>
      <c r="CE508" s="118"/>
      <c r="CF508" s="118"/>
      <c r="CG508" s="118"/>
      <c r="CH508" s="118"/>
      <c r="CI508" s="118"/>
      <c r="CJ508" s="118"/>
      <c r="CK508" s="118"/>
      <c r="CL508" s="118"/>
      <c r="CM508" s="118"/>
      <c r="CN508" s="92"/>
      <c r="CO508" s="93"/>
      <c r="CP508" s="93"/>
      <c r="CQ508" s="93"/>
      <c r="CR508" s="93"/>
      <c r="CS508" s="93"/>
      <c r="CT508" s="93"/>
      <c r="CU508" s="93"/>
      <c r="CV508" s="93"/>
      <c r="CW508" s="93"/>
      <c r="CX508" s="93"/>
      <c r="CY508" s="93"/>
      <c r="CZ508" s="93"/>
      <c r="DA508" s="93"/>
      <c r="DB508" s="93"/>
      <c r="DC508" s="94"/>
      <c r="DD508" s="118"/>
      <c r="DE508" s="118"/>
      <c r="DF508" s="118"/>
      <c r="DG508" s="118"/>
      <c r="DH508" s="118"/>
      <c r="DI508" s="118"/>
      <c r="DJ508" s="118"/>
      <c r="DK508" s="118"/>
      <c r="DL508" s="118"/>
      <c r="DM508" s="118"/>
      <c r="DN508" s="118"/>
      <c r="DO508" s="118"/>
      <c r="DP508" s="118"/>
      <c r="DQ508" s="118"/>
      <c r="DR508" s="118"/>
      <c r="DS508" s="118"/>
      <c r="DT508" s="118"/>
      <c r="DU508" s="19"/>
      <c r="DV508" s="19"/>
      <c r="DW508" s="19"/>
      <c r="DX508" s="19"/>
      <c r="DY508" s="19"/>
      <c r="DZ508" s="19"/>
    </row>
    <row r="509" spans="1:130" ht="12.75" x14ac:dyDescent="0.2">
      <c r="A509" s="647"/>
      <c r="B509" s="647"/>
      <c r="C509" s="40"/>
      <c r="D509" s="31"/>
      <c r="E509" s="31"/>
      <c r="F509" s="31"/>
      <c r="G509" s="40"/>
      <c r="H509" s="634"/>
      <c r="I509" s="159">
        <f t="shared" si="347"/>
        <v>0</v>
      </c>
      <c r="J509" s="634"/>
      <c r="K509" s="40"/>
      <c r="L509" s="40"/>
      <c r="M509" s="634"/>
      <c r="N509" s="634"/>
      <c r="O509" s="634"/>
      <c r="P509" s="634"/>
      <c r="Q509" s="634"/>
      <c r="R509" s="634"/>
      <c r="S509" s="659"/>
      <c r="T509" s="647"/>
      <c r="U509" s="40"/>
      <c r="V509" s="31"/>
      <c r="W509" s="31"/>
      <c r="X509" s="31"/>
      <c r="Y509" s="31"/>
      <c r="Z509" s="634"/>
      <c r="AA509" s="51">
        <f t="shared" si="348"/>
        <v>0</v>
      </c>
      <c r="AB509" s="634"/>
      <c r="AC509" s="31"/>
      <c r="AD509" s="31"/>
      <c r="AE509" s="634"/>
      <c r="AF509" s="634"/>
      <c r="AG509" s="634"/>
      <c r="AH509" s="634"/>
      <c r="AI509" s="638"/>
      <c r="AJ509" s="634"/>
      <c r="AK509" s="642"/>
      <c r="AL509" s="647"/>
      <c r="AM509" s="31">
        <v>53</v>
      </c>
      <c r="AN509" s="31">
        <v>657</v>
      </c>
      <c r="AO509" s="31">
        <v>14502</v>
      </c>
      <c r="AP509" s="31">
        <v>14729</v>
      </c>
      <c r="AQ509" s="31"/>
      <c r="AR509" s="634"/>
      <c r="AS509" s="159">
        <f t="shared" si="354"/>
        <v>228</v>
      </c>
      <c r="AT509" s="634"/>
      <c r="AU509" s="38" t="s">
        <v>51</v>
      </c>
      <c r="AV509" s="634"/>
      <c r="AW509" s="28" t="s">
        <v>51</v>
      </c>
      <c r="AX509" s="634"/>
      <c r="AY509" s="634"/>
      <c r="AZ509" s="634"/>
      <c r="BA509" s="635"/>
      <c r="BB509" s="634"/>
      <c r="BC509" s="634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18"/>
      <c r="BX509" s="118"/>
      <c r="BY509" s="118"/>
      <c r="BZ509" s="118"/>
      <c r="CA509" s="118"/>
      <c r="CB509" s="118"/>
      <c r="CC509" s="118"/>
      <c r="CD509" s="118"/>
      <c r="CE509" s="118"/>
      <c r="CF509" s="118"/>
      <c r="CG509" s="118"/>
      <c r="CH509" s="118"/>
      <c r="CI509" s="118"/>
      <c r="CJ509" s="118"/>
      <c r="CK509" s="118"/>
      <c r="CL509" s="118"/>
      <c r="CM509" s="118"/>
      <c r="CN509" s="92"/>
      <c r="CO509" s="93"/>
      <c r="CP509" s="93"/>
      <c r="CQ509" s="93"/>
      <c r="CR509" s="93"/>
      <c r="CS509" s="93"/>
      <c r="CT509" s="93"/>
      <c r="CU509" s="93"/>
      <c r="CV509" s="93"/>
      <c r="CW509" s="93"/>
      <c r="CX509" s="93"/>
      <c r="CY509" s="93"/>
      <c r="CZ509" s="93"/>
      <c r="DA509" s="93"/>
      <c r="DB509" s="93"/>
      <c r="DC509" s="94"/>
      <c r="DD509" s="118"/>
      <c r="DE509" s="118"/>
      <c r="DF509" s="118"/>
      <c r="DG509" s="118"/>
      <c r="DH509" s="118"/>
      <c r="DI509" s="118"/>
      <c r="DJ509" s="118"/>
      <c r="DK509" s="118"/>
      <c r="DL509" s="118"/>
      <c r="DM509" s="118"/>
      <c r="DN509" s="118"/>
      <c r="DO509" s="118"/>
      <c r="DP509" s="118"/>
      <c r="DQ509" s="118"/>
      <c r="DR509" s="118"/>
      <c r="DS509" s="118"/>
      <c r="DT509" s="118"/>
      <c r="DU509" s="19"/>
      <c r="DV509" s="19"/>
      <c r="DW509" s="19"/>
      <c r="DX509" s="19"/>
      <c r="DY509" s="19"/>
      <c r="DZ509" s="19"/>
    </row>
    <row r="510" spans="1:130" ht="12.75" x14ac:dyDescent="0.2">
      <c r="A510" s="647"/>
      <c r="B510" s="647"/>
      <c r="C510" s="40"/>
      <c r="D510" s="31"/>
      <c r="E510" s="31"/>
      <c r="F510" s="31"/>
      <c r="G510" s="160"/>
      <c r="H510" s="634"/>
      <c r="I510" s="159">
        <f t="shared" si="347"/>
        <v>0</v>
      </c>
      <c r="J510" s="634"/>
      <c r="K510" s="40"/>
      <c r="L510" s="40"/>
      <c r="M510" s="634"/>
      <c r="N510" s="634"/>
      <c r="O510" s="634"/>
      <c r="P510" s="634"/>
      <c r="Q510" s="634"/>
      <c r="R510" s="634"/>
      <c r="S510" s="659"/>
      <c r="T510" s="647"/>
      <c r="U510" s="40"/>
      <c r="V510" s="31"/>
      <c r="W510" s="31"/>
      <c r="X510" s="31"/>
      <c r="Y510" s="40"/>
      <c r="Z510" s="634"/>
      <c r="AA510" s="51">
        <f t="shared" si="348"/>
        <v>0</v>
      </c>
      <c r="AB510" s="634"/>
      <c r="AC510" s="31"/>
      <c r="AD510" s="31"/>
      <c r="AE510" s="634"/>
      <c r="AF510" s="634"/>
      <c r="AG510" s="634"/>
      <c r="AH510" s="634"/>
      <c r="AI510" s="638"/>
      <c r="AJ510" s="634"/>
      <c r="AK510" s="642"/>
      <c r="AL510" s="647"/>
      <c r="AM510" s="31"/>
      <c r="AN510" s="31"/>
      <c r="AO510" s="31"/>
      <c r="AP510" s="31"/>
      <c r="AQ510" s="28"/>
      <c r="AR510" s="634"/>
      <c r="AS510" s="159">
        <f t="shared" si="354"/>
        <v>0</v>
      </c>
      <c r="AT510" s="634"/>
      <c r="AU510" s="152"/>
      <c r="AV510" s="28"/>
      <c r="AW510" s="152"/>
      <c r="AX510" s="634"/>
      <c r="AY510" s="634"/>
      <c r="AZ510" s="634"/>
      <c r="BA510" s="150">
        <f>AV510*60</f>
        <v>0</v>
      </c>
      <c r="BB510" s="156"/>
      <c r="BC510" s="95">
        <f>IF(BA510=0,0,AT510/BA510)</f>
        <v>0</v>
      </c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18"/>
      <c r="BX510" s="118"/>
      <c r="BY510" s="118"/>
      <c r="BZ510" s="118"/>
      <c r="CA510" s="118"/>
      <c r="CB510" s="118"/>
      <c r="CC510" s="118"/>
      <c r="CD510" s="118"/>
      <c r="CE510" s="118"/>
      <c r="CF510" s="118"/>
      <c r="CG510" s="118"/>
      <c r="CH510" s="118"/>
      <c r="CI510" s="118"/>
      <c r="CJ510" s="118"/>
      <c r="CK510" s="118"/>
      <c r="CL510" s="118"/>
      <c r="CM510" s="118"/>
      <c r="CN510" s="92"/>
      <c r="CO510" s="93"/>
      <c r="CP510" s="93"/>
      <c r="CQ510" s="93"/>
      <c r="CR510" s="93"/>
      <c r="CS510" s="93"/>
      <c r="CT510" s="93"/>
      <c r="CU510" s="93"/>
      <c r="CV510" s="93"/>
      <c r="CW510" s="93"/>
      <c r="CX510" s="93"/>
      <c r="CY510" s="93"/>
      <c r="CZ510" s="93"/>
      <c r="DA510" s="93"/>
      <c r="DB510" s="93"/>
      <c r="DC510" s="94"/>
      <c r="DD510" s="118"/>
      <c r="DE510" s="118"/>
      <c r="DF510" s="118"/>
      <c r="DG510" s="118"/>
      <c r="DH510" s="118"/>
      <c r="DI510" s="118"/>
      <c r="DJ510" s="118"/>
      <c r="DK510" s="118"/>
      <c r="DL510" s="118"/>
      <c r="DM510" s="118"/>
      <c r="DN510" s="118"/>
      <c r="DO510" s="118"/>
      <c r="DP510" s="118"/>
      <c r="DQ510" s="118"/>
      <c r="DR510" s="118"/>
      <c r="DS510" s="118"/>
      <c r="DT510" s="118"/>
      <c r="DU510" s="19"/>
      <c r="DV510" s="19"/>
      <c r="DW510" s="19"/>
      <c r="DX510" s="19"/>
      <c r="DY510" s="19"/>
      <c r="DZ510" s="19"/>
    </row>
    <row r="511" spans="1:130" ht="12.75" x14ac:dyDescent="0.2">
      <c r="A511" s="648"/>
      <c r="B511" s="648"/>
      <c r="C511" s="40"/>
      <c r="D511" s="160"/>
      <c r="E511" s="160"/>
      <c r="F511" s="160"/>
      <c r="G511" s="160"/>
      <c r="H511" s="635"/>
      <c r="I511" s="159">
        <f t="shared" si="347"/>
        <v>0</v>
      </c>
      <c r="J511" s="635"/>
      <c r="K511" s="40"/>
      <c r="L511" s="40"/>
      <c r="M511" s="635"/>
      <c r="N511" s="635"/>
      <c r="O511" s="635"/>
      <c r="P511" s="635"/>
      <c r="Q511" s="635"/>
      <c r="R511" s="635"/>
      <c r="S511" s="660"/>
      <c r="T511" s="648"/>
      <c r="U511" s="40"/>
      <c r="V511" s="40"/>
      <c r="W511" s="40"/>
      <c r="X511" s="40"/>
      <c r="Y511" s="40"/>
      <c r="Z511" s="635"/>
      <c r="AA511" s="51">
        <f t="shared" si="348"/>
        <v>0</v>
      </c>
      <c r="AB511" s="635"/>
      <c r="AC511" s="40"/>
      <c r="AD511" s="40"/>
      <c r="AE511" s="635"/>
      <c r="AF511" s="635"/>
      <c r="AG511" s="635"/>
      <c r="AH511" s="635"/>
      <c r="AI511" s="639"/>
      <c r="AJ511" s="635"/>
      <c r="AK511" s="643"/>
      <c r="AL511" s="648"/>
      <c r="AM511" s="28"/>
      <c r="AN511" s="28"/>
      <c r="AO511" s="28"/>
      <c r="AP511" s="28"/>
      <c r="AQ511" s="28"/>
      <c r="AR511" s="635"/>
      <c r="AS511" s="159">
        <f t="shared" si="354"/>
        <v>0</v>
      </c>
      <c r="AT511" s="635"/>
      <c r="AU511" s="38"/>
      <c r="AV511" s="50"/>
      <c r="AW511" s="28"/>
      <c r="AX511" s="635"/>
      <c r="AY511" s="635"/>
      <c r="AZ511" s="635"/>
      <c r="BA511" s="465"/>
      <c r="BB511" s="165"/>
      <c r="BC511" s="466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18"/>
      <c r="BX511" s="118"/>
      <c r="BY511" s="118"/>
      <c r="BZ511" s="118"/>
      <c r="CA511" s="118"/>
      <c r="CB511" s="118"/>
      <c r="CC511" s="118"/>
      <c r="CD511" s="118"/>
      <c r="CE511" s="118"/>
      <c r="CF511" s="118"/>
      <c r="CG511" s="118"/>
      <c r="CH511" s="118"/>
      <c r="CI511" s="118"/>
      <c r="CJ511" s="118"/>
      <c r="CK511" s="118"/>
      <c r="CL511" s="118"/>
      <c r="CM511" s="118"/>
      <c r="CN511" s="92"/>
      <c r="CO511" s="93"/>
      <c r="CP511" s="93"/>
      <c r="CQ511" s="93"/>
      <c r="CR511" s="93"/>
      <c r="CS511" s="93"/>
      <c r="CT511" s="93"/>
      <c r="CU511" s="93"/>
      <c r="CV511" s="93"/>
      <c r="CW511" s="93"/>
      <c r="CX511" s="93"/>
      <c r="CY511" s="93"/>
      <c r="CZ511" s="93"/>
      <c r="DA511" s="93"/>
      <c r="DB511" s="93"/>
      <c r="DC511" s="94"/>
      <c r="DD511" s="118"/>
      <c r="DE511" s="118"/>
      <c r="DF511" s="118"/>
      <c r="DG511" s="118"/>
      <c r="DH511" s="118"/>
      <c r="DI511" s="118"/>
      <c r="DJ511" s="118"/>
      <c r="DK511" s="118"/>
      <c r="DL511" s="118"/>
      <c r="DM511" s="118"/>
      <c r="DN511" s="118"/>
      <c r="DO511" s="118"/>
      <c r="DP511" s="118"/>
      <c r="DQ511" s="118"/>
      <c r="DR511" s="118"/>
      <c r="DS511" s="118"/>
      <c r="DT511" s="118"/>
      <c r="DU511" s="19"/>
      <c r="DV511" s="19"/>
      <c r="DW511" s="19"/>
      <c r="DX511" s="19"/>
      <c r="DY511" s="19"/>
      <c r="DZ511" s="19"/>
    </row>
    <row r="512" spans="1:130" ht="12.75" x14ac:dyDescent="0.2">
      <c r="A512" s="654"/>
      <c r="B512" s="655">
        <v>46185</v>
      </c>
      <c r="C512" s="29"/>
      <c r="D512" s="29"/>
      <c r="E512" s="29"/>
      <c r="F512" s="29"/>
      <c r="G512" s="158"/>
      <c r="H512" s="649"/>
      <c r="I512" s="159">
        <f t="shared" si="347"/>
        <v>0</v>
      </c>
      <c r="J512" s="650">
        <f>SUM(I512:I515,H512)</f>
        <v>0</v>
      </c>
      <c r="K512" s="158"/>
      <c r="L512" s="158"/>
      <c r="M512" s="653"/>
      <c r="N512" s="653"/>
      <c r="O512" s="633">
        <f>SUM(M512:N515)</f>
        <v>0</v>
      </c>
      <c r="P512" s="649"/>
      <c r="Q512" s="640">
        <f>M512*60</f>
        <v>0</v>
      </c>
      <c r="R512" s="657">
        <f>IF(
   COUNTIF(K512:K515,"SI")&gt;0,
   1.8,
   IF(
      COUNTIF(L512:L515,"SI")&gt;0,
      1.6,
      2
   )
)</f>
        <v>2</v>
      </c>
      <c r="S512" s="658">
        <f>IF(Q512=0,0,J512/Q512)</f>
        <v>0</v>
      </c>
      <c r="T512" s="655">
        <v>46185</v>
      </c>
      <c r="U512" s="30"/>
      <c r="V512" s="28"/>
      <c r="W512" s="28"/>
      <c r="X512" s="28"/>
      <c r="Y512" s="28"/>
      <c r="Z512" s="640"/>
      <c r="AA512" s="51">
        <f t="shared" si="348"/>
        <v>0</v>
      </c>
      <c r="AB512" s="650">
        <f>SUM(AA512:AA515)</f>
        <v>0</v>
      </c>
      <c r="AC512" s="28"/>
      <c r="AD512" s="28"/>
      <c r="AE512" s="640"/>
      <c r="AF512" s="640">
        <v>4.25</v>
      </c>
      <c r="AG512" s="633">
        <f>SUM(AE512:AF515)</f>
        <v>4.25</v>
      </c>
      <c r="AH512" s="640">
        <v>0</v>
      </c>
      <c r="AI512" s="664">
        <f>AE512*60</f>
        <v>0</v>
      </c>
      <c r="AJ512" s="640">
        <f>IF(
   COUNTIF(AC512:AC515,"SI")&gt;0,
   1.8,
   IF(
      COUNTIF(AD512:AD515,"SI")&gt;0,
      1.6,
      2
   )
)</f>
        <v>2</v>
      </c>
      <c r="AK512" s="665">
        <f>IF(AI512=0,0,AB512/AI512)</f>
        <v>0</v>
      </c>
      <c r="AL512" s="655">
        <v>46185</v>
      </c>
      <c r="AM512" s="28">
        <v>53</v>
      </c>
      <c r="AN512" s="28">
        <v>657</v>
      </c>
      <c r="AO512" s="28">
        <v>14730</v>
      </c>
      <c r="AP512" s="41">
        <v>15000</v>
      </c>
      <c r="AQ512" s="28"/>
      <c r="AR512" s="649"/>
      <c r="AS512" s="159">
        <f t="shared" si="354"/>
        <v>271</v>
      </c>
      <c r="AT512" s="650">
        <f>SUM(AS512:AS514)+AR512</f>
        <v>669</v>
      </c>
      <c r="AU512" s="38" t="s">
        <v>51</v>
      </c>
      <c r="AV512" s="640">
        <v>4.4000000000000004</v>
      </c>
      <c r="AW512" s="28" t="s">
        <v>51</v>
      </c>
      <c r="AX512" s="640">
        <v>3.1</v>
      </c>
      <c r="AY512" s="633">
        <f>SUM(AV512:AV515,AX512)</f>
        <v>7.5</v>
      </c>
      <c r="AZ512" s="649">
        <v>0.2</v>
      </c>
      <c r="BA512" s="640">
        <f>AV512*60</f>
        <v>264</v>
      </c>
      <c r="BB512" s="644">
        <f>IF(
   COUNTIF(AU512:AU515,"SI")&gt;0,
   1.8,
   IF(
      COUNTIF(AV512:AV515,"SI")&gt;0,
      1.6,
      2
   )
)</f>
        <v>1.8</v>
      </c>
      <c r="BC512" s="645">
        <f>IF(BA512=0,0,AT512/BA512)</f>
        <v>2.5340909090909092</v>
      </c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18"/>
      <c r="BX512" s="118"/>
      <c r="BY512" s="118"/>
      <c r="BZ512" s="118"/>
      <c r="CA512" s="118"/>
      <c r="CB512" s="118"/>
      <c r="CC512" s="118"/>
      <c r="CD512" s="118"/>
      <c r="CE512" s="118"/>
      <c r="CF512" s="118"/>
      <c r="CG512" s="118"/>
      <c r="CH512" s="118"/>
      <c r="CI512" s="118"/>
      <c r="CJ512" s="118"/>
      <c r="CK512" s="118"/>
      <c r="CL512" s="118"/>
      <c r="CM512" s="118"/>
      <c r="CN512" s="92"/>
      <c r="CO512" s="93"/>
      <c r="CP512" s="93"/>
      <c r="CQ512" s="93"/>
      <c r="CR512" s="93"/>
      <c r="CS512" s="93"/>
      <c r="CT512" s="93"/>
      <c r="CU512" s="93"/>
      <c r="CV512" s="93"/>
      <c r="CW512" s="93"/>
      <c r="CX512" s="93"/>
      <c r="CY512" s="93"/>
      <c r="CZ512" s="93"/>
      <c r="DA512" s="93"/>
      <c r="DB512" s="93"/>
      <c r="DC512" s="94"/>
      <c r="DD512" s="118"/>
      <c r="DE512" s="118"/>
      <c r="DF512" s="118"/>
      <c r="DG512" s="118"/>
      <c r="DH512" s="118"/>
      <c r="DI512" s="118"/>
      <c r="DJ512" s="118"/>
      <c r="DK512" s="118"/>
      <c r="DL512" s="118"/>
      <c r="DM512" s="118"/>
      <c r="DN512" s="118"/>
      <c r="DO512" s="118"/>
      <c r="DP512" s="118"/>
      <c r="DQ512" s="118"/>
      <c r="DR512" s="118"/>
      <c r="DS512" s="118"/>
      <c r="DT512" s="118"/>
      <c r="DU512" s="19"/>
      <c r="DV512" s="19"/>
      <c r="DW512" s="19"/>
      <c r="DX512" s="19"/>
      <c r="DY512" s="19"/>
      <c r="DZ512" s="19"/>
    </row>
    <row r="513" spans="1:130" ht="12.75" x14ac:dyDescent="0.2">
      <c r="A513" s="647"/>
      <c r="B513" s="647"/>
      <c r="C513" s="29"/>
      <c r="D513" s="30"/>
      <c r="E513" s="29"/>
      <c r="F513" s="29"/>
      <c r="G513" s="30"/>
      <c r="H513" s="634"/>
      <c r="I513" s="159">
        <f t="shared" si="347"/>
        <v>0</v>
      </c>
      <c r="J513" s="634"/>
      <c r="K513" s="30"/>
      <c r="L513" s="30"/>
      <c r="M513" s="634"/>
      <c r="N513" s="634"/>
      <c r="O513" s="634"/>
      <c r="P513" s="634"/>
      <c r="Q513" s="634"/>
      <c r="R513" s="634"/>
      <c r="S513" s="659"/>
      <c r="T513" s="647"/>
      <c r="U513" s="30"/>
      <c r="V513" s="28"/>
      <c r="W513" s="28"/>
      <c r="X513" s="28"/>
      <c r="Y513" s="29"/>
      <c r="Z513" s="634"/>
      <c r="AA513" s="51">
        <f t="shared" si="348"/>
        <v>0</v>
      </c>
      <c r="AB513" s="634"/>
      <c r="AC513" s="28"/>
      <c r="AD513" s="28"/>
      <c r="AE513" s="634"/>
      <c r="AF513" s="634"/>
      <c r="AG513" s="634"/>
      <c r="AH513" s="634"/>
      <c r="AI513" s="638"/>
      <c r="AJ513" s="634"/>
      <c r="AK513" s="642"/>
      <c r="AL513" s="647"/>
      <c r="AM513" s="28">
        <v>106</v>
      </c>
      <c r="AN513" s="28">
        <v>658</v>
      </c>
      <c r="AO513" s="28">
        <v>15001</v>
      </c>
      <c r="AP513" s="28">
        <v>15401</v>
      </c>
      <c r="AQ513" s="29">
        <v>3</v>
      </c>
      <c r="AR513" s="634"/>
      <c r="AS513" s="159">
        <f t="shared" si="354"/>
        <v>398</v>
      </c>
      <c r="AT513" s="634"/>
      <c r="AU513" s="38" t="s">
        <v>51</v>
      </c>
      <c r="AV513" s="634"/>
      <c r="AW513" s="28" t="s">
        <v>51</v>
      </c>
      <c r="AX513" s="634"/>
      <c r="AY513" s="634"/>
      <c r="AZ513" s="634"/>
      <c r="BA513" s="634"/>
      <c r="BB513" s="634"/>
      <c r="BC513" s="634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18"/>
      <c r="BX513" s="118"/>
      <c r="BY513" s="118"/>
      <c r="BZ513" s="118"/>
      <c r="CA513" s="118"/>
      <c r="CB513" s="118"/>
      <c r="CC513" s="118"/>
      <c r="CD513" s="118"/>
      <c r="CE513" s="118"/>
      <c r="CF513" s="118"/>
      <c r="CG513" s="118"/>
      <c r="CH513" s="118"/>
      <c r="CI513" s="118"/>
      <c r="CJ513" s="118"/>
      <c r="CK513" s="118"/>
      <c r="CL513" s="118"/>
      <c r="CM513" s="118"/>
      <c r="CN513" s="92"/>
      <c r="CO513" s="93"/>
      <c r="CP513" s="93"/>
      <c r="CQ513" s="93"/>
      <c r="CR513" s="93"/>
      <c r="CS513" s="93"/>
      <c r="CT513" s="93"/>
      <c r="CU513" s="93"/>
      <c r="CV513" s="93"/>
      <c r="CW513" s="93"/>
      <c r="CX513" s="93"/>
      <c r="CY513" s="93"/>
      <c r="CZ513" s="93"/>
      <c r="DA513" s="93"/>
      <c r="DB513" s="93"/>
      <c r="DC513" s="94"/>
      <c r="DD513" s="118"/>
      <c r="DE513" s="118"/>
      <c r="DF513" s="118"/>
      <c r="DG513" s="118"/>
      <c r="DH513" s="118"/>
      <c r="DI513" s="118"/>
      <c r="DJ513" s="118"/>
      <c r="DK513" s="118"/>
      <c r="DL513" s="118"/>
      <c r="DM513" s="118"/>
      <c r="DN513" s="118"/>
      <c r="DO513" s="118"/>
      <c r="DP513" s="118"/>
      <c r="DQ513" s="118"/>
      <c r="DR513" s="118"/>
      <c r="DS513" s="118"/>
      <c r="DT513" s="118"/>
      <c r="DU513" s="19"/>
      <c r="DV513" s="19"/>
      <c r="DW513" s="19"/>
      <c r="DX513" s="19"/>
      <c r="DY513" s="19"/>
      <c r="DZ513" s="19"/>
    </row>
    <row r="514" spans="1:130" ht="12.75" x14ac:dyDescent="0.2">
      <c r="A514" s="647"/>
      <c r="B514" s="647"/>
      <c r="C514" s="30"/>
      <c r="D514" s="30"/>
      <c r="E514" s="30"/>
      <c r="F514" s="30"/>
      <c r="G514" s="30"/>
      <c r="H514" s="634"/>
      <c r="I514" s="159">
        <f t="shared" si="347"/>
        <v>0</v>
      </c>
      <c r="J514" s="634"/>
      <c r="K514" s="30"/>
      <c r="L514" s="30"/>
      <c r="M514" s="634"/>
      <c r="N514" s="634"/>
      <c r="O514" s="634"/>
      <c r="P514" s="634"/>
      <c r="Q514" s="634"/>
      <c r="R514" s="634"/>
      <c r="S514" s="659"/>
      <c r="T514" s="647"/>
      <c r="U514" s="30"/>
      <c r="V514" s="29"/>
      <c r="W514" s="29"/>
      <c r="X514" s="29"/>
      <c r="Y514" s="29"/>
      <c r="Z514" s="634"/>
      <c r="AA514" s="51">
        <f t="shared" si="348"/>
        <v>0</v>
      </c>
      <c r="AB514" s="634"/>
      <c r="AC514" s="28"/>
      <c r="AD514" s="28"/>
      <c r="AE514" s="634"/>
      <c r="AF514" s="634"/>
      <c r="AG514" s="634"/>
      <c r="AH514" s="634"/>
      <c r="AI514" s="638"/>
      <c r="AJ514" s="634"/>
      <c r="AK514" s="642"/>
      <c r="AL514" s="647"/>
      <c r="AM514" s="41"/>
      <c r="AN514" s="28"/>
      <c r="AO514" s="28"/>
      <c r="AP514" s="28"/>
      <c r="AQ514" s="48"/>
      <c r="AR514" s="634"/>
      <c r="AS514" s="159">
        <f t="shared" si="354"/>
        <v>0</v>
      </c>
      <c r="AT514" s="635"/>
      <c r="AU514" s="152"/>
      <c r="AV514" s="635"/>
      <c r="AW514" s="152"/>
      <c r="AX514" s="634"/>
      <c r="AY514" s="634"/>
      <c r="AZ514" s="634"/>
      <c r="BA514" s="634"/>
      <c r="BB514" s="634"/>
      <c r="BC514" s="635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18"/>
      <c r="BX514" s="118"/>
      <c r="BY514" s="118"/>
      <c r="BZ514" s="118"/>
      <c r="CA514" s="118"/>
      <c r="CB514" s="118"/>
      <c r="CC514" s="118"/>
      <c r="CD514" s="118"/>
      <c r="CE514" s="118"/>
      <c r="CF514" s="118"/>
      <c r="CG514" s="118"/>
      <c r="CH514" s="118"/>
      <c r="CI514" s="118"/>
      <c r="CJ514" s="118"/>
      <c r="CK514" s="118"/>
      <c r="CL514" s="118"/>
      <c r="CM514" s="118"/>
      <c r="CN514" s="92"/>
      <c r="CO514" s="93"/>
      <c r="CP514" s="93"/>
      <c r="CQ514" s="93"/>
      <c r="CR514" s="93"/>
      <c r="CS514" s="93"/>
      <c r="CT514" s="93"/>
      <c r="CU514" s="93"/>
      <c r="CV514" s="93"/>
      <c r="CW514" s="93"/>
      <c r="CX514" s="93"/>
      <c r="CY514" s="93"/>
      <c r="CZ514" s="93"/>
      <c r="DA514" s="93"/>
      <c r="DB514" s="93"/>
      <c r="DC514" s="94"/>
      <c r="DD514" s="118"/>
      <c r="DE514" s="118"/>
      <c r="DF514" s="118"/>
      <c r="DG514" s="118"/>
      <c r="DH514" s="118"/>
      <c r="DI514" s="118"/>
      <c r="DJ514" s="118"/>
      <c r="DK514" s="118"/>
      <c r="DL514" s="118"/>
      <c r="DM514" s="118"/>
      <c r="DN514" s="118"/>
      <c r="DO514" s="118"/>
      <c r="DP514" s="118"/>
      <c r="DQ514" s="118"/>
      <c r="DR514" s="118"/>
      <c r="DS514" s="118"/>
      <c r="DT514" s="118"/>
      <c r="DU514" s="19"/>
      <c r="DV514" s="19"/>
      <c r="DW514" s="19"/>
      <c r="DX514" s="19"/>
      <c r="DY514" s="19"/>
      <c r="DZ514" s="19"/>
    </row>
    <row r="515" spans="1:130" ht="12.75" x14ac:dyDescent="0.2">
      <c r="A515" s="648"/>
      <c r="B515" s="648"/>
      <c r="C515" s="30"/>
      <c r="D515" s="30"/>
      <c r="E515" s="30"/>
      <c r="F515" s="30"/>
      <c r="G515" s="30"/>
      <c r="H515" s="635"/>
      <c r="I515" s="159">
        <f t="shared" si="347"/>
        <v>0</v>
      </c>
      <c r="J515" s="635"/>
      <c r="K515" s="30"/>
      <c r="L515" s="30"/>
      <c r="M515" s="635"/>
      <c r="N515" s="635"/>
      <c r="O515" s="635"/>
      <c r="P515" s="635"/>
      <c r="Q515" s="635"/>
      <c r="R515" s="635"/>
      <c r="S515" s="660"/>
      <c r="T515" s="648"/>
      <c r="U515" s="30"/>
      <c r="V515" s="30"/>
      <c r="W515" s="30"/>
      <c r="X515" s="30"/>
      <c r="Y515" s="30"/>
      <c r="Z515" s="635"/>
      <c r="AA515" s="51">
        <f t="shared" si="348"/>
        <v>0</v>
      </c>
      <c r="AB515" s="634"/>
      <c r="AC515" s="30"/>
      <c r="AD515" s="30"/>
      <c r="AE515" s="634"/>
      <c r="AF515" s="635"/>
      <c r="AG515" s="635"/>
      <c r="AH515" s="635"/>
      <c r="AI515" s="638"/>
      <c r="AJ515" s="635"/>
      <c r="AK515" s="642"/>
      <c r="AL515" s="648"/>
      <c r="AM515" s="51"/>
      <c r="AN515" s="28"/>
      <c r="AO515" s="28"/>
      <c r="AP515" s="28"/>
      <c r="AQ515" s="51"/>
      <c r="AR515" s="635"/>
      <c r="AS515" s="159">
        <f t="shared" si="354"/>
        <v>0</v>
      </c>
      <c r="AT515" s="464"/>
      <c r="AU515" s="38"/>
      <c r="AV515" s="50"/>
      <c r="AW515" s="51"/>
      <c r="AX515" s="635"/>
      <c r="AY515" s="635"/>
      <c r="AZ515" s="635"/>
      <c r="BA515" s="27"/>
      <c r="BB515" s="635"/>
      <c r="BC515" s="504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18"/>
      <c r="BX515" s="118"/>
      <c r="BY515" s="118"/>
      <c r="BZ515" s="118"/>
      <c r="CA515" s="118"/>
      <c r="CB515" s="118"/>
      <c r="CC515" s="118"/>
      <c r="CD515" s="118"/>
      <c r="CE515" s="118"/>
      <c r="CF515" s="118"/>
      <c r="CG515" s="118"/>
      <c r="CH515" s="118"/>
      <c r="CI515" s="118"/>
      <c r="CJ515" s="118"/>
      <c r="CK515" s="118"/>
      <c r="CL515" s="118"/>
      <c r="CM515" s="118"/>
      <c r="CN515" s="92"/>
      <c r="CO515" s="93"/>
      <c r="CP515" s="93"/>
      <c r="CQ515" s="93"/>
      <c r="CR515" s="93"/>
      <c r="CS515" s="93"/>
      <c r="CT515" s="93"/>
      <c r="CU515" s="93"/>
      <c r="CV515" s="93"/>
      <c r="CW515" s="93"/>
      <c r="CX515" s="93"/>
      <c r="CY515" s="93"/>
      <c r="CZ515" s="93"/>
      <c r="DA515" s="93"/>
      <c r="DB515" s="93"/>
      <c r="DC515" s="94"/>
      <c r="DD515" s="118"/>
      <c r="DE515" s="118"/>
      <c r="DF515" s="118"/>
      <c r="DG515" s="118"/>
      <c r="DH515" s="118"/>
      <c r="DI515" s="118"/>
      <c r="DJ515" s="118"/>
      <c r="DK515" s="118"/>
      <c r="DL515" s="118"/>
      <c r="DM515" s="118"/>
      <c r="DN515" s="118"/>
      <c r="DO515" s="118"/>
      <c r="DP515" s="118"/>
      <c r="DQ515" s="118"/>
      <c r="DR515" s="118"/>
      <c r="DS515" s="118"/>
      <c r="DT515" s="118"/>
      <c r="DU515" s="19"/>
      <c r="DV515" s="19"/>
      <c r="DW515" s="19"/>
      <c r="DX515" s="19"/>
      <c r="DY515" s="19"/>
      <c r="DZ515" s="19"/>
    </row>
    <row r="516" spans="1:130" ht="12.75" x14ac:dyDescent="0.2">
      <c r="A516" s="651"/>
      <c r="B516" s="646">
        <v>46186</v>
      </c>
      <c r="C516" s="31"/>
      <c r="D516" s="31"/>
      <c r="E516" s="31"/>
      <c r="F516" s="31"/>
      <c r="G516" s="40"/>
      <c r="H516" s="653"/>
      <c r="I516" s="159">
        <f t="shared" si="347"/>
        <v>0</v>
      </c>
      <c r="J516" s="650">
        <f>SUM(I516:I519,H516)</f>
        <v>0</v>
      </c>
      <c r="K516" s="40"/>
      <c r="L516" s="40"/>
      <c r="M516" s="653"/>
      <c r="N516" s="653"/>
      <c r="O516" s="633">
        <f>SUM(M516:N519)</f>
        <v>0</v>
      </c>
      <c r="P516" s="653"/>
      <c r="Q516" s="636">
        <f>M516*60</f>
        <v>0</v>
      </c>
      <c r="R516" s="657">
        <f>IF(
   COUNTIF(K516:K519,"SI")&gt;0,
   1.8,
   IF(
      COUNTIF(L516:L519,"SI")&gt;0,
      1.6,
      2
   )
)</f>
        <v>2</v>
      </c>
      <c r="S516" s="658">
        <f>IF(Q516=0,0,J516/Q516)</f>
        <v>0</v>
      </c>
      <c r="T516" s="646">
        <v>46186</v>
      </c>
      <c r="U516" s="40"/>
      <c r="V516" s="31"/>
      <c r="W516" s="31"/>
      <c r="X516" s="31"/>
      <c r="Y516" s="31"/>
      <c r="Z516" s="653"/>
      <c r="AA516" s="51">
        <f t="shared" si="348"/>
        <v>0</v>
      </c>
      <c r="AB516" s="650">
        <f>SUM(AA516:AA519,Z516)</f>
        <v>0</v>
      </c>
      <c r="AC516" s="31"/>
      <c r="AD516" s="31"/>
      <c r="AE516" s="653"/>
      <c r="AF516" s="653">
        <v>2</v>
      </c>
      <c r="AG516" s="633">
        <f>SUM(AE516:AF519)</f>
        <v>2</v>
      </c>
      <c r="AH516" s="653">
        <v>0</v>
      </c>
      <c r="AI516" s="637">
        <f>AE516*60</f>
        <v>0</v>
      </c>
      <c r="AJ516" s="640">
        <f>IF(
   COUNTIF(AC516:AC519,"SI")&gt;0,
   1.8,
   IF(
      COUNTIF(AD516:AD519,"SI")&gt;0,
      1.6,
      2
   )
)</f>
        <v>2</v>
      </c>
      <c r="AK516" s="665">
        <f>IF(AI516=0,0,AB516/AI516)</f>
        <v>0</v>
      </c>
      <c r="AL516" s="646">
        <v>46186</v>
      </c>
      <c r="AM516" s="31"/>
      <c r="AN516" s="29"/>
      <c r="AO516" s="31"/>
      <c r="AP516" s="31"/>
      <c r="AQ516" s="40"/>
      <c r="AR516" s="653"/>
      <c r="AS516" s="159">
        <f t="shared" si="354"/>
        <v>0</v>
      </c>
      <c r="AT516" s="650">
        <f>SUM(AS516:AS519,AR516)</f>
        <v>0</v>
      </c>
      <c r="AU516" s="31"/>
      <c r="AV516" s="653"/>
      <c r="AW516" s="31"/>
      <c r="AX516" s="653"/>
      <c r="AY516" s="633">
        <f>SUM(AV516:AX519)</f>
        <v>0</v>
      </c>
      <c r="AZ516" s="653"/>
      <c r="BA516" s="636">
        <f>AV516*60</f>
        <v>0</v>
      </c>
      <c r="BB516" s="657">
        <f>IF(
   COUNTIF(AU516:AU519,"SI")&gt;0,
   1.8,
   IF(
      COUNTIF(AV516:AV519,"SI")&gt;0,
      1.6,
      2
   )
)</f>
        <v>2</v>
      </c>
      <c r="BC516" s="666">
        <f>IF(BA516=0,0,AT516/BA516)</f>
        <v>0</v>
      </c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18"/>
      <c r="BX516" s="118"/>
      <c r="BY516" s="118"/>
      <c r="BZ516" s="118"/>
      <c r="CA516" s="118"/>
      <c r="CB516" s="118"/>
      <c r="CC516" s="118"/>
      <c r="CD516" s="118"/>
      <c r="CE516" s="118"/>
      <c r="CF516" s="118"/>
      <c r="CG516" s="118"/>
      <c r="CH516" s="118"/>
      <c r="CI516" s="118"/>
      <c r="CJ516" s="118"/>
      <c r="CK516" s="118"/>
      <c r="CL516" s="118"/>
      <c r="CM516" s="118"/>
      <c r="CN516" s="92"/>
      <c r="CO516" s="93"/>
      <c r="CP516" s="93"/>
      <c r="CQ516" s="93"/>
      <c r="CR516" s="93"/>
      <c r="CS516" s="93"/>
      <c r="CT516" s="93"/>
      <c r="CU516" s="93"/>
      <c r="CV516" s="93"/>
      <c r="CW516" s="93"/>
      <c r="CX516" s="93"/>
      <c r="CY516" s="93"/>
      <c r="CZ516" s="93"/>
      <c r="DA516" s="93"/>
      <c r="DB516" s="93"/>
      <c r="DC516" s="94"/>
      <c r="DD516" s="118"/>
      <c r="DE516" s="118"/>
      <c r="DF516" s="118"/>
      <c r="DG516" s="118"/>
      <c r="DH516" s="118"/>
      <c r="DI516" s="118"/>
      <c r="DJ516" s="19"/>
      <c r="DK516" s="19"/>
      <c r="DL516" s="19"/>
      <c r="DM516" s="19"/>
      <c r="DN516" s="19"/>
      <c r="DO516" s="19"/>
      <c r="DP516" s="118"/>
      <c r="DQ516" s="118"/>
      <c r="DR516" s="118"/>
      <c r="DS516" s="118"/>
      <c r="DT516" s="118"/>
      <c r="DU516" s="19"/>
      <c r="DV516" s="19"/>
      <c r="DW516" s="19"/>
      <c r="DX516" s="19"/>
      <c r="DY516" s="19"/>
      <c r="DZ516" s="19"/>
    </row>
    <row r="517" spans="1:130" ht="12.75" x14ac:dyDescent="0.2">
      <c r="A517" s="647"/>
      <c r="B517" s="647"/>
      <c r="C517" s="40"/>
      <c r="D517" s="40"/>
      <c r="E517" s="40"/>
      <c r="F517" s="40"/>
      <c r="G517" s="40"/>
      <c r="H517" s="634"/>
      <c r="I517" s="159">
        <f t="shared" si="347"/>
        <v>0</v>
      </c>
      <c r="J517" s="634"/>
      <c r="K517" s="40"/>
      <c r="L517" s="40"/>
      <c r="M517" s="634"/>
      <c r="N517" s="634"/>
      <c r="O517" s="634"/>
      <c r="P517" s="634"/>
      <c r="Q517" s="634"/>
      <c r="R517" s="634"/>
      <c r="S517" s="659"/>
      <c r="T517" s="647"/>
      <c r="U517" s="40"/>
      <c r="V517" s="31"/>
      <c r="W517" s="31"/>
      <c r="X517" s="31"/>
      <c r="Y517" s="31"/>
      <c r="Z517" s="634"/>
      <c r="AA517" s="51">
        <f t="shared" si="348"/>
        <v>0</v>
      </c>
      <c r="AB517" s="634"/>
      <c r="AC517" s="31"/>
      <c r="AD517" s="31"/>
      <c r="AE517" s="634"/>
      <c r="AF517" s="634"/>
      <c r="AG517" s="634"/>
      <c r="AH517" s="634"/>
      <c r="AI517" s="638"/>
      <c r="AJ517" s="634"/>
      <c r="AK517" s="642"/>
      <c r="AL517" s="647"/>
      <c r="AM517" s="31"/>
      <c r="AN517" s="31"/>
      <c r="AO517" s="31"/>
      <c r="AP517" s="31"/>
      <c r="AQ517" s="31"/>
      <c r="AR517" s="634"/>
      <c r="AS517" s="159"/>
      <c r="AT517" s="634"/>
      <c r="AU517" s="31"/>
      <c r="AV517" s="634"/>
      <c r="AW517" s="40"/>
      <c r="AX517" s="634"/>
      <c r="AY517" s="634"/>
      <c r="AZ517" s="634"/>
      <c r="BA517" s="634"/>
      <c r="BB517" s="634"/>
      <c r="BC517" s="634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18"/>
      <c r="BX517" s="118"/>
      <c r="BY517" s="118"/>
      <c r="BZ517" s="118"/>
      <c r="CA517" s="118"/>
      <c r="CB517" s="118"/>
      <c r="CC517" s="118"/>
      <c r="CD517" s="118"/>
      <c r="CE517" s="118"/>
      <c r="CF517" s="118"/>
      <c r="CG517" s="118"/>
      <c r="CH517" s="118"/>
      <c r="CI517" s="118"/>
      <c r="CJ517" s="118"/>
      <c r="CK517" s="118"/>
      <c r="CL517" s="118"/>
      <c r="CM517" s="118"/>
      <c r="CN517" s="92"/>
      <c r="CO517" s="93"/>
      <c r="CP517" s="93"/>
      <c r="CQ517" s="93"/>
      <c r="CR517" s="93"/>
      <c r="CS517" s="93"/>
      <c r="CT517" s="93"/>
      <c r="CU517" s="93"/>
      <c r="CV517" s="93"/>
      <c r="CW517" s="93"/>
      <c r="CX517" s="93"/>
      <c r="CY517" s="93"/>
      <c r="CZ517" s="93"/>
      <c r="DA517" s="93"/>
      <c r="DB517" s="93"/>
      <c r="DC517" s="94"/>
      <c r="DD517" s="118"/>
      <c r="DE517" s="118"/>
      <c r="DF517" s="118"/>
      <c r="DG517" s="118"/>
      <c r="DH517" s="118"/>
      <c r="DI517" s="118"/>
      <c r="DJ517" s="19"/>
      <c r="DK517" s="19"/>
      <c r="DL517" s="19"/>
      <c r="DM517" s="19"/>
      <c r="DN517" s="19"/>
      <c r="DO517" s="19"/>
      <c r="DP517" s="118"/>
      <c r="DQ517" s="118"/>
      <c r="DR517" s="118"/>
      <c r="DS517" s="118"/>
      <c r="DT517" s="118"/>
      <c r="DU517" s="19"/>
      <c r="DV517" s="19"/>
      <c r="DW517" s="19"/>
      <c r="DX517" s="19"/>
      <c r="DY517" s="19"/>
      <c r="DZ517" s="19"/>
    </row>
    <row r="518" spans="1:130" ht="12.75" x14ac:dyDescent="0.2">
      <c r="A518" s="647"/>
      <c r="B518" s="647"/>
      <c r="C518" s="40"/>
      <c r="D518" s="40"/>
      <c r="E518" s="40"/>
      <c r="F518" s="40"/>
      <c r="G518" s="40"/>
      <c r="H518" s="634"/>
      <c r="I518" s="159">
        <f t="shared" si="347"/>
        <v>0</v>
      </c>
      <c r="J518" s="634"/>
      <c r="K518" s="40"/>
      <c r="L518" s="40"/>
      <c r="M518" s="634"/>
      <c r="N518" s="634"/>
      <c r="O518" s="634"/>
      <c r="P518" s="634"/>
      <c r="Q518" s="634"/>
      <c r="R518" s="634"/>
      <c r="S518" s="659"/>
      <c r="T518" s="647"/>
      <c r="U518" s="40"/>
      <c r="V518" s="31"/>
      <c r="W518" s="31"/>
      <c r="X518" s="31"/>
      <c r="Y518" s="31"/>
      <c r="Z518" s="634"/>
      <c r="AA518" s="51">
        <f t="shared" si="348"/>
        <v>0</v>
      </c>
      <c r="AB518" s="634"/>
      <c r="AC518" s="31"/>
      <c r="AD518" s="31"/>
      <c r="AE518" s="634"/>
      <c r="AF518" s="634"/>
      <c r="AG518" s="634"/>
      <c r="AH518" s="634"/>
      <c r="AI518" s="638"/>
      <c r="AJ518" s="634"/>
      <c r="AK518" s="642"/>
      <c r="AL518" s="647"/>
      <c r="AM518" s="40"/>
      <c r="AN518" s="40"/>
      <c r="AO518" s="40"/>
      <c r="AP518" s="40"/>
      <c r="AQ518" s="40"/>
      <c r="AR518" s="634"/>
      <c r="AS518" s="159"/>
      <c r="AT518" s="634"/>
      <c r="AU518" s="40"/>
      <c r="AV518" s="634"/>
      <c r="AW518" s="40"/>
      <c r="AX518" s="634"/>
      <c r="AY518" s="634"/>
      <c r="AZ518" s="634"/>
      <c r="BA518" s="634"/>
      <c r="BB518" s="634"/>
      <c r="BC518" s="634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18"/>
      <c r="BX518" s="118"/>
      <c r="BY518" s="118"/>
      <c r="BZ518" s="118"/>
      <c r="CA518" s="118"/>
      <c r="CB518" s="118"/>
      <c r="CC518" s="118"/>
      <c r="CD518" s="118"/>
      <c r="CE518" s="118"/>
      <c r="CF518" s="118"/>
      <c r="CG518" s="118"/>
      <c r="CH518" s="118"/>
      <c r="CI518" s="118"/>
      <c r="CJ518" s="118"/>
      <c r="CK518" s="118"/>
      <c r="CL518" s="118"/>
      <c r="CM518" s="118"/>
      <c r="CN518" s="92"/>
      <c r="CO518" s="93"/>
      <c r="CP518" s="93"/>
      <c r="CQ518" s="93"/>
      <c r="CR518" s="93"/>
      <c r="CS518" s="93"/>
      <c r="CT518" s="93"/>
      <c r="CU518" s="93"/>
      <c r="CV518" s="93"/>
      <c r="CW518" s="93"/>
      <c r="CX518" s="93"/>
      <c r="CY518" s="93"/>
      <c r="CZ518" s="93"/>
      <c r="DA518" s="93"/>
      <c r="DB518" s="93"/>
      <c r="DC518" s="94"/>
      <c r="DD518" s="118"/>
      <c r="DE518" s="118"/>
      <c r="DF518" s="118"/>
      <c r="DG518" s="118"/>
      <c r="DH518" s="118"/>
      <c r="DI518" s="118"/>
      <c r="DJ518" s="19"/>
      <c r="DK518" s="19"/>
      <c r="DL518" s="19"/>
      <c r="DM518" s="19"/>
      <c r="DN518" s="19"/>
      <c r="DO518" s="19"/>
      <c r="DP518" s="118"/>
      <c r="DQ518" s="118"/>
      <c r="DR518" s="118"/>
      <c r="DS518" s="118"/>
      <c r="DT518" s="118"/>
      <c r="DU518" s="19"/>
      <c r="DV518" s="19"/>
      <c r="DW518" s="19"/>
      <c r="DX518" s="19"/>
      <c r="DY518" s="19"/>
      <c r="DZ518" s="19"/>
    </row>
    <row r="519" spans="1:130" ht="12.75" x14ac:dyDescent="0.2">
      <c r="A519" s="648"/>
      <c r="B519" s="648"/>
      <c r="C519" s="40"/>
      <c r="D519" s="40"/>
      <c r="E519" s="40"/>
      <c r="F519" s="40"/>
      <c r="G519" s="40"/>
      <c r="H519" s="635"/>
      <c r="I519" s="159">
        <f t="shared" si="347"/>
        <v>0</v>
      </c>
      <c r="J519" s="635"/>
      <c r="K519" s="40"/>
      <c r="L519" s="40"/>
      <c r="M519" s="635"/>
      <c r="N519" s="635"/>
      <c r="O519" s="635"/>
      <c r="P519" s="635"/>
      <c r="Q519" s="635"/>
      <c r="R519" s="635"/>
      <c r="S519" s="660"/>
      <c r="T519" s="648"/>
      <c r="U519" s="40"/>
      <c r="V519" s="40"/>
      <c r="W519" s="40"/>
      <c r="X519" s="40"/>
      <c r="Y519" s="40"/>
      <c r="Z519" s="635"/>
      <c r="AA519" s="51">
        <f t="shared" si="348"/>
        <v>0</v>
      </c>
      <c r="AB519" s="635"/>
      <c r="AC519" s="40"/>
      <c r="AD519" s="40"/>
      <c r="AE519" s="635"/>
      <c r="AF519" s="635"/>
      <c r="AG519" s="635"/>
      <c r="AH519" s="635"/>
      <c r="AI519" s="639"/>
      <c r="AJ519" s="635"/>
      <c r="AK519" s="643"/>
      <c r="AL519" s="648"/>
      <c r="AM519" s="40"/>
      <c r="AN519" s="40"/>
      <c r="AO519" s="40"/>
      <c r="AP519" s="40"/>
      <c r="AQ519" s="40"/>
      <c r="AR519" s="635"/>
      <c r="AS519" s="159"/>
      <c r="AT519" s="635"/>
      <c r="AU519" s="40"/>
      <c r="AV519" s="635"/>
      <c r="AW519" s="40"/>
      <c r="AX519" s="635"/>
      <c r="AY519" s="635"/>
      <c r="AZ519" s="635"/>
      <c r="BA519" s="635"/>
      <c r="BB519" s="635"/>
      <c r="BC519" s="635"/>
      <c r="BD519" s="118"/>
      <c r="BE519" s="118"/>
      <c r="BF519" s="118"/>
      <c r="BG519" s="118"/>
      <c r="BH519" s="118"/>
      <c r="BI519" s="118"/>
      <c r="BJ519" s="118"/>
      <c r="BK519" s="118"/>
      <c r="BL519" s="118"/>
      <c r="BM519" s="118"/>
      <c r="BN519" s="118"/>
      <c r="BO519" s="118"/>
      <c r="BP519" s="118"/>
      <c r="BQ519" s="118"/>
      <c r="BR519" s="118"/>
      <c r="BS519" s="118"/>
      <c r="BT519" s="118"/>
      <c r="BU519" s="118"/>
      <c r="BV519" s="19"/>
      <c r="BW519" s="118"/>
      <c r="BX519" s="118"/>
      <c r="BY519" s="118"/>
      <c r="BZ519" s="118"/>
      <c r="CA519" s="118"/>
      <c r="CB519" s="118"/>
      <c r="CC519" s="118"/>
      <c r="CD519" s="118"/>
      <c r="CE519" s="118"/>
      <c r="CF519" s="118"/>
      <c r="CG519" s="118"/>
      <c r="CH519" s="118"/>
      <c r="CI519" s="118"/>
      <c r="CJ519" s="118"/>
      <c r="CK519" s="118"/>
      <c r="CL519" s="118"/>
      <c r="CM519" s="118"/>
      <c r="CN519" s="92"/>
      <c r="CO519" s="93"/>
      <c r="CP519" s="93"/>
      <c r="CQ519" s="93"/>
      <c r="CR519" s="93"/>
      <c r="CS519" s="93"/>
      <c r="CT519" s="93"/>
      <c r="CU519" s="93"/>
      <c r="CV519" s="93"/>
      <c r="CW519" s="93"/>
      <c r="CX519" s="93"/>
      <c r="CY519" s="93"/>
      <c r="CZ519" s="93"/>
      <c r="DA519" s="93"/>
      <c r="DB519" s="93"/>
      <c r="DC519" s="94"/>
      <c r="DD519" s="118"/>
      <c r="DE519" s="118"/>
      <c r="DF519" s="118"/>
      <c r="DG519" s="118"/>
      <c r="DH519" s="118"/>
      <c r="DI519" s="118"/>
      <c r="DJ519" s="19"/>
      <c r="DK519" s="19"/>
      <c r="DL519" s="19"/>
      <c r="DM519" s="19"/>
      <c r="DN519" s="19"/>
      <c r="DO519" s="19"/>
      <c r="DP519" s="118"/>
      <c r="DQ519" s="118"/>
      <c r="DR519" s="118"/>
      <c r="DS519" s="118"/>
      <c r="DT519" s="118"/>
      <c r="DU519" s="19"/>
      <c r="DV519" s="19"/>
      <c r="DW519" s="19"/>
      <c r="DX519" s="19"/>
      <c r="DY519" s="19"/>
      <c r="DZ519" s="19"/>
    </row>
    <row r="520" spans="1:130" ht="12.75" x14ac:dyDescent="0.2">
      <c r="A520" s="166"/>
      <c r="B520" s="167" t="s">
        <v>40</v>
      </c>
      <c r="C520" s="168">
        <f>SUM(C495:C519)</f>
        <v>0</v>
      </c>
      <c r="D520" s="168" t="s">
        <v>49</v>
      </c>
      <c r="E520" s="168" t="s">
        <v>49</v>
      </c>
      <c r="F520" s="168" t="s">
        <v>49</v>
      </c>
      <c r="G520" s="168">
        <f t="shared" ref="G520:J520" si="355">SUM(G495:G519)</f>
        <v>0</v>
      </c>
      <c r="H520" s="168">
        <f t="shared" si="355"/>
        <v>0</v>
      </c>
      <c r="I520" s="168">
        <f t="shared" si="355"/>
        <v>0</v>
      </c>
      <c r="J520" s="168">
        <f t="shared" si="355"/>
        <v>0</v>
      </c>
      <c r="K520" s="168" t="s">
        <v>49</v>
      </c>
      <c r="L520" s="168"/>
      <c r="M520" s="168">
        <f>SUM(M495:M519)</f>
        <v>0</v>
      </c>
      <c r="N520" s="168">
        <f>SUM(N495:N515)</f>
        <v>0</v>
      </c>
      <c r="O520" s="169">
        <f t="shared" ref="O520:Q520" si="356">SUM(O495:O519)</f>
        <v>0</v>
      </c>
      <c r="P520" s="168">
        <f t="shared" si="356"/>
        <v>0</v>
      </c>
      <c r="Q520" s="168">
        <f t="shared" si="356"/>
        <v>0</v>
      </c>
      <c r="R520" s="170"/>
      <c r="S520" s="171">
        <f>AVERAGE(S504:S511)</f>
        <v>0</v>
      </c>
      <c r="T520" s="167" t="s">
        <v>40</v>
      </c>
      <c r="U520" s="168">
        <f>SUM(U495:U519)</f>
        <v>0</v>
      </c>
      <c r="V520" s="168" t="s">
        <v>49</v>
      </c>
      <c r="W520" s="168" t="s">
        <v>49</v>
      </c>
      <c r="X520" s="168" t="s">
        <v>49</v>
      </c>
      <c r="Y520" s="168">
        <f t="shared" ref="Y520:AB520" si="357">SUM(Y495:Y519)</f>
        <v>0</v>
      </c>
      <c r="Z520" s="168">
        <f t="shared" si="357"/>
        <v>7</v>
      </c>
      <c r="AA520" s="168">
        <f t="shared" si="357"/>
        <v>0</v>
      </c>
      <c r="AB520" s="168">
        <f t="shared" si="357"/>
        <v>7</v>
      </c>
      <c r="AC520" s="168" t="s">
        <v>49</v>
      </c>
      <c r="AD520" s="168" t="s">
        <v>49</v>
      </c>
      <c r="AE520" s="168">
        <f t="shared" ref="AE520:AI520" si="358">SUM(AE495:AE519)</f>
        <v>0</v>
      </c>
      <c r="AF520" s="168">
        <f t="shared" si="358"/>
        <v>25.5</v>
      </c>
      <c r="AG520" s="169">
        <f t="shared" si="358"/>
        <v>25.5</v>
      </c>
      <c r="AH520" s="168">
        <f t="shared" si="358"/>
        <v>0</v>
      </c>
      <c r="AI520" s="168">
        <f t="shared" si="358"/>
        <v>0</v>
      </c>
      <c r="AJ520" s="467"/>
      <c r="AK520" s="171">
        <f t="shared" ref="AK520:AK521" si="359">IF(AI520=0,0,AB520/AI520)</f>
        <v>0</v>
      </c>
      <c r="AL520" s="167" t="s">
        <v>40</v>
      </c>
      <c r="AM520" s="168">
        <f>SUM(AM495:AM519)</f>
        <v>818</v>
      </c>
      <c r="AN520" s="168" t="s">
        <v>49</v>
      </c>
      <c r="AO520" s="168" t="s">
        <v>49</v>
      </c>
      <c r="AP520" s="168" t="s">
        <v>49</v>
      </c>
      <c r="AQ520" s="168">
        <f t="shared" ref="AQ520:AT520" si="360">SUM(AQ495:AQ519)</f>
        <v>37</v>
      </c>
      <c r="AR520" s="168">
        <f t="shared" si="360"/>
        <v>0</v>
      </c>
      <c r="AS520" s="168">
        <f t="shared" si="360"/>
        <v>3363</v>
      </c>
      <c r="AT520" s="168">
        <f t="shared" si="360"/>
        <v>3363</v>
      </c>
      <c r="AU520" s="168" t="s">
        <v>49</v>
      </c>
      <c r="AV520" s="168">
        <f>SUM(AV495:AV519)</f>
        <v>22.15</v>
      </c>
      <c r="AW520" s="168"/>
      <c r="AX520" s="172">
        <f t="shared" ref="AX520:BA520" si="361">SUM(AX495:AX519)</f>
        <v>7.85</v>
      </c>
      <c r="AY520" s="173">
        <f t="shared" si="361"/>
        <v>30</v>
      </c>
      <c r="AZ520" s="172">
        <f t="shared" si="361"/>
        <v>1</v>
      </c>
      <c r="BA520" s="168">
        <f t="shared" si="361"/>
        <v>1329</v>
      </c>
      <c r="BB520" s="170"/>
      <c r="BC520" s="523">
        <f t="shared" ref="BC520:BC521" si="362">IF(BA520=0,0,AT520/BA520)</f>
        <v>2.5304740406320541</v>
      </c>
      <c r="BD520" s="118"/>
      <c r="BE520" s="118"/>
      <c r="BF520" s="118"/>
      <c r="BG520" s="118"/>
      <c r="BH520" s="118"/>
      <c r="BI520" s="118"/>
      <c r="BJ520" s="118"/>
      <c r="BK520" s="118"/>
      <c r="BL520" s="118"/>
      <c r="BM520" s="118"/>
      <c r="BN520" s="118"/>
      <c r="BO520" s="118"/>
      <c r="BP520" s="118"/>
      <c r="BQ520" s="118"/>
      <c r="BR520" s="118"/>
      <c r="BS520" s="118"/>
      <c r="BT520" s="118"/>
      <c r="BU520" s="118"/>
      <c r="BV520" s="19"/>
      <c r="BW520" s="118"/>
      <c r="BX520" s="118"/>
      <c r="BY520" s="118"/>
      <c r="BZ520" s="118"/>
      <c r="CA520" s="118"/>
      <c r="CB520" s="118"/>
      <c r="CC520" s="118"/>
      <c r="CD520" s="118"/>
      <c r="CE520" s="118"/>
      <c r="CF520" s="118"/>
      <c r="CG520" s="118"/>
      <c r="CH520" s="118"/>
      <c r="CI520" s="118"/>
      <c r="CJ520" s="118"/>
      <c r="CK520" s="118"/>
      <c r="CL520" s="118"/>
      <c r="CM520" s="118"/>
      <c r="CN520" s="92"/>
      <c r="CO520" s="93"/>
      <c r="CP520" s="93"/>
      <c r="CQ520" s="93"/>
      <c r="CR520" s="93"/>
      <c r="CS520" s="93"/>
      <c r="CT520" s="93"/>
      <c r="CU520" s="93"/>
      <c r="CV520" s="93"/>
      <c r="CW520" s="93"/>
      <c r="CX520" s="93"/>
      <c r="CY520" s="93"/>
      <c r="CZ520" s="93"/>
      <c r="DA520" s="93"/>
      <c r="DB520" s="93"/>
      <c r="DC520" s="94"/>
      <c r="DD520" s="118"/>
      <c r="DE520" s="118"/>
      <c r="DF520" s="118"/>
      <c r="DG520" s="118"/>
      <c r="DH520" s="118"/>
      <c r="DI520" s="118"/>
      <c r="DJ520" s="19"/>
      <c r="DK520" s="19"/>
      <c r="DL520" s="19"/>
      <c r="DM520" s="118"/>
      <c r="DN520" s="19"/>
      <c r="DO520" s="19"/>
      <c r="DP520" s="19"/>
      <c r="DQ520" s="19"/>
      <c r="DR520" s="19"/>
      <c r="DS520" s="118"/>
      <c r="DT520" s="118"/>
      <c r="DU520" s="19"/>
      <c r="DV520" s="19"/>
      <c r="DW520" s="19"/>
      <c r="DX520" s="19"/>
      <c r="DY520" s="19"/>
      <c r="DZ520" s="19"/>
    </row>
    <row r="521" spans="1:130" ht="12.75" x14ac:dyDescent="0.2">
      <c r="A521" s="741" t="s">
        <v>12</v>
      </c>
      <c r="B521" s="674">
        <v>46188</v>
      </c>
      <c r="C521" s="175"/>
      <c r="D521" s="26"/>
      <c r="E521" s="26"/>
      <c r="F521" s="26"/>
      <c r="G521" s="137"/>
      <c r="H521" s="675"/>
      <c r="I521" s="62">
        <f t="shared" ref="I521:I545" si="363">IF(E521=0,0,F521-E521+1-G521)</f>
        <v>0</v>
      </c>
      <c r="J521" s="676">
        <f>SUM(I521:I525,H521)</f>
        <v>0</v>
      </c>
      <c r="K521" s="175"/>
      <c r="L521" s="175"/>
      <c r="M521" s="675"/>
      <c r="N521" s="675"/>
      <c r="O521" s="677">
        <f>SUM(M521:N525)</f>
        <v>0</v>
      </c>
      <c r="P521" s="675"/>
      <c r="Q521" s="657">
        <f>M521*60</f>
        <v>0</v>
      </c>
      <c r="R521" s="657">
        <f>IF(
   COUNTIF(K521:K525,"SI")&gt;0,
   1.8,
   IF(
      COUNTIF(L521:L525,"SI")&gt;0,
      1.6,
      2
   )
)</f>
        <v>2</v>
      </c>
      <c r="S521" s="678">
        <f>IF(Q521=0,0,J521/Q521)</f>
        <v>0</v>
      </c>
      <c r="T521" s="674">
        <v>46188</v>
      </c>
      <c r="U521" s="175"/>
      <c r="V521" s="26"/>
      <c r="W521" s="26"/>
      <c r="X521" s="26"/>
      <c r="Y521" s="175"/>
      <c r="Z521" s="680"/>
      <c r="AA521" s="151">
        <f t="shared" ref="AA521:AA545" si="364">IF(X521=0,0,X521-W521+1-Y521)</f>
        <v>0</v>
      </c>
      <c r="AB521" s="669">
        <f>SUM(AA521:AA525,Z521)</f>
        <v>0</v>
      </c>
      <c r="AC521" s="26"/>
      <c r="AD521" s="26"/>
      <c r="AE521" s="675"/>
      <c r="AF521" s="675"/>
      <c r="AG521" s="677">
        <f>SUM(AE521:AF525)</f>
        <v>0</v>
      </c>
      <c r="AH521" s="675">
        <v>0</v>
      </c>
      <c r="AI521" s="681">
        <f>AE521*60</f>
        <v>0</v>
      </c>
      <c r="AJ521" s="657">
        <f>IF(
   COUNTIF(AC521:AC525,"SI")&gt;0,
   1.8,
   IF(
      COUNTIF(AD521:AD525,"SI")&gt;0,
      1.6,
      2
   )
)</f>
        <v>2</v>
      </c>
      <c r="AK521" s="682">
        <f t="shared" si="359"/>
        <v>0</v>
      </c>
      <c r="AL521" s="674">
        <v>46188</v>
      </c>
      <c r="AM521" s="24">
        <v>10</v>
      </c>
      <c r="AN521" s="31">
        <v>658</v>
      </c>
      <c r="AO521" s="31">
        <v>15402</v>
      </c>
      <c r="AP521" s="24">
        <v>15501</v>
      </c>
      <c r="AQ521" s="26"/>
      <c r="AR521" s="681"/>
      <c r="AS521" s="159">
        <f t="shared" ref="AS521:AS532" si="365">IF(AO521=0,0,AP521-AO521+1-AQ521)</f>
        <v>100</v>
      </c>
      <c r="AT521" s="683">
        <f>SUM(AS521:AS525)+AR521</f>
        <v>1254</v>
      </c>
      <c r="AU521" s="29"/>
      <c r="AV521" s="640">
        <v>8.35</v>
      </c>
      <c r="AW521" s="29" t="s">
        <v>51</v>
      </c>
      <c r="AX521" s="657">
        <v>0.4</v>
      </c>
      <c r="AY521" s="633">
        <f>SUM(AV521,AX521)</f>
        <v>8.75</v>
      </c>
      <c r="AZ521" s="657">
        <v>0.25</v>
      </c>
      <c r="BA521" s="657">
        <f>AV521*60</f>
        <v>501</v>
      </c>
      <c r="BB521" s="657">
        <f>IF(
   COUNTIF(AU521:AU525,"SI")&gt;0,
   1.8,
   IF(
      COUNTIF(AV521:AV525,"SI")&gt;0,
      1.6,
      2
   )
)</f>
        <v>2</v>
      </c>
      <c r="BC521" s="645">
        <f t="shared" si="362"/>
        <v>2.5029940119760479</v>
      </c>
      <c r="BD521" s="118"/>
      <c r="BE521" s="118"/>
      <c r="BF521" s="118"/>
      <c r="BG521" s="118"/>
      <c r="BH521" s="118"/>
      <c r="BI521" s="118"/>
      <c r="BJ521" s="118"/>
      <c r="BK521" s="118"/>
      <c r="BL521" s="118"/>
      <c r="BM521" s="118"/>
      <c r="BN521" s="118"/>
      <c r="BO521" s="118"/>
      <c r="BP521" s="118"/>
      <c r="BQ521" s="118"/>
      <c r="BR521" s="118"/>
      <c r="BS521" s="118"/>
      <c r="BT521" s="118"/>
      <c r="BU521" s="118"/>
      <c r="BV521" s="19"/>
      <c r="BW521" s="118"/>
      <c r="BX521" s="118"/>
      <c r="BY521" s="118"/>
      <c r="BZ521" s="118"/>
      <c r="CA521" s="118"/>
      <c r="CB521" s="118"/>
      <c r="CC521" s="118"/>
      <c r="CD521" s="118"/>
      <c r="CE521" s="118"/>
      <c r="CF521" s="118"/>
      <c r="CG521" s="118"/>
      <c r="CH521" s="118"/>
      <c r="CI521" s="118"/>
      <c r="CJ521" s="118"/>
      <c r="CK521" s="118"/>
      <c r="CL521" s="118"/>
      <c r="CM521" s="118"/>
      <c r="CN521" s="524"/>
      <c r="CO521" s="525"/>
      <c r="CP521" s="525"/>
      <c r="CQ521" s="525"/>
      <c r="CR521" s="525"/>
      <c r="CS521" s="525"/>
      <c r="CT521" s="525"/>
      <c r="CU521" s="525"/>
      <c r="CV521" s="525"/>
      <c r="CW521" s="525"/>
      <c r="CX521" s="525"/>
      <c r="CY521" s="525"/>
      <c r="CZ521" s="525"/>
      <c r="DA521" s="525"/>
      <c r="DB521" s="525"/>
      <c r="DC521" s="526"/>
      <c r="DD521" s="118"/>
      <c r="DE521" s="19"/>
      <c r="DF521" s="19"/>
      <c r="DG521" s="19"/>
      <c r="DH521" s="118"/>
      <c r="DI521" s="19"/>
      <c r="DJ521" s="19"/>
      <c r="DK521" s="19"/>
      <c r="DL521" s="19"/>
      <c r="DM521" s="19"/>
      <c r="DN521" s="19"/>
      <c r="DO521" s="118"/>
      <c r="DP521" s="19"/>
      <c r="DQ521" s="19"/>
      <c r="DR521" s="19"/>
      <c r="DS521" s="19"/>
      <c r="DT521" s="118"/>
      <c r="DU521" s="19"/>
      <c r="DV521" s="19"/>
      <c r="DW521" s="19"/>
      <c r="DX521" s="19"/>
      <c r="DY521" s="19"/>
      <c r="DZ521" s="19"/>
    </row>
    <row r="522" spans="1:130" ht="12.75" x14ac:dyDescent="0.2">
      <c r="A522" s="647"/>
      <c r="B522" s="647"/>
      <c r="C522" s="30"/>
      <c r="D522" s="158"/>
      <c r="E522" s="158"/>
      <c r="F522" s="158"/>
      <c r="G522" s="158"/>
      <c r="H522" s="634"/>
      <c r="I522" s="159">
        <f t="shared" si="363"/>
        <v>0</v>
      </c>
      <c r="J522" s="634"/>
      <c r="K522" s="30"/>
      <c r="L522" s="142"/>
      <c r="M522" s="634"/>
      <c r="N522" s="634"/>
      <c r="O522" s="634"/>
      <c r="P522" s="634"/>
      <c r="Q522" s="634"/>
      <c r="R522" s="634"/>
      <c r="S522" s="659"/>
      <c r="T522" s="647"/>
      <c r="U522" s="30"/>
      <c r="V522" s="30"/>
      <c r="W522" s="30"/>
      <c r="X522" s="30"/>
      <c r="Y522" s="30"/>
      <c r="Z522" s="638"/>
      <c r="AA522" s="51">
        <f t="shared" si="364"/>
        <v>0</v>
      </c>
      <c r="AB522" s="670"/>
      <c r="AC522" s="29"/>
      <c r="AD522" s="25"/>
      <c r="AE522" s="634"/>
      <c r="AF522" s="634"/>
      <c r="AG522" s="634"/>
      <c r="AH522" s="634"/>
      <c r="AI522" s="638"/>
      <c r="AJ522" s="634"/>
      <c r="AK522" s="642"/>
      <c r="AL522" s="647"/>
      <c r="AM522" s="28">
        <v>101</v>
      </c>
      <c r="AN522" s="28">
        <v>598</v>
      </c>
      <c r="AO522" s="28">
        <v>2</v>
      </c>
      <c r="AP522" s="28">
        <v>505</v>
      </c>
      <c r="AQ522" s="29">
        <v>8</v>
      </c>
      <c r="AR522" s="638"/>
      <c r="AS522" s="159">
        <f t="shared" si="365"/>
        <v>496</v>
      </c>
      <c r="AT522" s="670"/>
      <c r="AU522" s="29"/>
      <c r="AV522" s="634"/>
      <c r="AW522" s="29"/>
      <c r="AX522" s="634"/>
      <c r="AY522" s="634"/>
      <c r="AZ522" s="634"/>
      <c r="BA522" s="634"/>
      <c r="BB522" s="634"/>
      <c r="BC522" s="634"/>
      <c r="BD522" s="118"/>
      <c r="BE522" s="118"/>
      <c r="BF522" s="118"/>
      <c r="BG522" s="118"/>
      <c r="BH522" s="118"/>
      <c r="BI522" s="118"/>
      <c r="BJ522" s="118"/>
      <c r="BK522" s="118"/>
      <c r="BL522" s="118"/>
      <c r="BM522" s="118"/>
      <c r="BN522" s="118"/>
      <c r="BO522" s="118"/>
      <c r="BP522" s="118"/>
      <c r="BQ522" s="118"/>
      <c r="BR522" s="118"/>
      <c r="BS522" s="118"/>
      <c r="BT522" s="118"/>
      <c r="BU522" s="118"/>
      <c r="BV522" s="19"/>
      <c r="BW522" s="118"/>
      <c r="BX522" s="118"/>
      <c r="BY522" s="118"/>
      <c r="BZ522" s="118"/>
      <c r="CA522" s="118"/>
      <c r="CB522" s="118"/>
      <c r="CC522" s="118"/>
      <c r="CD522" s="118"/>
      <c r="CE522" s="118"/>
      <c r="CF522" s="118"/>
      <c r="CG522" s="118"/>
      <c r="CH522" s="118"/>
      <c r="CI522" s="118"/>
      <c r="CJ522" s="118"/>
      <c r="CK522" s="118"/>
      <c r="CL522" s="118"/>
      <c r="CM522" s="118"/>
      <c r="CN522" s="524"/>
      <c r="CO522" s="525"/>
      <c r="CP522" s="525"/>
      <c r="CQ522" s="525"/>
      <c r="CR522" s="525"/>
      <c r="CS522" s="525"/>
      <c r="CT522" s="525"/>
      <c r="CU522" s="525"/>
      <c r="CV522" s="525"/>
      <c r="CW522" s="525"/>
      <c r="CX522" s="525"/>
      <c r="CY522" s="525"/>
      <c r="CZ522" s="525"/>
      <c r="DA522" s="525"/>
      <c r="DB522" s="525"/>
      <c r="DC522" s="526"/>
      <c r="DD522" s="118"/>
      <c r="DE522" s="19"/>
      <c r="DF522" s="19"/>
      <c r="DG522" s="19"/>
      <c r="DH522" s="118"/>
      <c r="DI522" s="19"/>
      <c r="DJ522" s="19"/>
      <c r="DK522" s="19"/>
      <c r="DL522" s="19"/>
      <c r="DM522" s="19"/>
      <c r="DN522" s="19"/>
      <c r="DO522" s="118"/>
      <c r="DP522" s="19"/>
      <c r="DQ522" s="19"/>
      <c r="DR522" s="19"/>
      <c r="DS522" s="19"/>
      <c r="DT522" s="118"/>
      <c r="DU522" s="19"/>
      <c r="DV522" s="19"/>
      <c r="DW522" s="19"/>
      <c r="DX522" s="19"/>
      <c r="DY522" s="19"/>
      <c r="DZ522" s="19"/>
    </row>
    <row r="523" spans="1:130" ht="12.75" x14ac:dyDescent="0.2">
      <c r="A523" s="647"/>
      <c r="B523" s="647"/>
      <c r="C523" s="30"/>
      <c r="D523" s="158"/>
      <c r="E523" s="158"/>
      <c r="F523" s="158"/>
      <c r="G523" s="158"/>
      <c r="H523" s="634"/>
      <c r="I523" s="159">
        <f t="shared" si="363"/>
        <v>0</v>
      </c>
      <c r="J523" s="634"/>
      <c r="K523" s="158"/>
      <c r="L523" s="161"/>
      <c r="M523" s="634"/>
      <c r="N523" s="634"/>
      <c r="O523" s="634"/>
      <c r="P523" s="634"/>
      <c r="Q523" s="634"/>
      <c r="R523" s="634"/>
      <c r="S523" s="659"/>
      <c r="T523" s="647"/>
      <c r="U523" s="30"/>
      <c r="V523" s="158"/>
      <c r="W523" s="30"/>
      <c r="X523" s="30"/>
      <c r="Y523" s="30"/>
      <c r="Z523" s="638"/>
      <c r="AA523" s="51">
        <f t="shared" si="364"/>
        <v>0</v>
      </c>
      <c r="AB523" s="670"/>
      <c r="AC523" s="158"/>
      <c r="AD523" s="161"/>
      <c r="AE523" s="634"/>
      <c r="AF523" s="634"/>
      <c r="AG523" s="634"/>
      <c r="AH523" s="634"/>
      <c r="AI523" s="638"/>
      <c r="AJ523" s="634"/>
      <c r="AK523" s="642"/>
      <c r="AL523" s="647"/>
      <c r="AM523" s="28">
        <v>103</v>
      </c>
      <c r="AN523" s="28">
        <v>599</v>
      </c>
      <c r="AO523" s="28">
        <v>506</v>
      </c>
      <c r="AP523" s="28">
        <v>1003</v>
      </c>
      <c r="AQ523" s="28">
        <v>9</v>
      </c>
      <c r="AR523" s="638"/>
      <c r="AS523" s="159">
        <f t="shared" si="365"/>
        <v>489</v>
      </c>
      <c r="AT523" s="670"/>
      <c r="AU523" s="29"/>
      <c r="AV523" s="634"/>
      <c r="AW523" s="29"/>
      <c r="AX523" s="634"/>
      <c r="AY523" s="634"/>
      <c r="AZ523" s="634"/>
      <c r="BA523" s="634"/>
      <c r="BB523" s="634"/>
      <c r="BC523" s="634"/>
      <c r="BD523" s="118"/>
      <c r="BE523" s="118"/>
      <c r="BF523" s="118"/>
      <c r="BG523" s="118"/>
      <c r="BH523" s="118"/>
      <c r="BI523" s="118"/>
      <c r="BJ523" s="118"/>
      <c r="BK523" s="118"/>
      <c r="BL523" s="118"/>
      <c r="BM523" s="118"/>
      <c r="BN523" s="118"/>
      <c r="BO523" s="118"/>
      <c r="BP523" s="118"/>
      <c r="BQ523" s="118"/>
      <c r="BR523" s="118"/>
      <c r="BS523" s="118"/>
      <c r="BT523" s="118"/>
      <c r="BU523" s="118"/>
      <c r="BV523" s="19"/>
      <c r="BW523" s="118"/>
      <c r="BX523" s="118"/>
      <c r="BY523" s="118"/>
      <c r="BZ523" s="118"/>
      <c r="CA523" s="118"/>
      <c r="CB523" s="118"/>
      <c r="CC523" s="118"/>
      <c r="CD523" s="118"/>
      <c r="CE523" s="118"/>
      <c r="CF523" s="118"/>
      <c r="CG523" s="118"/>
      <c r="CH523" s="118"/>
      <c r="CI523" s="118"/>
      <c r="CJ523" s="118"/>
      <c r="CK523" s="118"/>
      <c r="CL523" s="118"/>
      <c r="CM523" s="118"/>
      <c r="CN523" s="524"/>
      <c r="CO523" s="525"/>
      <c r="CP523" s="525"/>
      <c r="CQ523" s="525"/>
      <c r="CR523" s="525"/>
      <c r="CS523" s="525"/>
      <c r="CT523" s="525"/>
      <c r="CU523" s="525"/>
      <c r="CV523" s="525"/>
      <c r="CW523" s="525"/>
      <c r="CX523" s="525"/>
      <c r="CY523" s="525"/>
      <c r="CZ523" s="525"/>
      <c r="DA523" s="525"/>
      <c r="DB523" s="525"/>
      <c r="DC523" s="526"/>
      <c r="DD523" s="118"/>
      <c r="DE523" s="19"/>
      <c r="DF523" s="19"/>
      <c r="DG523" s="19"/>
      <c r="DH523" s="118"/>
      <c r="DI523" s="19"/>
      <c r="DJ523" s="19"/>
      <c r="DK523" s="19"/>
      <c r="DL523" s="19"/>
      <c r="DM523" s="19"/>
      <c r="DN523" s="19"/>
      <c r="DO523" s="118"/>
      <c r="DP523" s="19"/>
      <c r="DQ523" s="19"/>
      <c r="DR523" s="19"/>
      <c r="DS523" s="19"/>
      <c r="DT523" s="118"/>
      <c r="DU523" s="19"/>
      <c r="DV523" s="19"/>
      <c r="DW523" s="19"/>
      <c r="DX523" s="19"/>
      <c r="DY523" s="19"/>
      <c r="DZ523" s="19"/>
    </row>
    <row r="524" spans="1:130" ht="12.75" x14ac:dyDescent="0.2">
      <c r="A524" s="647"/>
      <c r="B524" s="647"/>
      <c r="C524" s="30"/>
      <c r="D524" s="30"/>
      <c r="E524" s="30"/>
      <c r="F524" s="30"/>
      <c r="G524" s="30"/>
      <c r="H524" s="634"/>
      <c r="I524" s="159">
        <f t="shared" si="363"/>
        <v>0</v>
      </c>
      <c r="J524" s="634"/>
      <c r="K524" s="30"/>
      <c r="L524" s="142"/>
      <c r="M524" s="634"/>
      <c r="N524" s="634"/>
      <c r="O524" s="634"/>
      <c r="P524" s="634"/>
      <c r="Q524" s="634"/>
      <c r="R524" s="634"/>
      <c r="S524" s="659"/>
      <c r="T524" s="647"/>
      <c r="U524" s="30"/>
      <c r="V524" s="30"/>
      <c r="W524" s="30"/>
      <c r="X524" s="30"/>
      <c r="Y524" s="30"/>
      <c r="Z524" s="638"/>
      <c r="AA524" s="51">
        <f t="shared" si="364"/>
        <v>0</v>
      </c>
      <c r="AB524" s="670"/>
      <c r="AC524" s="30"/>
      <c r="AD524" s="142"/>
      <c r="AE524" s="634"/>
      <c r="AF524" s="634"/>
      <c r="AG524" s="634"/>
      <c r="AH524" s="634"/>
      <c r="AI524" s="638"/>
      <c r="AJ524" s="634"/>
      <c r="AK524" s="642"/>
      <c r="AL524" s="647"/>
      <c r="AM524" s="29"/>
      <c r="AN524" s="29">
        <v>600</v>
      </c>
      <c r="AO524" s="29">
        <v>1004</v>
      </c>
      <c r="AP524" s="29">
        <v>1182</v>
      </c>
      <c r="AQ524" s="29">
        <v>10</v>
      </c>
      <c r="AR524" s="638"/>
      <c r="AS524" s="159">
        <f t="shared" si="365"/>
        <v>169</v>
      </c>
      <c r="AT524" s="671"/>
      <c r="AU524" s="29"/>
      <c r="AV524" s="635"/>
      <c r="AW524" s="25"/>
      <c r="AX524" s="634"/>
      <c r="AY524" s="634"/>
      <c r="AZ524" s="634"/>
      <c r="BA524" s="634"/>
      <c r="BB524" s="634"/>
      <c r="BC524" s="635"/>
      <c r="BD524" s="118"/>
      <c r="BE524" s="118"/>
      <c r="BF524" s="118"/>
      <c r="BG524" s="118"/>
      <c r="BH524" s="118"/>
      <c r="BI524" s="118"/>
      <c r="BJ524" s="118"/>
      <c r="BK524" s="118"/>
      <c r="BL524" s="118"/>
      <c r="BM524" s="118"/>
      <c r="BN524" s="118"/>
      <c r="BO524" s="118"/>
      <c r="BP524" s="118"/>
      <c r="BQ524" s="118"/>
      <c r="BR524" s="118"/>
      <c r="BS524" s="118"/>
      <c r="BT524" s="118"/>
      <c r="BU524" s="118"/>
      <c r="BV524" s="19"/>
      <c r="BW524" s="118"/>
      <c r="BX524" s="118"/>
      <c r="BY524" s="118"/>
      <c r="BZ524" s="118"/>
      <c r="CA524" s="118"/>
      <c r="CB524" s="118"/>
      <c r="CC524" s="118"/>
      <c r="CD524" s="118"/>
      <c r="CE524" s="118"/>
      <c r="CF524" s="118"/>
      <c r="CG524" s="118"/>
      <c r="CH524" s="118"/>
      <c r="CI524" s="118"/>
      <c r="CJ524" s="118"/>
      <c r="CK524" s="118"/>
      <c r="CL524" s="118"/>
      <c r="CM524" s="118"/>
      <c r="CN524" s="524"/>
      <c r="CO524" s="525"/>
      <c r="CP524" s="525"/>
      <c r="CQ524" s="525"/>
      <c r="CR524" s="525"/>
      <c r="CS524" s="525"/>
      <c r="CT524" s="525"/>
      <c r="CU524" s="525"/>
      <c r="CV524" s="525"/>
      <c r="CW524" s="525"/>
      <c r="CX524" s="525"/>
      <c r="CY524" s="525"/>
      <c r="CZ524" s="525"/>
      <c r="DA524" s="525"/>
      <c r="DB524" s="525"/>
      <c r="DC524" s="526"/>
      <c r="DD524" s="118"/>
      <c r="DE524" s="19"/>
      <c r="DF524" s="19"/>
      <c r="DG524" s="19"/>
      <c r="DH524" s="118"/>
      <c r="DI524" s="19"/>
      <c r="DJ524" s="19"/>
      <c r="DK524" s="19"/>
      <c r="DL524" s="19"/>
      <c r="DM524" s="19"/>
      <c r="DN524" s="19"/>
      <c r="DO524" s="118"/>
      <c r="DP524" s="19"/>
      <c r="DQ524" s="19"/>
      <c r="DR524" s="19"/>
      <c r="DS524" s="19"/>
      <c r="DT524" s="118"/>
      <c r="DU524" s="19"/>
      <c r="DV524" s="19"/>
      <c r="DW524" s="19"/>
      <c r="DX524" s="19"/>
      <c r="DY524" s="19"/>
      <c r="DZ524" s="19"/>
    </row>
    <row r="525" spans="1:130" ht="12.75" x14ac:dyDescent="0.2">
      <c r="A525" s="648"/>
      <c r="B525" s="648"/>
      <c r="C525" s="30"/>
      <c r="D525" s="30"/>
      <c r="E525" s="30"/>
      <c r="F525" s="30"/>
      <c r="G525" s="30"/>
      <c r="H525" s="635"/>
      <c r="I525" s="159">
        <f t="shared" si="363"/>
        <v>0</v>
      </c>
      <c r="J525" s="635"/>
      <c r="K525" s="30"/>
      <c r="L525" s="142"/>
      <c r="M525" s="635"/>
      <c r="N525" s="635"/>
      <c r="O525" s="635"/>
      <c r="P525" s="635"/>
      <c r="Q525" s="635"/>
      <c r="R525" s="635"/>
      <c r="S525" s="660"/>
      <c r="T525" s="648"/>
      <c r="U525" s="30"/>
      <c r="V525" s="30"/>
      <c r="W525" s="30"/>
      <c r="X525" s="30"/>
      <c r="Y525" s="30"/>
      <c r="Z525" s="639"/>
      <c r="AA525" s="51">
        <f t="shared" si="364"/>
        <v>0</v>
      </c>
      <c r="AB525" s="671"/>
      <c r="AC525" s="30"/>
      <c r="AD525" s="142"/>
      <c r="AE525" s="635"/>
      <c r="AF525" s="635"/>
      <c r="AG525" s="635"/>
      <c r="AH525" s="635"/>
      <c r="AI525" s="639"/>
      <c r="AJ525" s="635"/>
      <c r="AK525" s="643"/>
      <c r="AL525" s="648"/>
      <c r="AM525" s="30"/>
      <c r="AN525" s="30"/>
      <c r="AO525" s="30"/>
      <c r="AP525" s="30"/>
      <c r="AQ525" s="30"/>
      <c r="AR525" s="639"/>
      <c r="AS525" s="159">
        <f t="shared" si="365"/>
        <v>0</v>
      </c>
      <c r="AT525" s="146">
        <f>AS525</f>
        <v>0</v>
      </c>
      <c r="AU525" s="30"/>
      <c r="AV525" s="142"/>
      <c r="AW525" s="142"/>
      <c r="AX525" s="635"/>
      <c r="AY525" s="635"/>
      <c r="AZ525" s="635"/>
      <c r="BA525" s="147">
        <f t="shared" ref="BA525:BA526" si="366">AV525*60</f>
        <v>0</v>
      </c>
      <c r="BB525" s="635"/>
      <c r="BC525" s="148">
        <f t="shared" ref="BC525:BC526" si="367">IF(BA525=0,0,AT525/BA525)</f>
        <v>0</v>
      </c>
      <c r="BD525" s="118"/>
      <c r="BE525" s="118"/>
      <c r="BF525" s="118"/>
      <c r="BG525" s="118"/>
      <c r="BH525" s="118"/>
      <c r="BI525" s="118"/>
      <c r="BJ525" s="118"/>
      <c r="BK525" s="118"/>
      <c r="BL525" s="118"/>
      <c r="BM525" s="118"/>
      <c r="BN525" s="118"/>
      <c r="BO525" s="118"/>
      <c r="BP525" s="118"/>
      <c r="BQ525" s="118"/>
      <c r="BR525" s="118"/>
      <c r="BS525" s="118"/>
      <c r="BT525" s="118"/>
      <c r="BU525" s="118"/>
      <c r="BV525" s="19"/>
      <c r="BW525" s="118"/>
      <c r="BX525" s="118"/>
      <c r="BY525" s="118"/>
      <c r="BZ525" s="118"/>
      <c r="CA525" s="118"/>
      <c r="CB525" s="118"/>
      <c r="CC525" s="118"/>
      <c r="CD525" s="118"/>
      <c r="CE525" s="118"/>
      <c r="CF525" s="118"/>
      <c r="CG525" s="118"/>
      <c r="CH525" s="118"/>
      <c r="CI525" s="118"/>
      <c r="CJ525" s="118"/>
      <c r="CK525" s="118"/>
      <c r="CL525" s="118"/>
      <c r="CM525" s="118"/>
      <c r="CN525" s="524"/>
      <c r="CO525" s="525"/>
      <c r="CP525" s="525"/>
      <c r="CQ525" s="525"/>
      <c r="CR525" s="525"/>
      <c r="CS525" s="525"/>
      <c r="CT525" s="525"/>
      <c r="CU525" s="525"/>
      <c r="CV525" s="525"/>
      <c r="CW525" s="525"/>
      <c r="CX525" s="525"/>
      <c r="CY525" s="525"/>
      <c r="CZ525" s="525"/>
      <c r="DA525" s="525"/>
      <c r="DB525" s="525"/>
      <c r="DC525" s="526"/>
      <c r="DD525" s="118"/>
      <c r="DE525" s="19"/>
      <c r="DF525" s="19"/>
      <c r="DG525" s="19"/>
      <c r="DH525" s="118"/>
      <c r="DI525" s="19"/>
      <c r="DJ525" s="19"/>
      <c r="DK525" s="19"/>
      <c r="DL525" s="19"/>
      <c r="DM525" s="19"/>
      <c r="DN525" s="19"/>
      <c r="DO525" s="118"/>
      <c r="DP525" s="19"/>
      <c r="DQ525" s="19"/>
      <c r="DR525" s="19"/>
      <c r="DS525" s="19"/>
      <c r="DT525" s="118"/>
      <c r="DU525" s="19"/>
      <c r="DV525" s="19"/>
      <c r="DW525" s="19"/>
      <c r="DX525" s="19"/>
      <c r="DY525" s="19"/>
      <c r="DZ525" s="19"/>
    </row>
    <row r="526" spans="1:130" ht="12.75" x14ac:dyDescent="0.2">
      <c r="A526" s="651"/>
      <c r="B526" s="646">
        <v>46189</v>
      </c>
      <c r="C526" s="40"/>
      <c r="D526" s="40"/>
      <c r="E526" s="40"/>
      <c r="F526" s="40"/>
      <c r="G526" s="40"/>
      <c r="H526" s="653"/>
      <c r="I526" s="159">
        <f t="shared" si="363"/>
        <v>0</v>
      </c>
      <c r="J526" s="650">
        <f>SUM(I526:I529,H526)</f>
        <v>0</v>
      </c>
      <c r="K526" s="40"/>
      <c r="L526" s="40"/>
      <c r="M526" s="653"/>
      <c r="N526" s="653"/>
      <c r="O526" s="633">
        <f>SUM(M526:N529)</f>
        <v>0</v>
      </c>
      <c r="P526" s="653"/>
      <c r="Q526" s="636">
        <f>M526*60</f>
        <v>0</v>
      </c>
      <c r="R526" s="657">
        <f>IF(
   COUNTIF(K526:K529,"SI")&gt;0,
   1.8,
   IF(
      COUNTIF(L526:L529,"SI")&gt;0,
      1.6,
      2
   )
)</f>
        <v>2</v>
      </c>
      <c r="S526" s="678">
        <f>IF(Q526=0,0,J526/Q526)</f>
        <v>0</v>
      </c>
      <c r="T526" s="646">
        <v>46189</v>
      </c>
      <c r="U526" s="40"/>
      <c r="V526" s="38">
        <v>601</v>
      </c>
      <c r="W526" s="38">
        <v>1501</v>
      </c>
      <c r="X526" s="38">
        <v>1974</v>
      </c>
      <c r="Y526" s="38">
        <v>0</v>
      </c>
      <c r="Z526" s="653">
        <v>2</v>
      </c>
      <c r="AA526" s="51">
        <f t="shared" si="364"/>
        <v>474</v>
      </c>
      <c r="AB526" s="650">
        <f>SUM(AA526:AA529)+Z526</f>
        <v>476</v>
      </c>
      <c r="AC526" s="38" t="s">
        <v>51</v>
      </c>
      <c r="AD526" s="38" t="s">
        <v>51</v>
      </c>
      <c r="AE526" s="636">
        <v>4.5</v>
      </c>
      <c r="AF526" s="636">
        <v>2.5</v>
      </c>
      <c r="AG526" s="633">
        <f>SUM(AE526:AF529)</f>
        <v>7</v>
      </c>
      <c r="AH526" s="636">
        <v>0</v>
      </c>
      <c r="AI526" s="637">
        <f>AE526*60</f>
        <v>270</v>
      </c>
      <c r="AJ526" s="640">
        <f>IF(
   COUNTIF(AC526:AC529,"SI")&gt;0,
   1.8,
   IF(
      COUNTIF(AD526:AD529,"SI")&gt;0,
      1.6,
      2
   )
)</f>
        <v>1.8</v>
      </c>
      <c r="AK526" s="641">
        <f>IF(AI526=0,0,AB526/AI526)</f>
        <v>1.7629629629629631</v>
      </c>
      <c r="AL526" s="646">
        <v>46189</v>
      </c>
      <c r="AM526" s="31"/>
      <c r="AN526" s="31"/>
      <c r="AO526" s="31"/>
      <c r="AP526" s="31"/>
      <c r="AQ526" s="31"/>
      <c r="AR526" s="653"/>
      <c r="AS526" s="159">
        <f t="shared" si="365"/>
        <v>0</v>
      </c>
      <c r="AT526" s="683">
        <f>SUM(AS526:AS529)+AR526</f>
        <v>0</v>
      </c>
      <c r="AU526" s="653"/>
      <c r="AV526" s="653"/>
      <c r="AW526" s="31"/>
      <c r="AX526" s="653"/>
      <c r="AY526" s="633">
        <f>SUM(AV526:AX529)</f>
        <v>0</v>
      </c>
      <c r="AZ526" s="636">
        <v>0.15</v>
      </c>
      <c r="BA526" s="636">
        <f t="shared" si="366"/>
        <v>0</v>
      </c>
      <c r="BB526" s="657">
        <f>IF(
   COUNTIF(AU526:AU529,"SI")&gt;0,
   1.8,
   IF(
      COUNTIF(AV526:AV529,"SI")&gt;0,
      1.6,
      2
   )
)</f>
        <v>2</v>
      </c>
      <c r="BC526" s="667">
        <f t="shared" si="367"/>
        <v>0</v>
      </c>
      <c r="BD526" s="118"/>
      <c r="BE526" s="118"/>
      <c r="BF526" s="118"/>
      <c r="BG526" s="118"/>
      <c r="BH526" s="118"/>
      <c r="BI526" s="118"/>
      <c r="BJ526" s="118"/>
      <c r="BK526" s="118"/>
      <c r="BL526" s="118"/>
      <c r="BM526" s="118"/>
      <c r="BN526" s="118"/>
      <c r="BO526" s="118"/>
      <c r="BP526" s="118"/>
      <c r="BQ526" s="118"/>
      <c r="BR526" s="118"/>
      <c r="BS526" s="118"/>
      <c r="BT526" s="118"/>
      <c r="BU526" s="118"/>
      <c r="BV526" s="19"/>
      <c r="BW526" s="118"/>
      <c r="BX526" s="118"/>
      <c r="BY526" s="118"/>
      <c r="BZ526" s="118"/>
      <c r="CA526" s="118"/>
      <c r="CB526" s="118"/>
      <c r="CC526" s="118"/>
      <c r="CD526" s="118"/>
      <c r="CE526" s="118"/>
      <c r="CF526" s="118"/>
      <c r="CG526" s="118"/>
      <c r="CH526" s="118"/>
      <c r="CI526" s="118"/>
      <c r="CJ526" s="118"/>
      <c r="CK526" s="118"/>
      <c r="CL526" s="118"/>
      <c r="CM526" s="118"/>
      <c r="CN526" s="524"/>
      <c r="CO526" s="525"/>
      <c r="CP526" s="525"/>
      <c r="CQ526" s="525"/>
      <c r="CR526" s="525"/>
      <c r="CS526" s="525"/>
      <c r="CT526" s="525"/>
      <c r="CU526" s="525"/>
      <c r="CV526" s="525"/>
      <c r="CW526" s="525"/>
      <c r="CX526" s="525"/>
      <c r="CY526" s="525"/>
      <c r="CZ526" s="525"/>
      <c r="DA526" s="525"/>
      <c r="DB526" s="525"/>
      <c r="DC526" s="526"/>
      <c r="DD526" s="118"/>
      <c r="DE526" s="19"/>
      <c r="DF526" s="19"/>
      <c r="DG526" s="19"/>
      <c r="DH526" s="118"/>
      <c r="DI526" s="19"/>
      <c r="DJ526" s="19"/>
      <c r="DK526" s="19"/>
      <c r="DL526" s="19"/>
      <c r="DM526" s="19"/>
      <c r="DN526" s="19"/>
      <c r="DO526" s="118"/>
      <c r="DP526" s="19"/>
      <c r="DQ526" s="19"/>
      <c r="DR526" s="19"/>
      <c r="DS526" s="19"/>
      <c r="DT526" s="118"/>
      <c r="DU526" s="19"/>
      <c r="DV526" s="19"/>
      <c r="DW526" s="19"/>
      <c r="DX526" s="19"/>
      <c r="DY526" s="19"/>
      <c r="DZ526" s="19"/>
    </row>
    <row r="527" spans="1:130" ht="12.75" x14ac:dyDescent="0.2">
      <c r="A527" s="647"/>
      <c r="B527" s="647"/>
      <c r="C527" s="40"/>
      <c r="D527" s="40"/>
      <c r="E527" s="40"/>
      <c r="F527" s="40"/>
      <c r="G527" s="40"/>
      <c r="H527" s="634"/>
      <c r="I527" s="159">
        <f t="shared" si="363"/>
        <v>0</v>
      </c>
      <c r="J527" s="634"/>
      <c r="K527" s="40"/>
      <c r="L527" s="40"/>
      <c r="M527" s="634"/>
      <c r="N527" s="634"/>
      <c r="O527" s="634"/>
      <c r="P527" s="634"/>
      <c r="Q527" s="634"/>
      <c r="R527" s="634"/>
      <c r="S527" s="659"/>
      <c r="T527" s="647"/>
      <c r="U527" s="40"/>
      <c r="V527" s="31"/>
      <c r="W527" s="31"/>
      <c r="X527" s="31"/>
      <c r="Y527" s="31"/>
      <c r="Z527" s="634"/>
      <c r="AA527" s="51">
        <f t="shared" si="364"/>
        <v>0</v>
      </c>
      <c r="AB527" s="634"/>
      <c r="AC527" s="38"/>
      <c r="AD527" s="38"/>
      <c r="AE527" s="634"/>
      <c r="AF527" s="634"/>
      <c r="AG527" s="634"/>
      <c r="AH527" s="634"/>
      <c r="AI527" s="638"/>
      <c r="AJ527" s="634"/>
      <c r="AK527" s="642"/>
      <c r="AL527" s="647"/>
      <c r="AM527" s="31"/>
      <c r="AN527" s="31"/>
      <c r="AO527" s="31"/>
      <c r="AP527" s="31"/>
      <c r="AQ527" s="31"/>
      <c r="AR527" s="634"/>
      <c r="AS527" s="159">
        <f t="shared" si="365"/>
        <v>0</v>
      </c>
      <c r="AT527" s="670"/>
      <c r="AU527" s="634"/>
      <c r="AV527" s="634"/>
      <c r="AW527" s="31"/>
      <c r="AX527" s="634"/>
      <c r="AY527" s="634"/>
      <c r="AZ527" s="634"/>
      <c r="BA527" s="634"/>
      <c r="BB527" s="634"/>
      <c r="BC527" s="634"/>
      <c r="BD527" s="118"/>
      <c r="BE527" s="118"/>
      <c r="BF527" s="118"/>
      <c r="BG527" s="118"/>
      <c r="BH527" s="118"/>
      <c r="BI527" s="118"/>
      <c r="BJ527" s="118"/>
      <c r="BK527" s="118"/>
      <c r="BL527" s="118"/>
      <c r="BM527" s="118"/>
      <c r="BN527" s="118"/>
      <c r="BO527" s="118"/>
      <c r="BP527" s="118"/>
      <c r="BQ527" s="118"/>
      <c r="BR527" s="118"/>
      <c r="BS527" s="118"/>
      <c r="BT527" s="118"/>
      <c r="BU527" s="118"/>
      <c r="BV527" s="19"/>
      <c r="BW527" s="118"/>
      <c r="BX527" s="118"/>
      <c r="BY527" s="118"/>
      <c r="BZ527" s="118"/>
      <c r="CA527" s="118"/>
      <c r="CB527" s="118"/>
      <c r="CC527" s="118"/>
      <c r="CD527" s="118"/>
      <c r="CE527" s="118"/>
      <c r="CF527" s="118"/>
      <c r="CG527" s="118"/>
      <c r="CH527" s="118"/>
      <c r="CI527" s="118"/>
      <c r="CJ527" s="118"/>
      <c r="CK527" s="118"/>
      <c r="CL527" s="118"/>
      <c r="CM527" s="118"/>
      <c r="CN527" s="524"/>
      <c r="CO527" s="525"/>
      <c r="CP527" s="525"/>
      <c r="CQ527" s="525"/>
      <c r="CR527" s="525"/>
      <c r="CS527" s="525"/>
      <c r="CT527" s="525"/>
      <c r="CU527" s="525"/>
      <c r="CV527" s="525"/>
      <c r="CW527" s="525"/>
      <c r="CX527" s="525"/>
      <c r="CY527" s="525"/>
      <c r="CZ527" s="525"/>
      <c r="DA527" s="525"/>
      <c r="DB527" s="525"/>
      <c r="DC527" s="526"/>
      <c r="DD527" s="118"/>
      <c r="DE527" s="19"/>
      <c r="DF527" s="19"/>
      <c r="DG527" s="19"/>
      <c r="DH527" s="118"/>
      <c r="DI527" s="19"/>
      <c r="DJ527" s="19"/>
      <c r="DK527" s="19"/>
      <c r="DL527" s="19"/>
      <c r="DM527" s="19"/>
      <c r="DN527" s="19"/>
      <c r="DO527" s="118"/>
      <c r="DP527" s="19"/>
      <c r="DQ527" s="19"/>
      <c r="DR527" s="19"/>
      <c r="DS527" s="19"/>
      <c r="DT527" s="118"/>
      <c r="DU527" s="19"/>
      <c r="DV527" s="19"/>
      <c r="DW527" s="19"/>
      <c r="DX527" s="19"/>
      <c r="DY527" s="19"/>
      <c r="DZ527" s="19"/>
    </row>
    <row r="528" spans="1:130" ht="12.75" x14ac:dyDescent="0.2">
      <c r="A528" s="647"/>
      <c r="B528" s="647"/>
      <c r="C528" s="40"/>
      <c r="D528" s="40"/>
      <c r="E528" s="40"/>
      <c r="F528" s="40"/>
      <c r="G528" s="40"/>
      <c r="H528" s="634"/>
      <c r="I528" s="159">
        <f t="shared" si="363"/>
        <v>0</v>
      </c>
      <c r="J528" s="634"/>
      <c r="K528" s="40"/>
      <c r="L528" s="40"/>
      <c r="M528" s="634"/>
      <c r="N528" s="634"/>
      <c r="O528" s="634"/>
      <c r="P528" s="634"/>
      <c r="Q528" s="634"/>
      <c r="R528" s="634"/>
      <c r="S528" s="659"/>
      <c r="T528" s="647"/>
      <c r="U528" s="40"/>
      <c r="V528" s="31"/>
      <c r="W528" s="31"/>
      <c r="X528" s="31"/>
      <c r="Y528" s="31"/>
      <c r="Z528" s="634"/>
      <c r="AA528" s="51">
        <f t="shared" si="364"/>
        <v>0</v>
      </c>
      <c r="AB528" s="634"/>
      <c r="AC528" s="38"/>
      <c r="AD528" s="38"/>
      <c r="AE528" s="634"/>
      <c r="AF528" s="634"/>
      <c r="AG528" s="634"/>
      <c r="AH528" s="634"/>
      <c r="AI528" s="638"/>
      <c r="AJ528" s="634"/>
      <c r="AK528" s="642"/>
      <c r="AL528" s="647"/>
      <c r="AM528" s="31"/>
      <c r="AN528" s="31"/>
      <c r="AO528" s="31"/>
      <c r="AP528" s="31"/>
      <c r="AQ528" s="159"/>
      <c r="AR528" s="634"/>
      <c r="AS528" s="159">
        <f t="shared" si="365"/>
        <v>0</v>
      </c>
      <c r="AT528" s="671"/>
      <c r="AU528" s="635"/>
      <c r="AV528" s="635"/>
      <c r="AW528" s="40"/>
      <c r="AX528" s="634"/>
      <c r="AY528" s="634"/>
      <c r="AZ528" s="634"/>
      <c r="BA528" s="634"/>
      <c r="BB528" s="634"/>
      <c r="BC528" s="635"/>
      <c r="BD528" s="118"/>
      <c r="BE528" s="118"/>
      <c r="BF528" s="118"/>
      <c r="BG528" s="118"/>
      <c r="BH528" s="118"/>
      <c r="BI528" s="118"/>
      <c r="BJ528" s="118"/>
      <c r="BK528" s="118"/>
      <c r="BL528" s="118"/>
      <c r="BM528" s="118"/>
      <c r="BN528" s="118"/>
      <c r="BO528" s="118"/>
      <c r="BP528" s="118"/>
      <c r="BQ528" s="118"/>
      <c r="BR528" s="118"/>
      <c r="BS528" s="118"/>
      <c r="BT528" s="118"/>
      <c r="BU528" s="118"/>
      <c r="BV528" s="19"/>
      <c r="BW528" s="118"/>
      <c r="BX528" s="118"/>
      <c r="BY528" s="118"/>
      <c r="BZ528" s="118"/>
      <c r="CA528" s="118"/>
      <c r="CB528" s="118"/>
      <c r="CC528" s="118"/>
      <c r="CD528" s="118"/>
      <c r="CE528" s="118"/>
      <c r="CF528" s="118"/>
      <c r="CG528" s="118"/>
      <c r="CH528" s="118"/>
      <c r="CI528" s="118"/>
      <c r="CJ528" s="118"/>
      <c r="CK528" s="118"/>
      <c r="CL528" s="118"/>
      <c r="CM528" s="118"/>
      <c r="CN528" s="524"/>
      <c r="CO528" s="525"/>
      <c r="CP528" s="525"/>
      <c r="CQ528" s="525"/>
      <c r="CR528" s="525"/>
      <c r="CS528" s="525"/>
      <c r="CT528" s="525"/>
      <c r="CU528" s="525"/>
      <c r="CV528" s="525"/>
      <c r="CW528" s="525"/>
      <c r="CX528" s="525"/>
      <c r="CY528" s="525"/>
      <c r="CZ528" s="525"/>
      <c r="DA528" s="525"/>
      <c r="DB528" s="525"/>
      <c r="DC528" s="526"/>
      <c r="DD528" s="118"/>
      <c r="DE528" s="19"/>
      <c r="DF528" s="19"/>
      <c r="DG528" s="19"/>
      <c r="DH528" s="118"/>
      <c r="DI528" s="19"/>
      <c r="DJ528" s="19"/>
      <c r="DK528" s="19"/>
      <c r="DL528" s="19"/>
      <c r="DM528" s="19"/>
      <c r="DN528" s="19"/>
      <c r="DO528" s="118"/>
      <c r="DP528" s="19"/>
      <c r="DQ528" s="19"/>
      <c r="DR528" s="19"/>
      <c r="DS528" s="19"/>
      <c r="DT528" s="118"/>
      <c r="DU528" s="19"/>
      <c r="DV528" s="19"/>
      <c r="DW528" s="19"/>
      <c r="DX528" s="19"/>
      <c r="DY528" s="19"/>
      <c r="DZ528" s="19"/>
    </row>
    <row r="529" spans="1:130" ht="12.75" x14ac:dyDescent="0.2">
      <c r="A529" s="648"/>
      <c r="B529" s="648"/>
      <c r="C529" s="40"/>
      <c r="D529" s="40"/>
      <c r="E529" s="40"/>
      <c r="F529" s="40"/>
      <c r="G529" s="40"/>
      <c r="H529" s="635"/>
      <c r="I529" s="159">
        <f t="shared" si="363"/>
        <v>0</v>
      </c>
      <c r="J529" s="635"/>
      <c r="K529" s="40"/>
      <c r="L529" s="40"/>
      <c r="M529" s="635"/>
      <c r="N529" s="635"/>
      <c r="O529" s="635"/>
      <c r="P529" s="635"/>
      <c r="Q529" s="635"/>
      <c r="R529" s="635"/>
      <c r="S529" s="660"/>
      <c r="T529" s="648"/>
      <c r="U529" s="40"/>
      <c r="V529" s="40"/>
      <c r="W529" s="40"/>
      <c r="X529" s="40"/>
      <c r="Y529" s="40"/>
      <c r="Z529" s="635"/>
      <c r="AA529" s="51">
        <f t="shared" si="364"/>
        <v>0</v>
      </c>
      <c r="AB529" s="634"/>
      <c r="AC529" s="40"/>
      <c r="AD529" s="40"/>
      <c r="AE529" s="634"/>
      <c r="AF529" s="635"/>
      <c r="AG529" s="635"/>
      <c r="AH529" s="635"/>
      <c r="AI529" s="638"/>
      <c r="AJ529" s="635"/>
      <c r="AK529" s="643"/>
      <c r="AL529" s="648"/>
      <c r="AM529" s="40"/>
      <c r="AN529" s="31"/>
      <c r="AO529" s="31"/>
      <c r="AP529" s="31"/>
      <c r="AQ529" s="40"/>
      <c r="AR529" s="635"/>
      <c r="AS529" s="159">
        <f t="shared" si="365"/>
        <v>0</v>
      </c>
      <c r="AT529" s="153"/>
      <c r="AU529" s="40"/>
      <c r="AV529" s="154"/>
      <c r="AW529" s="154"/>
      <c r="AX529" s="635"/>
      <c r="AY529" s="635"/>
      <c r="AZ529" s="635"/>
      <c r="BA529" s="154"/>
      <c r="BB529" s="635"/>
      <c r="BC529" s="527"/>
      <c r="BD529" s="118"/>
      <c r="BE529" s="118"/>
      <c r="BF529" s="118"/>
      <c r="BG529" s="118"/>
      <c r="BH529" s="118"/>
      <c r="BI529" s="118"/>
      <c r="BJ529" s="118"/>
      <c r="BK529" s="118"/>
      <c r="BL529" s="118"/>
      <c r="BM529" s="118"/>
      <c r="BN529" s="118"/>
      <c r="BO529" s="118"/>
      <c r="BP529" s="118"/>
      <c r="BQ529" s="118"/>
      <c r="BR529" s="118"/>
      <c r="BS529" s="118"/>
      <c r="BT529" s="118"/>
      <c r="BU529" s="118"/>
      <c r="BV529" s="19"/>
      <c r="BW529" s="118"/>
      <c r="BX529" s="118"/>
      <c r="BY529" s="118"/>
      <c r="BZ529" s="118"/>
      <c r="CA529" s="118"/>
      <c r="CB529" s="118"/>
      <c r="CC529" s="118"/>
      <c r="CD529" s="118"/>
      <c r="CE529" s="118"/>
      <c r="CF529" s="118"/>
      <c r="CG529" s="118"/>
      <c r="CH529" s="118"/>
      <c r="CI529" s="118"/>
      <c r="CJ529" s="118"/>
      <c r="CK529" s="118"/>
      <c r="CL529" s="118"/>
      <c r="CM529" s="118"/>
      <c r="CN529" s="524"/>
      <c r="CO529" s="525"/>
      <c r="CP529" s="525"/>
      <c r="CQ529" s="525"/>
      <c r="CR529" s="525"/>
      <c r="CS529" s="525"/>
      <c r="CT529" s="525"/>
      <c r="CU529" s="525"/>
      <c r="CV529" s="525"/>
      <c r="CW529" s="525"/>
      <c r="CX529" s="525"/>
      <c r="CY529" s="525"/>
      <c r="CZ529" s="525"/>
      <c r="DA529" s="525"/>
      <c r="DB529" s="525"/>
      <c r="DC529" s="526"/>
      <c r="DD529" s="118"/>
      <c r="DE529" s="19"/>
      <c r="DF529" s="19"/>
      <c r="DG529" s="19"/>
      <c r="DH529" s="118"/>
      <c r="DI529" s="19"/>
      <c r="DJ529" s="19"/>
      <c r="DK529" s="19"/>
      <c r="DL529" s="19"/>
      <c r="DM529" s="19"/>
      <c r="DN529" s="19"/>
      <c r="DO529" s="118"/>
      <c r="DP529" s="19"/>
      <c r="DQ529" s="19"/>
      <c r="DR529" s="19"/>
      <c r="DS529" s="19"/>
      <c r="DT529" s="118"/>
      <c r="DU529" s="19"/>
      <c r="DV529" s="19"/>
      <c r="DW529" s="19"/>
      <c r="DX529" s="19"/>
      <c r="DY529" s="19"/>
      <c r="DZ529" s="19"/>
    </row>
    <row r="530" spans="1:130" ht="12.75" x14ac:dyDescent="0.2">
      <c r="A530" s="654"/>
      <c r="B530" s="655">
        <v>46190</v>
      </c>
      <c r="C530" s="29"/>
      <c r="D530" s="29"/>
      <c r="E530" s="29"/>
      <c r="F530" s="29"/>
      <c r="G530" s="30"/>
      <c r="H530" s="649"/>
      <c r="I530" s="159">
        <f t="shared" si="363"/>
        <v>0</v>
      </c>
      <c r="J530" s="650">
        <f>SUM(I530:I533,H530)</f>
        <v>0</v>
      </c>
      <c r="K530" s="29"/>
      <c r="L530" s="29"/>
      <c r="M530" s="649"/>
      <c r="N530" s="649"/>
      <c r="O530" s="656">
        <f>SUM(M530:N533)</f>
        <v>0</v>
      </c>
      <c r="P530" s="649"/>
      <c r="Q530" s="644">
        <f>M530*60</f>
        <v>0</v>
      </c>
      <c r="R530" s="657">
        <f>IF(
   COUNTIF(K530:K533,"SI")&gt;0,
   1.8,
   IF(
      COUNTIF(L530:L533,"SI")&gt;0,
      1.6,
      2
   )
)</f>
        <v>2</v>
      </c>
      <c r="S530" s="658">
        <f>IF(Q530=0,0,J530/Q530)</f>
        <v>0</v>
      </c>
      <c r="T530" s="655">
        <v>46190</v>
      </c>
      <c r="U530" s="30"/>
      <c r="V530" s="28"/>
      <c r="W530" s="28"/>
      <c r="X530" s="28"/>
      <c r="Y530" s="29"/>
      <c r="Z530" s="640"/>
      <c r="AA530" s="51">
        <f t="shared" si="364"/>
        <v>0</v>
      </c>
      <c r="AB530" s="650">
        <f>SUM(AA530:AA533,Z530)</f>
        <v>0</v>
      </c>
      <c r="AC530" s="28"/>
      <c r="AD530" s="28"/>
      <c r="AE530" s="640"/>
      <c r="AF530" s="640">
        <v>4.25</v>
      </c>
      <c r="AG530" s="633">
        <f>SUM(AE530:AF533)</f>
        <v>4.25</v>
      </c>
      <c r="AH530" s="640">
        <v>0.5</v>
      </c>
      <c r="AI530" s="664">
        <f>AE530*60</f>
        <v>0</v>
      </c>
      <c r="AJ530" s="640">
        <f>IF(
   COUNTIF(AC530:AC533,"SI")&gt;0,
   1.8,
   IF(
      COUNTIF(AD530:AD533,"SI")&gt;0,
      1.6,
      2
   )
)</f>
        <v>2</v>
      </c>
      <c r="AK530" s="641">
        <f>IF(AI530=0,0,AB530/AI530)</f>
        <v>0</v>
      </c>
      <c r="AL530" s="655">
        <v>46190</v>
      </c>
      <c r="AM530" s="31"/>
      <c r="AN530" s="31">
        <v>600</v>
      </c>
      <c r="AO530" s="31">
        <v>1183</v>
      </c>
      <c r="AP530" s="31">
        <v>1329</v>
      </c>
      <c r="AQ530" s="31">
        <v>5</v>
      </c>
      <c r="AR530" s="653">
        <v>38</v>
      </c>
      <c r="AS530" s="159">
        <f t="shared" si="365"/>
        <v>142</v>
      </c>
      <c r="AT530" s="650">
        <f>SUM(AS530:AS532,AR530)</f>
        <v>180</v>
      </c>
      <c r="AU530" s="653" t="s">
        <v>51</v>
      </c>
      <c r="AV530" s="653">
        <v>1.2</v>
      </c>
      <c r="AW530" s="31"/>
      <c r="AX530" s="653">
        <v>0.8</v>
      </c>
      <c r="AY530" s="633">
        <f>SUM(AV530:AX533)</f>
        <v>2</v>
      </c>
      <c r="AZ530" s="636">
        <v>0.7</v>
      </c>
      <c r="BA530" s="640">
        <f>AV530*60</f>
        <v>72</v>
      </c>
      <c r="BB530" s="657">
        <f>IF(
   COUNTIF(AU530:AU533,"SI")&gt;0,
   1.8,
   IF(
      COUNTIF(AV530:AV533,"SI")&gt;0,
      1.6,
      2
   )
)</f>
        <v>1.8</v>
      </c>
      <c r="BC530" s="666">
        <f>IF(BA530=0,0,AT530/BA530)</f>
        <v>2.5</v>
      </c>
      <c r="BD530" s="118"/>
      <c r="BE530" s="118"/>
      <c r="BF530" s="118"/>
      <c r="BG530" s="118"/>
      <c r="BH530" s="118"/>
      <c r="BI530" s="118"/>
      <c r="BJ530" s="118"/>
      <c r="BK530" s="118"/>
      <c r="BL530" s="118"/>
      <c r="BM530" s="118"/>
      <c r="BN530" s="118"/>
      <c r="BO530" s="118"/>
      <c r="BP530" s="118"/>
      <c r="BQ530" s="118"/>
      <c r="BR530" s="118"/>
      <c r="BS530" s="118"/>
      <c r="BT530" s="118"/>
      <c r="BU530" s="118"/>
      <c r="BV530" s="19"/>
      <c r="BW530" s="118"/>
      <c r="BX530" s="118"/>
      <c r="BY530" s="118"/>
      <c r="BZ530" s="118"/>
      <c r="CA530" s="118"/>
      <c r="CB530" s="118"/>
      <c r="CC530" s="118"/>
      <c r="CD530" s="118"/>
      <c r="CE530" s="118"/>
      <c r="CF530" s="118"/>
      <c r="CG530" s="118"/>
      <c r="CH530" s="118"/>
      <c r="CI530" s="118"/>
      <c r="CJ530" s="118"/>
      <c r="CK530" s="118"/>
      <c r="CL530" s="118"/>
      <c r="CM530" s="118"/>
      <c r="CN530" s="524"/>
      <c r="CO530" s="525"/>
      <c r="CP530" s="525"/>
      <c r="CQ530" s="525"/>
      <c r="CR530" s="525"/>
      <c r="CS530" s="525"/>
      <c r="CT530" s="525"/>
      <c r="CU530" s="525"/>
      <c r="CV530" s="525"/>
      <c r="CW530" s="525"/>
      <c r="CX530" s="525"/>
      <c r="CY530" s="525"/>
      <c r="CZ530" s="525"/>
      <c r="DA530" s="525"/>
      <c r="DB530" s="525"/>
      <c r="DC530" s="526"/>
      <c r="DD530" s="118"/>
      <c r="DE530" s="19"/>
      <c r="DF530" s="19"/>
      <c r="DG530" s="19"/>
      <c r="DH530" s="118"/>
      <c r="DI530" s="19"/>
      <c r="DJ530" s="19"/>
      <c r="DK530" s="19"/>
      <c r="DL530" s="19"/>
      <c r="DM530" s="19"/>
      <c r="DN530" s="19"/>
      <c r="DO530" s="118"/>
      <c r="DP530" s="19"/>
      <c r="DQ530" s="19"/>
      <c r="DR530" s="19"/>
      <c r="DS530" s="19"/>
      <c r="DT530" s="118"/>
      <c r="DU530" s="19"/>
      <c r="DV530" s="19"/>
      <c r="DW530" s="19"/>
      <c r="DX530" s="19"/>
      <c r="DY530" s="19"/>
      <c r="DZ530" s="19"/>
    </row>
    <row r="531" spans="1:130" ht="12.75" x14ac:dyDescent="0.2">
      <c r="A531" s="647"/>
      <c r="B531" s="647"/>
      <c r="C531" s="29"/>
      <c r="D531" s="29"/>
      <c r="E531" s="29"/>
      <c r="F531" s="29"/>
      <c r="G531" s="30"/>
      <c r="H531" s="634"/>
      <c r="I531" s="159">
        <f t="shared" si="363"/>
        <v>0</v>
      </c>
      <c r="J531" s="634"/>
      <c r="K531" s="30"/>
      <c r="L531" s="30"/>
      <c r="M531" s="634"/>
      <c r="N531" s="634"/>
      <c r="O531" s="634"/>
      <c r="P531" s="634"/>
      <c r="Q531" s="634"/>
      <c r="R531" s="634"/>
      <c r="S531" s="659"/>
      <c r="T531" s="647"/>
      <c r="U531" s="30"/>
      <c r="V531" s="28"/>
      <c r="W531" s="28"/>
      <c r="X531" s="28"/>
      <c r="Y531" s="29"/>
      <c r="Z531" s="634"/>
      <c r="AA531" s="51">
        <f t="shared" si="364"/>
        <v>0</v>
      </c>
      <c r="AB531" s="634"/>
      <c r="AC531" s="28"/>
      <c r="AD531" s="28"/>
      <c r="AE531" s="634"/>
      <c r="AF531" s="634"/>
      <c r="AG531" s="634"/>
      <c r="AH531" s="634"/>
      <c r="AI531" s="638"/>
      <c r="AJ531" s="634"/>
      <c r="AK531" s="642"/>
      <c r="AL531" s="647"/>
      <c r="AM531" s="31"/>
      <c r="AN531" s="31"/>
      <c r="AO531" s="31"/>
      <c r="AP531" s="31"/>
      <c r="AQ531" s="31"/>
      <c r="AR531" s="634"/>
      <c r="AS531" s="159">
        <f t="shared" si="365"/>
        <v>0</v>
      </c>
      <c r="AT531" s="634"/>
      <c r="AU531" s="634"/>
      <c r="AV531" s="634"/>
      <c r="AW531" s="31"/>
      <c r="AX531" s="634"/>
      <c r="AY531" s="634"/>
      <c r="AZ531" s="634"/>
      <c r="BA531" s="634"/>
      <c r="BB531" s="634"/>
      <c r="BC531" s="634"/>
      <c r="BD531" s="118"/>
      <c r="BE531" s="118"/>
      <c r="BF531" s="118"/>
      <c r="BG531" s="118"/>
      <c r="BH531" s="118"/>
      <c r="BI531" s="118"/>
      <c r="BJ531" s="118"/>
      <c r="BK531" s="118"/>
      <c r="BL531" s="118"/>
      <c r="BM531" s="118"/>
      <c r="BN531" s="118"/>
      <c r="BO531" s="118"/>
      <c r="BP531" s="118"/>
      <c r="BQ531" s="118"/>
      <c r="BR531" s="118"/>
      <c r="BS531" s="118"/>
      <c r="BT531" s="118"/>
      <c r="BU531" s="118"/>
      <c r="BV531" s="19"/>
      <c r="BW531" s="118"/>
      <c r="BX531" s="118"/>
      <c r="BY531" s="118"/>
      <c r="BZ531" s="118"/>
      <c r="CA531" s="118"/>
      <c r="CB531" s="118"/>
      <c r="CC531" s="118"/>
      <c r="CD531" s="118"/>
      <c r="CE531" s="118"/>
      <c r="CF531" s="118"/>
      <c r="CG531" s="118"/>
      <c r="CH531" s="118"/>
      <c r="CI531" s="118"/>
      <c r="CJ531" s="118"/>
      <c r="CK531" s="118"/>
      <c r="CL531" s="118"/>
      <c r="CM531" s="118"/>
      <c r="CN531" s="524"/>
      <c r="CO531" s="525"/>
      <c r="CP531" s="525"/>
      <c r="CQ531" s="525"/>
      <c r="CR531" s="525"/>
      <c r="CS531" s="525"/>
      <c r="CT531" s="525"/>
      <c r="CU531" s="525"/>
      <c r="CV531" s="525"/>
      <c r="CW531" s="525"/>
      <c r="CX531" s="525"/>
      <c r="CY531" s="525"/>
      <c r="CZ531" s="525"/>
      <c r="DA531" s="525"/>
      <c r="DB531" s="525"/>
      <c r="DC531" s="526"/>
      <c r="DD531" s="118"/>
      <c r="DE531" s="19"/>
      <c r="DF531" s="19"/>
      <c r="DG531" s="19"/>
      <c r="DH531" s="118"/>
      <c r="DI531" s="19"/>
      <c r="DJ531" s="19"/>
      <c r="DK531" s="19"/>
      <c r="DL531" s="19"/>
      <c r="DM531" s="19"/>
      <c r="DN531" s="19"/>
      <c r="DO531" s="118"/>
      <c r="DP531" s="19"/>
      <c r="DQ531" s="19"/>
      <c r="DR531" s="19"/>
      <c r="DS531" s="19"/>
      <c r="DT531" s="118"/>
      <c r="DU531" s="19"/>
      <c r="DV531" s="19"/>
      <c r="DW531" s="19"/>
      <c r="DX531" s="19"/>
      <c r="DY531" s="19"/>
      <c r="DZ531" s="19"/>
    </row>
    <row r="532" spans="1:130" ht="12.75" x14ac:dyDescent="0.2">
      <c r="A532" s="647"/>
      <c r="B532" s="647"/>
      <c r="C532" s="30"/>
      <c r="D532" s="30"/>
      <c r="E532" s="30"/>
      <c r="F532" s="30"/>
      <c r="G532" s="30"/>
      <c r="H532" s="634"/>
      <c r="I532" s="159">
        <f t="shared" si="363"/>
        <v>0</v>
      </c>
      <c r="J532" s="634"/>
      <c r="K532" s="30"/>
      <c r="L532" s="30"/>
      <c r="M532" s="634"/>
      <c r="N532" s="634"/>
      <c r="O532" s="634"/>
      <c r="P532" s="634"/>
      <c r="Q532" s="634"/>
      <c r="R532" s="634"/>
      <c r="S532" s="659"/>
      <c r="T532" s="647"/>
      <c r="U532" s="30"/>
      <c r="V532" s="28"/>
      <c r="W532" s="28"/>
      <c r="X532" s="28"/>
      <c r="Y532" s="29"/>
      <c r="Z532" s="634"/>
      <c r="AA532" s="51">
        <f t="shared" si="364"/>
        <v>0</v>
      </c>
      <c r="AB532" s="634"/>
      <c r="AC532" s="51"/>
      <c r="AD532" s="51"/>
      <c r="AE532" s="634"/>
      <c r="AF532" s="634"/>
      <c r="AG532" s="634"/>
      <c r="AH532" s="634"/>
      <c r="AI532" s="638"/>
      <c r="AJ532" s="634"/>
      <c r="AK532" s="642"/>
      <c r="AL532" s="647"/>
      <c r="AM532" s="31"/>
      <c r="AN532" s="31"/>
      <c r="AO532" s="31"/>
      <c r="AP532" s="31"/>
      <c r="AQ532" s="28"/>
      <c r="AR532" s="634"/>
      <c r="AS532" s="159">
        <f t="shared" si="365"/>
        <v>0</v>
      </c>
      <c r="AT532" s="635"/>
      <c r="AU532" s="635"/>
      <c r="AV532" s="635"/>
      <c r="AW532" s="31"/>
      <c r="AX532" s="634"/>
      <c r="AY532" s="634"/>
      <c r="AZ532" s="634"/>
      <c r="BA532" s="634"/>
      <c r="BB532" s="634"/>
      <c r="BC532" s="635"/>
      <c r="BD532" s="118"/>
      <c r="BE532" s="118"/>
      <c r="BF532" s="118"/>
      <c r="BG532" s="118"/>
      <c r="BH532" s="118"/>
      <c r="BI532" s="118"/>
      <c r="BJ532" s="118"/>
      <c r="BK532" s="118"/>
      <c r="BL532" s="118"/>
      <c r="BM532" s="118"/>
      <c r="BN532" s="118"/>
      <c r="BO532" s="118"/>
      <c r="BP532" s="118"/>
      <c r="BQ532" s="118"/>
      <c r="BR532" s="118"/>
      <c r="BS532" s="118"/>
      <c r="BT532" s="118"/>
      <c r="BU532" s="118"/>
      <c r="BV532" s="19"/>
      <c r="BW532" s="118"/>
      <c r="BX532" s="118"/>
      <c r="BY532" s="118"/>
      <c r="BZ532" s="118"/>
      <c r="CA532" s="118"/>
      <c r="CB532" s="118"/>
      <c r="CC532" s="118"/>
      <c r="CD532" s="118"/>
      <c r="CE532" s="118"/>
      <c r="CF532" s="118"/>
      <c r="CG532" s="118"/>
      <c r="CH532" s="118"/>
      <c r="CI532" s="118"/>
      <c r="CJ532" s="118"/>
      <c r="CK532" s="118"/>
      <c r="CL532" s="118"/>
      <c r="CM532" s="118"/>
      <c r="CN532" s="524"/>
      <c r="CO532" s="525"/>
      <c r="CP532" s="525"/>
      <c r="CQ532" s="525"/>
      <c r="CR532" s="525"/>
      <c r="CS532" s="525"/>
      <c r="CT532" s="525"/>
      <c r="CU532" s="525"/>
      <c r="CV532" s="525"/>
      <c r="CW532" s="525"/>
      <c r="CX532" s="525"/>
      <c r="CY532" s="525"/>
      <c r="CZ532" s="525"/>
      <c r="DA532" s="525"/>
      <c r="DB532" s="525"/>
      <c r="DC532" s="526"/>
      <c r="DD532" s="118"/>
      <c r="DE532" s="19"/>
      <c r="DF532" s="19"/>
      <c r="DG532" s="19"/>
      <c r="DH532" s="118"/>
      <c r="DI532" s="19"/>
      <c r="DJ532" s="19"/>
      <c r="DK532" s="19"/>
      <c r="DL532" s="19"/>
      <c r="DM532" s="19"/>
      <c r="DN532" s="19"/>
      <c r="DO532" s="118"/>
      <c r="DP532" s="19"/>
      <c r="DQ532" s="19"/>
      <c r="DR532" s="19"/>
      <c r="DS532" s="19"/>
      <c r="DT532" s="118"/>
      <c r="DU532" s="19"/>
      <c r="DV532" s="19"/>
      <c r="DW532" s="19"/>
      <c r="DX532" s="19"/>
      <c r="DY532" s="19"/>
      <c r="DZ532" s="19"/>
    </row>
    <row r="533" spans="1:130" ht="12.75" x14ac:dyDescent="0.2">
      <c r="A533" s="648"/>
      <c r="B533" s="648"/>
      <c r="C533" s="30"/>
      <c r="D533" s="30"/>
      <c r="E533" s="30"/>
      <c r="F533" s="30"/>
      <c r="G533" s="30"/>
      <c r="H533" s="635"/>
      <c r="I533" s="159">
        <f t="shared" si="363"/>
        <v>0</v>
      </c>
      <c r="J533" s="635"/>
      <c r="K533" s="30"/>
      <c r="L533" s="30"/>
      <c r="M533" s="635"/>
      <c r="N533" s="635"/>
      <c r="O533" s="635"/>
      <c r="P533" s="635"/>
      <c r="Q533" s="635"/>
      <c r="R533" s="635"/>
      <c r="S533" s="660"/>
      <c r="T533" s="648"/>
      <c r="U533" s="30"/>
      <c r="V533" s="30"/>
      <c r="W533" s="30"/>
      <c r="X533" s="30"/>
      <c r="Y533" s="30"/>
      <c r="Z533" s="635"/>
      <c r="AA533" s="51">
        <f t="shared" si="364"/>
        <v>0</v>
      </c>
      <c r="AB533" s="635"/>
      <c r="AC533" s="30"/>
      <c r="AD533" s="30"/>
      <c r="AE533" s="635"/>
      <c r="AF533" s="635"/>
      <c r="AG533" s="635"/>
      <c r="AH533" s="635"/>
      <c r="AI533" s="638"/>
      <c r="AJ533" s="635"/>
      <c r="AK533" s="643"/>
      <c r="AL533" s="648"/>
      <c r="AM533" s="29"/>
      <c r="AN533" s="31"/>
      <c r="AO533" s="31"/>
      <c r="AP533" s="31"/>
      <c r="AQ533" s="40"/>
      <c r="AR533" s="635"/>
      <c r="AS533" s="159"/>
      <c r="AT533" s="153">
        <f>AS533</f>
        <v>0</v>
      </c>
      <c r="AU533" s="31"/>
      <c r="AV533" s="35"/>
      <c r="AW533" s="35"/>
      <c r="AX533" s="635"/>
      <c r="AY533" s="635"/>
      <c r="AZ533" s="635"/>
      <c r="BA533" s="147">
        <f t="shared" ref="BA533:BA534" si="368">AV533*60</f>
        <v>0</v>
      </c>
      <c r="BB533" s="165"/>
      <c r="BC533" s="95">
        <f t="shared" ref="BC533:BC534" si="369">IF(BA533=0,0,AT533/BA533)</f>
        <v>0</v>
      </c>
      <c r="BD533" s="118"/>
      <c r="BE533" s="118"/>
      <c r="BF533" s="118"/>
      <c r="BG533" s="118"/>
      <c r="BH533" s="118"/>
      <c r="BI533" s="118"/>
      <c r="BJ533" s="118"/>
      <c r="BK533" s="118"/>
      <c r="BL533" s="118"/>
      <c r="BM533" s="118"/>
      <c r="BN533" s="118"/>
      <c r="BO533" s="118"/>
      <c r="BP533" s="118"/>
      <c r="BQ533" s="118"/>
      <c r="BR533" s="118"/>
      <c r="BS533" s="118"/>
      <c r="BT533" s="118"/>
      <c r="BU533" s="118"/>
      <c r="BV533" s="118"/>
      <c r="BW533" s="118"/>
      <c r="BX533" s="118"/>
      <c r="BY533" s="118"/>
      <c r="BZ533" s="118"/>
      <c r="CA533" s="118"/>
      <c r="CB533" s="118"/>
      <c r="CC533" s="118"/>
      <c r="CD533" s="118"/>
      <c r="CE533" s="118"/>
      <c r="CF533" s="118"/>
      <c r="CG533" s="118"/>
      <c r="CH533" s="118"/>
      <c r="CI533" s="118"/>
      <c r="CJ533" s="118"/>
      <c r="CK533" s="118"/>
      <c r="CL533" s="118"/>
      <c r="CM533" s="118"/>
      <c r="CN533" s="524"/>
      <c r="CO533" s="525"/>
      <c r="CP533" s="525"/>
      <c r="CQ533" s="525"/>
      <c r="CR533" s="525"/>
      <c r="CS533" s="525"/>
      <c r="CT533" s="525"/>
      <c r="CU533" s="525"/>
      <c r="CV533" s="525"/>
      <c r="CW533" s="525"/>
      <c r="CX533" s="525"/>
      <c r="CY533" s="525"/>
      <c r="CZ533" s="525"/>
      <c r="DA533" s="525"/>
      <c r="DB533" s="525"/>
      <c r="DC533" s="526"/>
      <c r="DD533" s="118"/>
      <c r="DE533" s="19"/>
      <c r="DF533" s="19"/>
      <c r="DG533" s="19"/>
      <c r="DH533" s="118"/>
      <c r="DI533" s="19"/>
      <c r="DJ533" s="19"/>
      <c r="DK533" s="19"/>
      <c r="DL533" s="19"/>
      <c r="DM533" s="19"/>
      <c r="DN533" s="19"/>
      <c r="DO533" s="118"/>
      <c r="DP533" s="19"/>
      <c r="DQ533" s="19"/>
      <c r="DR533" s="19"/>
      <c r="DS533" s="19"/>
      <c r="DT533" s="118"/>
      <c r="DU533" s="19"/>
      <c r="DV533" s="19"/>
      <c r="DW533" s="19"/>
      <c r="DX533" s="19"/>
      <c r="DY533" s="19"/>
      <c r="DZ533" s="19"/>
    </row>
    <row r="534" spans="1:130" ht="12.75" x14ac:dyDescent="0.2">
      <c r="A534" s="651"/>
      <c r="B534" s="646">
        <v>46191</v>
      </c>
      <c r="C534" s="31"/>
      <c r="D534" s="31"/>
      <c r="E534" s="31"/>
      <c r="F534" s="31"/>
      <c r="G534" s="142"/>
      <c r="H534" s="652"/>
      <c r="I534" s="159">
        <f t="shared" si="363"/>
        <v>0</v>
      </c>
      <c r="J534" s="650">
        <f>SUM(I534:I537,H534)</f>
        <v>0</v>
      </c>
      <c r="K534" s="40"/>
      <c r="L534" s="40"/>
      <c r="M534" s="653"/>
      <c r="N534" s="653"/>
      <c r="O534" s="633">
        <f>SUM(M534:N537)</f>
        <v>0</v>
      </c>
      <c r="P534" s="653"/>
      <c r="Q534" s="636">
        <f>M534*60</f>
        <v>0</v>
      </c>
      <c r="R534" s="657">
        <f>IF(
   COUNTIF(K534:K537,"SI")&gt;0,
   1.8,
   IF(
      COUNTIF(L534:L537,"SI")&gt;0,
      1.6,
      2
   )
)</f>
        <v>2</v>
      </c>
      <c r="S534" s="658">
        <f>IF(Q534=0,0,J534/Q534)</f>
        <v>0</v>
      </c>
      <c r="T534" s="646">
        <v>46191</v>
      </c>
      <c r="U534" s="40"/>
      <c r="V534" s="31">
        <v>601</v>
      </c>
      <c r="W534" s="31">
        <v>1975</v>
      </c>
      <c r="X534" s="31">
        <v>2002</v>
      </c>
      <c r="Y534" s="31">
        <v>0</v>
      </c>
      <c r="Z534" s="653">
        <v>0</v>
      </c>
      <c r="AA534" s="51">
        <f t="shared" si="364"/>
        <v>28</v>
      </c>
      <c r="AB534" s="650">
        <f>SUM(AA534:AA537,Z534)</f>
        <v>28</v>
      </c>
      <c r="AC534" s="31" t="s">
        <v>51</v>
      </c>
      <c r="AD534" s="31" t="s">
        <v>51</v>
      </c>
      <c r="AE534" s="653">
        <v>0.25</v>
      </c>
      <c r="AF534" s="636">
        <v>6.5</v>
      </c>
      <c r="AG534" s="633">
        <f>SUM(AE534:AF537)</f>
        <v>6.75</v>
      </c>
      <c r="AH534" s="636">
        <v>0</v>
      </c>
      <c r="AI534" s="637">
        <f>AE534*60</f>
        <v>15</v>
      </c>
      <c r="AJ534" s="640">
        <f>IF(
   COUNTIF(AC534:AC537,"SI")&gt;0,
   1.8,
   IF(
      COUNTIF(AD534:AD537,"SI")&gt;0,
      1.6,
      2
   )
)</f>
        <v>1.8</v>
      </c>
      <c r="AK534" s="641">
        <f>IF(AI534=0,0,AB534/AI534)</f>
        <v>1.8666666666666667</v>
      </c>
      <c r="AL534" s="646">
        <v>46191</v>
      </c>
      <c r="AM534" s="31"/>
      <c r="AN534" s="31">
        <v>600</v>
      </c>
      <c r="AO534" s="31">
        <v>1330</v>
      </c>
      <c r="AP534" s="31">
        <v>1504</v>
      </c>
      <c r="AQ534" s="31"/>
      <c r="AR534" s="649"/>
      <c r="AS534" s="159">
        <f t="shared" ref="AS534:AS542" si="370">IF(AO534=0,0,AP534-AO534+1-AQ534)</f>
        <v>175</v>
      </c>
      <c r="AT534" s="650">
        <f>SUM(AS534:AS537)+AR534</f>
        <v>523</v>
      </c>
      <c r="AU534" s="38"/>
      <c r="AV534" s="640">
        <v>3.5</v>
      </c>
      <c r="AW534" s="28"/>
      <c r="AX534" s="640">
        <v>5</v>
      </c>
      <c r="AY534" s="633">
        <f>SUM(AV534:AV536,AX534)</f>
        <v>8.5</v>
      </c>
      <c r="AZ534" s="636">
        <v>0.15</v>
      </c>
      <c r="BA534" s="636">
        <f t="shared" si="368"/>
        <v>210</v>
      </c>
      <c r="BB534" s="644">
        <f>IF(
   COUNTIF(AU534:AU535,"SI")&gt;0,
   1.8,
   IF(
      COUNTIF(AW534:AW535,"SI")&gt;0,
      1.6,
      2
   )
)</f>
        <v>2</v>
      </c>
      <c r="BC534" s="645">
        <f t="shared" si="369"/>
        <v>2.4904761904761905</v>
      </c>
      <c r="BD534" s="118"/>
      <c r="BE534" s="118"/>
      <c r="BF534" s="118"/>
      <c r="BG534" s="118"/>
      <c r="BH534" s="118"/>
      <c r="BI534" s="118"/>
      <c r="BJ534" s="118"/>
      <c r="BK534" s="118"/>
      <c r="BL534" s="118"/>
      <c r="BM534" s="118"/>
      <c r="BN534" s="118"/>
      <c r="BO534" s="118"/>
      <c r="BP534" s="118"/>
      <c r="BQ534" s="118"/>
      <c r="BR534" s="118"/>
      <c r="BS534" s="118"/>
      <c r="BT534" s="118"/>
      <c r="BU534" s="118"/>
      <c r="BV534" s="118"/>
      <c r="BW534" s="118"/>
      <c r="BX534" s="118"/>
      <c r="BY534" s="118"/>
      <c r="BZ534" s="118"/>
      <c r="CA534" s="118"/>
      <c r="CB534" s="118"/>
      <c r="CC534" s="118"/>
      <c r="CD534" s="118"/>
      <c r="CE534" s="118"/>
      <c r="CF534" s="118"/>
      <c r="CG534" s="118"/>
      <c r="CH534" s="118"/>
      <c r="CI534" s="118"/>
      <c r="CJ534" s="118"/>
      <c r="CK534" s="118"/>
      <c r="CL534" s="118"/>
      <c r="CM534" s="118"/>
      <c r="CN534" s="524"/>
      <c r="CO534" s="525"/>
      <c r="CP534" s="525"/>
      <c r="CQ534" s="525"/>
      <c r="CR534" s="525"/>
      <c r="CS534" s="525"/>
      <c r="CT534" s="525"/>
      <c r="CU534" s="525"/>
      <c r="CV534" s="525"/>
      <c r="CW534" s="525"/>
      <c r="CX534" s="525"/>
      <c r="CY534" s="525"/>
      <c r="CZ534" s="525"/>
      <c r="DA534" s="525"/>
      <c r="DB534" s="525"/>
      <c r="DC534" s="526"/>
      <c r="DD534" s="118"/>
      <c r="DE534" s="19"/>
      <c r="DF534" s="19"/>
      <c r="DG534" s="19"/>
      <c r="DH534" s="118"/>
      <c r="DI534" s="19"/>
      <c r="DJ534" s="19"/>
      <c r="DK534" s="19"/>
      <c r="DL534" s="19"/>
      <c r="DM534" s="19"/>
      <c r="DN534" s="19"/>
      <c r="DO534" s="118"/>
      <c r="DP534" s="19"/>
      <c r="DQ534" s="19"/>
      <c r="DR534" s="19"/>
      <c r="DS534" s="19"/>
      <c r="DT534" s="118"/>
      <c r="DU534" s="19"/>
      <c r="DV534" s="19"/>
      <c r="DW534" s="19"/>
      <c r="DX534" s="19"/>
      <c r="DY534" s="19"/>
      <c r="DZ534" s="19"/>
    </row>
    <row r="535" spans="1:130" ht="12.75" x14ac:dyDescent="0.2">
      <c r="A535" s="647"/>
      <c r="B535" s="647"/>
      <c r="C535" s="40"/>
      <c r="D535" s="31"/>
      <c r="E535" s="31"/>
      <c r="F535" s="31"/>
      <c r="G535" s="40"/>
      <c r="H535" s="634"/>
      <c r="I535" s="159">
        <f t="shared" si="363"/>
        <v>0</v>
      </c>
      <c r="J535" s="634"/>
      <c r="K535" s="40"/>
      <c r="L535" s="40"/>
      <c r="M535" s="634"/>
      <c r="N535" s="634"/>
      <c r="O535" s="634"/>
      <c r="P535" s="634"/>
      <c r="Q535" s="634"/>
      <c r="R535" s="634"/>
      <c r="S535" s="659"/>
      <c r="T535" s="647"/>
      <c r="U535" s="40"/>
      <c r="V535" s="31"/>
      <c r="W535" s="31"/>
      <c r="X535" s="31"/>
      <c r="Y535" s="31"/>
      <c r="Z535" s="634"/>
      <c r="AA535" s="51">
        <f t="shared" si="364"/>
        <v>0</v>
      </c>
      <c r="AB535" s="634"/>
      <c r="AC535" s="31"/>
      <c r="AD535" s="31"/>
      <c r="AE535" s="634"/>
      <c r="AF535" s="634"/>
      <c r="AG535" s="634"/>
      <c r="AH535" s="634"/>
      <c r="AI535" s="638"/>
      <c r="AJ535" s="634"/>
      <c r="AK535" s="642"/>
      <c r="AL535" s="647"/>
      <c r="AM535" s="31"/>
      <c r="AN535" s="31">
        <v>602</v>
      </c>
      <c r="AO535" s="31">
        <v>2003</v>
      </c>
      <c r="AP535" s="31">
        <v>2350</v>
      </c>
      <c r="AQ535" s="31"/>
      <c r="AR535" s="634"/>
      <c r="AS535" s="159">
        <f t="shared" si="370"/>
        <v>348</v>
      </c>
      <c r="AT535" s="634"/>
      <c r="AU535" s="38"/>
      <c r="AV535" s="634"/>
      <c r="AW535" s="28"/>
      <c r="AX535" s="634"/>
      <c r="AY535" s="634"/>
      <c r="AZ535" s="634"/>
      <c r="BA535" s="635"/>
      <c r="BB535" s="634"/>
      <c r="BC535" s="635"/>
      <c r="BD535" s="118"/>
      <c r="BE535" s="118"/>
      <c r="BF535" s="118"/>
      <c r="BG535" s="118"/>
      <c r="BH535" s="118"/>
      <c r="BI535" s="118"/>
      <c r="BJ535" s="118"/>
      <c r="BK535" s="118"/>
      <c r="BL535" s="118"/>
      <c r="BM535" s="118"/>
      <c r="BN535" s="118"/>
      <c r="BO535" s="118"/>
      <c r="BP535" s="118"/>
      <c r="BQ535" s="118"/>
      <c r="BR535" s="118"/>
      <c r="BS535" s="118"/>
      <c r="BT535" s="118"/>
      <c r="BU535" s="118"/>
      <c r="BV535" s="118"/>
      <c r="BW535" s="118"/>
      <c r="BX535" s="118"/>
      <c r="BY535" s="118"/>
      <c r="BZ535" s="118"/>
      <c r="CA535" s="118"/>
      <c r="CB535" s="118"/>
      <c r="CC535" s="118"/>
      <c r="CD535" s="118"/>
      <c r="CE535" s="118"/>
      <c r="CF535" s="118"/>
      <c r="CG535" s="118"/>
      <c r="CH535" s="118"/>
      <c r="CI535" s="118"/>
      <c r="CJ535" s="118"/>
      <c r="CK535" s="118"/>
      <c r="CL535" s="118"/>
      <c r="CM535" s="118"/>
      <c r="CN535" s="524"/>
      <c r="CO535" s="525"/>
      <c r="CP535" s="525"/>
      <c r="CQ535" s="525"/>
      <c r="CR535" s="525"/>
      <c r="CS535" s="525"/>
      <c r="CT535" s="525"/>
      <c r="CU535" s="525"/>
      <c r="CV535" s="525"/>
      <c r="CW535" s="525"/>
      <c r="CX535" s="525"/>
      <c r="CY535" s="525"/>
      <c r="CZ535" s="525"/>
      <c r="DA535" s="525"/>
      <c r="DB535" s="525"/>
      <c r="DC535" s="526"/>
      <c r="DD535" s="118"/>
      <c r="DE535" s="19"/>
      <c r="DF535" s="19"/>
      <c r="DG535" s="19"/>
      <c r="DH535" s="118"/>
      <c r="DI535" s="19"/>
      <c r="DJ535" s="19"/>
      <c r="DK535" s="19"/>
      <c r="DL535" s="19"/>
      <c r="DM535" s="19"/>
      <c r="DN535" s="19"/>
      <c r="DO535" s="118"/>
      <c r="DP535" s="19"/>
      <c r="DQ535" s="19"/>
      <c r="DR535" s="19"/>
      <c r="DS535" s="19"/>
      <c r="DT535" s="118"/>
      <c r="DU535" s="19"/>
      <c r="DV535" s="19"/>
      <c r="DW535" s="19"/>
      <c r="DX535" s="19"/>
      <c r="DY535" s="19"/>
      <c r="DZ535" s="19"/>
    </row>
    <row r="536" spans="1:130" ht="12.75" x14ac:dyDescent="0.2">
      <c r="A536" s="647"/>
      <c r="B536" s="647"/>
      <c r="C536" s="40"/>
      <c r="D536" s="31"/>
      <c r="E536" s="31"/>
      <c r="F536" s="31"/>
      <c r="G536" s="160"/>
      <c r="H536" s="634"/>
      <c r="I536" s="159">
        <f t="shared" si="363"/>
        <v>0</v>
      </c>
      <c r="J536" s="634"/>
      <c r="K536" s="40"/>
      <c r="L536" s="40"/>
      <c r="M536" s="634"/>
      <c r="N536" s="634"/>
      <c r="O536" s="634"/>
      <c r="P536" s="634"/>
      <c r="Q536" s="634"/>
      <c r="R536" s="634"/>
      <c r="S536" s="659"/>
      <c r="T536" s="647"/>
      <c r="U536" s="40"/>
      <c r="V536" s="31"/>
      <c r="W536" s="31"/>
      <c r="X536" s="31"/>
      <c r="Y536" s="40"/>
      <c r="Z536" s="634"/>
      <c r="AA536" s="51">
        <f t="shared" si="364"/>
        <v>0</v>
      </c>
      <c r="AB536" s="634"/>
      <c r="AC536" s="31"/>
      <c r="AD536" s="31"/>
      <c r="AE536" s="634"/>
      <c r="AF536" s="634"/>
      <c r="AG536" s="634"/>
      <c r="AH536" s="634"/>
      <c r="AI536" s="638"/>
      <c r="AJ536" s="634"/>
      <c r="AK536" s="642"/>
      <c r="AL536" s="647"/>
      <c r="AM536" s="31"/>
      <c r="AN536" s="31"/>
      <c r="AO536" s="31"/>
      <c r="AP536" s="31"/>
      <c r="AQ536" s="28"/>
      <c r="AR536" s="634"/>
      <c r="AS536" s="159">
        <f t="shared" si="370"/>
        <v>0</v>
      </c>
      <c r="AT536" s="634"/>
      <c r="AU536" s="152"/>
      <c r="AV536" s="28"/>
      <c r="AW536" s="152"/>
      <c r="AX536" s="634"/>
      <c r="AY536" s="634"/>
      <c r="AZ536" s="634"/>
      <c r="BA536" s="150">
        <f>AV536*60</f>
        <v>0</v>
      </c>
      <c r="BB536" s="156"/>
      <c r="BC536" s="95">
        <f>IF(BA536=0,0,AT536/BA536)</f>
        <v>0</v>
      </c>
      <c r="BD536" s="118"/>
      <c r="BE536" s="118"/>
      <c r="BF536" s="118"/>
      <c r="BG536" s="118"/>
      <c r="BH536" s="118"/>
      <c r="BI536" s="118"/>
      <c r="BJ536" s="118"/>
      <c r="BK536" s="118"/>
      <c r="BL536" s="118"/>
      <c r="BM536" s="118"/>
      <c r="BN536" s="118"/>
      <c r="BO536" s="118"/>
      <c r="BP536" s="118"/>
      <c r="BQ536" s="118"/>
      <c r="BR536" s="118"/>
      <c r="BS536" s="118"/>
      <c r="BT536" s="118"/>
      <c r="BU536" s="118"/>
      <c r="BV536" s="118"/>
      <c r="BW536" s="118"/>
      <c r="BX536" s="118"/>
      <c r="BY536" s="118"/>
      <c r="BZ536" s="118"/>
      <c r="CA536" s="118"/>
      <c r="CB536" s="118"/>
      <c r="CC536" s="118"/>
      <c r="CD536" s="118"/>
      <c r="CE536" s="118"/>
      <c r="CF536" s="118"/>
      <c r="CG536" s="118"/>
      <c r="CH536" s="118"/>
      <c r="CI536" s="118"/>
      <c r="CJ536" s="118"/>
      <c r="CK536" s="118"/>
      <c r="CL536" s="118"/>
      <c r="CM536" s="118"/>
      <c r="CN536" s="524"/>
      <c r="CO536" s="525"/>
      <c r="CP536" s="525"/>
      <c r="CQ536" s="525"/>
      <c r="CR536" s="525"/>
      <c r="CS536" s="525"/>
      <c r="CT536" s="525"/>
      <c r="CU536" s="525"/>
      <c r="CV536" s="525"/>
      <c r="CW536" s="525"/>
      <c r="CX536" s="525"/>
      <c r="CY536" s="525"/>
      <c r="CZ536" s="525"/>
      <c r="DA536" s="525"/>
      <c r="DB536" s="525"/>
      <c r="DC536" s="526"/>
      <c r="DD536" s="118"/>
      <c r="DE536" s="19"/>
      <c r="DF536" s="19"/>
      <c r="DG536" s="19"/>
      <c r="DH536" s="118"/>
      <c r="DI536" s="19"/>
      <c r="DJ536" s="19"/>
      <c r="DK536" s="19"/>
      <c r="DL536" s="19"/>
      <c r="DM536" s="19"/>
      <c r="DN536" s="19"/>
      <c r="DO536" s="118"/>
      <c r="DP536" s="19"/>
      <c r="DQ536" s="19"/>
      <c r="DR536" s="19"/>
      <c r="DS536" s="19"/>
      <c r="DT536" s="118"/>
      <c r="DU536" s="19"/>
      <c r="DV536" s="19"/>
      <c r="DW536" s="19"/>
      <c r="DX536" s="19"/>
      <c r="DY536" s="19"/>
      <c r="DZ536" s="19"/>
    </row>
    <row r="537" spans="1:130" ht="12.75" x14ac:dyDescent="0.2">
      <c r="A537" s="648"/>
      <c r="B537" s="648"/>
      <c r="C537" s="40"/>
      <c r="D537" s="160"/>
      <c r="E537" s="160"/>
      <c r="F537" s="160"/>
      <c r="G537" s="160"/>
      <c r="H537" s="635"/>
      <c r="I537" s="159">
        <f t="shared" si="363"/>
        <v>0</v>
      </c>
      <c r="J537" s="635"/>
      <c r="K537" s="40"/>
      <c r="L537" s="40"/>
      <c r="M537" s="635"/>
      <c r="N537" s="635"/>
      <c r="O537" s="635"/>
      <c r="P537" s="635"/>
      <c r="Q537" s="635"/>
      <c r="R537" s="635"/>
      <c r="S537" s="660"/>
      <c r="T537" s="648"/>
      <c r="U537" s="40"/>
      <c r="V537" s="40"/>
      <c r="W537" s="40"/>
      <c r="X537" s="40"/>
      <c r="Y537" s="40"/>
      <c r="Z537" s="635"/>
      <c r="AA537" s="51">
        <f t="shared" si="364"/>
        <v>0</v>
      </c>
      <c r="AB537" s="635"/>
      <c r="AC537" s="40"/>
      <c r="AD537" s="40"/>
      <c r="AE537" s="635"/>
      <c r="AF537" s="635"/>
      <c r="AG537" s="635"/>
      <c r="AH537" s="635"/>
      <c r="AI537" s="639"/>
      <c r="AJ537" s="635"/>
      <c r="AK537" s="643"/>
      <c r="AL537" s="648"/>
      <c r="AM537" s="28"/>
      <c r="AN537" s="28"/>
      <c r="AO537" s="28"/>
      <c r="AP537" s="28"/>
      <c r="AQ537" s="28"/>
      <c r="AR537" s="635"/>
      <c r="AS537" s="159">
        <f t="shared" si="370"/>
        <v>0</v>
      </c>
      <c r="AT537" s="635"/>
      <c r="AU537" s="38"/>
      <c r="AV537" s="50"/>
      <c r="AW537" s="28"/>
      <c r="AX537" s="635"/>
      <c r="AY537" s="635"/>
      <c r="AZ537" s="635"/>
      <c r="BA537" s="465"/>
      <c r="BB537" s="165"/>
      <c r="BC537" s="148"/>
      <c r="BD537" s="118"/>
      <c r="BE537" s="118"/>
      <c r="BF537" s="118"/>
      <c r="BG537" s="118"/>
      <c r="BH537" s="118"/>
      <c r="BI537" s="118"/>
      <c r="BJ537" s="118"/>
      <c r="BK537" s="118"/>
      <c r="BL537" s="118"/>
      <c r="BM537" s="118"/>
      <c r="BN537" s="118"/>
      <c r="BO537" s="118"/>
      <c r="BP537" s="118"/>
      <c r="BQ537" s="118"/>
      <c r="BR537" s="118"/>
      <c r="BS537" s="118"/>
      <c r="BT537" s="118"/>
      <c r="BU537" s="118"/>
      <c r="BV537" s="118"/>
      <c r="BW537" s="118"/>
      <c r="BX537" s="118"/>
      <c r="BY537" s="118"/>
      <c r="BZ537" s="118"/>
      <c r="CA537" s="118"/>
      <c r="CB537" s="118"/>
      <c r="CC537" s="118"/>
      <c r="CD537" s="118"/>
      <c r="CE537" s="118"/>
      <c r="CF537" s="118"/>
      <c r="CG537" s="118"/>
      <c r="CH537" s="118"/>
      <c r="CI537" s="118"/>
      <c r="CJ537" s="118"/>
      <c r="CK537" s="118"/>
      <c r="CL537" s="118"/>
      <c r="CM537" s="118"/>
      <c r="CN537" s="524"/>
      <c r="CO537" s="525"/>
      <c r="CP537" s="525"/>
      <c r="CQ537" s="525"/>
      <c r="CR537" s="525"/>
      <c r="CS537" s="525"/>
      <c r="CT537" s="525"/>
      <c r="CU537" s="525"/>
      <c r="CV537" s="525"/>
      <c r="CW537" s="525"/>
      <c r="CX537" s="525"/>
      <c r="CY537" s="525"/>
      <c r="CZ537" s="525"/>
      <c r="DA537" s="525"/>
      <c r="DB537" s="525"/>
      <c r="DC537" s="526"/>
      <c r="DD537" s="118"/>
      <c r="DE537" s="19"/>
      <c r="DF537" s="19"/>
      <c r="DG537" s="19"/>
      <c r="DH537" s="118"/>
      <c r="DI537" s="19"/>
      <c r="DJ537" s="19"/>
      <c r="DK537" s="19"/>
      <c r="DL537" s="19"/>
      <c r="DM537" s="19"/>
      <c r="DN537" s="19"/>
      <c r="DO537" s="118"/>
      <c r="DP537" s="19"/>
      <c r="DQ537" s="19"/>
      <c r="DR537" s="19"/>
      <c r="DS537" s="19"/>
      <c r="DT537" s="118"/>
      <c r="DU537" s="19"/>
      <c r="DV537" s="19"/>
      <c r="DW537" s="19"/>
      <c r="DX537" s="19"/>
      <c r="DY537" s="19"/>
      <c r="DZ537" s="19"/>
    </row>
    <row r="538" spans="1:130" ht="12.75" x14ac:dyDescent="0.2">
      <c r="A538" s="654"/>
      <c r="B538" s="655">
        <v>46192</v>
      </c>
      <c r="C538" s="29"/>
      <c r="D538" s="29"/>
      <c r="E538" s="29"/>
      <c r="F538" s="29"/>
      <c r="G538" s="158"/>
      <c r="H538" s="649"/>
      <c r="I538" s="159">
        <f t="shared" si="363"/>
        <v>0</v>
      </c>
      <c r="J538" s="650">
        <f>SUM(I538:I541,H538)</f>
        <v>0</v>
      </c>
      <c r="K538" s="158"/>
      <c r="L538" s="158"/>
      <c r="M538" s="653"/>
      <c r="N538" s="653"/>
      <c r="O538" s="633">
        <f>SUM(M538:N541)</f>
        <v>0</v>
      </c>
      <c r="P538" s="649"/>
      <c r="Q538" s="640">
        <f>M538*60</f>
        <v>0</v>
      </c>
      <c r="R538" s="657">
        <f>IF(
   COUNTIF(K538:K541,"SI")&gt;0,
   1.8,
   IF(
      COUNTIF(L538:L541,"SI")&gt;0,
      1.6,
      2
   )
)</f>
        <v>2</v>
      </c>
      <c r="S538" s="658">
        <f>IF(Q538=0,0,J538/Q538)</f>
        <v>0</v>
      </c>
      <c r="T538" s="655">
        <v>46192</v>
      </c>
      <c r="U538" s="30"/>
      <c r="V538" s="28">
        <v>603</v>
      </c>
      <c r="W538" s="28">
        <v>2501</v>
      </c>
      <c r="X538" s="28">
        <v>2750</v>
      </c>
      <c r="Y538" s="28">
        <v>0</v>
      </c>
      <c r="Z538" s="640">
        <v>0</v>
      </c>
      <c r="AA538" s="51">
        <f t="shared" si="364"/>
        <v>250</v>
      </c>
      <c r="AB538" s="650">
        <f>SUM(AA538:AA541)</f>
        <v>250</v>
      </c>
      <c r="AC538" s="28" t="s">
        <v>51</v>
      </c>
      <c r="AD538" s="28" t="s">
        <v>51</v>
      </c>
      <c r="AE538" s="640">
        <v>2</v>
      </c>
      <c r="AF538" s="640">
        <v>6.5</v>
      </c>
      <c r="AG538" s="633">
        <f>SUM(AE538:AF541)</f>
        <v>8.5</v>
      </c>
      <c r="AH538" s="640">
        <v>0</v>
      </c>
      <c r="AI538" s="664">
        <f>AE538*60</f>
        <v>120</v>
      </c>
      <c r="AJ538" s="640">
        <f>IF(
   COUNTIF(AC538:AC541,"SI")&gt;0,
   1.8,
   IF(
      COUNTIF(AD538:AD541,"SI")&gt;0,
      1.6,
      2
   )
)</f>
        <v>1.8</v>
      </c>
      <c r="AK538" s="665">
        <f>IF(AI538=0,0,AB538/AI538)</f>
        <v>2.0833333333333335</v>
      </c>
      <c r="AL538" s="655">
        <v>46192</v>
      </c>
      <c r="AM538" s="28"/>
      <c r="AN538" s="28"/>
      <c r="AO538" s="28"/>
      <c r="AP538" s="41"/>
      <c r="AQ538" s="28"/>
      <c r="AR538" s="649"/>
      <c r="AS538" s="159">
        <f t="shared" si="370"/>
        <v>0</v>
      </c>
      <c r="AT538" s="650">
        <f>SUM(AS538:AS540)+AR538</f>
        <v>0</v>
      </c>
      <c r="AU538" s="38"/>
      <c r="AV538" s="640"/>
      <c r="AW538" s="28"/>
      <c r="AX538" s="640">
        <v>7.75</v>
      </c>
      <c r="AY538" s="633">
        <f>SUM(AV538:AV541,AX538)</f>
        <v>7.75</v>
      </c>
      <c r="AZ538" s="649">
        <v>0.25</v>
      </c>
      <c r="BA538" s="640">
        <f>AV538*60</f>
        <v>0</v>
      </c>
      <c r="BB538" s="644">
        <f>IF(
   COUNTIF(AU538:AU541,"SI")&gt;0,
   1.8,
   IF(
      COUNTIF(AV538:AV541,"SI")&gt;0,
      1.6,
      2
   )
)</f>
        <v>2</v>
      </c>
      <c r="BC538" s="645">
        <f>IF(BA538=0,0,AT538/BA538)</f>
        <v>0</v>
      </c>
      <c r="BD538" s="118"/>
      <c r="BE538" s="118"/>
      <c r="BF538" s="118"/>
      <c r="BG538" s="118"/>
      <c r="BH538" s="118"/>
      <c r="BI538" s="118"/>
      <c r="BJ538" s="118"/>
      <c r="BK538" s="118"/>
      <c r="BL538" s="118"/>
      <c r="BM538" s="118"/>
      <c r="BN538" s="118"/>
      <c r="BO538" s="118"/>
      <c r="BP538" s="118"/>
      <c r="BQ538" s="118"/>
      <c r="BR538" s="118"/>
      <c r="BS538" s="118"/>
      <c r="BT538" s="118"/>
      <c r="BU538" s="118"/>
      <c r="BV538" s="118"/>
      <c r="BW538" s="118"/>
      <c r="BX538" s="118"/>
      <c r="BY538" s="118"/>
      <c r="BZ538" s="118"/>
      <c r="CA538" s="118"/>
      <c r="CB538" s="118"/>
      <c r="CC538" s="118"/>
      <c r="CD538" s="118"/>
      <c r="CE538" s="118"/>
      <c r="CF538" s="118"/>
      <c r="CG538" s="118"/>
      <c r="CH538" s="118"/>
      <c r="CI538" s="118"/>
      <c r="CJ538" s="118"/>
      <c r="CK538" s="118"/>
      <c r="CL538" s="118"/>
      <c r="CM538" s="118"/>
      <c r="CN538" s="524"/>
      <c r="CO538" s="525"/>
      <c r="CP538" s="525"/>
      <c r="CQ538" s="525"/>
      <c r="CR538" s="525"/>
      <c r="CS538" s="525"/>
      <c r="CT538" s="525"/>
      <c r="CU538" s="525"/>
      <c r="CV538" s="525"/>
      <c r="CW538" s="525"/>
      <c r="CX538" s="525"/>
      <c r="CY538" s="525"/>
      <c r="CZ538" s="525"/>
      <c r="DA538" s="525"/>
      <c r="DB538" s="525"/>
      <c r="DC538" s="526"/>
      <c r="DD538" s="118"/>
      <c r="DE538" s="19"/>
      <c r="DF538" s="19"/>
      <c r="DG538" s="19"/>
      <c r="DH538" s="118"/>
      <c r="DI538" s="19"/>
      <c r="DJ538" s="19"/>
      <c r="DK538" s="19"/>
      <c r="DL538" s="19"/>
      <c r="DM538" s="19"/>
      <c r="DN538" s="19"/>
      <c r="DO538" s="118"/>
      <c r="DP538" s="19"/>
      <c r="DQ538" s="19"/>
      <c r="DR538" s="19"/>
      <c r="DS538" s="19"/>
      <c r="DT538" s="118"/>
      <c r="DU538" s="19"/>
      <c r="DV538" s="19"/>
      <c r="DW538" s="19"/>
      <c r="DX538" s="19"/>
      <c r="DY538" s="19"/>
      <c r="DZ538" s="19"/>
    </row>
    <row r="539" spans="1:130" ht="12.75" x14ac:dyDescent="0.2">
      <c r="A539" s="647"/>
      <c r="B539" s="647"/>
      <c r="C539" s="29"/>
      <c r="D539" s="30"/>
      <c r="E539" s="29"/>
      <c r="F539" s="29"/>
      <c r="G539" s="30"/>
      <c r="H539" s="634"/>
      <c r="I539" s="159">
        <f t="shared" si="363"/>
        <v>0</v>
      </c>
      <c r="J539" s="634"/>
      <c r="K539" s="30"/>
      <c r="L539" s="30"/>
      <c r="M539" s="634"/>
      <c r="N539" s="634"/>
      <c r="O539" s="634"/>
      <c r="P539" s="634"/>
      <c r="Q539" s="634"/>
      <c r="R539" s="634"/>
      <c r="S539" s="659"/>
      <c r="T539" s="647"/>
      <c r="U539" s="30"/>
      <c r="V539" s="28"/>
      <c r="W539" s="28"/>
      <c r="X539" s="28"/>
      <c r="Y539" s="29"/>
      <c r="Z539" s="634"/>
      <c r="AA539" s="51">
        <f t="shared" si="364"/>
        <v>0</v>
      </c>
      <c r="AB539" s="634"/>
      <c r="AC539" s="28"/>
      <c r="AD539" s="28"/>
      <c r="AE539" s="634"/>
      <c r="AF539" s="634"/>
      <c r="AG539" s="634"/>
      <c r="AH539" s="634"/>
      <c r="AI539" s="638"/>
      <c r="AJ539" s="634"/>
      <c r="AK539" s="642"/>
      <c r="AL539" s="647"/>
      <c r="AM539" s="28"/>
      <c r="AN539" s="28"/>
      <c r="AO539" s="28"/>
      <c r="AP539" s="28"/>
      <c r="AQ539" s="29"/>
      <c r="AR539" s="634"/>
      <c r="AS539" s="159">
        <f t="shared" si="370"/>
        <v>0</v>
      </c>
      <c r="AT539" s="634"/>
      <c r="AU539" s="38"/>
      <c r="AV539" s="634"/>
      <c r="AW539" s="28"/>
      <c r="AX539" s="634"/>
      <c r="AY539" s="634"/>
      <c r="AZ539" s="634"/>
      <c r="BA539" s="634"/>
      <c r="BB539" s="634"/>
      <c r="BC539" s="634"/>
      <c r="BD539" s="118"/>
      <c r="BE539" s="118"/>
      <c r="BF539" s="118"/>
      <c r="BG539" s="118"/>
      <c r="BH539" s="118"/>
      <c r="BI539" s="118"/>
      <c r="BJ539" s="118"/>
      <c r="BK539" s="118"/>
      <c r="BL539" s="118"/>
      <c r="BM539" s="118"/>
      <c r="BN539" s="118"/>
      <c r="BO539" s="118"/>
      <c r="BP539" s="118"/>
      <c r="BQ539" s="118"/>
      <c r="BR539" s="118"/>
      <c r="BS539" s="118"/>
      <c r="BT539" s="118"/>
      <c r="BU539" s="118"/>
      <c r="BV539" s="118"/>
      <c r="BW539" s="118"/>
      <c r="BX539" s="118"/>
      <c r="BY539" s="118"/>
      <c r="BZ539" s="118"/>
      <c r="CA539" s="118"/>
      <c r="CB539" s="118"/>
      <c r="CC539" s="118"/>
      <c r="CD539" s="118"/>
      <c r="CE539" s="118"/>
      <c r="CF539" s="118"/>
      <c r="CG539" s="118"/>
      <c r="CH539" s="118"/>
      <c r="CI539" s="118"/>
      <c r="CJ539" s="118"/>
      <c r="CK539" s="118"/>
      <c r="CL539" s="118"/>
      <c r="CM539" s="118"/>
      <c r="CN539" s="524"/>
      <c r="CO539" s="525"/>
      <c r="CP539" s="525"/>
      <c r="CQ539" s="525"/>
      <c r="CR539" s="525"/>
      <c r="CS539" s="525"/>
      <c r="CT539" s="525"/>
      <c r="CU539" s="525"/>
      <c r="CV539" s="525"/>
      <c r="CW539" s="525"/>
      <c r="CX539" s="525"/>
      <c r="CY539" s="525"/>
      <c r="CZ539" s="525"/>
      <c r="DA539" s="525"/>
      <c r="DB539" s="525"/>
      <c r="DC539" s="526"/>
      <c r="DD539" s="118"/>
      <c r="DE539" s="19"/>
      <c r="DF539" s="19"/>
      <c r="DG539" s="19"/>
      <c r="DH539" s="118"/>
      <c r="DI539" s="19"/>
      <c r="DJ539" s="19"/>
      <c r="DK539" s="19"/>
      <c r="DL539" s="19"/>
      <c r="DM539" s="19"/>
      <c r="DN539" s="19"/>
      <c r="DO539" s="118"/>
      <c r="DP539" s="19"/>
      <c r="DQ539" s="19"/>
      <c r="DR539" s="19"/>
      <c r="DS539" s="19"/>
      <c r="DT539" s="118"/>
      <c r="DU539" s="19"/>
      <c r="DV539" s="19"/>
      <c r="DW539" s="19"/>
      <c r="DX539" s="19"/>
      <c r="DY539" s="19"/>
      <c r="DZ539" s="19"/>
    </row>
    <row r="540" spans="1:130" ht="12.75" x14ac:dyDescent="0.2">
      <c r="A540" s="647"/>
      <c r="B540" s="647"/>
      <c r="C540" s="30"/>
      <c r="D540" s="30"/>
      <c r="E540" s="30"/>
      <c r="F540" s="30"/>
      <c r="G540" s="30"/>
      <c r="H540" s="634"/>
      <c r="I540" s="159">
        <f t="shared" si="363"/>
        <v>0</v>
      </c>
      <c r="J540" s="634"/>
      <c r="K540" s="30"/>
      <c r="L540" s="30"/>
      <c r="M540" s="634"/>
      <c r="N540" s="634"/>
      <c r="O540" s="634"/>
      <c r="P540" s="634"/>
      <c r="Q540" s="634"/>
      <c r="R540" s="634"/>
      <c r="S540" s="659"/>
      <c r="T540" s="647"/>
      <c r="U540" s="30"/>
      <c r="V540" s="29"/>
      <c r="W540" s="29"/>
      <c r="X540" s="29"/>
      <c r="Y540" s="29"/>
      <c r="Z540" s="634"/>
      <c r="AA540" s="51">
        <f t="shared" si="364"/>
        <v>0</v>
      </c>
      <c r="AB540" s="634"/>
      <c r="AC540" s="28"/>
      <c r="AD540" s="28"/>
      <c r="AE540" s="634"/>
      <c r="AF540" s="634"/>
      <c r="AG540" s="634"/>
      <c r="AH540" s="634"/>
      <c r="AI540" s="638"/>
      <c r="AJ540" s="634"/>
      <c r="AK540" s="642"/>
      <c r="AL540" s="647"/>
      <c r="AM540" s="41"/>
      <c r="AN540" s="28"/>
      <c r="AO540" s="28"/>
      <c r="AP540" s="28"/>
      <c r="AQ540" s="48"/>
      <c r="AR540" s="634"/>
      <c r="AS540" s="159">
        <f t="shared" si="370"/>
        <v>0</v>
      </c>
      <c r="AT540" s="635"/>
      <c r="AU540" s="152"/>
      <c r="AV540" s="635"/>
      <c r="AW540" s="152"/>
      <c r="AX540" s="634"/>
      <c r="AY540" s="634"/>
      <c r="AZ540" s="634"/>
      <c r="BA540" s="634"/>
      <c r="BB540" s="634"/>
      <c r="BC540" s="635"/>
      <c r="BD540" s="118"/>
      <c r="BE540" s="118"/>
      <c r="BF540" s="118"/>
      <c r="BG540" s="118"/>
      <c r="BH540" s="118"/>
      <c r="BI540" s="118"/>
      <c r="BJ540" s="118"/>
      <c r="BK540" s="118"/>
      <c r="BL540" s="118"/>
      <c r="BM540" s="118"/>
      <c r="BN540" s="118"/>
      <c r="BO540" s="118"/>
      <c r="BP540" s="118"/>
      <c r="BQ540" s="118"/>
      <c r="BR540" s="118"/>
      <c r="BS540" s="118"/>
      <c r="BT540" s="118"/>
      <c r="BU540" s="118"/>
      <c r="BV540" s="118"/>
      <c r="BW540" s="118"/>
      <c r="BX540" s="118"/>
      <c r="BY540" s="118"/>
      <c r="BZ540" s="118"/>
      <c r="CA540" s="118"/>
      <c r="CB540" s="118"/>
      <c r="CC540" s="118"/>
      <c r="CD540" s="118"/>
      <c r="CE540" s="118"/>
      <c r="CF540" s="118"/>
      <c r="CG540" s="118"/>
      <c r="CH540" s="118"/>
      <c r="CI540" s="118"/>
      <c r="CJ540" s="118"/>
      <c r="CK540" s="118"/>
      <c r="CL540" s="118"/>
      <c r="CM540" s="118"/>
      <c r="CN540" s="794">
        <v>46193</v>
      </c>
      <c r="CO540" s="792" t="s">
        <v>45</v>
      </c>
      <c r="CP540" s="528">
        <v>13</v>
      </c>
      <c r="CQ540" s="529">
        <v>604</v>
      </c>
      <c r="CR540" s="529">
        <v>3013</v>
      </c>
      <c r="CS540" s="528">
        <v>3119</v>
      </c>
      <c r="CT540" s="529">
        <v>0</v>
      </c>
      <c r="CU540" s="792">
        <v>0</v>
      </c>
      <c r="CV540" s="530">
        <f t="shared" ref="CV540:CV545" si="371">IF(CQ540=0,0,CS540-CR540+1-CT540)</f>
        <v>107</v>
      </c>
      <c r="CW540" s="792">
        <f>SUM(CV540:CV542)</f>
        <v>107</v>
      </c>
      <c r="CX540" s="791">
        <v>3</v>
      </c>
      <c r="CY540" s="792">
        <v>0</v>
      </c>
      <c r="CZ540" s="677">
        <f>SUM(CX540:CY545)</f>
        <v>3</v>
      </c>
      <c r="DA540" s="792"/>
      <c r="DB540" s="792">
        <v>2</v>
      </c>
      <c r="DC540" s="793">
        <f>IF(CX540=0,0,CW540/(CX540*60))</f>
        <v>0.59444444444444444</v>
      </c>
      <c r="DD540" s="118"/>
      <c r="DE540" s="19"/>
      <c r="DF540" s="19"/>
      <c r="DG540" s="19"/>
      <c r="DH540" s="118"/>
      <c r="DI540" s="19"/>
      <c r="DJ540" s="19"/>
      <c r="DK540" s="19"/>
      <c r="DL540" s="19"/>
      <c r="DM540" s="19"/>
      <c r="DN540" s="19"/>
      <c r="DO540" s="118"/>
      <c r="DP540" s="19"/>
      <c r="DQ540" s="19"/>
      <c r="DR540" s="19"/>
      <c r="DS540" s="19"/>
      <c r="DT540" s="118"/>
      <c r="DU540" s="19"/>
      <c r="DV540" s="19"/>
      <c r="DW540" s="19"/>
      <c r="DX540" s="19"/>
      <c r="DY540" s="19"/>
      <c r="DZ540" s="19"/>
    </row>
    <row r="541" spans="1:130" ht="12.75" x14ac:dyDescent="0.2">
      <c r="A541" s="648"/>
      <c r="B541" s="648"/>
      <c r="C541" s="30"/>
      <c r="D541" s="30"/>
      <c r="E541" s="30"/>
      <c r="F541" s="30"/>
      <c r="G541" s="30"/>
      <c r="H541" s="635"/>
      <c r="I541" s="159">
        <f t="shared" si="363"/>
        <v>0</v>
      </c>
      <c r="J541" s="635"/>
      <c r="K541" s="30"/>
      <c r="L541" s="30"/>
      <c r="M541" s="635"/>
      <c r="N541" s="635"/>
      <c r="O541" s="635"/>
      <c r="P541" s="635"/>
      <c r="Q541" s="635"/>
      <c r="R541" s="635"/>
      <c r="S541" s="660"/>
      <c r="T541" s="648"/>
      <c r="U541" s="30"/>
      <c r="V541" s="30"/>
      <c r="W541" s="30"/>
      <c r="X541" s="30"/>
      <c r="Y541" s="30"/>
      <c r="Z541" s="635"/>
      <c r="AA541" s="51">
        <f t="shared" si="364"/>
        <v>0</v>
      </c>
      <c r="AB541" s="634"/>
      <c r="AC541" s="30"/>
      <c r="AD541" s="30"/>
      <c r="AE541" s="634"/>
      <c r="AF541" s="635"/>
      <c r="AG541" s="635"/>
      <c r="AH541" s="635"/>
      <c r="AI541" s="638"/>
      <c r="AJ541" s="635"/>
      <c r="AK541" s="642"/>
      <c r="AL541" s="648"/>
      <c r="AM541" s="51"/>
      <c r="AN541" s="28"/>
      <c r="AO541" s="28"/>
      <c r="AP541" s="28"/>
      <c r="AQ541" s="51"/>
      <c r="AR541" s="635"/>
      <c r="AS541" s="159">
        <f t="shared" si="370"/>
        <v>0</v>
      </c>
      <c r="AT541" s="464"/>
      <c r="AU541" s="38"/>
      <c r="AV541" s="50"/>
      <c r="AW541" s="51"/>
      <c r="AX541" s="635"/>
      <c r="AY541" s="635"/>
      <c r="AZ541" s="635"/>
      <c r="BA541" s="27"/>
      <c r="BB541" s="635"/>
      <c r="BC541" s="531"/>
      <c r="BD541" s="118"/>
      <c r="BE541" s="118"/>
      <c r="BF541" s="118"/>
      <c r="BG541" s="118"/>
      <c r="BH541" s="118"/>
      <c r="BI541" s="118"/>
      <c r="BJ541" s="118"/>
      <c r="BK541" s="118"/>
      <c r="BL541" s="118"/>
      <c r="BM541" s="118"/>
      <c r="BN541" s="118"/>
      <c r="BO541" s="118"/>
      <c r="BP541" s="118"/>
      <c r="BQ541" s="118"/>
      <c r="BR541" s="118"/>
      <c r="BS541" s="118"/>
      <c r="BT541" s="118"/>
      <c r="BU541" s="118"/>
      <c r="BV541" s="118"/>
      <c r="BW541" s="118"/>
      <c r="BX541" s="118"/>
      <c r="BY541" s="118"/>
      <c r="BZ541" s="118"/>
      <c r="CA541" s="118"/>
      <c r="CB541" s="118"/>
      <c r="CC541" s="118"/>
      <c r="CD541" s="118"/>
      <c r="CE541" s="118"/>
      <c r="CF541" s="118"/>
      <c r="CG541" s="118"/>
      <c r="CH541" s="118"/>
      <c r="CI541" s="118"/>
      <c r="CJ541" s="118"/>
      <c r="CK541" s="118"/>
      <c r="CL541" s="118"/>
      <c r="CM541" s="118"/>
      <c r="CN541" s="647"/>
      <c r="CO541" s="634"/>
      <c r="CP541" s="43"/>
      <c r="CQ541" s="43"/>
      <c r="CR541" s="43"/>
      <c r="CS541" s="43"/>
      <c r="CT541" s="41"/>
      <c r="CU541" s="634"/>
      <c r="CV541" s="42">
        <f t="shared" si="371"/>
        <v>0</v>
      </c>
      <c r="CW541" s="634"/>
      <c r="CX541" s="634"/>
      <c r="CY541" s="634"/>
      <c r="CZ541" s="634"/>
      <c r="DA541" s="634"/>
      <c r="DB541" s="634"/>
      <c r="DC541" s="642"/>
      <c r="DD541" s="118"/>
      <c r="DE541" s="19"/>
      <c r="DF541" s="19"/>
      <c r="DG541" s="19"/>
      <c r="DH541" s="118"/>
      <c r="DI541" s="19"/>
      <c r="DJ541" s="19"/>
      <c r="DK541" s="19"/>
      <c r="DL541" s="19"/>
      <c r="DM541" s="19"/>
      <c r="DN541" s="19"/>
      <c r="DO541" s="118"/>
      <c r="DP541" s="19"/>
      <c r="DQ541" s="19"/>
      <c r="DR541" s="19"/>
      <c r="DS541" s="19"/>
      <c r="DT541" s="118"/>
      <c r="DU541" s="19"/>
      <c r="DV541" s="19"/>
      <c r="DW541" s="19"/>
      <c r="DX541" s="19"/>
      <c r="DY541" s="19"/>
      <c r="DZ541" s="19"/>
    </row>
    <row r="542" spans="1:130" ht="12.75" x14ac:dyDescent="0.2">
      <c r="A542" s="651"/>
      <c r="B542" s="646">
        <v>46193</v>
      </c>
      <c r="C542" s="31">
        <v>12</v>
      </c>
      <c r="D542" s="31">
        <v>481</v>
      </c>
      <c r="E542" s="31">
        <v>16891</v>
      </c>
      <c r="F542" s="31">
        <v>16989</v>
      </c>
      <c r="G542" s="40"/>
      <c r="H542" s="653"/>
      <c r="I542" s="159">
        <f t="shared" si="363"/>
        <v>99</v>
      </c>
      <c r="J542" s="650">
        <f>SUM(I542:I545,H542)</f>
        <v>99</v>
      </c>
      <c r="K542" s="40"/>
      <c r="L542" s="40"/>
      <c r="M542" s="653">
        <v>0.8</v>
      </c>
      <c r="N542" s="653">
        <v>2.6</v>
      </c>
      <c r="O542" s="633">
        <f>SUM(M542:N545)</f>
        <v>3.4000000000000004</v>
      </c>
      <c r="P542" s="653"/>
      <c r="Q542" s="636">
        <f>M542*60</f>
        <v>48</v>
      </c>
      <c r="R542" s="657">
        <f>IF(
   COUNTIF(K542:K545,"SI")&gt;0,
   1.8,
   IF(
      COUNTIF(L542:L545,"SI")&gt;0,
      1.6,
      2
   )
)</f>
        <v>2</v>
      </c>
      <c r="S542" s="658">
        <f>IF(Q542=0,0,J542/Q542)</f>
        <v>2.0625</v>
      </c>
      <c r="T542" s="646">
        <v>46193</v>
      </c>
      <c r="U542" s="40"/>
      <c r="V542" s="31"/>
      <c r="W542" s="31"/>
      <c r="X542" s="31"/>
      <c r="Y542" s="31"/>
      <c r="Z542" s="653"/>
      <c r="AA542" s="51">
        <f t="shared" si="364"/>
        <v>0</v>
      </c>
      <c r="AB542" s="650">
        <f>SUM(AA542:AA545,Z542)</f>
        <v>0</v>
      </c>
      <c r="AC542" s="31"/>
      <c r="AD542" s="31"/>
      <c r="AE542" s="653"/>
      <c r="AF542" s="653"/>
      <c r="AG542" s="633">
        <f>SUM(AE542:AF545)</f>
        <v>0</v>
      </c>
      <c r="AH542" s="653">
        <v>2</v>
      </c>
      <c r="AI542" s="637">
        <f>AE542*60</f>
        <v>0</v>
      </c>
      <c r="AJ542" s="640">
        <f>IF(
   COUNTIF(AC542:AC545,"SI")&gt;0,
   1.8,
   IF(
      COUNTIF(AD542:AD545,"SI")&gt;0,
      1.6,
      2
   )
)</f>
        <v>2</v>
      </c>
      <c r="AK542" s="665">
        <f>IF(AI542=0,0,AB542/AI542)</f>
        <v>0</v>
      </c>
      <c r="AL542" s="646">
        <v>46193</v>
      </c>
      <c r="AM542" s="31"/>
      <c r="AN542" s="29"/>
      <c r="AO542" s="31"/>
      <c r="AP542" s="31"/>
      <c r="AQ542" s="40"/>
      <c r="AR542" s="653"/>
      <c r="AS542" s="159">
        <f t="shared" si="370"/>
        <v>0</v>
      </c>
      <c r="AT542" s="650">
        <f>SUM(AS542:AS545,AR542)</f>
        <v>0</v>
      </c>
      <c r="AU542" s="31"/>
      <c r="AV542" s="653"/>
      <c r="AW542" s="31"/>
      <c r="AX542" s="653">
        <v>3</v>
      </c>
      <c r="AY542" s="633">
        <f>SUM(AV542:AX545)</f>
        <v>3</v>
      </c>
      <c r="AZ542" s="653"/>
      <c r="BA542" s="636">
        <f>AV542*60</f>
        <v>0</v>
      </c>
      <c r="BB542" s="657">
        <f>IF(
   COUNTIF(AU542:AU545,"SI")&gt;0,
   1.8,
   IF(
      COUNTIF(AV542:AV545,"SI")&gt;0,
      1.6,
      2
   )
)</f>
        <v>2</v>
      </c>
      <c r="BC542" s="666">
        <f>IF(BA542=0,0,AT542/BA542)</f>
        <v>0</v>
      </c>
      <c r="BD542" s="118"/>
      <c r="BE542" s="118"/>
      <c r="BF542" s="118"/>
      <c r="BG542" s="118"/>
      <c r="BH542" s="118"/>
      <c r="BI542" s="118"/>
      <c r="BJ542" s="118"/>
      <c r="BK542" s="118"/>
      <c r="BL542" s="118"/>
      <c r="BM542" s="118"/>
      <c r="BN542" s="118"/>
      <c r="BO542" s="118"/>
      <c r="BP542" s="118"/>
      <c r="BQ542" s="118"/>
      <c r="BR542" s="118"/>
      <c r="BS542" s="118"/>
      <c r="BT542" s="118"/>
      <c r="BU542" s="118"/>
      <c r="BV542" s="118"/>
      <c r="BW542" s="118"/>
      <c r="BX542" s="118"/>
      <c r="BY542" s="118"/>
      <c r="BZ542" s="118"/>
      <c r="CA542" s="118"/>
      <c r="CB542" s="118"/>
      <c r="CC542" s="118"/>
      <c r="CD542" s="118"/>
      <c r="CE542" s="118"/>
      <c r="CF542" s="118"/>
      <c r="CG542" s="118"/>
      <c r="CH542" s="118"/>
      <c r="CI542" s="118"/>
      <c r="CJ542" s="118"/>
      <c r="CK542" s="118"/>
      <c r="CL542" s="118"/>
      <c r="CM542" s="118"/>
      <c r="CN542" s="647"/>
      <c r="CO542" s="772"/>
      <c r="CP542" s="45"/>
      <c r="CQ542" s="45"/>
      <c r="CR542" s="45"/>
      <c r="CS542" s="45"/>
      <c r="CT542" s="45"/>
      <c r="CU542" s="634"/>
      <c r="CV542" s="42">
        <f t="shared" si="371"/>
        <v>0</v>
      </c>
      <c r="CW542" s="635"/>
      <c r="CX542" s="635"/>
      <c r="CY542" s="634"/>
      <c r="CZ542" s="634"/>
      <c r="DA542" s="634"/>
      <c r="DB542" s="635"/>
      <c r="DC542" s="642"/>
      <c r="DD542" s="118"/>
      <c r="DE542" s="19"/>
      <c r="DF542" s="19"/>
      <c r="DG542" s="19"/>
      <c r="DH542" s="118"/>
      <c r="DI542" s="19"/>
      <c r="DJ542" s="19"/>
      <c r="DK542" s="19"/>
      <c r="DL542" s="19"/>
      <c r="DM542" s="19"/>
      <c r="DN542" s="19"/>
      <c r="DO542" s="118"/>
      <c r="DP542" s="19"/>
      <c r="DQ542" s="19"/>
      <c r="DR542" s="19"/>
      <c r="DS542" s="19"/>
      <c r="DT542" s="118"/>
      <c r="DU542" s="19"/>
      <c r="DV542" s="19"/>
      <c r="DW542" s="19"/>
      <c r="DX542" s="19"/>
      <c r="DY542" s="19"/>
      <c r="DZ542" s="19"/>
    </row>
    <row r="543" spans="1:130" ht="12.75" x14ac:dyDescent="0.2">
      <c r="A543" s="647"/>
      <c r="B543" s="647"/>
      <c r="C543" s="40"/>
      <c r="D543" s="40"/>
      <c r="E543" s="40"/>
      <c r="F543" s="40"/>
      <c r="G543" s="40"/>
      <c r="H543" s="634"/>
      <c r="I543" s="159">
        <f t="shared" si="363"/>
        <v>0</v>
      </c>
      <c r="J543" s="634"/>
      <c r="K543" s="40"/>
      <c r="L543" s="40"/>
      <c r="M543" s="634"/>
      <c r="N543" s="634"/>
      <c r="O543" s="634"/>
      <c r="P543" s="634"/>
      <c r="Q543" s="634"/>
      <c r="R543" s="634"/>
      <c r="S543" s="659"/>
      <c r="T543" s="647"/>
      <c r="U543" s="40"/>
      <c r="V543" s="31"/>
      <c r="W543" s="31"/>
      <c r="X543" s="31"/>
      <c r="Y543" s="31"/>
      <c r="Z543" s="634"/>
      <c r="AA543" s="51">
        <f t="shared" si="364"/>
        <v>0</v>
      </c>
      <c r="AB543" s="634"/>
      <c r="AC543" s="31"/>
      <c r="AD543" s="31"/>
      <c r="AE543" s="634"/>
      <c r="AF543" s="634"/>
      <c r="AG543" s="634"/>
      <c r="AH543" s="634"/>
      <c r="AI543" s="638"/>
      <c r="AJ543" s="634"/>
      <c r="AK543" s="642"/>
      <c r="AL543" s="647"/>
      <c r="AM543" s="31"/>
      <c r="AN543" s="31"/>
      <c r="AO543" s="31"/>
      <c r="AP543" s="31"/>
      <c r="AQ543" s="31"/>
      <c r="AR543" s="634"/>
      <c r="AS543" s="159"/>
      <c r="AT543" s="634"/>
      <c r="AU543" s="31"/>
      <c r="AV543" s="634"/>
      <c r="AW543" s="40"/>
      <c r="AX543" s="634"/>
      <c r="AY543" s="634"/>
      <c r="AZ543" s="634"/>
      <c r="BA543" s="634"/>
      <c r="BB543" s="634"/>
      <c r="BC543" s="634"/>
      <c r="BD543" s="118"/>
      <c r="BE543" s="118"/>
      <c r="BF543" s="118"/>
      <c r="BG543" s="118"/>
      <c r="BH543" s="118"/>
      <c r="BI543" s="118"/>
      <c r="BJ543" s="118"/>
      <c r="BK543" s="118"/>
      <c r="BL543" s="118"/>
      <c r="BM543" s="118"/>
      <c r="BN543" s="118"/>
      <c r="BO543" s="118"/>
      <c r="BP543" s="118"/>
      <c r="BQ543" s="118"/>
      <c r="BR543" s="118"/>
      <c r="BS543" s="118"/>
      <c r="BT543" s="118"/>
      <c r="BU543" s="118"/>
      <c r="BV543" s="118"/>
      <c r="BW543" s="118"/>
      <c r="BX543" s="118"/>
      <c r="BY543" s="118"/>
      <c r="BZ543" s="118"/>
      <c r="CA543" s="118"/>
      <c r="CB543" s="118"/>
      <c r="CC543" s="118"/>
      <c r="CD543" s="118"/>
      <c r="CE543" s="118"/>
      <c r="CF543" s="118"/>
      <c r="CG543" s="118"/>
      <c r="CH543" s="118"/>
      <c r="CI543" s="118"/>
      <c r="CJ543" s="118"/>
      <c r="CK543" s="118"/>
      <c r="CL543" s="118"/>
      <c r="CM543" s="118"/>
      <c r="CN543" s="647"/>
      <c r="CO543" s="786" t="s">
        <v>46</v>
      </c>
      <c r="CP543" s="46"/>
      <c r="CQ543" s="46"/>
      <c r="CR543" s="46"/>
      <c r="CS543" s="46"/>
      <c r="CT543" s="46"/>
      <c r="CU543" s="634"/>
      <c r="CV543" s="42">
        <f t="shared" si="371"/>
        <v>0</v>
      </c>
      <c r="CW543" s="777">
        <f>SUM(CV543:CV545)</f>
        <v>0</v>
      </c>
      <c r="CX543" s="780"/>
      <c r="CY543" s="634"/>
      <c r="CZ543" s="634"/>
      <c r="DA543" s="634"/>
      <c r="DB543" s="777">
        <v>1.8</v>
      </c>
      <c r="DC543" s="679">
        <f>IF(CX543=0,0,CW543/(CX543*60))</f>
        <v>0</v>
      </c>
      <c r="DD543" s="118"/>
      <c r="DE543" s="19"/>
      <c r="DF543" s="19"/>
      <c r="DG543" s="19"/>
      <c r="DH543" s="118"/>
      <c r="DI543" s="19"/>
      <c r="DJ543" s="19"/>
      <c r="DK543" s="19"/>
      <c r="DL543" s="19"/>
      <c r="DM543" s="19"/>
      <c r="DN543" s="19"/>
      <c r="DO543" s="118"/>
      <c r="DP543" s="19"/>
      <c r="DQ543" s="19"/>
      <c r="DR543" s="19"/>
      <c r="DS543" s="19"/>
      <c r="DT543" s="118"/>
      <c r="DU543" s="19"/>
      <c r="DV543" s="19"/>
      <c r="DW543" s="19"/>
      <c r="DX543" s="19"/>
      <c r="DY543" s="19"/>
      <c r="DZ543" s="19"/>
    </row>
    <row r="544" spans="1:130" ht="12.75" x14ac:dyDescent="0.2">
      <c r="A544" s="647"/>
      <c r="B544" s="647"/>
      <c r="C544" s="40"/>
      <c r="D544" s="40"/>
      <c r="E544" s="40"/>
      <c r="F544" s="40"/>
      <c r="G544" s="40"/>
      <c r="H544" s="634"/>
      <c r="I544" s="159">
        <f t="shared" si="363"/>
        <v>0</v>
      </c>
      <c r="J544" s="634"/>
      <c r="K544" s="40"/>
      <c r="L544" s="40"/>
      <c r="M544" s="634"/>
      <c r="N544" s="634"/>
      <c r="O544" s="634"/>
      <c r="P544" s="634"/>
      <c r="Q544" s="634"/>
      <c r="R544" s="634"/>
      <c r="S544" s="659"/>
      <c r="T544" s="647"/>
      <c r="U544" s="40"/>
      <c r="V544" s="31"/>
      <c r="W544" s="31"/>
      <c r="X544" s="31"/>
      <c r="Y544" s="31"/>
      <c r="Z544" s="634"/>
      <c r="AA544" s="51">
        <f t="shared" si="364"/>
        <v>0</v>
      </c>
      <c r="AB544" s="634"/>
      <c r="AC544" s="31"/>
      <c r="AD544" s="31"/>
      <c r="AE544" s="634"/>
      <c r="AF544" s="634"/>
      <c r="AG544" s="634"/>
      <c r="AH544" s="634"/>
      <c r="AI544" s="638"/>
      <c r="AJ544" s="634"/>
      <c r="AK544" s="642"/>
      <c r="AL544" s="647"/>
      <c r="AM544" s="40"/>
      <c r="AN544" s="40"/>
      <c r="AO544" s="40"/>
      <c r="AP544" s="40"/>
      <c r="AQ544" s="40"/>
      <c r="AR544" s="634"/>
      <c r="AS544" s="159"/>
      <c r="AT544" s="634"/>
      <c r="AU544" s="40"/>
      <c r="AV544" s="634"/>
      <c r="AW544" s="40"/>
      <c r="AX544" s="634"/>
      <c r="AY544" s="634"/>
      <c r="AZ544" s="634"/>
      <c r="BA544" s="634"/>
      <c r="BB544" s="634"/>
      <c r="BC544" s="634"/>
      <c r="BD544" s="118"/>
      <c r="BE544" s="118"/>
      <c r="BF544" s="118"/>
      <c r="BG544" s="118"/>
      <c r="BH544" s="118"/>
      <c r="BI544" s="118"/>
      <c r="BJ544" s="118"/>
      <c r="BK544" s="118"/>
      <c r="BL544" s="118"/>
      <c r="BM544" s="118"/>
      <c r="BN544" s="118"/>
      <c r="BO544" s="118"/>
      <c r="BP544" s="118"/>
      <c r="BQ544" s="118"/>
      <c r="BR544" s="118"/>
      <c r="BS544" s="118"/>
      <c r="BT544" s="118"/>
      <c r="BU544" s="118"/>
      <c r="BV544" s="118"/>
      <c r="BW544" s="118"/>
      <c r="BX544" s="118"/>
      <c r="BY544" s="118"/>
      <c r="BZ544" s="118"/>
      <c r="CA544" s="118"/>
      <c r="CB544" s="118"/>
      <c r="CC544" s="118"/>
      <c r="CD544" s="118"/>
      <c r="CE544" s="118"/>
      <c r="CF544" s="118"/>
      <c r="CG544" s="118"/>
      <c r="CH544" s="118"/>
      <c r="CI544" s="118"/>
      <c r="CJ544" s="118"/>
      <c r="CK544" s="118"/>
      <c r="CL544" s="118"/>
      <c r="CM544" s="118"/>
      <c r="CN544" s="647"/>
      <c r="CO544" s="634"/>
      <c r="CP544" s="48"/>
      <c r="CQ544" s="48"/>
      <c r="CR544" s="48"/>
      <c r="CS544" s="48"/>
      <c r="CT544" s="48"/>
      <c r="CU544" s="634"/>
      <c r="CV544" s="42">
        <f t="shared" si="371"/>
        <v>0</v>
      </c>
      <c r="CW544" s="634"/>
      <c r="CX544" s="634"/>
      <c r="CY544" s="634"/>
      <c r="CZ544" s="634"/>
      <c r="DA544" s="634"/>
      <c r="DB544" s="634"/>
      <c r="DC544" s="659"/>
      <c r="DD544" s="118"/>
      <c r="DE544" s="19"/>
      <c r="DF544" s="19"/>
      <c r="DG544" s="19"/>
      <c r="DH544" s="118"/>
      <c r="DI544" s="19"/>
      <c r="DJ544" s="19"/>
      <c r="DK544" s="19"/>
      <c r="DL544" s="19"/>
      <c r="DM544" s="19"/>
      <c r="DN544" s="19"/>
      <c r="DO544" s="118"/>
      <c r="DP544" s="19"/>
      <c r="DQ544" s="19"/>
      <c r="DR544" s="19"/>
      <c r="DS544" s="19"/>
      <c r="DT544" s="118"/>
      <c r="DU544" s="19"/>
      <c r="DV544" s="19"/>
      <c r="DW544" s="19"/>
      <c r="DX544" s="19"/>
      <c r="DY544" s="19"/>
      <c r="DZ544" s="19"/>
    </row>
    <row r="545" spans="1:130" ht="12.75" x14ac:dyDescent="0.2">
      <c r="A545" s="648"/>
      <c r="B545" s="648"/>
      <c r="C545" s="40"/>
      <c r="D545" s="40"/>
      <c r="E545" s="40"/>
      <c r="F545" s="40"/>
      <c r="G545" s="40"/>
      <c r="H545" s="635"/>
      <c r="I545" s="159">
        <f t="shared" si="363"/>
        <v>0</v>
      </c>
      <c r="J545" s="635"/>
      <c r="K545" s="40"/>
      <c r="L545" s="40"/>
      <c r="M545" s="635"/>
      <c r="N545" s="635"/>
      <c r="O545" s="635"/>
      <c r="P545" s="635"/>
      <c r="Q545" s="635"/>
      <c r="R545" s="635"/>
      <c r="S545" s="660"/>
      <c r="T545" s="648"/>
      <c r="U545" s="40"/>
      <c r="V545" s="40"/>
      <c r="W545" s="40"/>
      <c r="X545" s="40"/>
      <c r="Y545" s="40"/>
      <c r="Z545" s="635"/>
      <c r="AA545" s="51">
        <f t="shared" si="364"/>
        <v>0</v>
      </c>
      <c r="AB545" s="635"/>
      <c r="AC545" s="40"/>
      <c r="AD545" s="40"/>
      <c r="AE545" s="635"/>
      <c r="AF545" s="635"/>
      <c r="AG545" s="635"/>
      <c r="AH545" s="635"/>
      <c r="AI545" s="639"/>
      <c r="AJ545" s="635"/>
      <c r="AK545" s="643"/>
      <c r="AL545" s="648"/>
      <c r="AM545" s="40"/>
      <c r="AN545" s="40"/>
      <c r="AO545" s="40"/>
      <c r="AP545" s="40"/>
      <c r="AQ545" s="40"/>
      <c r="AR545" s="635"/>
      <c r="AS545" s="159"/>
      <c r="AT545" s="635"/>
      <c r="AU545" s="40"/>
      <c r="AV545" s="635"/>
      <c r="AW545" s="40"/>
      <c r="AX545" s="635"/>
      <c r="AY545" s="635"/>
      <c r="AZ545" s="635"/>
      <c r="BA545" s="635"/>
      <c r="BB545" s="635"/>
      <c r="BC545" s="635"/>
      <c r="BD545" s="118"/>
      <c r="BE545" s="118"/>
      <c r="BF545" s="118"/>
      <c r="BG545" s="118"/>
      <c r="BH545" s="118"/>
      <c r="BI545" s="118"/>
      <c r="BJ545" s="118"/>
      <c r="BK545" s="118"/>
      <c r="BL545" s="118"/>
      <c r="BM545" s="118"/>
      <c r="BN545" s="118"/>
      <c r="BO545" s="118"/>
      <c r="BP545" s="118"/>
      <c r="BQ545" s="118"/>
      <c r="BR545" s="118"/>
      <c r="BS545" s="118"/>
      <c r="BT545" s="118"/>
      <c r="BU545" s="118"/>
      <c r="BV545" s="118"/>
      <c r="BW545" s="118"/>
      <c r="BX545" s="118"/>
      <c r="BY545" s="118"/>
      <c r="BZ545" s="118"/>
      <c r="CA545" s="118"/>
      <c r="CB545" s="118"/>
      <c r="CC545" s="118"/>
      <c r="CD545" s="118"/>
      <c r="CE545" s="118"/>
      <c r="CF545" s="118"/>
      <c r="CG545" s="118"/>
      <c r="CH545" s="118"/>
      <c r="CI545" s="118"/>
      <c r="CJ545" s="118"/>
      <c r="CK545" s="118"/>
      <c r="CL545" s="118"/>
      <c r="CM545" s="118"/>
      <c r="CN545" s="796"/>
      <c r="CO545" s="708"/>
      <c r="CP545" s="545"/>
      <c r="CQ545" s="545"/>
      <c r="CR545" s="545"/>
      <c r="CS545" s="545"/>
      <c r="CT545" s="545"/>
      <c r="CU545" s="708"/>
      <c r="CV545" s="546">
        <f t="shared" si="371"/>
        <v>0</v>
      </c>
      <c r="CW545" s="708"/>
      <c r="CX545" s="708"/>
      <c r="CY545" s="708"/>
      <c r="CZ545" s="708"/>
      <c r="DA545" s="708"/>
      <c r="DB545" s="708"/>
      <c r="DC545" s="710"/>
      <c r="DD545" s="118"/>
      <c r="DE545" s="19"/>
      <c r="DF545" s="19"/>
      <c r="DG545" s="19"/>
      <c r="DH545" s="118"/>
      <c r="DI545" s="19"/>
      <c r="DJ545" s="19"/>
      <c r="DK545" s="19"/>
      <c r="DL545" s="19"/>
      <c r="DM545" s="19"/>
      <c r="DN545" s="19"/>
      <c r="DO545" s="118"/>
      <c r="DP545" s="19"/>
      <c r="DQ545" s="19"/>
      <c r="DR545" s="19"/>
      <c r="DS545" s="19"/>
      <c r="DT545" s="118"/>
      <c r="DU545" s="19"/>
      <c r="DV545" s="19"/>
      <c r="DW545" s="19"/>
      <c r="DX545" s="19"/>
      <c r="DY545" s="19"/>
      <c r="DZ545" s="19"/>
    </row>
    <row r="546" spans="1:130" ht="12.75" x14ac:dyDescent="0.2">
      <c r="A546" s="166"/>
      <c r="B546" s="167" t="s">
        <v>40</v>
      </c>
      <c r="C546" s="168">
        <f>SUM(C521:C545)</f>
        <v>12</v>
      </c>
      <c r="D546" s="168" t="s">
        <v>49</v>
      </c>
      <c r="E546" s="168" t="s">
        <v>49</v>
      </c>
      <c r="F546" s="168" t="s">
        <v>49</v>
      </c>
      <c r="G546" s="168">
        <f t="shared" ref="G546:J546" si="372">SUM(G521:G545)</f>
        <v>0</v>
      </c>
      <c r="H546" s="168">
        <f t="shared" si="372"/>
        <v>0</v>
      </c>
      <c r="I546" s="168">
        <f t="shared" si="372"/>
        <v>99</v>
      </c>
      <c r="J546" s="168">
        <f t="shared" si="372"/>
        <v>99</v>
      </c>
      <c r="K546" s="168" t="s">
        <v>49</v>
      </c>
      <c r="L546" s="168"/>
      <c r="M546" s="168">
        <f>SUM(M521:M545)</f>
        <v>0.8</v>
      </c>
      <c r="N546" s="168">
        <f>SUM(N521:N541)</f>
        <v>0</v>
      </c>
      <c r="O546" s="169">
        <f t="shared" ref="O546:Q546" si="373">SUM(O521:O545)</f>
        <v>3.4000000000000004</v>
      </c>
      <c r="P546" s="168">
        <f t="shared" si="373"/>
        <v>0</v>
      </c>
      <c r="Q546" s="168">
        <f t="shared" si="373"/>
        <v>48</v>
      </c>
      <c r="R546" s="170"/>
      <c r="S546" s="171">
        <f>AVERAGE(S530:S537)</f>
        <v>0</v>
      </c>
      <c r="T546" s="167" t="s">
        <v>40</v>
      </c>
      <c r="U546" s="168">
        <f>SUM(U521:U545)</f>
        <v>0</v>
      </c>
      <c r="V546" s="168" t="s">
        <v>49</v>
      </c>
      <c r="W546" s="168" t="s">
        <v>49</v>
      </c>
      <c r="X546" s="168" t="s">
        <v>49</v>
      </c>
      <c r="Y546" s="168">
        <f t="shared" ref="Y546:AB546" si="374">SUM(Y521:Y545)</f>
        <v>0</v>
      </c>
      <c r="Z546" s="168">
        <f t="shared" si="374"/>
        <v>2</v>
      </c>
      <c r="AA546" s="168">
        <f t="shared" si="374"/>
        <v>752</v>
      </c>
      <c r="AB546" s="168">
        <f t="shared" si="374"/>
        <v>754</v>
      </c>
      <c r="AC546" s="168" t="s">
        <v>49</v>
      </c>
      <c r="AD546" s="168" t="s">
        <v>49</v>
      </c>
      <c r="AE546" s="168">
        <f t="shared" ref="AE546:AI546" si="375">SUM(AE521:AE545)</f>
        <v>6.75</v>
      </c>
      <c r="AF546" s="168">
        <f t="shared" si="375"/>
        <v>19.75</v>
      </c>
      <c r="AG546" s="169">
        <f t="shared" si="375"/>
        <v>26.5</v>
      </c>
      <c r="AH546" s="168">
        <f t="shared" si="375"/>
        <v>2.5</v>
      </c>
      <c r="AI546" s="168">
        <f t="shared" si="375"/>
        <v>405</v>
      </c>
      <c r="AJ546" s="467"/>
      <c r="AK546" s="171">
        <f t="shared" ref="AK546:AK547" si="376">IF(AI546=0,0,AB546/AI546)</f>
        <v>1.8617283950617285</v>
      </c>
      <c r="AL546" s="167" t="s">
        <v>40</v>
      </c>
      <c r="AM546" s="168">
        <f>SUM(AM521:AM545)</f>
        <v>214</v>
      </c>
      <c r="AN546" s="168" t="s">
        <v>49</v>
      </c>
      <c r="AO546" s="168" t="s">
        <v>49</v>
      </c>
      <c r="AP546" s="168" t="s">
        <v>49</v>
      </c>
      <c r="AQ546" s="168">
        <f t="shared" ref="AQ546:AT546" si="377">SUM(AQ521:AQ545)</f>
        <v>32</v>
      </c>
      <c r="AR546" s="168">
        <f t="shared" si="377"/>
        <v>38</v>
      </c>
      <c r="AS546" s="168">
        <f t="shared" si="377"/>
        <v>1919</v>
      </c>
      <c r="AT546" s="168">
        <f t="shared" si="377"/>
        <v>1957</v>
      </c>
      <c r="AU546" s="168" t="s">
        <v>49</v>
      </c>
      <c r="AV546" s="168">
        <f>SUM(AV521:AV545)</f>
        <v>13.049999999999999</v>
      </c>
      <c r="AW546" s="168"/>
      <c r="AX546" s="172">
        <f t="shared" ref="AX546:BA546" si="378">SUM(AX521:AX545)</f>
        <v>16.95</v>
      </c>
      <c r="AY546" s="173">
        <f t="shared" si="378"/>
        <v>30</v>
      </c>
      <c r="AZ546" s="172">
        <f t="shared" si="378"/>
        <v>1.5</v>
      </c>
      <c r="BA546" s="168">
        <f t="shared" si="378"/>
        <v>783</v>
      </c>
      <c r="BB546" s="170"/>
      <c r="BC546" s="547">
        <f t="shared" ref="BC546:BC547" si="379">IF(BA546=0,0,AT546/BA546)</f>
        <v>2.4993614303959131</v>
      </c>
      <c r="BD546" s="118"/>
      <c r="BE546" s="118"/>
      <c r="BF546" s="118"/>
      <c r="BG546" s="118"/>
      <c r="BH546" s="118"/>
      <c r="BI546" s="118"/>
      <c r="BJ546" s="118"/>
      <c r="BK546" s="118"/>
      <c r="BL546" s="118"/>
      <c r="BM546" s="118"/>
      <c r="BN546" s="118"/>
      <c r="BO546" s="118"/>
      <c r="BP546" s="118"/>
      <c r="BQ546" s="118"/>
      <c r="BR546" s="118"/>
      <c r="BS546" s="118"/>
      <c r="BT546" s="118"/>
      <c r="BU546" s="118"/>
      <c r="BV546" s="118"/>
      <c r="BW546" s="118"/>
      <c r="BX546" s="118"/>
      <c r="BY546" s="118"/>
      <c r="BZ546" s="118"/>
      <c r="CA546" s="118"/>
      <c r="CB546" s="118"/>
      <c r="CC546" s="118"/>
      <c r="CD546" s="118"/>
      <c r="CE546" s="118"/>
      <c r="CF546" s="118"/>
      <c r="CG546" s="118"/>
      <c r="CH546" s="118"/>
      <c r="CI546" s="118"/>
      <c r="CJ546" s="118"/>
      <c r="CK546" s="118"/>
      <c r="CL546" s="118"/>
      <c r="CM546" s="118"/>
      <c r="CN546" s="548" t="s">
        <v>40</v>
      </c>
      <c r="CO546" s="549"/>
      <c r="CP546" s="550">
        <f>SUM(CP521:CP545)</f>
        <v>13</v>
      </c>
      <c r="CQ546" s="550" t="s">
        <v>49</v>
      </c>
      <c r="CR546" s="550" t="s">
        <v>49</v>
      </c>
      <c r="CS546" s="550" t="s">
        <v>49</v>
      </c>
      <c r="CT546" s="550">
        <f t="shared" ref="CT546:CW546" si="380">SUM(CT521:CT545)</f>
        <v>0</v>
      </c>
      <c r="CU546" s="550">
        <f t="shared" si="380"/>
        <v>0</v>
      </c>
      <c r="CV546" s="550">
        <f t="shared" si="380"/>
        <v>107</v>
      </c>
      <c r="CW546" s="550">
        <f t="shared" si="380"/>
        <v>107</v>
      </c>
      <c r="CX546" s="551"/>
      <c r="CY546" s="552">
        <f t="shared" ref="CY546:DA546" si="381">SUM(CY521:CY545)</f>
        <v>0</v>
      </c>
      <c r="CZ546" s="553">
        <f t="shared" si="381"/>
        <v>3</v>
      </c>
      <c r="DA546" s="552">
        <f t="shared" si="381"/>
        <v>0</v>
      </c>
      <c r="DB546" s="554"/>
      <c r="DC546" s="555">
        <f>IF(CV546=0,0,CX546/CW546)</f>
        <v>0</v>
      </c>
      <c r="DD546" s="118"/>
      <c r="DE546" s="19"/>
      <c r="DF546" s="19"/>
      <c r="DG546" s="19"/>
      <c r="DH546" s="118"/>
      <c r="DI546" s="19"/>
      <c r="DJ546" s="19"/>
      <c r="DK546" s="19"/>
      <c r="DL546" s="19"/>
      <c r="DM546" s="19"/>
      <c r="DN546" s="19"/>
      <c r="DO546" s="118"/>
      <c r="DP546" s="19"/>
      <c r="DQ546" s="19"/>
      <c r="DR546" s="19"/>
      <c r="DS546" s="19"/>
      <c r="DT546" s="118"/>
      <c r="DU546" s="19"/>
      <c r="DV546" s="19"/>
      <c r="DW546" s="19"/>
      <c r="DX546" s="19"/>
      <c r="DY546" s="19"/>
      <c r="DZ546" s="19"/>
    </row>
    <row r="547" spans="1:130" ht="12.75" x14ac:dyDescent="0.2">
      <c r="A547" s="746" t="s">
        <v>987</v>
      </c>
      <c r="B547" s="747">
        <v>46195</v>
      </c>
      <c r="C547" s="175"/>
      <c r="D547" s="26"/>
      <c r="E547" s="26"/>
      <c r="F547" s="26"/>
      <c r="G547" s="137"/>
      <c r="H547" s="675"/>
      <c r="I547" s="62">
        <f t="shared" ref="I547:I550" si="382">IF(E547=0,0,F547-E547+1-G547)</f>
        <v>0</v>
      </c>
      <c r="J547" s="676">
        <f>SUM(I547:I552,H547)</f>
        <v>0</v>
      </c>
      <c r="K547" s="175"/>
      <c r="L547" s="175"/>
      <c r="M547" s="675"/>
      <c r="N547" s="675"/>
      <c r="O547" s="677">
        <f>SUM(M547:N552)</f>
        <v>0</v>
      </c>
      <c r="P547" s="675"/>
      <c r="Q547" s="657">
        <f>M547*60</f>
        <v>0</v>
      </c>
      <c r="R547" s="657">
        <f>IF(
   COUNTIF(K547:K552,"SI")&gt;0,
   1.8,
   IF(
      COUNTIF(L547:L552,"SI")&gt;0,
      1.6,
      2
   )
)</f>
        <v>2</v>
      </c>
      <c r="S547" s="678">
        <f>IF(Q547=0,0,J547/Q547)</f>
        <v>0</v>
      </c>
      <c r="T547" s="674">
        <v>46195</v>
      </c>
      <c r="U547" s="175"/>
      <c r="V547" s="26"/>
      <c r="W547" s="26"/>
      <c r="X547" s="26"/>
      <c r="Y547" s="175"/>
      <c r="Z547" s="680"/>
      <c r="AA547" s="151">
        <f t="shared" ref="AA547:AA550" si="383">IF(X547=0,0,X547-W547+1-Y547)</f>
        <v>0</v>
      </c>
      <c r="AB547" s="669">
        <f>SUM(AA547:AA552,Z547)</f>
        <v>0</v>
      </c>
      <c r="AC547" s="26"/>
      <c r="AD547" s="26"/>
      <c r="AE547" s="675"/>
      <c r="AF547" s="675"/>
      <c r="AG547" s="677">
        <f>SUM(AE547:AF552)</f>
        <v>0</v>
      </c>
      <c r="AH547" s="675"/>
      <c r="AI547" s="681">
        <f>AE547*60</f>
        <v>0</v>
      </c>
      <c r="AJ547" s="657">
        <f>IF(
   COUNTIF(AC547:AC552,"SI")&gt;0,
   1.8,
   IF(
      COUNTIF(AD547:AD552,"SI")&gt;0,
      1.6,
      2
   )
)</f>
        <v>2</v>
      </c>
      <c r="AK547" s="682">
        <f t="shared" si="376"/>
        <v>0</v>
      </c>
      <c r="AL547" s="674">
        <v>46195</v>
      </c>
      <c r="AM547" s="24"/>
      <c r="AN547" s="31"/>
      <c r="AO547" s="31"/>
      <c r="AP547" s="24"/>
      <c r="AQ547" s="26"/>
      <c r="AR547" s="681"/>
      <c r="AS547" s="159">
        <f t="shared" ref="AS547:AS550" si="384">IF(AO547=0,0,AP547-AO547+1-AQ547)</f>
        <v>0</v>
      </c>
      <c r="AT547" s="683">
        <f>SUM(AS547:AS552)+AR547</f>
        <v>0</v>
      </c>
      <c r="AU547" s="29"/>
      <c r="AV547" s="640"/>
      <c r="AW547" s="29"/>
      <c r="AX547" s="657">
        <v>10.5</v>
      </c>
      <c r="AY547" s="633">
        <f>SUM(AV547,AX547)</f>
        <v>10.5</v>
      </c>
      <c r="AZ547" s="657">
        <v>0.25</v>
      </c>
      <c r="BA547" s="657">
        <f>AV547*60</f>
        <v>0</v>
      </c>
      <c r="BB547" s="657">
        <f>IF(
   COUNTIF(AU547:AU552,"SI")&gt;0,
   1.8,
   IF(
      COUNTIF(AV547:AV552,"SI")&gt;0,
      1.6,
      2
   )
)</f>
        <v>2</v>
      </c>
      <c r="BC547" s="645">
        <f t="shared" si="379"/>
        <v>0</v>
      </c>
      <c r="BD547" s="118"/>
      <c r="BE547" s="118"/>
      <c r="BF547" s="118"/>
      <c r="BG547" s="118"/>
      <c r="BH547" s="118"/>
      <c r="BI547" s="118"/>
      <c r="BJ547" s="118"/>
      <c r="BK547" s="118"/>
      <c r="BL547" s="118"/>
      <c r="BM547" s="118"/>
      <c r="BN547" s="118"/>
      <c r="BO547" s="118"/>
      <c r="BP547" s="118"/>
      <c r="BQ547" s="118"/>
      <c r="BR547" s="118"/>
      <c r="BS547" s="118"/>
      <c r="BT547" s="118"/>
      <c r="BU547" s="118"/>
      <c r="BV547" s="19"/>
      <c r="BW547" s="118"/>
      <c r="BX547" s="118"/>
      <c r="BY547" s="118"/>
      <c r="BZ547" s="118"/>
      <c r="CA547" s="118"/>
      <c r="CB547" s="118"/>
      <c r="CC547" s="118"/>
      <c r="CD547" s="118"/>
      <c r="CE547" s="118"/>
      <c r="CF547" s="118"/>
      <c r="CG547" s="118"/>
      <c r="CH547" s="118"/>
      <c r="CI547" s="118"/>
      <c r="CJ547" s="118"/>
      <c r="CK547" s="118"/>
      <c r="CL547" s="118"/>
      <c r="CM547" s="118"/>
      <c r="CN547" s="794">
        <v>46195</v>
      </c>
      <c r="CO547" s="792" t="s">
        <v>45</v>
      </c>
      <c r="CP547" s="528">
        <v>39</v>
      </c>
      <c r="CQ547" s="46">
        <v>478</v>
      </c>
      <c r="CR547" s="46">
        <v>15005</v>
      </c>
      <c r="CS547" s="528">
        <v>15364</v>
      </c>
      <c r="CT547" s="529">
        <v>0</v>
      </c>
      <c r="CU547" s="792">
        <v>0</v>
      </c>
      <c r="CV547" s="42">
        <f t="shared" ref="CV547:CV569" si="385">IF(CQ547=0,0,CS547-CR547+1-CT547)</f>
        <v>360</v>
      </c>
      <c r="CW547" s="786">
        <f>SUM(CV547:CV549)</f>
        <v>360</v>
      </c>
      <c r="CX547" s="784">
        <v>3.5</v>
      </c>
      <c r="CY547" s="792">
        <v>0.5</v>
      </c>
      <c r="CZ547" s="656">
        <f>SUM(CX547:CY552)</f>
        <v>4</v>
      </c>
      <c r="DA547" s="792"/>
      <c r="DB547" s="792">
        <v>2</v>
      </c>
      <c r="DC547" s="795">
        <f>IF(CX547=0,0,CW547/(CX547*60))</f>
        <v>1.7142857142857142</v>
      </c>
      <c r="DD547" s="794">
        <v>46195</v>
      </c>
      <c r="DE547" s="792" t="s">
        <v>45</v>
      </c>
      <c r="DF547" s="528"/>
      <c r="DG547" s="529"/>
      <c r="DH547" s="529"/>
      <c r="DI547" s="528"/>
      <c r="DJ547" s="529"/>
      <c r="DK547" s="792">
        <v>0</v>
      </c>
      <c r="DL547" s="530">
        <f t="shared" ref="DL547:DL582" si="386">IF(DG547=0,0,DI547-DH547+1-DJ547)</f>
        <v>0</v>
      </c>
      <c r="DM547" s="792">
        <f>SUM(DL547:DL549)</f>
        <v>0</v>
      </c>
      <c r="DN547" s="791"/>
      <c r="DO547" s="792">
        <v>0.5</v>
      </c>
      <c r="DP547" s="677">
        <f>SUM(DN547:DO552)</f>
        <v>4</v>
      </c>
      <c r="DQ547" s="792">
        <v>0</v>
      </c>
      <c r="DR547" s="792">
        <v>2</v>
      </c>
      <c r="DS547" s="793">
        <f>IF(DN547=0,0,DM547/(DN547*60))</f>
        <v>0</v>
      </c>
      <c r="DT547" s="118"/>
      <c r="DU547" s="19"/>
      <c r="DV547" s="19"/>
      <c r="DW547" s="19"/>
      <c r="DX547" s="19"/>
      <c r="DY547" s="19"/>
      <c r="DZ547" s="19"/>
    </row>
    <row r="548" spans="1:130" ht="12.75" x14ac:dyDescent="0.2">
      <c r="A548" s="647"/>
      <c r="B548" s="670"/>
      <c r="C548" s="30"/>
      <c r="D548" s="158"/>
      <c r="E548" s="158"/>
      <c r="F548" s="158"/>
      <c r="G548" s="158"/>
      <c r="H548" s="634"/>
      <c r="I548" s="159">
        <f t="shared" si="382"/>
        <v>0</v>
      </c>
      <c r="J548" s="634"/>
      <c r="K548" s="30"/>
      <c r="L548" s="142"/>
      <c r="M548" s="634"/>
      <c r="N548" s="634"/>
      <c r="O548" s="634"/>
      <c r="P548" s="634"/>
      <c r="Q548" s="634"/>
      <c r="R548" s="634"/>
      <c r="S548" s="659"/>
      <c r="T548" s="647"/>
      <c r="U548" s="30"/>
      <c r="V548" s="30"/>
      <c r="W548" s="30"/>
      <c r="X548" s="30"/>
      <c r="Y548" s="30"/>
      <c r="Z548" s="638"/>
      <c r="AA548" s="51">
        <f t="shared" si="383"/>
        <v>0</v>
      </c>
      <c r="AB548" s="670"/>
      <c r="AC548" s="29"/>
      <c r="AD548" s="25"/>
      <c r="AE548" s="634"/>
      <c r="AF548" s="634"/>
      <c r="AG548" s="634"/>
      <c r="AH548" s="634"/>
      <c r="AI548" s="638"/>
      <c r="AJ548" s="634"/>
      <c r="AK548" s="642"/>
      <c r="AL548" s="647"/>
      <c r="AM548" s="28"/>
      <c r="AN548" s="28"/>
      <c r="AO548" s="28"/>
      <c r="AP548" s="28"/>
      <c r="AQ548" s="29"/>
      <c r="AR548" s="638"/>
      <c r="AS548" s="159">
        <f t="shared" si="384"/>
        <v>0</v>
      </c>
      <c r="AT548" s="670"/>
      <c r="AU548" s="29"/>
      <c r="AV548" s="634"/>
      <c r="AW548" s="29"/>
      <c r="AX548" s="634"/>
      <c r="AY548" s="634"/>
      <c r="AZ548" s="634"/>
      <c r="BA548" s="634"/>
      <c r="BB548" s="634"/>
      <c r="BC548" s="634"/>
      <c r="BD548" s="118"/>
      <c r="BE548" s="118"/>
      <c r="BF548" s="118"/>
      <c r="BG548" s="118"/>
      <c r="BH548" s="118"/>
      <c r="BI548" s="118"/>
      <c r="BJ548" s="118"/>
      <c r="BK548" s="118"/>
      <c r="BL548" s="118"/>
      <c r="BM548" s="118"/>
      <c r="BN548" s="118"/>
      <c r="BO548" s="118"/>
      <c r="BP548" s="118"/>
      <c r="BQ548" s="118"/>
      <c r="BR548" s="118"/>
      <c r="BS548" s="118"/>
      <c r="BT548" s="118"/>
      <c r="BU548" s="118"/>
      <c r="BV548" s="19"/>
      <c r="BW548" s="118"/>
      <c r="BX548" s="118"/>
      <c r="BY548" s="118"/>
      <c r="BZ548" s="118"/>
      <c r="CA548" s="118"/>
      <c r="CB548" s="118"/>
      <c r="CC548" s="118"/>
      <c r="CD548" s="118"/>
      <c r="CE548" s="118"/>
      <c r="CF548" s="118"/>
      <c r="CG548" s="118"/>
      <c r="CH548" s="118"/>
      <c r="CI548" s="118"/>
      <c r="CJ548" s="118"/>
      <c r="CK548" s="118"/>
      <c r="CL548" s="118"/>
      <c r="CM548" s="118"/>
      <c r="CN548" s="647"/>
      <c r="CO548" s="634"/>
      <c r="CP548" s="43"/>
      <c r="CQ548" s="43"/>
      <c r="CR548" s="43"/>
      <c r="CS548" s="43"/>
      <c r="CT548" s="41"/>
      <c r="CU548" s="634"/>
      <c r="CV548" s="42">
        <f t="shared" si="385"/>
        <v>0</v>
      </c>
      <c r="CW548" s="634"/>
      <c r="CX548" s="634"/>
      <c r="CY548" s="634"/>
      <c r="CZ548" s="634"/>
      <c r="DA548" s="634"/>
      <c r="DB548" s="634"/>
      <c r="DC548" s="642"/>
      <c r="DD548" s="647"/>
      <c r="DE548" s="634"/>
      <c r="DF548" s="43"/>
      <c r="DG548" s="43"/>
      <c r="DH548" s="43"/>
      <c r="DI548" s="43"/>
      <c r="DJ548" s="41"/>
      <c r="DK548" s="634"/>
      <c r="DL548" s="42">
        <f t="shared" si="386"/>
        <v>0</v>
      </c>
      <c r="DM548" s="634"/>
      <c r="DN548" s="634"/>
      <c r="DO548" s="634"/>
      <c r="DP548" s="634"/>
      <c r="DQ548" s="634"/>
      <c r="DR548" s="634"/>
      <c r="DS548" s="642"/>
      <c r="DT548" s="118"/>
      <c r="DU548" s="19"/>
      <c r="DV548" s="19"/>
      <c r="DW548" s="19"/>
      <c r="DX548" s="19"/>
      <c r="DY548" s="19"/>
      <c r="DZ548" s="19"/>
    </row>
    <row r="549" spans="1:130" ht="12.75" x14ac:dyDescent="0.2">
      <c r="A549" s="647"/>
      <c r="B549" s="670"/>
      <c r="C549" s="30"/>
      <c r="D549" s="158"/>
      <c r="E549" s="158"/>
      <c r="F549" s="158"/>
      <c r="G549" s="158"/>
      <c r="H549" s="634"/>
      <c r="I549" s="159">
        <f t="shared" si="382"/>
        <v>0</v>
      </c>
      <c r="J549" s="634"/>
      <c r="K549" s="158"/>
      <c r="L549" s="161"/>
      <c r="M549" s="634"/>
      <c r="N549" s="634"/>
      <c r="O549" s="634"/>
      <c r="P549" s="634"/>
      <c r="Q549" s="634"/>
      <c r="R549" s="634"/>
      <c r="S549" s="659"/>
      <c r="T549" s="647"/>
      <c r="U549" s="30"/>
      <c r="V549" s="158"/>
      <c r="W549" s="30"/>
      <c r="X549" s="30"/>
      <c r="Y549" s="30"/>
      <c r="Z549" s="638"/>
      <c r="AA549" s="51">
        <f t="shared" si="383"/>
        <v>0</v>
      </c>
      <c r="AB549" s="670"/>
      <c r="AC549" s="158"/>
      <c r="AD549" s="161"/>
      <c r="AE549" s="634"/>
      <c r="AF549" s="634"/>
      <c r="AG549" s="634"/>
      <c r="AH549" s="634"/>
      <c r="AI549" s="638"/>
      <c r="AJ549" s="634"/>
      <c r="AK549" s="642"/>
      <c r="AL549" s="647"/>
      <c r="AM549" s="28"/>
      <c r="AN549" s="28"/>
      <c r="AO549" s="28"/>
      <c r="AP549" s="28"/>
      <c r="AQ549" s="28"/>
      <c r="AR549" s="638"/>
      <c r="AS549" s="159">
        <f t="shared" si="384"/>
        <v>0</v>
      </c>
      <c r="AT549" s="670"/>
      <c r="AU549" s="29"/>
      <c r="AV549" s="634"/>
      <c r="AW549" s="29"/>
      <c r="AX549" s="634"/>
      <c r="AY549" s="634"/>
      <c r="AZ549" s="634"/>
      <c r="BA549" s="634"/>
      <c r="BB549" s="634"/>
      <c r="BC549" s="634"/>
      <c r="BD549" s="118"/>
      <c r="BE549" s="118"/>
      <c r="BF549" s="118"/>
      <c r="BG549" s="118"/>
      <c r="BH549" s="118"/>
      <c r="BI549" s="118"/>
      <c r="BJ549" s="118"/>
      <c r="BK549" s="118"/>
      <c r="BL549" s="118"/>
      <c r="BM549" s="118"/>
      <c r="BN549" s="118"/>
      <c r="BO549" s="118"/>
      <c r="BP549" s="118"/>
      <c r="BQ549" s="118"/>
      <c r="BR549" s="118"/>
      <c r="BS549" s="118"/>
      <c r="BT549" s="118"/>
      <c r="BU549" s="118"/>
      <c r="BV549" s="19"/>
      <c r="BW549" s="118"/>
      <c r="BX549" s="118"/>
      <c r="BY549" s="118"/>
      <c r="BZ549" s="118"/>
      <c r="CA549" s="118"/>
      <c r="CB549" s="118"/>
      <c r="CC549" s="118"/>
      <c r="CD549" s="118"/>
      <c r="CE549" s="118"/>
      <c r="CF549" s="118"/>
      <c r="CG549" s="118"/>
      <c r="CH549" s="118"/>
      <c r="CI549" s="118"/>
      <c r="CJ549" s="118"/>
      <c r="CK549" s="118"/>
      <c r="CL549" s="118"/>
      <c r="CM549" s="118"/>
      <c r="CN549" s="647"/>
      <c r="CO549" s="772"/>
      <c r="CP549" s="45"/>
      <c r="CQ549" s="45"/>
      <c r="CR549" s="45"/>
      <c r="CS549" s="45"/>
      <c r="CT549" s="45"/>
      <c r="CU549" s="634"/>
      <c r="CV549" s="42">
        <f t="shared" si="385"/>
        <v>0</v>
      </c>
      <c r="CW549" s="635"/>
      <c r="CX549" s="635"/>
      <c r="CY549" s="634"/>
      <c r="CZ549" s="634"/>
      <c r="DA549" s="634"/>
      <c r="DB549" s="635"/>
      <c r="DC549" s="642"/>
      <c r="DD549" s="647"/>
      <c r="DE549" s="772"/>
      <c r="DF549" s="45"/>
      <c r="DG549" s="45"/>
      <c r="DH549" s="45"/>
      <c r="DI549" s="45"/>
      <c r="DJ549" s="45"/>
      <c r="DK549" s="634"/>
      <c r="DL549" s="42">
        <f t="shared" si="386"/>
        <v>0</v>
      </c>
      <c r="DM549" s="635"/>
      <c r="DN549" s="635"/>
      <c r="DO549" s="634"/>
      <c r="DP549" s="634"/>
      <c r="DQ549" s="634"/>
      <c r="DR549" s="635"/>
      <c r="DS549" s="642"/>
      <c r="DT549" s="118"/>
      <c r="DU549" s="19"/>
      <c r="DV549" s="19"/>
      <c r="DW549" s="19"/>
      <c r="DX549" s="19"/>
      <c r="DY549" s="19"/>
      <c r="DZ549" s="19"/>
    </row>
    <row r="550" spans="1:130" ht="12.75" x14ac:dyDescent="0.2">
      <c r="A550" s="647"/>
      <c r="B550" s="670"/>
      <c r="C550" s="30"/>
      <c r="D550" s="30"/>
      <c r="E550" s="30"/>
      <c r="F550" s="30"/>
      <c r="G550" s="30"/>
      <c r="H550" s="634"/>
      <c r="I550" s="159">
        <f t="shared" si="382"/>
        <v>0</v>
      </c>
      <c r="J550" s="634"/>
      <c r="K550" s="30"/>
      <c r="L550" s="142"/>
      <c r="M550" s="634"/>
      <c r="N550" s="634"/>
      <c r="O550" s="634"/>
      <c r="P550" s="634"/>
      <c r="Q550" s="634"/>
      <c r="R550" s="634"/>
      <c r="S550" s="659"/>
      <c r="T550" s="647"/>
      <c r="U550" s="30"/>
      <c r="V550" s="30"/>
      <c r="W550" s="30"/>
      <c r="X550" s="30"/>
      <c r="Y550" s="30"/>
      <c r="Z550" s="638"/>
      <c r="AA550" s="51">
        <f t="shared" si="383"/>
        <v>0</v>
      </c>
      <c r="AB550" s="670"/>
      <c r="AC550" s="30"/>
      <c r="AD550" s="142"/>
      <c r="AE550" s="634"/>
      <c r="AF550" s="634"/>
      <c r="AG550" s="634"/>
      <c r="AH550" s="634"/>
      <c r="AI550" s="638"/>
      <c r="AJ550" s="634"/>
      <c r="AK550" s="642"/>
      <c r="AL550" s="647"/>
      <c r="AM550" s="29"/>
      <c r="AN550" s="29"/>
      <c r="AO550" s="29"/>
      <c r="AP550" s="29"/>
      <c r="AQ550" s="29"/>
      <c r="AR550" s="638"/>
      <c r="AS550" s="159">
        <f t="shared" si="384"/>
        <v>0</v>
      </c>
      <c r="AT550" s="671"/>
      <c r="AU550" s="29"/>
      <c r="AV550" s="635"/>
      <c r="AW550" s="25"/>
      <c r="AX550" s="634"/>
      <c r="AY550" s="634"/>
      <c r="AZ550" s="634"/>
      <c r="BA550" s="634"/>
      <c r="BB550" s="634"/>
      <c r="BC550" s="635"/>
      <c r="BD550" s="118"/>
      <c r="BE550" s="118"/>
      <c r="BF550" s="118"/>
      <c r="BG550" s="118"/>
      <c r="BH550" s="118"/>
      <c r="BI550" s="118"/>
      <c r="BJ550" s="118"/>
      <c r="BK550" s="118"/>
      <c r="BL550" s="118"/>
      <c r="BM550" s="118"/>
      <c r="BN550" s="118"/>
      <c r="BO550" s="118"/>
      <c r="BP550" s="118"/>
      <c r="BQ550" s="118"/>
      <c r="BR550" s="118"/>
      <c r="BS550" s="118"/>
      <c r="BT550" s="118"/>
      <c r="BU550" s="118"/>
      <c r="BV550" s="19"/>
      <c r="BW550" s="118"/>
      <c r="BX550" s="118"/>
      <c r="BY550" s="118"/>
      <c r="BZ550" s="118"/>
      <c r="CA550" s="118"/>
      <c r="CB550" s="118"/>
      <c r="CC550" s="118"/>
      <c r="CD550" s="118"/>
      <c r="CE550" s="118"/>
      <c r="CF550" s="118"/>
      <c r="CG550" s="118"/>
      <c r="CH550" s="118"/>
      <c r="CI550" s="118"/>
      <c r="CJ550" s="118"/>
      <c r="CK550" s="118"/>
      <c r="CL550" s="118"/>
      <c r="CM550" s="118"/>
      <c r="CN550" s="647"/>
      <c r="CO550" s="786" t="s">
        <v>46</v>
      </c>
      <c r="CP550" s="46"/>
      <c r="CQ550" s="46"/>
      <c r="CR550" s="46"/>
      <c r="CS550" s="46"/>
      <c r="CT550" s="46"/>
      <c r="CU550" s="634"/>
      <c r="CV550" s="42">
        <f t="shared" si="385"/>
        <v>0</v>
      </c>
      <c r="CW550" s="777">
        <f>SUM(CV550:CV552)</f>
        <v>0</v>
      </c>
      <c r="CX550" s="780"/>
      <c r="CY550" s="634"/>
      <c r="CZ550" s="634"/>
      <c r="DA550" s="634"/>
      <c r="DB550" s="777">
        <v>1.8</v>
      </c>
      <c r="DC550" s="778">
        <f>IF(CX550=0,0,CW550/(CX550*60))</f>
        <v>0</v>
      </c>
      <c r="DD550" s="647"/>
      <c r="DE550" s="786" t="s">
        <v>46</v>
      </c>
      <c r="DF550" s="46"/>
      <c r="DG550" s="46">
        <v>605</v>
      </c>
      <c r="DH550" s="46">
        <v>3508</v>
      </c>
      <c r="DI550" s="46">
        <v>3675</v>
      </c>
      <c r="DJ550" s="46">
        <v>1</v>
      </c>
      <c r="DK550" s="634"/>
      <c r="DL550" s="42">
        <f t="shared" si="386"/>
        <v>167</v>
      </c>
      <c r="DM550" s="777">
        <f>SUM(DL550:DL552)</f>
        <v>167</v>
      </c>
      <c r="DN550" s="780">
        <v>3.5</v>
      </c>
      <c r="DO550" s="634"/>
      <c r="DP550" s="634"/>
      <c r="DQ550" s="634"/>
      <c r="DR550" s="777">
        <v>1.8</v>
      </c>
      <c r="DS550" s="778">
        <f>IF(DN550=0,0,DM550/(DN550*60))</f>
        <v>0.79523809523809519</v>
      </c>
      <c r="DT550" s="118"/>
      <c r="DU550" s="19"/>
      <c r="DV550" s="19"/>
      <c r="DW550" s="19"/>
      <c r="DX550" s="19"/>
      <c r="DY550" s="19"/>
      <c r="DZ550" s="19"/>
    </row>
    <row r="551" spans="1:130" ht="12.75" x14ac:dyDescent="0.2">
      <c r="A551" s="647"/>
      <c r="B551" s="670"/>
      <c r="C551" s="30"/>
      <c r="D551" s="30"/>
      <c r="E551" s="30"/>
      <c r="F551" s="30"/>
      <c r="G551" s="30"/>
      <c r="H551" s="634"/>
      <c r="I551" s="159"/>
      <c r="J551" s="634"/>
      <c r="K551" s="30"/>
      <c r="L551" s="142"/>
      <c r="M551" s="634"/>
      <c r="N551" s="634"/>
      <c r="O551" s="634"/>
      <c r="P551" s="634"/>
      <c r="Q551" s="634"/>
      <c r="R551" s="634"/>
      <c r="S551" s="659"/>
      <c r="T551" s="647"/>
      <c r="U551" s="30"/>
      <c r="V551" s="30"/>
      <c r="W551" s="30"/>
      <c r="X551" s="30"/>
      <c r="Y551" s="30"/>
      <c r="Z551" s="638"/>
      <c r="AA551" s="51"/>
      <c r="AB551" s="670"/>
      <c r="AC551" s="30"/>
      <c r="AD551" s="142"/>
      <c r="AE551" s="634"/>
      <c r="AF551" s="634"/>
      <c r="AG551" s="634"/>
      <c r="AH551" s="634"/>
      <c r="AI551" s="638"/>
      <c r="AJ551" s="634"/>
      <c r="AK551" s="642"/>
      <c r="AL551" s="647"/>
      <c r="AM551" s="30"/>
      <c r="AN551" s="30"/>
      <c r="AO551" s="30"/>
      <c r="AP551" s="30"/>
      <c r="AQ551" s="30"/>
      <c r="AR551" s="638"/>
      <c r="AS551" s="159"/>
      <c r="AT551" s="561"/>
      <c r="AU551" s="30"/>
      <c r="AV551" s="142"/>
      <c r="AW551" s="142"/>
      <c r="AX551" s="634"/>
      <c r="AY551" s="634"/>
      <c r="AZ551" s="634"/>
      <c r="BA551" s="465"/>
      <c r="BB551" s="634"/>
      <c r="BC551" s="148"/>
      <c r="BD551" s="118"/>
      <c r="BE551" s="118"/>
      <c r="BF551" s="118"/>
      <c r="BG551" s="118"/>
      <c r="BH551" s="118"/>
      <c r="BI551" s="118"/>
      <c r="BJ551" s="118"/>
      <c r="BK551" s="118"/>
      <c r="BL551" s="118"/>
      <c r="BM551" s="118"/>
      <c r="BN551" s="118"/>
      <c r="BO551" s="118"/>
      <c r="BP551" s="118"/>
      <c r="BQ551" s="118"/>
      <c r="BR551" s="118"/>
      <c r="BS551" s="118"/>
      <c r="BT551" s="118"/>
      <c r="BU551" s="118"/>
      <c r="BV551" s="19"/>
      <c r="BW551" s="118"/>
      <c r="BX551" s="118"/>
      <c r="BY551" s="118"/>
      <c r="BZ551" s="118"/>
      <c r="CA551" s="118"/>
      <c r="CB551" s="118"/>
      <c r="CC551" s="118"/>
      <c r="CD551" s="118"/>
      <c r="CE551" s="118"/>
      <c r="CF551" s="118"/>
      <c r="CG551" s="118"/>
      <c r="CH551" s="118"/>
      <c r="CI551" s="118"/>
      <c r="CJ551" s="118"/>
      <c r="CK551" s="118"/>
      <c r="CL551" s="118"/>
      <c r="CM551" s="118"/>
      <c r="CN551" s="647"/>
      <c r="CO551" s="634"/>
      <c r="CP551" s="48"/>
      <c r="CQ551" s="48"/>
      <c r="CR551" s="48"/>
      <c r="CS551" s="48"/>
      <c r="CT551" s="48"/>
      <c r="CU551" s="634"/>
      <c r="CV551" s="42">
        <f t="shared" si="385"/>
        <v>0</v>
      </c>
      <c r="CW551" s="634"/>
      <c r="CX551" s="634"/>
      <c r="CY551" s="634"/>
      <c r="CZ551" s="634"/>
      <c r="DA551" s="634"/>
      <c r="DB551" s="634"/>
      <c r="DC551" s="659"/>
      <c r="DD551" s="647"/>
      <c r="DE551" s="634"/>
      <c r="DF551" s="48"/>
      <c r="DG551" s="48"/>
      <c r="DH551" s="48"/>
      <c r="DI551" s="48"/>
      <c r="DJ551" s="48"/>
      <c r="DK551" s="634"/>
      <c r="DL551" s="42">
        <f t="shared" si="386"/>
        <v>0</v>
      </c>
      <c r="DM551" s="634"/>
      <c r="DN551" s="634"/>
      <c r="DO551" s="634"/>
      <c r="DP551" s="634"/>
      <c r="DQ551" s="634"/>
      <c r="DR551" s="634"/>
      <c r="DS551" s="659"/>
      <c r="DT551" s="118"/>
      <c r="DU551" s="19"/>
      <c r="DV551" s="19"/>
      <c r="DW551" s="19"/>
      <c r="DX551" s="19"/>
      <c r="DY551" s="19"/>
      <c r="DZ551" s="19"/>
    </row>
    <row r="552" spans="1:130" ht="12.75" x14ac:dyDescent="0.2">
      <c r="A552" s="647"/>
      <c r="B552" s="671"/>
      <c r="C552" s="30"/>
      <c r="D552" s="30"/>
      <c r="E552" s="30"/>
      <c r="F552" s="30"/>
      <c r="G552" s="30"/>
      <c r="H552" s="635"/>
      <c r="I552" s="159">
        <f t="shared" ref="I552:I554" si="387">IF(E552=0,0,F552-E552+1-G552)</f>
        <v>0</v>
      </c>
      <c r="J552" s="635"/>
      <c r="K552" s="30"/>
      <c r="L552" s="142"/>
      <c r="M552" s="635"/>
      <c r="N552" s="635"/>
      <c r="O552" s="635"/>
      <c r="P552" s="635"/>
      <c r="Q552" s="635"/>
      <c r="R552" s="635"/>
      <c r="S552" s="660"/>
      <c r="T552" s="648"/>
      <c r="U552" s="30"/>
      <c r="V552" s="30"/>
      <c r="W552" s="30"/>
      <c r="X552" s="30"/>
      <c r="Y552" s="30"/>
      <c r="Z552" s="639"/>
      <c r="AA552" s="51">
        <f t="shared" ref="AA552:AA554" si="388">IF(X552=0,0,X552-W552+1-Y552)</f>
        <v>0</v>
      </c>
      <c r="AB552" s="671"/>
      <c r="AC552" s="30"/>
      <c r="AD552" s="142"/>
      <c r="AE552" s="635"/>
      <c r="AF552" s="635"/>
      <c r="AG552" s="635"/>
      <c r="AH552" s="635"/>
      <c r="AI552" s="639"/>
      <c r="AJ552" s="635"/>
      <c r="AK552" s="643"/>
      <c r="AL552" s="648"/>
      <c r="AM552" s="30"/>
      <c r="AN552" s="30"/>
      <c r="AO552" s="30"/>
      <c r="AP552" s="30"/>
      <c r="AQ552" s="30"/>
      <c r="AR552" s="639"/>
      <c r="AS552" s="159">
        <f t="shared" ref="AS552:AS554" si="389">IF(AO552=0,0,AP552-AO552+1-AQ552)</f>
        <v>0</v>
      </c>
      <c r="AT552" s="146">
        <f>AS552</f>
        <v>0</v>
      </c>
      <c r="AU552" s="30"/>
      <c r="AV552" s="142"/>
      <c r="AW552" s="142"/>
      <c r="AX552" s="635"/>
      <c r="AY552" s="635"/>
      <c r="AZ552" s="635"/>
      <c r="BA552" s="147">
        <f t="shared" ref="BA552:BA553" si="390">AV552*60</f>
        <v>0</v>
      </c>
      <c r="BB552" s="635"/>
      <c r="BC552" s="148">
        <f t="shared" ref="BC552:BC553" si="391">IF(BA552=0,0,AT552/BA552)</f>
        <v>0</v>
      </c>
      <c r="BD552" s="118"/>
      <c r="BE552" s="118"/>
      <c r="BF552" s="118"/>
      <c r="BG552" s="118"/>
      <c r="BH552" s="118"/>
      <c r="BI552" s="118"/>
      <c r="BJ552" s="118"/>
      <c r="BK552" s="118"/>
      <c r="BL552" s="118"/>
      <c r="BM552" s="118"/>
      <c r="BN552" s="118"/>
      <c r="BO552" s="118"/>
      <c r="BP552" s="118"/>
      <c r="BQ552" s="118"/>
      <c r="BR552" s="118"/>
      <c r="BS552" s="118"/>
      <c r="BT552" s="118"/>
      <c r="BU552" s="118"/>
      <c r="BV552" s="19"/>
      <c r="BW552" s="118"/>
      <c r="BX552" s="118"/>
      <c r="BY552" s="118"/>
      <c r="BZ552" s="118"/>
      <c r="CA552" s="118"/>
      <c r="CB552" s="118"/>
      <c r="CC552" s="118"/>
      <c r="CD552" s="118"/>
      <c r="CE552" s="118"/>
      <c r="CF552" s="118"/>
      <c r="CG552" s="118"/>
      <c r="CH552" s="118"/>
      <c r="CI552" s="118"/>
      <c r="CJ552" s="118"/>
      <c r="CK552" s="118"/>
      <c r="CL552" s="118"/>
      <c r="CM552" s="118"/>
      <c r="CN552" s="648"/>
      <c r="CO552" s="635"/>
      <c r="CP552" s="48"/>
      <c r="CQ552" s="48"/>
      <c r="CR552" s="48"/>
      <c r="CS552" s="48"/>
      <c r="CT552" s="48"/>
      <c r="CU552" s="635"/>
      <c r="CV552" s="42">
        <f t="shared" si="385"/>
        <v>0</v>
      </c>
      <c r="CW552" s="635"/>
      <c r="CX552" s="635"/>
      <c r="CY552" s="635"/>
      <c r="CZ552" s="635"/>
      <c r="DA552" s="635"/>
      <c r="DB552" s="635"/>
      <c r="DC552" s="660"/>
      <c r="DD552" s="648"/>
      <c r="DE552" s="635"/>
      <c r="DF552" s="48"/>
      <c r="DG552" s="48"/>
      <c r="DH552" s="48"/>
      <c r="DI552" s="48"/>
      <c r="DJ552" s="48"/>
      <c r="DK552" s="635"/>
      <c r="DL552" s="42">
        <f t="shared" si="386"/>
        <v>0</v>
      </c>
      <c r="DM552" s="635"/>
      <c r="DN552" s="635"/>
      <c r="DO552" s="635"/>
      <c r="DP552" s="635"/>
      <c r="DQ552" s="635"/>
      <c r="DR552" s="635"/>
      <c r="DS552" s="660"/>
      <c r="DT552" s="118"/>
      <c r="DU552" s="19"/>
      <c r="DV552" s="19"/>
      <c r="DW552" s="19"/>
      <c r="DX552" s="19"/>
      <c r="DY552" s="19"/>
      <c r="DZ552" s="19"/>
    </row>
    <row r="553" spans="1:130" ht="12.75" x14ac:dyDescent="0.2">
      <c r="A553" s="647"/>
      <c r="B553" s="751">
        <v>46196</v>
      </c>
      <c r="C553" s="40"/>
      <c r="D553" s="40"/>
      <c r="E553" s="40"/>
      <c r="F553" s="40"/>
      <c r="G553" s="40"/>
      <c r="H553" s="653"/>
      <c r="I553" s="159">
        <f t="shared" si="387"/>
        <v>0</v>
      </c>
      <c r="J553" s="650">
        <f>SUM(I553:I558,H553)</f>
        <v>0</v>
      </c>
      <c r="K553" s="40"/>
      <c r="L553" s="40"/>
      <c r="M553" s="653"/>
      <c r="N553" s="653"/>
      <c r="O553" s="633">
        <f>SUM(M553:N558)</f>
        <v>0</v>
      </c>
      <c r="P553" s="653"/>
      <c r="Q553" s="636">
        <f>M553*60</f>
        <v>0</v>
      </c>
      <c r="R553" s="657">
        <f>IF(
   COUNTIF(K553:K558,"SI")&gt;0,
   1.8,
   IF(
      COUNTIF(L553:L558,"SI")&gt;0,
      1.6,
      2
   )
)</f>
        <v>2</v>
      </c>
      <c r="S553" s="678">
        <f>IF(Q553=0,0,J553/Q553)</f>
        <v>0</v>
      </c>
      <c r="T553" s="646">
        <v>46196</v>
      </c>
      <c r="U553" s="40"/>
      <c r="V553" s="38">
        <v>606</v>
      </c>
      <c r="W553" s="38">
        <v>4005</v>
      </c>
      <c r="X553" s="38">
        <v>4500</v>
      </c>
      <c r="Y553" s="38">
        <v>0</v>
      </c>
      <c r="Z553" s="653">
        <v>13</v>
      </c>
      <c r="AA553" s="51">
        <f t="shared" si="388"/>
        <v>496</v>
      </c>
      <c r="AB553" s="650">
        <f>SUM(AA553:AA558)+Z553</f>
        <v>509</v>
      </c>
      <c r="AC553" s="38"/>
      <c r="AD553" s="38"/>
      <c r="AE553" s="636">
        <v>5</v>
      </c>
      <c r="AF553" s="636">
        <v>1.5</v>
      </c>
      <c r="AG553" s="633">
        <f>SUM(AE553:AF558)</f>
        <v>6.5</v>
      </c>
      <c r="AH553" s="636"/>
      <c r="AI553" s="637">
        <f>AE553*60</f>
        <v>300</v>
      </c>
      <c r="AJ553" s="640">
        <f>IF(
   COUNTIF(AC553:AC558,"SI")&gt;0,
   1.8,
   IF(
      COUNTIF(AD553:AD558,"SI")&gt;0,
      1.6,
      2
   )
)</f>
        <v>2</v>
      </c>
      <c r="AK553" s="641">
        <f>IF(AI553=0,0,AB553/AI553)</f>
        <v>1.6966666666666668</v>
      </c>
      <c r="AL553" s="646">
        <v>46196</v>
      </c>
      <c r="AM553" s="31"/>
      <c r="AN553" s="31"/>
      <c r="AO553" s="31"/>
      <c r="AP553" s="31"/>
      <c r="AQ553" s="31"/>
      <c r="AR553" s="653"/>
      <c r="AS553" s="159">
        <f t="shared" si="389"/>
        <v>0</v>
      </c>
      <c r="AT553" s="683">
        <f>SUM(AS553:AS558)+AR553</f>
        <v>0</v>
      </c>
      <c r="AU553" s="653"/>
      <c r="AV553" s="653"/>
      <c r="AW553" s="31"/>
      <c r="AX553" s="653"/>
      <c r="AY553" s="633">
        <f>SUM(AV553:AX558)</f>
        <v>0</v>
      </c>
      <c r="AZ553" s="636">
        <v>0.25</v>
      </c>
      <c r="BA553" s="636">
        <f t="shared" si="390"/>
        <v>0</v>
      </c>
      <c r="BB553" s="657">
        <f>IF(
   COUNTIF(AU553:AU558,"SI")&gt;0,
   1.8,
   IF(
      COUNTIF(AV553:AV558,"SI")&gt;0,
      1.6,
      2
   )
)</f>
        <v>2</v>
      </c>
      <c r="BC553" s="667">
        <f t="shared" si="391"/>
        <v>0</v>
      </c>
      <c r="BD553" s="118"/>
      <c r="BE553" s="118"/>
      <c r="BF553" s="118"/>
      <c r="BG553" s="118"/>
      <c r="BH553" s="118"/>
      <c r="BI553" s="118"/>
      <c r="BJ553" s="118"/>
      <c r="BK553" s="118"/>
      <c r="BL553" s="118"/>
      <c r="BM553" s="118"/>
      <c r="BN553" s="118"/>
      <c r="BO553" s="118"/>
      <c r="BP553" s="118"/>
      <c r="BQ553" s="118"/>
      <c r="BR553" s="118"/>
      <c r="BS553" s="118"/>
      <c r="BT553" s="118"/>
      <c r="BU553" s="118"/>
      <c r="BV553" s="19"/>
      <c r="BW553" s="118"/>
      <c r="BX553" s="118"/>
      <c r="BY553" s="118"/>
      <c r="BZ553" s="118"/>
      <c r="CA553" s="118"/>
      <c r="CB553" s="118"/>
      <c r="CC553" s="118"/>
      <c r="CD553" s="118"/>
      <c r="CE553" s="118"/>
      <c r="CF553" s="118"/>
      <c r="CG553" s="118"/>
      <c r="CH553" s="118"/>
      <c r="CI553" s="118"/>
      <c r="CJ553" s="118"/>
      <c r="CK553" s="118"/>
      <c r="CL553" s="118"/>
      <c r="CM553" s="118"/>
      <c r="CN553" s="785">
        <v>46196</v>
      </c>
      <c r="CO553" s="636" t="s">
        <v>45</v>
      </c>
      <c r="CP553" s="31"/>
      <c r="CQ553" s="31">
        <v>478</v>
      </c>
      <c r="CR553" s="31">
        <v>15365</v>
      </c>
      <c r="CS553" s="31">
        <v>15503</v>
      </c>
      <c r="CT553" s="31">
        <v>5</v>
      </c>
      <c r="CU553" s="653"/>
      <c r="CV553" s="32">
        <f t="shared" si="385"/>
        <v>134</v>
      </c>
      <c r="CW553" s="636">
        <f>SUM(CV553:CV555)</f>
        <v>134</v>
      </c>
      <c r="CX553" s="779">
        <v>3</v>
      </c>
      <c r="CY553" s="653">
        <v>0</v>
      </c>
      <c r="CZ553" s="656">
        <f>SUM(CX553:CY558)</f>
        <v>6</v>
      </c>
      <c r="DA553" s="636"/>
      <c r="DB553" s="636">
        <v>2</v>
      </c>
      <c r="DC553" s="778">
        <f>IF(CX553=0,0,CW553/(CX553*60))</f>
        <v>0.74444444444444446</v>
      </c>
      <c r="DD553" s="785">
        <v>46196</v>
      </c>
      <c r="DE553" s="636" t="s">
        <v>45</v>
      </c>
      <c r="DF553" s="31"/>
      <c r="DG553" s="31"/>
      <c r="DH553" s="31"/>
      <c r="DI553" s="31"/>
      <c r="DJ553" s="31"/>
      <c r="DK553" s="653"/>
      <c r="DL553" s="32">
        <f t="shared" si="386"/>
        <v>0</v>
      </c>
      <c r="DM553" s="636">
        <f>SUM(DL553:DL555)</f>
        <v>0</v>
      </c>
      <c r="DN553" s="779"/>
      <c r="DO553" s="653">
        <v>1</v>
      </c>
      <c r="DP553" s="656">
        <f>SUM(DN553:DO558)</f>
        <v>4</v>
      </c>
      <c r="DQ553" s="636"/>
      <c r="DR553" s="636">
        <v>2</v>
      </c>
      <c r="DS553" s="778">
        <f>IF(DN553=0,0,DM553/(DN553*60))</f>
        <v>0</v>
      </c>
      <c r="DT553" s="118"/>
      <c r="DU553" s="19"/>
      <c r="DV553" s="19"/>
      <c r="DW553" s="19"/>
      <c r="DX553" s="19"/>
      <c r="DY553" s="19"/>
      <c r="DZ553" s="19"/>
    </row>
    <row r="554" spans="1:130" ht="12.75" x14ac:dyDescent="0.2">
      <c r="A554" s="647"/>
      <c r="B554" s="670"/>
      <c r="C554" s="40"/>
      <c r="D554" s="40"/>
      <c r="E554" s="40"/>
      <c r="F554" s="40"/>
      <c r="G554" s="40"/>
      <c r="H554" s="634"/>
      <c r="I554" s="159">
        <f t="shared" si="387"/>
        <v>0</v>
      </c>
      <c r="J554" s="634"/>
      <c r="K554" s="40"/>
      <c r="L554" s="40"/>
      <c r="M554" s="634"/>
      <c r="N554" s="634"/>
      <c r="O554" s="634"/>
      <c r="P554" s="634"/>
      <c r="Q554" s="634"/>
      <c r="R554" s="634"/>
      <c r="S554" s="659"/>
      <c r="T554" s="647"/>
      <c r="U554" s="40"/>
      <c r="V554" s="31"/>
      <c r="W554" s="31"/>
      <c r="X554" s="31"/>
      <c r="Y554" s="31"/>
      <c r="Z554" s="634"/>
      <c r="AA554" s="51">
        <f t="shared" si="388"/>
        <v>0</v>
      </c>
      <c r="AB554" s="634"/>
      <c r="AC554" s="38"/>
      <c r="AD554" s="38"/>
      <c r="AE554" s="634"/>
      <c r="AF554" s="634"/>
      <c r="AG554" s="634"/>
      <c r="AH554" s="634"/>
      <c r="AI554" s="638"/>
      <c r="AJ554" s="634"/>
      <c r="AK554" s="642"/>
      <c r="AL554" s="647"/>
      <c r="AM554" s="31"/>
      <c r="AN554" s="31"/>
      <c r="AO554" s="31"/>
      <c r="AP554" s="31"/>
      <c r="AQ554" s="31"/>
      <c r="AR554" s="634"/>
      <c r="AS554" s="159">
        <f t="shared" si="389"/>
        <v>0</v>
      </c>
      <c r="AT554" s="670"/>
      <c r="AU554" s="634"/>
      <c r="AV554" s="634"/>
      <c r="AW554" s="31"/>
      <c r="AX554" s="634"/>
      <c r="AY554" s="634"/>
      <c r="AZ554" s="634"/>
      <c r="BA554" s="634"/>
      <c r="BB554" s="634"/>
      <c r="BC554" s="634"/>
      <c r="BD554" s="118"/>
      <c r="BE554" s="118"/>
      <c r="BF554" s="118"/>
      <c r="BG554" s="118"/>
      <c r="BH554" s="118"/>
      <c r="BI554" s="118"/>
      <c r="BJ554" s="118"/>
      <c r="BK554" s="118"/>
      <c r="BL554" s="118"/>
      <c r="BM554" s="118"/>
      <c r="BN554" s="118"/>
      <c r="BO554" s="118"/>
      <c r="BP554" s="118"/>
      <c r="BQ554" s="118"/>
      <c r="BR554" s="118"/>
      <c r="BS554" s="118"/>
      <c r="BT554" s="118"/>
      <c r="BU554" s="118"/>
      <c r="BV554" s="19"/>
      <c r="BW554" s="118"/>
      <c r="BX554" s="118"/>
      <c r="BY554" s="118"/>
      <c r="BZ554" s="118"/>
      <c r="CA554" s="118"/>
      <c r="CB554" s="118"/>
      <c r="CC554" s="118"/>
      <c r="CD554" s="118"/>
      <c r="CE554" s="118"/>
      <c r="CF554" s="118"/>
      <c r="CG554" s="118"/>
      <c r="CH554" s="118"/>
      <c r="CI554" s="118"/>
      <c r="CJ554" s="118"/>
      <c r="CK554" s="118"/>
      <c r="CL554" s="118"/>
      <c r="CM554" s="118"/>
      <c r="CN554" s="647"/>
      <c r="CO554" s="634"/>
      <c r="CP554" s="31"/>
      <c r="CQ554" s="31"/>
      <c r="CR554" s="31"/>
      <c r="CS554" s="31"/>
      <c r="CT554" s="31"/>
      <c r="CU554" s="634"/>
      <c r="CV554" s="32">
        <f t="shared" si="385"/>
        <v>0</v>
      </c>
      <c r="CW554" s="634"/>
      <c r="CX554" s="634"/>
      <c r="CY554" s="634"/>
      <c r="CZ554" s="634"/>
      <c r="DA554" s="634"/>
      <c r="DB554" s="634"/>
      <c r="DC554" s="659"/>
      <c r="DD554" s="647"/>
      <c r="DE554" s="634"/>
      <c r="DF554" s="31"/>
      <c r="DG554" s="31"/>
      <c r="DH554" s="31"/>
      <c r="DI554" s="31"/>
      <c r="DJ554" s="31"/>
      <c r="DK554" s="634"/>
      <c r="DL554" s="32">
        <f t="shared" si="386"/>
        <v>0</v>
      </c>
      <c r="DM554" s="634"/>
      <c r="DN554" s="634"/>
      <c r="DO554" s="634"/>
      <c r="DP554" s="634"/>
      <c r="DQ554" s="634"/>
      <c r="DR554" s="634"/>
      <c r="DS554" s="659"/>
      <c r="DT554" s="118"/>
      <c r="DU554" s="19"/>
      <c r="DV554" s="19"/>
      <c r="DW554" s="19"/>
      <c r="DX554" s="19"/>
      <c r="DY554" s="19"/>
      <c r="DZ554" s="19"/>
    </row>
    <row r="555" spans="1:130" ht="12.75" x14ac:dyDescent="0.2">
      <c r="A555" s="647"/>
      <c r="B555" s="670"/>
      <c r="C555" s="40"/>
      <c r="D555" s="40"/>
      <c r="E555" s="40"/>
      <c r="F555" s="40"/>
      <c r="G555" s="40"/>
      <c r="H555" s="634"/>
      <c r="I555" s="159"/>
      <c r="J555" s="634"/>
      <c r="K555" s="40"/>
      <c r="L555" s="40"/>
      <c r="M555" s="634"/>
      <c r="N555" s="634"/>
      <c r="O555" s="634"/>
      <c r="P555" s="634"/>
      <c r="Q555" s="634"/>
      <c r="R555" s="634"/>
      <c r="S555" s="659"/>
      <c r="T555" s="647"/>
      <c r="U555" s="40"/>
      <c r="V555" s="31"/>
      <c r="W555" s="31"/>
      <c r="X555" s="31"/>
      <c r="Y555" s="31"/>
      <c r="Z555" s="634"/>
      <c r="AA555" s="51"/>
      <c r="AB555" s="634"/>
      <c r="AC555" s="38"/>
      <c r="AD555" s="38"/>
      <c r="AE555" s="634"/>
      <c r="AF555" s="634"/>
      <c r="AG555" s="634"/>
      <c r="AH555" s="634"/>
      <c r="AI555" s="638"/>
      <c r="AJ555" s="634"/>
      <c r="AK555" s="642"/>
      <c r="AL555" s="647"/>
      <c r="AM555" s="31"/>
      <c r="AN555" s="31"/>
      <c r="AO555" s="31"/>
      <c r="AP555" s="31"/>
      <c r="AQ555" s="159"/>
      <c r="AR555" s="634"/>
      <c r="AS555" s="159"/>
      <c r="AT555" s="670"/>
      <c r="AU555" s="634"/>
      <c r="AV555" s="634"/>
      <c r="AW555" s="40"/>
      <c r="AX555" s="634"/>
      <c r="AY555" s="634"/>
      <c r="AZ555" s="634"/>
      <c r="BA555" s="634"/>
      <c r="BB555" s="634"/>
      <c r="BC555" s="634"/>
      <c r="BD555" s="118"/>
      <c r="BE555" s="118"/>
      <c r="BF555" s="118"/>
      <c r="BG555" s="118"/>
      <c r="BH555" s="118"/>
      <c r="BI555" s="118"/>
      <c r="BJ555" s="118"/>
      <c r="BK555" s="118"/>
      <c r="BL555" s="118"/>
      <c r="BM555" s="118"/>
      <c r="BN555" s="118"/>
      <c r="BO555" s="118"/>
      <c r="BP555" s="118"/>
      <c r="BQ555" s="118"/>
      <c r="BR555" s="118"/>
      <c r="BS555" s="118"/>
      <c r="BT555" s="118"/>
      <c r="BU555" s="118"/>
      <c r="BV555" s="19"/>
      <c r="BW555" s="118"/>
      <c r="BX555" s="118"/>
      <c r="BY555" s="118"/>
      <c r="BZ555" s="118"/>
      <c r="CA555" s="118"/>
      <c r="CB555" s="118"/>
      <c r="CC555" s="118"/>
      <c r="CD555" s="118"/>
      <c r="CE555" s="118"/>
      <c r="CF555" s="118"/>
      <c r="CG555" s="118"/>
      <c r="CH555" s="118"/>
      <c r="CI555" s="118"/>
      <c r="CJ555" s="118"/>
      <c r="CK555" s="118"/>
      <c r="CL555" s="118"/>
      <c r="CM555" s="118"/>
      <c r="CN555" s="647"/>
      <c r="CO555" s="772"/>
      <c r="CP555" s="33"/>
      <c r="CQ555" s="33"/>
      <c r="CR555" s="33"/>
      <c r="CS555" s="33"/>
      <c r="CT555" s="34"/>
      <c r="CU555" s="634"/>
      <c r="CV555" s="32">
        <f t="shared" si="385"/>
        <v>0</v>
      </c>
      <c r="CW555" s="635"/>
      <c r="CX555" s="635"/>
      <c r="CY555" s="634"/>
      <c r="CZ555" s="634"/>
      <c r="DA555" s="634"/>
      <c r="DB555" s="635"/>
      <c r="DC555" s="660"/>
      <c r="DD555" s="647"/>
      <c r="DE555" s="772"/>
      <c r="DF555" s="33"/>
      <c r="DG555" s="33"/>
      <c r="DH555" s="33"/>
      <c r="DI555" s="33"/>
      <c r="DJ555" s="34"/>
      <c r="DK555" s="634"/>
      <c r="DL555" s="32">
        <f t="shared" si="386"/>
        <v>0</v>
      </c>
      <c r="DM555" s="635"/>
      <c r="DN555" s="635"/>
      <c r="DO555" s="634"/>
      <c r="DP555" s="634"/>
      <c r="DQ555" s="634"/>
      <c r="DR555" s="635"/>
      <c r="DS555" s="660"/>
      <c r="DT555" s="118"/>
      <c r="DU555" s="19"/>
      <c r="DV555" s="19"/>
      <c r="DW555" s="19"/>
      <c r="DX555" s="19"/>
      <c r="DY555" s="19"/>
      <c r="DZ555" s="19"/>
    </row>
    <row r="556" spans="1:130" ht="12.75" x14ac:dyDescent="0.2">
      <c r="A556" s="647"/>
      <c r="B556" s="670"/>
      <c r="C556" s="40"/>
      <c r="D556" s="40"/>
      <c r="E556" s="40"/>
      <c r="F556" s="40"/>
      <c r="G556" s="40"/>
      <c r="H556" s="634"/>
      <c r="I556" s="159"/>
      <c r="J556" s="634"/>
      <c r="K556" s="40"/>
      <c r="L556" s="40"/>
      <c r="M556" s="634"/>
      <c r="N556" s="634"/>
      <c r="O556" s="634"/>
      <c r="P556" s="634"/>
      <c r="Q556" s="634"/>
      <c r="R556" s="634"/>
      <c r="S556" s="659"/>
      <c r="T556" s="647"/>
      <c r="U556" s="40"/>
      <c r="V556" s="31"/>
      <c r="W556" s="31"/>
      <c r="X556" s="31"/>
      <c r="Y556" s="31"/>
      <c r="Z556" s="634"/>
      <c r="AA556" s="51"/>
      <c r="AB556" s="634"/>
      <c r="AC556" s="38"/>
      <c r="AD556" s="38"/>
      <c r="AE556" s="634"/>
      <c r="AF556" s="634"/>
      <c r="AG556" s="634"/>
      <c r="AH556" s="634"/>
      <c r="AI556" s="638"/>
      <c r="AJ556" s="634"/>
      <c r="AK556" s="642"/>
      <c r="AL556" s="647"/>
      <c r="AM556" s="31"/>
      <c r="AN556" s="31"/>
      <c r="AO556" s="31"/>
      <c r="AP556" s="31"/>
      <c r="AQ556" s="159"/>
      <c r="AR556" s="634"/>
      <c r="AS556" s="159"/>
      <c r="AT556" s="670"/>
      <c r="AU556" s="634"/>
      <c r="AV556" s="634"/>
      <c r="AW556" s="40"/>
      <c r="AX556" s="634"/>
      <c r="AY556" s="634"/>
      <c r="AZ556" s="634"/>
      <c r="BA556" s="634"/>
      <c r="BB556" s="634"/>
      <c r="BC556" s="634"/>
      <c r="BD556" s="118"/>
      <c r="BE556" s="118"/>
      <c r="BF556" s="118"/>
      <c r="BG556" s="118"/>
      <c r="BH556" s="118"/>
      <c r="BI556" s="118"/>
      <c r="BJ556" s="118"/>
      <c r="BK556" s="118"/>
      <c r="BL556" s="118"/>
      <c r="BM556" s="118"/>
      <c r="BN556" s="118"/>
      <c r="BO556" s="118"/>
      <c r="BP556" s="118"/>
      <c r="BQ556" s="118"/>
      <c r="BR556" s="118"/>
      <c r="BS556" s="118"/>
      <c r="BT556" s="118"/>
      <c r="BU556" s="118"/>
      <c r="BV556" s="19"/>
      <c r="BW556" s="118"/>
      <c r="BX556" s="118"/>
      <c r="BY556" s="118"/>
      <c r="BZ556" s="118"/>
      <c r="CA556" s="118"/>
      <c r="CB556" s="118"/>
      <c r="CC556" s="118"/>
      <c r="CD556" s="118"/>
      <c r="CE556" s="118"/>
      <c r="CF556" s="118"/>
      <c r="CG556" s="118"/>
      <c r="CH556" s="118"/>
      <c r="CI556" s="118"/>
      <c r="CJ556" s="118"/>
      <c r="CK556" s="118"/>
      <c r="CL556" s="118"/>
      <c r="CM556" s="118"/>
      <c r="CN556" s="647"/>
      <c r="CO556" s="788" t="s">
        <v>46</v>
      </c>
      <c r="CP556" s="35"/>
      <c r="CQ556" s="35">
        <v>607</v>
      </c>
      <c r="CR556" s="35">
        <v>4509</v>
      </c>
      <c r="CS556" s="35">
        <v>4665</v>
      </c>
      <c r="CT556" s="36">
        <v>1</v>
      </c>
      <c r="CU556" s="634"/>
      <c r="CV556" s="32">
        <f t="shared" si="385"/>
        <v>156</v>
      </c>
      <c r="CW556" s="636">
        <f>SUM(CV556:CV558)</f>
        <v>156</v>
      </c>
      <c r="CX556" s="653">
        <v>3</v>
      </c>
      <c r="CY556" s="634"/>
      <c r="CZ556" s="634"/>
      <c r="DA556" s="634"/>
      <c r="DB556" s="636">
        <v>1.8</v>
      </c>
      <c r="DC556" s="778">
        <f>IF(CX556=0,0,CW556/(CX556*60))</f>
        <v>0.8666666666666667</v>
      </c>
      <c r="DD556" s="647"/>
      <c r="DE556" s="788" t="s">
        <v>46</v>
      </c>
      <c r="DF556" s="35"/>
      <c r="DG556" s="35">
        <v>605</v>
      </c>
      <c r="DH556" s="35">
        <v>3676</v>
      </c>
      <c r="DI556" s="35">
        <v>3874</v>
      </c>
      <c r="DJ556" s="36">
        <v>21</v>
      </c>
      <c r="DK556" s="634"/>
      <c r="DL556" s="32">
        <f t="shared" si="386"/>
        <v>178</v>
      </c>
      <c r="DM556" s="636">
        <f>SUM(DL556:DL558)</f>
        <v>178</v>
      </c>
      <c r="DN556" s="653">
        <v>3</v>
      </c>
      <c r="DO556" s="634"/>
      <c r="DP556" s="634"/>
      <c r="DQ556" s="634"/>
      <c r="DR556" s="636">
        <v>1.8</v>
      </c>
      <c r="DS556" s="778">
        <f>IF(DN556=0,0,DM556/(DN556*60))</f>
        <v>0.98888888888888893</v>
      </c>
      <c r="DT556" s="118"/>
      <c r="DU556" s="19"/>
      <c r="DV556" s="19"/>
      <c r="DW556" s="19"/>
      <c r="DX556" s="19"/>
      <c r="DY556" s="19"/>
      <c r="DZ556" s="19"/>
    </row>
    <row r="557" spans="1:130" ht="12.75" x14ac:dyDescent="0.2">
      <c r="A557" s="647"/>
      <c r="B557" s="670"/>
      <c r="C557" s="40"/>
      <c r="D557" s="40"/>
      <c r="E557" s="40"/>
      <c r="F557" s="40"/>
      <c r="G557" s="40"/>
      <c r="H557" s="634"/>
      <c r="I557" s="159">
        <f t="shared" ref="I557:I559" si="392">IF(E557=0,0,F557-E557+1-G557)</f>
        <v>0</v>
      </c>
      <c r="J557" s="634"/>
      <c r="K557" s="40"/>
      <c r="L557" s="40"/>
      <c r="M557" s="634"/>
      <c r="N557" s="634"/>
      <c r="O557" s="634"/>
      <c r="P557" s="634"/>
      <c r="Q557" s="634"/>
      <c r="R557" s="634"/>
      <c r="S557" s="659"/>
      <c r="T557" s="647"/>
      <c r="U557" s="40"/>
      <c r="V557" s="31"/>
      <c r="W557" s="31"/>
      <c r="X557" s="31"/>
      <c r="Y557" s="31"/>
      <c r="Z557" s="634"/>
      <c r="AA557" s="51">
        <f t="shared" ref="AA557:AA559" si="393">IF(X557=0,0,X557-W557+1-Y557)</f>
        <v>0</v>
      </c>
      <c r="AB557" s="634"/>
      <c r="AC557" s="38"/>
      <c r="AD557" s="38"/>
      <c r="AE557" s="634"/>
      <c r="AF557" s="634"/>
      <c r="AG557" s="634"/>
      <c r="AH557" s="634"/>
      <c r="AI557" s="638"/>
      <c r="AJ557" s="634"/>
      <c r="AK557" s="642"/>
      <c r="AL557" s="647"/>
      <c r="AM557" s="31"/>
      <c r="AN557" s="31"/>
      <c r="AO557" s="31"/>
      <c r="AP557" s="31"/>
      <c r="AQ557" s="159"/>
      <c r="AR557" s="634"/>
      <c r="AS557" s="159">
        <f t="shared" ref="AS557:AS559" si="394">IF(AO557=0,0,AP557-AO557+1-AQ557)</f>
        <v>0</v>
      </c>
      <c r="AT557" s="671"/>
      <c r="AU557" s="635"/>
      <c r="AV557" s="635"/>
      <c r="AW557" s="40"/>
      <c r="AX557" s="634"/>
      <c r="AY557" s="634"/>
      <c r="AZ557" s="634"/>
      <c r="BA557" s="634"/>
      <c r="BB557" s="634"/>
      <c r="BC557" s="635"/>
      <c r="BD557" s="118"/>
      <c r="BE557" s="118"/>
      <c r="BF557" s="118"/>
      <c r="BG557" s="118"/>
      <c r="BH557" s="118"/>
      <c r="BI557" s="118"/>
      <c r="BJ557" s="118"/>
      <c r="BK557" s="118"/>
      <c r="BL557" s="118"/>
      <c r="BM557" s="118"/>
      <c r="BN557" s="118"/>
      <c r="BO557" s="118"/>
      <c r="BP557" s="118"/>
      <c r="BQ557" s="118"/>
      <c r="BR557" s="118"/>
      <c r="BS557" s="118"/>
      <c r="BT557" s="118"/>
      <c r="BU557" s="118"/>
      <c r="BV557" s="19"/>
      <c r="BW557" s="118"/>
      <c r="BX557" s="118"/>
      <c r="BY557" s="118"/>
      <c r="BZ557" s="118"/>
      <c r="CA557" s="118"/>
      <c r="CB557" s="118"/>
      <c r="CC557" s="118"/>
      <c r="CD557" s="118"/>
      <c r="CE557" s="118"/>
      <c r="CF557" s="118"/>
      <c r="CG557" s="118"/>
      <c r="CH557" s="118"/>
      <c r="CI557" s="118"/>
      <c r="CJ557" s="118"/>
      <c r="CK557" s="118"/>
      <c r="CL557" s="118"/>
      <c r="CM557" s="118"/>
      <c r="CN557" s="647"/>
      <c r="CO557" s="634"/>
      <c r="CP557" s="31"/>
      <c r="CQ557" s="31"/>
      <c r="CR557" s="31"/>
      <c r="CS557" s="31"/>
      <c r="CT557" s="39"/>
      <c r="CU557" s="634"/>
      <c r="CV557" s="32">
        <f t="shared" si="385"/>
        <v>0</v>
      </c>
      <c r="CW557" s="634"/>
      <c r="CX557" s="634"/>
      <c r="CY557" s="634"/>
      <c r="CZ557" s="634"/>
      <c r="DA557" s="634"/>
      <c r="DB557" s="634"/>
      <c r="DC557" s="659"/>
      <c r="DD557" s="647"/>
      <c r="DE557" s="634"/>
      <c r="DF557" s="31"/>
      <c r="DG557" s="31"/>
      <c r="DH557" s="31"/>
      <c r="DI557" s="31"/>
      <c r="DJ557" s="39"/>
      <c r="DK557" s="634"/>
      <c r="DL557" s="32">
        <f t="shared" si="386"/>
        <v>0</v>
      </c>
      <c r="DM557" s="634"/>
      <c r="DN557" s="634"/>
      <c r="DO557" s="634"/>
      <c r="DP557" s="634"/>
      <c r="DQ557" s="634"/>
      <c r="DR557" s="634"/>
      <c r="DS557" s="659"/>
      <c r="DT557" s="118"/>
      <c r="DU557" s="19"/>
      <c r="DV557" s="19"/>
      <c r="DW557" s="19"/>
      <c r="DX557" s="19"/>
      <c r="DY557" s="19"/>
      <c r="DZ557" s="19"/>
    </row>
    <row r="558" spans="1:130" ht="12.75" x14ac:dyDescent="0.2">
      <c r="A558" s="647"/>
      <c r="B558" s="671"/>
      <c r="C558" s="40"/>
      <c r="D558" s="40"/>
      <c r="E558" s="40"/>
      <c r="F558" s="40"/>
      <c r="G558" s="40"/>
      <c r="H558" s="635"/>
      <c r="I558" s="159">
        <f t="shared" si="392"/>
        <v>0</v>
      </c>
      <c r="J558" s="635"/>
      <c r="K558" s="40"/>
      <c r="L558" s="40"/>
      <c r="M558" s="635"/>
      <c r="N558" s="635"/>
      <c r="O558" s="635"/>
      <c r="P558" s="635"/>
      <c r="Q558" s="635"/>
      <c r="R558" s="635"/>
      <c r="S558" s="660"/>
      <c r="T558" s="648"/>
      <c r="U558" s="40"/>
      <c r="V558" s="40"/>
      <c r="W558" s="40"/>
      <c r="X558" s="40"/>
      <c r="Y558" s="40"/>
      <c r="Z558" s="635"/>
      <c r="AA558" s="51">
        <f t="shared" si="393"/>
        <v>0</v>
      </c>
      <c r="AB558" s="634"/>
      <c r="AC558" s="40"/>
      <c r="AD558" s="40"/>
      <c r="AE558" s="634"/>
      <c r="AF558" s="635"/>
      <c r="AG558" s="635"/>
      <c r="AH558" s="635"/>
      <c r="AI558" s="638"/>
      <c r="AJ558" s="635"/>
      <c r="AK558" s="643"/>
      <c r="AL558" s="648"/>
      <c r="AM558" s="40"/>
      <c r="AN558" s="31"/>
      <c r="AO558" s="31"/>
      <c r="AP558" s="31"/>
      <c r="AQ558" s="40"/>
      <c r="AR558" s="635"/>
      <c r="AS558" s="159">
        <f t="shared" si="394"/>
        <v>0</v>
      </c>
      <c r="AT558" s="153"/>
      <c r="AU558" s="40"/>
      <c r="AV558" s="154"/>
      <c r="AW558" s="154"/>
      <c r="AX558" s="635"/>
      <c r="AY558" s="635"/>
      <c r="AZ558" s="635"/>
      <c r="BA558" s="154"/>
      <c r="BB558" s="635"/>
      <c r="BC558" s="527"/>
      <c r="BD558" s="118"/>
      <c r="BE558" s="118"/>
      <c r="BF558" s="118"/>
      <c r="BG558" s="118"/>
      <c r="BH558" s="118"/>
      <c r="BI558" s="118"/>
      <c r="BJ558" s="118"/>
      <c r="BK558" s="118"/>
      <c r="BL558" s="118"/>
      <c r="BM558" s="118"/>
      <c r="BN558" s="118"/>
      <c r="BO558" s="118"/>
      <c r="BP558" s="118"/>
      <c r="BQ558" s="118"/>
      <c r="BR558" s="118"/>
      <c r="BS558" s="118"/>
      <c r="BT558" s="118"/>
      <c r="BU558" s="118"/>
      <c r="BV558" s="19"/>
      <c r="BW558" s="118"/>
      <c r="BX558" s="118"/>
      <c r="BY558" s="118"/>
      <c r="BZ558" s="118"/>
      <c r="CA558" s="118"/>
      <c r="CB558" s="118"/>
      <c r="CC558" s="118"/>
      <c r="CD558" s="118"/>
      <c r="CE558" s="118"/>
      <c r="CF558" s="118"/>
      <c r="CG558" s="118"/>
      <c r="CH558" s="118"/>
      <c r="CI558" s="118"/>
      <c r="CJ558" s="118"/>
      <c r="CK558" s="118"/>
      <c r="CL558" s="118"/>
      <c r="CM558" s="118"/>
      <c r="CN558" s="648"/>
      <c r="CO558" s="635"/>
      <c r="CP558" s="40"/>
      <c r="CQ558" s="31"/>
      <c r="CR558" s="31"/>
      <c r="CS558" s="31"/>
      <c r="CT558" s="40"/>
      <c r="CU558" s="635"/>
      <c r="CV558" s="32">
        <f t="shared" si="385"/>
        <v>0</v>
      </c>
      <c r="CW558" s="635"/>
      <c r="CX558" s="635"/>
      <c r="CY558" s="635"/>
      <c r="CZ558" s="635"/>
      <c r="DA558" s="635"/>
      <c r="DB558" s="635"/>
      <c r="DC558" s="660"/>
      <c r="DD558" s="648"/>
      <c r="DE558" s="635"/>
      <c r="DF558" s="40"/>
      <c r="DG558" s="31"/>
      <c r="DH558" s="31"/>
      <c r="DI558" s="31"/>
      <c r="DJ558" s="40"/>
      <c r="DK558" s="635"/>
      <c r="DL558" s="32">
        <f t="shared" si="386"/>
        <v>0</v>
      </c>
      <c r="DM558" s="635"/>
      <c r="DN558" s="635"/>
      <c r="DO558" s="635"/>
      <c r="DP558" s="635"/>
      <c r="DQ558" s="635"/>
      <c r="DR558" s="635"/>
      <c r="DS558" s="660"/>
      <c r="DT558" s="118"/>
      <c r="DU558" s="19"/>
      <c r="DV558" s="19"/>
      <c r="DW558" s="19"/>
      <c r="DX558" s="19"/>
      <c r="DY558" s="19"/>
      <c r="DZ558" s="19"/>
    </row>
    <row r="559" spans="1:130" ht="12.75" x14ac:dyDescent="0.2">
      <c r="A559" s="647"/>
      <c r="B559" s="752">
        <v>46197</v>
      </c>
      <c r="C559" s="29"/>
      <c r="D559" s="29"/>
      <c r="E559" s="29"/>
      <c r="F559" s="29"/>
      <c r="G559" s="30"/>
      <c r="H559" s="649"/>
      <c r="I559" s="159">
        <f t="shared" si="392"/>
        <v>0</v>
      </c>
      <c r="J559" s="650">
        <f>SUM(I559:I564,H559)</f>
        <v>0</v>
      </c>
      <c r="K559" s="29"/>
      <c r="L559" s="29"/>
      <c r="M559" s="649"/>
      <c r="N559" s="649"/>
      <c r="O559" s="656">
        <f>SUM(M559:N564)</f>
        <v>0</v>
      </c>
      <c r="P559" s="649"/>
      <c r="Q559" s="644">
        <f>M559*60</f>
        <v>0</v>
      </c>
      <c r="R559" s="657">
        <f>IF(
   COUNTIF(K559:K564,"SI")&gt;0,
   1.8,
   IF(
      COUNTIF(L559:L564,"SI")&gt;0,
      1.6,
      2
   )
)</f>
        <v>2</v>
      </c>
      <c r="S559" s="658">
        <f>IF(Q559=0,0,J559/Q559)</f>
        <v>0</v>
      </c>
      <c r="T559" s="655">
        <v>46197</v>
      </c>
      <c r="U559" s="30"/>
      <c r="V559" s="28"/>
      <c r="W559" s="28"/>
      <c r="X559" s="28"/>
      <c r="Y559" s="29"/>
      <c r="Z559" s="640"/>
      <c r="AA559" s="51">
        <f t="shared" si="393"/>
        <v>0</v>
      </c>
      <c r="AB559" s="650">
        <f>SUM(AA559:AA564,Z559)</f>
        <v>0</v>
      </c>
      <c r="AC559" s="28"/>
      <c r="AD559" s="28"/>
      <c r="AE559" s="640"/>
      <c r="AF559" s="640">
        <v>6</v>
      </c>
      <c r="AG559" s="633">
        <f>SUM(AE559:AF564)</f>
        <v>6</v>
      </c>
      <c r="AH559" s="640">
        <v>0.5</v>
      </c>
      <c r="AI559" s="664">
        <f>AE559*60</f>
        <v>0</v>
      </c>
      <c r="AJ559" s="640">
        <f>IF(
   COUNTIF(AC559:AC564,"SI")&gt;0,
   1.8,
   IF(
      COUNTIF(AD559:AD564,"SI")&gt;0,
      1.6,
      2
   )
)</f>
        <v>2</v>
      </c>
      <c r="AK559" s="641">
        <f>IF(AI559=0,0,AB559/AI559)</f>
        <v>0</v>
      </c>
      <c r="AL559" s="655">
        <v>46197</v>
      </c>
      <c r="AM559" s="31"/>
      <c r="AN559" s="31"/>
      <c r="AO559" s="31"/>
      <c r="AP559" s="31"/>
      <c r="AQ559" s="31"/>
      <c r="AR559" s="653"/>
      <c r="AS559" s="159">
        <f t="shared" si="394"/>
        <v>0</v>
      </c>
      <c r="AT559" s="650">
        <f>SUM(AS559:AS563,AR559)</f>
        <v>0</v>
      </c>
      <c r="AU559" s="653"/>
      <c r="AV559" s="653"/>
      <c r="AW559" s="31"/>
      <c r="AX559" s="653"/>
      <c r="AY559" s="633">
        <f>SUM(AV559:AX564)</f>
        <v>0</v>
      </c>
      <c r="AZ559" s="636">
        <v>0.5</v>
      </c>
      <c r="BA559" s="640">
        <f>AV559*60</f>
        <v>0</v>
      </c>
      <c r="BB559" s="657">
        <f>IF(
   COUNTIF(AU559:AU564,"SI")&gt;0,
   1.8,
   IF(
      COUNTIF(AV559:AV564,"SI")&gt;0,
      1.6,
      2
   )
)</f>
        <v>2</v>
      </c>
      <c r="BC559" s="666">
        <f>IF(BA559=0,0,AT559/BA559)</f>
        <v>0</v>
      </c>
      <c r="BD559" s="118"/>
      <c r="BE559" s="118"/>
      <c r="BF559" s="118"/>
      <c r="BG559" s="118"/>
      <c r="BH559" s="118"/>
      <c r="BI559" s="118"/>
      <c r="BJ559" s="118"/>
      <c r="BK559" s="118"/>
      <c r="BL559" s="118"/>
      <c r="BM559" s="118"/>
      <c r="BN559" s="118"/>
      <c r="BO559" s="118"/>
      <c r="BP559" s="118"/>
      <c r="BQ559" s="118"/>
      <c r="BR559" s="118"/>
      <c r="BS559" s="118"/>
      <c r="BT559" s="118"/>
      <c r="BU559" s="118"/>
      <c r="BV559" s="19"/>
      <c r="BW559" s="118"/>
      <c r="BX559" s="118"/>
      <c r="BY559" s="118"/>
      <c r="BZ559" s="118"/>
      <c r="CA559" s="118"/>
      <c r="CB559" s="118"/>
      <c r="CC559" s="118"/>
      <c r="CD559" s="118"/>
      <c r="CE559" s="118"/>
      <c r="CF559" s="118"/>
      <c r="CG559" s="118"/>
      <c r="CH559" s="118"/>
      <c r="CI559" s="118"/>
      <c r="CJ559" s="118"/>
      <c r="CK559" s="118"/>
      <c r="CL559" s="118"/>
      <c r="CM559" s="118"/>
      <c r="CN559" s="787">
        <v>46197</v>
      </c>
      <c r="CO559" s="777" t="s">
        <v>45</v>
      </c>
      <c r="CP559" s="41"/>
      <c r="CQ559" s="41"/>
      <c r="CR559" s="41"/>
      <c r="CS559" s="41"/>
      <c r="CT559" s="41"/>
      <c r="CU559" s="780"/>
      <c r="CV559" s="42">
        <f t="shared" si="385"/>
        <v>0</v>
      </c>
      <c r="CW559" s="777">
        <f>SUM(CV559:CV561)</f>
        <v>0</v>
      </c>
      <c r="CX559" s="784"/>
      <c r="CY559" s="780">
        <v>1</v>
      </c>
      <c r="CZ559" s="656">
        <f>SUM(CX559:CY564)</f>
        <v>5.22</v>
      </c>
      <c r="DA559" s="777"/>
      <c r="DB559" s="777">
        <v>2</v>
      </c>
      <c r="DC559" s="778">
        <f>IF(CX559=0,0,CW559/(CX559*60))</f>
        <v>0</v>
      </c>
      <c r="DD559" s="787">
        <v>46197</v>
      </c>
      <c r="DE559" s="777" t="s">
        <v>45</v>
      </c>
      <c r="DF559" s="41"/>
      <c r="DG559" s="41"/>
      <c r="DH559" s="41"/>
      <c r="DI559" s="41"/>
      <c r="DJ559" s="41"/>
      <c r="DK559" s="780"/>
      <c r="DL559" s="42">
        <f t="shared" si="386"/>
        <v>0</v>
      </c>
      <c r="DM559" s="777">
        <f>SUM(DL559:DL561)</f>
        <v>0</v>
      </c>
      <c r="DN559" s="784"/>
      <c r="DO559" s="780">
        <v>0.5</v>
      </c>
      <c r="DP559" s="656">
        <f>SUM(DN559:DO564)</f>
        <v>4</v>
      </c>
      <c r="DQ559" s="777"/>
      <c r="DR559" s="777">
        <v>2</v>
      </c>
      <c r="DS559" s="778">
        <f>IF(DN559=0,0,DM559/(DN559*60))</f>
        <v>0</v>
      </c>
      <c r="DT559" s="118"/>
      <c r="DU559" s="19"/>
      <c r="DV559" s="19"/>
      <c r="DW559" s="19"/>
      <c r="DX559" s="19"/>
      <c r="DY559" s="19"/>
      <c r="DZ559" s="19"/>
    </row>
    <row r="560" spans="1:130" ht="12.75" x14ac:dyDescent="0.2">
      <c r="A560" s="647"/>
      <c r="B560" s="670"/>
      <c r="C560" s="30"/>
      <c r="D560" s="30"/>
      <c r="E560" s="30"/>
      <c r="F560" s="30"/>
      <c r="G560" s="30"/>
      <c r="H560" s="634"/>
      <c r="I560" s="159"/>
      <c r="J560" s="634"/>
      <c r="K560" s="30"/>
      <c r="L560" s="30"/>
      <c r="M560" s="634"/>
      <c r="N560" s="634"/>
      <c r="O560" s="634"/>
      <c r="P560" s="634"/>
      <c r="Q560" s="634"/>
      <c r="R560" s="634"/>
      <c r="S560" s="659"/>
      <c r="T560" s="647"/>
      <c r="U560" s="30"/>
      <c r="V560" s="28"/>
      <c r="W560" s="28"/>
      <c r="X560" s="28"/>
      <c r="Y560" s="29"/>
      <c r="Z560" s="634"/>
      <c r="AA560" s="51"/>
      <c r="AB560" s="634"/>
      <c r="AC560" s="51"/>
      <c r="AD560" s="51"/>
      <c r="AE560" s="634"/>
      <c r="AF560" s="634"/>
      <c r="AG560" s="634"/>
      <c r="AH560" s="634"/>
      <c r="AI560" s="638"/>
      <c r="AJ560" s="634"/>
      <c r="AK560" s="642"/>
      <c r="AL560" s="647"/>
      <c r="AM560" s="31"/>
      <c r="AN560" s="31"/>
      <c r="AO560" s="31"/>
      <c r="AP560" s="31"/>
      <c r="AQ560" s="28"/>
      <c r="AR560" s="634"/>
      <c r="AS560" s="159"/>
      <c r="AT560" s="634"/>
      <c r="AU560" s="634"/>
      <c r="AV560" s="634"/>
      <c r="AW560" s="31"/>
      <c r="AX560" s="634"/>
      <c r="AY560" s="634"/>
      <c r="AZ560" s="634"/>
      <c r="BA560" s="634"/>
      <c r="BB560" s="634"/>
      <c r="BC560" s="634"/>
      <c r="BD560" s="118"/>
      <c r="BE560" s="118"/>
      <c r="BF560" s="118"/>
      <c r="BG560" s="118"/>
      <c r="BH560" s="118"/>
      <c r="BI560" s="118"/>
      <c r="BJ560" s="118"/>
      <c r="BK560" s="118"/>
      <c r="BL560" s="118"/>
      <c r="BM560" s="118"/>
      <c r="BN560" s="118"/>
      <c r="BO560" s="118"/>
      <c r="BP560" s="118"/>
      <c r="BQ560" s="118"/>
      <c r="BR560" s="118"/>
      <c r="BS560" s="118"/>
      <c r="BT560" s="118"/>
      <c r="BU560" s="118"/>
      <c r="BV560" s="19"/>
      <c r="BW560" s="118"/>
      <c r="BX560" s="118"/>
      <c r="BY560" s="118"/>
      <c r="BZ560" s="118"/>
      <c r="CA560" s="118"/>
      <c r="CB560" s="118"/>
      <c r="CC560" s="118"/>
      <c r="CD560" s="118"/>
      <c r="CE560" s="118"/>
      <c r="CF560" s="118"/>
      <c r="CG560" s="118"/>
      <c r="CH560" s="118"/>
      <c r="CI560" s="118"/>
      <c r="CJ560" s="118"/>
      <c r="CK560" s="118"/>
      <c r="CL560" s="118"/>
      <c r="CM560" s="118"/>
      <c r="CN560" s="647"/>
      <c r="CO560" s="634"/>
      <c r="CP560" s="41"/>
      <c r="CQ560" s="41"/>
      <c r="CR560" s="41"/>
      <c r="CS560" s="41"/>
      <c r="CT560" s="43"/>
      <c r="CU560" s="634"/>
      <c r="CV560" s="42">
        <f t="shared" si="385"/>
        <v>0</v>
      </c>
      <c r="CW560" s="634"/>
      <c r="CX560" s="634"/>
      <c r="CY560" s="634"/>
      <c r="CZ560" s="634"/>
      <c r="DA560" s="634"/>
      <c r="DB560" s="634"/>
      <c r="DC560" s="659"/>
      <c r="DD560" s="647"/>
      <c r="DE560" s="634"/>
      <c r="DF560" s="41"/>
      <c r="DG560" s="41"/>
      <c r="DH560" s="41"/>
      <c r="DI560" s="41"/>
      <c r="DJ560" s="43"/>
      <c r="DK560" s="634"/>
      <c r="DL560" s="42">
        <f t="shared" si="386"/>
        <v>0</v>
      </c>
      <c r="DM560" s="634"/>
      <c r="DN560" s="634"/>
      <c r="DO560" s="634"/>
      <c r="DP560" s="634"/>
      <c r="DQ560" s="634"/>
      <c r="DR560" s="634"/>
      <c r="DS560" s="659"/>
      <c r="DT560" s="118"/>
      <c r="DU560" s="19"/>
      <c r="DV560" s="19"/>
      <c r="DW560" s="19"/>
      <c r="DX560" s="19"/>
      <c r="DY560" s="19"/>
      <c r="DZ560" s="19"/>
    </row>
    <row r="561" spans="1:130" ht="12.75" x14ac:dyDescent="0.2">
      <c r="A561" s="647"/>
      <c r="B561" s="670"/>
      <c r="C561" s="30"/>
      <c r="D561" s="30"/>
      <c r="E561" s="30"/>
      <c r="F561" s="30"/>
      <c r="G561" s="30"/>
      <c r="H561" s="634"/>
      <c r="I561" s="159"/>
      <c r="J561" s="634"/>
      <c r="K561" s="30"/>
      <c r="L561" s="30"/>
      <c r="M561" s="634"/>
      <c r="N561" s="634"/>
      <c r="O561" s="634"/>
      <c r="P561" s="634"/>
      <c r="Q561" s="634"/>
      <c r="R561" s="634"/>
      <c r="S561" s="659"/>
      <c r="T561" s="647"/>
      <c r="U561" s="30"/>
      <c r="V561" s="28"/>
      <c r="W561" s="28"/>
      <c r="X561" s="28"/>
      <c r="Y561" s="29"/>
      <c r="Z561" s="634"/>
      <c r="AA561" s="51"/>
      <c r="AB561" s="634"/>
      <c r="AC561" s="51"/>
      <c r="AD561" s="51"/>
      <c r="AE561" s="634"/>
      <c r="AF561" s="634"/>
      <c r="AG561" s="634"/>
      <c r="AH561" s="634"/>
      <c r="AI561" s="638"/>
      <c r="AJ561" s="634"/>
      <c r="AK561" s="642"/>
      <c r="AL561" s="647"/>
      <c r="AM561" s="31"/>
      <c r="AN561" s="31"/>
      <c r="AO561" s="31"/>
      <c r="AP561" s="31"/>
      <c r="AQ561" s="28"/>
      <c r="AR561" s="634"/>
      <c r="AS561" s="159"/>
      <c r="AT561" s="634"/>
      <c r="AU561" s="634"/>
      <c r="AV561" s="634"/>
      <c r="AW561" s="31"/>
      <c r="AX561" s="634"/>
      <c r="AY561" s="634"/>
      <c r="AZ561" s="634"/>
      <c r="BA561" s="634"/>
      <c r="BB561" s="634"/>
      <c r="BC561" s="634"/>
      <c r="BD561" s="118"/>
      <c r="BE561" s="118"/>
      <c r="BF561" s="118"/>
      <c r="BG561" s="118"/>
      <c r="BH561" s="118"/>
      <c r="BI561" s="118"/>
      <c r="BJ561" s="118"/>
      <c r="BK561" s="118"/>
      <c r="BL561" s="118"/>
      <c r="BM561" s="118"/>
      <c r="BN561" s="118"/>
      <c r="BO561" s="118"/>
      <c r="BP561" s="118"/>
      <c r="BQ561" s="118"/>
      <c r="BR561" s="118"/>
      <c r="BS561" s="118"/>
      <c r="BT561" s="118"/>
      <c r="BU561" s="118"/>
      <c r="BV561" s="19"/>
      <c r="BW561" s="118"/>
      <c r="BX561" s="118"/>
      <c r="BY561" s="118"/>
      <c r="BZ561" s="118"/>
      <c r="CA561" s="118"/>
      <c r="CB561" s="118"/>
      <c r="CC561" s="118"/>
      <c r="CD561" s="118"/>
      <c r="CE561" s="118"/>
      <c r="CF561" s="118"/>
      <c r="CG561" s="118"/>
      <c r="CH561" s="118"/>
      <c r="CI561" s="118"/>
      <c r="CJ561" s="118"/>
      <c r="CK561" s="118"/>
      <c r="CL561" s="118"/>
      <c r="CM561" s="118"/>
      <c r="CN561" s="647"/>
      <c r="CO561" s="772"/>
      <c r="CP561" s="44"/>
      <c r="CQ561" s="44"/>
      <c r="CR561" s="44"/>
      <c r="CS561" s="44"/>
      <c r="CT561" s="45"/>
      <c r="CU561" s="634"/>
      <c r="CV561" s="42">
        <f t="shared" si="385"/>
        <v>0</v>
      </c>
      <c r="CW561" s="635"/>
      <c r="CX561" s="635"/>
      <c r="CY561" s="634"/>
      <c r="CZ561" s="634"/>
      <c r="DA561" s="634"/>
      <c r="DB561" s="635"/>
      <c r="DC561" s="660"/>
      <c r="DD561" s="647"/>
      <c r="DE561" s="772"/>
      <c r="DF561" s="44"/>
      <c r="DG561" s="44"/>
      <c r="DH561" s="44"/>
      <c r="DI561" s="44"/>
      <c r="DJ561" s="45"/>
      <c r="DK561" s="634"/>
      <c r="DL561" s="42">
        <f t="shared" si="386"/>
        <v>0</v>
      </c>
      <c r="DM561" s="635"/>
      <c r="DN561" s="635"/>
      <c r="DO561" s="634"/>
      <c r="DP561" s="634"/>
      <c r="DQ561" s="634"/>
      <c r="DR561" s="635"/>
      <c r="DS561" s="660"/>
      <c r="DT561" s="118"/>
      <c r="DU561" s="19"/>
      <c r="DV561" s="19"/>
      <c r="DW561" s="19"/>
      <c r="DX561" s="19"/>
      <c r="DY561" s="19"/>
      <c r="DZ561" s="19"/>
    </row>
    <row r="562" spans="1:130" ht="12.75" x14ac:dyDescent="0.2">
      <c r="A562" s="647"/>
      <c r="B562" s="670"/>
      <c r="C562" s="30"/>
      <c r="D562" s="30"/>
      <c r="E562" s="30"/>
      <c r="F562" s="30"/>
      <c r="G562" s="30"/>
      <c r="H562" s="634"/>
      <c r="I562" s="159"/>
      <c r="J562" s="634"/>
      <c r="K562" s="30"/>
      <c r="L562" s="30"/>
      <c r="M562" s="634"/>
      <c r="N562" s="634"/>
      <c r="O562" s="634"/>
      <c r="P562" s="634"/>
      <c r="Q562" s="634"/>
      <c r="R562" s="634"/>
      <c r="S562" s="659"/>
      <c r="T562" s="647"/>
      <c r="U562" s="30"/>
      <c r="V562" s="28"/>
      <c r="W562" s="28"/>
      <c r="X562" s="28"/>
      <c r="Y562" s="29"/>
      <c r="Z562" s="634"/>
      <c r="AA562" s="51"/>
      <c r="AB562" s="634"/>
      <c r="AC562" s="51"/>
      <c r="AD562" s="51"/>
      <c r="AE562" s="634"/>
      <c r="AF562" s="634"/>
      <c r="AG562" s="634"/>
      <c r="AH562" s="634"/>
      <c r="AI562" s="638"/>
      <c r="AJ562" s="634"/>
      <c r="AK562" s="642"/>
      <c r="AL562" s="647"/>
      <c r="AM562" s="31"/>
      <c r="AN562" s="31"/>
      <c r="AO562" s="31"/>
      <c r="AP562" s="31"/>
      <c r="AQ562" s="28"/>
      <c r="AR562" s="634"/>
      <c r="AS562" s="159"/>
      <c r="AT562" s="634"/>
      <c r="AU562" s="634"/>
      <c r="AV562" s="634"/>
      <c r="AW562" s="31"/>
      <c r="AX562" s="634"/>
      <c r="AY562" s="634"/>
      <c r="AZ562" s="634"/>
      <c r="BA562" s="634"/>
      <c r="BB562" s="634"/>
      <c r="BC562" s="634"/>
      <c r="BD562" s="118"/>
      <c r="BE562" s="118"/>
      <c r="BF562" s="118"/>
      <c r="BG562" s="118"/>
      <c r="BH562" s="118"/>
      <c r="BI562" s="118"/>
      <c r="BJ562" s="118"/>
      <c r="BK562" s="118"/>
      <c r="BL562" s="118"/>
      <c r="BM562" s="118"/>
      <c r="BN562" s="118"/>
      <c r="BO562" s="118"/>
      <c r="BP562" s="118"/>
      <c r="BQ562" s="118"/>
      <c r="BR562" s="118"/>
      <c r="BS562" s="118"/>
      <c r="BT562" s="118"/>
      <c r="BU562" s="118"/>
      <c r="BV562" s="19"/>
      <c r="BW562" s="118"/>
      <c r="BX562" s="118"/>
      <c r="BY562" s="118"/>
      <c r="BZ562" s="118"/>
      <c r="CA562" s="118"/>
      <c r="CB562" s="118"/>
      <c r="CC562" s="118"/>
      <c r="CD562" s="118"/>
      <c r="CE562" s="118"/>
      <c r="CF562" s="118"/>
      <c r="CG562" s="118"/>
      <c r="CH562" s="118"/>
      <c r="CI562" s="118"/>
      <c r="CJ562" s="118"/>
      <c r="CK562" s="118"/>
      <c r="CL562" s="118"/>
      <c r="CM562" s="118"/>
      <c r="CN562" s="647"/>
      <c r="CO562" s="786" t="s">
        <v>46</v>
      </c>
      <c r="CP562" s="46"/>
      <c r="CQ562" s="31"/>
      <c r="CR562" s="31"/>
      <c r="CS562" s="31"/>
      <c r="CT562" s="47"/>
      <c r="CU562" s="634"/>
      <c r="CV562" s="42">
        <f t="shared" si="385"/>
        <v>0</v>
      </c>
      <c r="CW562" s="777">
        <f>SUM(CV562:CV564)</f>
        <v>204</v>
      </c>
      <c r="CX562" s="780">
        <v>4.22</v>
      </c>
      <c r="CY562" s="634"/>
      <c r="CZ562" s="634"/>
      <c r="DA562" s="634"/>
      <c r="DB562" s="777">
        <v>1.8</v>
      </c>
      <c r="DC562" s="778">
        <f>IF(CX562=0,0,CW562/(CX562*60))</f>
        <v>0.80568720379146919</v>
      </c>
      <c r="DD562" s="647"/>
      <c r="DE562" s="786" t="s">
        <v>46</v>
      </c>
      <c r="DF562" s="46"/>
      <c r="DG562" s="46">
        <v>605</v>
      </c>
      <c r="DH562" s="46">
        <v>3875</v>
      </c>
      <c r="DI562" s="46">
        <v>3998</v>
      </c>
      <c r="DJ562" s="47">
        <v>19</v>
      </c>
      <c r="DK562" s="634"/>
      <c r="DL562" s="42">
        <f t="shared" si="386"/>
        <v>105</v>
      </c>
      <c r="DM562" s="777">
        <f>SUM(DL562:DL564)</f>
        <v>105</v>
      </c>
      <c r="DN562" s="780">
        <v>3.5</v>
      </c>
      <c r="DO562" s="634"/>
      <c r="DP562" s="634"/>
      <c r="DQ562" s="634"/>
      <c r="DR562" s="777">
        <v>1.8</v>
      </c>
      <c r="DS562" s="778">
        <f>IF(DN562=0,0,DM562/(DN562*60))</f>
        <v>0.5</v>
      </c>
      <c r="DT562" s="118"/>
      <c r="DU562" s="19"/>
      <c r="DV562" s="19"/>
      <c r="DW562" s="19"/>
      <c r="DX562" s="19"/>
      <c r="DY562" s="19"/>
      <c r="DZ562" s="19"/>
    </row>
    <row r="563" spans="1:130" ht="12.75" x14ac:dyDescent="0.2">
      <c r="A563" s="647"/>
      <c r="B563" s="670"/>
      <c r="C563" s="30"/>
      <c r="D563" s="30"/>
      <c r="E563" s="30"/>
      <c r="F563" s="30"/>
      <c r="G563" s="30"/>
      <c r="H563" s="634"/>
      <c r="I563" s="159">
        <f t="shared" ref="I563:I565" si="395">IF(E563=0,0,F563-E563+1-G563)</f>
        <v>0</v>
      </c>
      <c r="J563" s="634"/>
      <c r="K563" s="30"/>
      <c r="L563" s="30"/>
      <c r="M563" s="634"/>
      <c r="N563" s="634"/>
      <c r="O563" s="634"/>
      <c r="P563" s="634"/>
      <c r="Q563" s="634"/>
      <c r="R563" s="634"/>
      <c r="S563" s="659"/>
      <c r="T563" s="647"/>
      <c r="U563" s="30"/>
      <c r="V563" s="28"/>
      <c r="W563" s="28"/>
      <c r="X563" s="28"/>
      <c r="Y563" s="29"/>
      <c r="Z563" s="634"/>
      <c r="AA563" s="51">
        <f t="shared" ref="AA563:AA565" si="396">IF(X563=0,0,X563-W563+1-Y563)</f>
        <v>0</v>
      </c>
      <c r="AB563" s="634"/>
      <c r="AC563" s="51"/>
      <c r="AD563" s="51"/>
      <c r="AE563" s="634"/>
      <c r="AF563" s="634"/>
      <c r="AG563" s="634"/>
      <c r="AH563" s="634"/>
      <c r="AI563" s="638"/>
      <c r="AJ563" s="634"/>
      <c r="AK563" s="642"/>
      <c r="AL563" s="647"/>
      <c r="AM563" s="31"/>
      <c r="AN563" s="31"/>
      <c r="AO563" s="31"/>
      <c r="AP563" s="31"/>
      <c r="AQ563" s="28"/>
      <c r="AR563" s="634"/>
      <c r="AS563" s="159">
        <f>IF(AO563=0,0,AP563-AO563+1-AQ563)</f>
        <v>0</v>
      </c>
      <c r="AT563" s="635"/>
      <c r="AU563" s="635"/>
      <c r="AV563" s="635"/>
      <c r="AW563" s="31"/>
      <c r="AX563" s="634"/>
      <c r="AY563" s="634"/>
      <c r="AZ563" s="634"/>
      <c r="BA563" s="634"/>
      <c r="BB563" s="634"/>
      <c r="BC563" s="635"/>
      <c r="BD563" s="118"/>
      <c r="BE563" s="118"/>
      <c r="BF563" s="118"/>
      <c r="BG563" s="118"/>
      <c r="BH563" s="118"/>
      <c r="BI563" s="118"/>
      <c r="BJ563" s="118"/>
      <c r="BK563" s="118"/>
      <c r="BL563" s="118"/>
      <c r="BM563" s="118"/>
      <c r="BN563" s="118"/>
      <c r="BO563" s="118"/>
      <c r="BP563" s="118"/>
      <c r="BQ563" s="118"/>
      <c r="BR563" s="118"/>
      <c r="BS563" s="118"/>
      <c r="BT563" s="118"/>
      <c r="BU563" s="118"/>
      <c r="BV563" s="19"/>
      <c r="BW563" s="118"/>
      <c r="BX563" s="118"/>
      <c r="BY563" s="118"/>
      <c r="BZ563" s="118"/>
      <c r="CA563" s="118"/>
      <c r="CB563" s="118"/>
      <c r="CC563" s="118"/>
      <c r="CD563" s="118"/>
      <c r="CE563" s="118"/>
      <c r="CF563" s="118"/>
      <c r="CG563" s="118"/>
      <c r="CH563" s="118"/>
      <c r="CI563" s="118"/>
      <c r="CJ563" s="118"/>
      <c r="CK563" s="118"/>
      <c r="CL563" s="118"/>
      <c r="CM563" s="118"/>
      <c r="CN563" s="647"/>
      <c r="CO563" s="634"/>
      <c r="CP563" s="41"/>
      <c r="CQ563" s="41">
        <v>607</v>
      </c>
      <c r="CR563" s="41">
        <v>4666</v>
      </c>
      <c r="CS563" s="41">
        <v>4877</v>
      </c>
      <c r="CT563" s="43">
        <v>8</v>
      </c>
      <c r="CU563" s="634"/>
      <c r="CV563" s="42">
        <f t="shared" si="385"/>
        <v>204</v>
      </c>
      <c r="CW563" s="634"/>
      <c r="CX563" s="634"/>
      <c r="CY563" s="634"/>
      <c r="CZ563" s="634"/>
      <c r="DA563" s="634"/>
      <c r="DB563" s="634"/>
      <c r="DC563" s="659"/>
      <c r="DD563" s="647"/>
      <c r="DE563" s="634"/>
      <c r="DF563" s="41"/>
      <c r="DG563" s="41"/>
      <c r="DH563" s="41"/>
      <c r="DI563" s="41"/>
      <c r="DJ563" s="43"/>
      <c r="DK563" s="634"/>
      <c r="DL563" s="42">
        <f t="shared" si="386"/>
        <v>0</v>
      </c>
      <c r="DM563" s="634"/>
      <c r="DN563" s="634"/>
      <c r="DO563" s="634"/>
      <c r="DP563" s="634"/>
      <c r="DQ563" s="634"/>
      <c r="DR563" s="634"/>
      <c r="DS563" s="659"/>
      <c r="DT563" s="118"/>
      <c r="DU563" s="19"/>
      <c r="DV563" s="19"/>
      <c r="DW563" s="19"/>
      <c r="DX563" s="19"/>
      <c r="DY563" s="19"/>
      <c r="DZ563" s="19"/>
    </row>
    <row r="564" spans="1:130" ht="12.75" x14ac:dyDescent="0.2">
      <c r="A564" s="647"/>
      <c r="B564" s="671"/>
      <c r="C564" s="30"/>
      <c r="D564" s="30"/>
      <c r="E564" s="30"/>
      <c r="F564" s="30"/>
      <c r="G564" s="30"/>
      <c r="H564" s="635"/>
      <c r="I564" s="159">
        <f t="shared" si="395"/>
        <v>0</v>
      </c>
      <c r="J564" s="635"/>
      <c r="K564" s="30"/>
      <c r="L564" s="30"/>
      <c r="M564" s="635"/>
      <c r="N564" s="635"/>
      <c r="O564" s="635"/>
      <c r="P564" s="635"/>
      <c r="Q564" s="635"/>
      <c r="R564" s="635"/>
      <c r="S564" s="660"/>
      <c r="T564" s="648"/>
      <c r="U564" s="30"/>
      <c r="V564" s="30"/>
      <c r="W564" s="30"/>
      <c r="X564" s="30"/>
      <c r="Y564" s="30"/>
      <c r="Z564" s="635"/>
      <c r="AA564" s="51">
        <f t="shared" si="396"/>
        <v>0</v>
      </c>
      <c r="AB564" s="635"/>
      <c r="AC564" s="30"/>
      <c r="AD564" s="30"/>
      <c r="AE564" s="635"/>
      <c r="AF564" s="635"/>
      <c r="AG564" s="635"/>
      <c r="AH564" s="635"/>
      <c r="AI564" s="638"/>
      <c r="AJ564" s="635"/>
      <c r="AK564" s="643"/>
      <c r="AL564" s="648"/>
      <c r="AM564" s="29"/>
      <c r="AN564" s="31"/>
      <c r="AO564" s="31"/>
      <c r="AP564" s="31"/>
      <c r="AQ564" s="40"/>
      <c r="AR564" s="635"/>
      <c r="AS564" s="159"/>
      <c r="AT564" s="153">
        <f>AS564</f>
        <v>0</v>
      </c>
      <c r="AU564" s="31"/>
      <c r="AV564" s="35"/>
      <c r="AW564" s="35"/>
      <c r="AX564" s="635"/>
      <c r="AY564" s="635"/>
      <c r="AZ564" s="635"/>
      <c r="BA564" s="147">
        <f t="shared" ref="BA564:BA565" si="397">AV564*60</f>
        <v>0</v>
      </c>
      <c r="BB564" s="165"/>
      <c r="BC564" s="95">
        <f t="shared" ref="BC564:BC565" si="398">IF(BA564=0,0,AT564/BA564)</f>
        <v>0</v>
      </c>
      <c r="BD564" s="118"/>
      <c r="BE564" s="118"/>
      <c r="BF564" s="118"/>
      <c r="BG564" s="118"/>
      <c r="BH564" s="118"/>
      <c r="BI564" s="118"/>
      <c r="BJ564" s="118"/>
      <c r="BK564" s="118"/>
      <c r="BL564" s="118"/>
      <c r="BM564" s="118"/>
      <c r="BN564" s="118"/>
      <c r="BO564" s="118"/>
      <c r="BP564" s="118"/>
      <c r="BQ564" s="118"/>
      <c r="BR564" s="118"/>
      <c r="BS564" s="118"/>
      <c r="BT564" s="118"/>
      <c r="BU564" s="118"/>
      <c r="BV564" s="118"/>
      <c r="BW564" s="118"/>
      <c r="BX564" s="118"/>
      <c r="BY564" s="118"/>
      <c r="BZ564" s="118"/>
      <c r="CA564" s="118"/>
      <c r="CB564" s="118"/>
      <c r="CC564" s="118"/>
      <c r="CD564" s="118"/>
      <c r="CE564" s="118"/>
      <c r="CF564" s="118"/>
      <c r="CG564" s="118"/>
      <c r="CH564" s="118"/>
      <c r="CI564" s="118"/>
      <c r="CJ564" s="118"/>
      <c r="CK564" s="118"/>
      <c r="CL564" s="118"/>
      <c r="CM564" s="118"/>
      <c r="CN564" s="648"/>
      <c r="CO564" s="635"/>
      <c r="CP564" s="41"/>
      <c r="CQ564" s="41"/>
      <c r="CR564" s="41"/>
      <c r="CS564" s="41"/>
      <c r="CT564" s="48"/>
      <c r="CU564" s="635"/>
      <c r="CV564" s="42">
        <f t="shared" si="385"/>
        <v>0</v>
      </c>
      <c r="CW564" s="635"/>
      <c r="CX564" s="635"/>
      <c r="CY564" s="635"/>
      <c r="CZ564" s="635"/>
      <c r="DA564" s="635"/>
      <c r="DB564" s="635"/>
      <c r="DC564" s="660"/>
      <c r="DD564" s="648"/>
      <c r="DE564" s="635"/>
      <c r="DF564" s="41"/>
      <c r="DG564" s="41"/>
      <c r="DH564" s="41"/>
      <c r="DI564" s="41"/>
      <c r="DJ564" s="48"/>
      <c r="DK564" s="635"/>
      <c r="DL564" s="42">
        <f t="shared" si="386"/>
        <v>0</v>
      </c>
      <c r="DM564" s="635"/>
      <c r="DN564" s="635"/>
      <c r="DO564" s="635"/>
      <c r="DP564" s="635"/>
      <c r="DQ564" s="635"/>
      <c r="DR564" s="635"/>
      <c r="DS564" s="660"/>
      <c r="DT564" s="118"/>
      <c r="DU564" s="19"/>
      <c r="DV564" s="19"/>
      <c r="DW564" s="19"/>
      <c r="DX564" s="19"/>
      <c r="DY564" s="19"/>
      <c r="DZ564" s="19"/>
    </row>
    <row r="565" spans="1:130" ht="12.75" x14ac:dyDescent="0.2">
      <c r="A565" s="647"/>
      <c r="B565" s="751">
        <v>46198</v>
      </c>
      <c r="C565" s="31"/>
      <c r="D565" s="31"/>
      <c r="E565" s="31"/>
      <c r="F565" s="31"/>
      <c r="G565" s="142"/>
      <c r="H565" s="652"/>
      <c r="I565" s="159">
        <f t="shared" si="395"/>
        <v>0</v>
      </c>
      <c r="J565" s="650">
        <f>SUM(I565:I570,H565)</f>
        <v>0</v>
      </c>
      <c r="K565" s="40"/>
      <c r="L565" s="40"/>
      <c r="M565" s="653"/>
      <c r="N565" s="653"/>
      <c r="O565" s="633">
        <f>SUM(M565:N570)</f>
        <v>0</v>
      </c>
      <c r="P565" s="653"/>
      <c r="Q565" s="636">
        <f>M565*60</f>
        <v>0</v>
      </c>
      <c r="R565" s="657">
        <f>IF(
   COUNTIF(K565:K570,"SI")&gt;0,
   1.8,
   IF(
      COUNTIF(L565:L570,"SI")&gt;0,
      1.6,
      2
   )
)</f>
        <v>2</v>
      </c>
      <c r="S565" s="658">
        <f>IF(Q565=0,0,J565/Q565)</f>
        <v>0</v>
      </c>
      <c r="T565" s="646">
        <v>46198</v>
      </c>
      <c r="U565" s="40"/>
      <c r="V565" s="31"/>
      <c r="W565" s="31"/>
      <c r="X565" s="31"/>
      <c r="Y565" s="31"/>
      <c r="Z565" s="653">
        <v>0</v>
      </c>
      <c r="AA565" s="51">
        <f t="shared" si="396"/>
        <v>0</v>
      </c>
      <c r="AB565" s="650">
        <f>SUM(AA565:AA570,Z565)</f>
        <v>0</v>
      </c>
      <c r="AC565" s="31"/>
      <c r="AD565" s="31"/>
      <c r="AE565" s="653"/>
      <c r="AF565" s="636">
        <v>4.25</v>
      </c>
      <c r="AG565" s="633">
        <f>SUM(AE565:AF570)</f>
        <v>4.25</v>
      </c>
      <c r="AH565" s="636"/>
      <c r="AI565" s="637">
        <f>AE565*60</f>
        <v>0</v>
      </c>
      <c r="AJ565" s="640">
        <f>IF(
   COUNTIF(AC565:AC570,"SI")&gt;0,
   1.8,
   IF(
      COUNTIF(AD565:AD570,"SI")&gt;0,
      1.6,
      2
   )
)</f>
        <v>2</v>
      </c>
      <c r="AK565" s="641">
        <f>IF(AI565=0,0,AB565/AI565)</f>
        <v>0</v>
      </c>
      <c r="AL565" s="646">
        <v>46198</v>
      </c>
      <c r="AM565" s="31"/>
      <c r="AN565" s="31">
        <v>602</v>
      </c>
      <c r="AO565" s="31">
        <v>2351</v>
      </c>
      <c r="AP565" s="31">
        <v>2503</v>
      </c>
      <c r="AQ565" s="31">
        <v>5</v>
      </c>
      <c r="AR565" s="649">
        <v>13</v>
      </c>
      <c r="AS565" s="159">
        <f t="shared" ref="AS565:AS571" si="399">IF(AO565=0,0,AP565-AO565+1-AQ565)</f>
        <v>148</v>
      </c>
      <c r="AT565" s="650">
        <f>SUM(AS565:AS570)+AR565</f>
        <v>161</v>
      </c>
      <c r="AU565" s="38"/>
      <c r="AV565" s="640">
        <v>1.1000000000000001</v>
      </c>
      <c r="AW565" s="28"/>
      <c r="AX565" s="640">
        <v>7.4</v>
      </c>
      <c r="AY565" s="633">
        <f>SUM(AV565:AV569,AX565)</f>
        <v>8.5</v>
      </c>
      <c r="AZ565" s="636">
        <v>0.25</v>
      </c>
      <c r="BA565" s="636">
        <f t="shared" si="397"/>
        <v>66</v>
      </c>
      <c r="BB565" s="644">
        <f>IF(
   COUNTIF(AU565:AU568,"SI")&gt;0,
   1.8,
   IF(
      COUNTIF(AW565:AW568,"SI")&gt;0,
      1.6,
      2
   )
)</f>
        <v>2</v>
      </c>
      <c r="BC565" s="645">
        <f t="shared" si="398"/>
        <v>2.4393939393939394</v>
      </c>
      <c r="BD565" s="118"/>
      <c r="BE565" s="118"/>
      <c r="BF565" s="118"/>
      <c r="BG565" s="118"/>
      <c r="BH565" s="118"/>
      <c r="BI565" s="118"/>
      <c r="BJ565" s="118"/>
      <c r="BK565" s="118"/>
      <c r="BL565" s="118"/>
      <c r="BM565" s="118"/>
      <c r="BN565" s="118"/>
      <c r="BO565" s="118"/>
      <c r="BP565" s="118"/>
      <c r="BQ565" s="118"/>
      <c r="BR565" s="118"/>
      <c r="BS565" s="118"/>
      <c r="BT565" s="118"/>
      <c r="BU565" s="118"/>
      <c r="BV565" s="118"/>
      <c r="BW565" s="118"/>
      <c r="BX565" s="118"/>
      <c r="BY565" s="118"/>
      <c r="BZ565" s="118"/>
      <c r="CA565" s="118"/>
      <c r="CB565" s="118"/>
      <c r="CC565" s="118"/>
      <c r="CD565" s="118"/>
      <c r="CE565" s="118"/>
      <c r="CF565" s="118"/>
      <c r="CG565" s="118"/>
      <c r="CH565" s="118"/>
      <c r="CI565" s="118"/>
      <c r="CJ565" s="118"/>
      <c r="CK565" s="118"/>
      <c r="CL565" s="118"/>
      <c r="CM565" s="118"/>
      <c r="CN565" s="785">
        <v>46198</v>
      </c>
      <c r="CO565" s="636" t="s">
        <v>45</v>
      </c>
      <c r="CP565" s="31"/>
      <c r="CQ565" s="31">
        <v>477</v>
      </c>
      <c r="CR565" s="31">
        <v>14511</v>
      </c>
      <c r="CS565" s="31">
        <v>14575</v>
      </c>
      <c r="CT565" s="31"/>
      <c r="CU565" s="653"/>
      <c r="CV565" s="32">
        <f t="shared" si="385"/>
        <v>65</v>
      </c>
      <c r="CW565" s="636">
        <f>SUM(CV565:CV567)</f>
        <v>65</v>
      </c>
      <c r="CX565" s="779"/>
      <c r="CY565" s="636"/>
      <c r="CZ565" s="656">
        <f>SUM(CX565:CY570)</f>
        <v>5</v>
      </c>
      <c r="DA565" s="636"/>
      <c r="DB565" s="636">
        <v>2</v>
      </c>
      <c r="DC565" s="778">
        <f>IF(CX565=0,0,CW565/(CX565*60))</f>
        <v>0</v>
      </c>
      <c r="DD565" s="785">
        <v>46198</v>
      </c>
      <c r="DE565" s="636" t="s">
        <v>45</v>
      </c>
      <c r="DF565" s="31"/>
      <c r="DG565" s="31">
        <v>476</v>
      </c>
      <c r="DH565" s="31">
        <v>14014</v>
      </c>
      <c r="DI565" s="31">
        <v>14145</v>
      </c>
      <c r="DJ565" s="47">
        <v>19</v>
      </c>
      <c r="DK565" s="653"/>
      <c r="DL565" s="32">
        <f t="shared" si="386"/>
        <v>113</v>
      </c>
      <c r="DM565" s="636">
        <f>SUM(DL565:DL567)</f>
        <v>113</v>
      </c>
      <c r="DN565" s="779">
        <v>3</v>
      </c>
      <c r="DO565" s="636">
        <v>1</v>
      </c>
      <c r="DP565" s="656">
        <f>SUM(DN565:DO570)</f>
        <v>8</v>
      </c>
      <c r="DQ565" s="636"/>
      <c r="DR565" s="636">
        <v>2</v>
      </c>
      <c r="DS565" s="778">
        <f>IF(DN565=0,0,DM565/(DN565*60))</f>
        <v>0.62777777777777777</v>
      </c>
      <c r="DT565" s="118"/>
      <c r="DU565" s="19"/>
      <c r="DV565" s="19"/>
      <c r="DW565" s="19"/>
      <c r="DX565" s="19"/>
      <c r="DY565" s="19"/>
      <c r="DZ565" s="19"/>
    </row>
    <row r="566" spans="1:130" ht="12.75" x14ac:dyDescent="0.2">
      <c r="A566" s="647"/>
      <c r="B566" s="670"/>
      <c r="C566" s="40"/>
      <c r="D566" s="31"/>
      <c r="E566" s="31"/>
      <c r="F566" s="31"/>
      <c r="G566" s="154"/>
      <c r="H566" s="634"/>
      <c r="I566" s="159"/>
      <c r="J566" s="634"/>
      <c r="K566" s="40"/>
      <c r="L566" s="40"/>
      <c r="M566" s="634"/>
      <c r="N566" s="634"/>
      <c r="O566" s="634"/>
      <c r="P566" s="634"/>
      <c r="Q566" s="634"/>
      <c r="R566" s="634"/>
      <c r="S566" s="659"/>
      <c r="T566" s="647"/>
      <c r="U566" s="40"/>
      <c r="V566" s="31"/>
      <c r="W566" s="31"/>
      <c r="X566" s="31"/>
      <c r="Y566" s="31"/>
      <c r="Z566" s="634"/>
      <c r="AA566" s="51"/>
      <c r="AB566" s="634"/>
      <c r="AC566" s="31"/>
      <c r="AD566" s="31"/>
      <c r="AE566" s="634"/>
      <c r="AF566" s="634"/>
      <c r="AG566" s="634"/>
      <c r="AH566" s="634"/>
      <c r="AI566" s="638"/>
      <c r="AJ566" s="634"/>
      <c r="AK566" s="642"/>
      <c r="AL566" s="647"/>
      <c r="AM566" s="31"/>
      <c r="AN566" s="31"/>
      <c r="AO566" s="31"/>
      <c r="AP566" s="31"/>
      <c r="AQ566" s="31"/>
      <c r="AR566" s="634"/>
      <c r="AS566" s="159">
        <f t="shared" si="399"/>
        <v>0</v>
      </c>
      <c r="AT566" s="634"/>
      <c r="AU566" s="38"/>
      <c r="AV566" s="634"/>
      <c r="AW566" s="28"/>
      <c r="AX566" s="634"/>
      <c r="AY566" s="634"/>
      <c r="AZ566" s="634"/>
      <c r="BA566" s="634"/>
      <c r="BB566" s="634"/>
      <c r="BC566" s="634"/>
      <c r="BD566" s="118"/>
      <c r="BE566" s="118"/>
      <c r="BF566" s="118"/>
      <c r="BG566" s="118"/>
      <c r="BH566" s="118"/>
      <c r="BI566" s="118"/>
      <c r="BJ566" s="118"/>
      <c r="BK566" s="118"/>
      <c r="BL566" s="118"/>
      <c r="BM566" s="118"/>
      <c r="BN566" s="118"/>
      <c r="BO566" s="118"/>
      <c r="BP566" s="118"/>
      <c r="BQ566" s="118"/>
      <c r="BR566" s="118"/>
      <c r="BS566" s="118"/>
      <c r="BT566" s="118"/>
      <c r="BU566" s="118"/>
      <c r="BV566" s="118"/>
      <c r="BW566" s="118"/>
      <c r="BX566" s="118"/>
      <c r="BY566" s="118"/>
      <c r="BZ566" s="118"/>
      <c r="CA566" s="118"/>
      <c r="CB566" s="118"/>
      <c r="CC566" s="118"/>
      <c r="CD566" s="118"/>
      <c r="CE566" s="118"/>
      <c r="CF566" s="118"/>
      <c r="CG566" s="118"/>
      <c r="CH566" s="118"/>
      <c r="CI566" s="118"/>
      <c r="CJ566" s="118"/>
      <c r="CK566" s="118"/>
      <c r="CL566" s="118"/>
      <c r="CM566" s="118"/>
      <c r="CN566" s="647"/>
      <c r="CO566" s="634"/>
      <c r="CP566" s="31"/>
      <c r="CQ566" s="31"/>
      <c r="CR566" s="31"/>
      <c r="CS566" s="31"/>
      <c r="CT566" s="31"/>
      <c r="CU566" s="634"/>
      <c r="CV566" s="32">
        <f t="shared" si="385"/>
        <v>0</v>
      </c>
      <c r="CW566" s="634"/>
      <c r="CX566" s="634"/>
      <c r="CY566" s="634"/>
      <c r="CZ566" s="634"/>
      <c r="DA566" s="634"/>
      <c r="DB566" s="634"/>
      <c r="DC566" s="659"/>
      <c r="DD566" s="647"/>
      <c r="DE566" s="634"/>
      <c r="DF566" s="31"/>
      <c r="DG566" s="31"/>
      <c r="DH566" s="31"/>
      <c r="DI566" s="31"/>
      <c r="DJ566" s="31"/>
      <c r="DK566" s="634"/>
      <c r="DL566" s="32">
        <f t="shared" si="386"/>
        <v>0</v>
      </c>
      <c r="DM566" s="634"/>
      <c r="DN566" s="634"/>
      <c r="DO566" s="634"/>
      <c r="DP566" s="634"/>
      <c r="DQ566" s="634"/>
      <c r="DR566" s="634"/>
      <c r="DS566" s="659"/>
      <c r="DT566" s="118"/>
      <c r="DU566" s="19"/>
      <c r="DV566" s="19"/>
      <c r="DW566" s="19"/>
      <c r="DX566" s="19"/>
      <c r="DY566" s="19"/>
      <c r="DZ566" s="19"/>
    </row>
    <row r="567" spans="1:130" ht="12.75" x14ac:dyDescent="0.2">
      <c r="A567" s="647"/>
      <c r="B567" s="670"/>
      <c r="C567" s="40"/>
      <c r="D567" s="31"/>
      <c r="E567" s="31"/>
      <c r="F567" s="31"/>
      <c r="G567" s="154"/>
      <c r="H567" s="634"/>
      <c r="I567" s="159"/>
      <c r="J567" s="634"/>
      <c r="K567" s="40"/>
      <c r="L567" s="40"/>
      <c r="M567" s="634"/>
      <c r="N567" s="634"/>
      <c r="O567" s="634"/>
      <c r="P567" s="634"/>
      <c r="Q567" s="634"/>
      <c r="R567" s="634"/>
      <c r="S567" s="659"/>
      <c r="T567" s="647"/>
      <c r="U567" s="40"/>
      <c r="V567" s="31"/>
      <c r="W567" s="31"/>
      <c r="X567" s="31"/>
      <c r="Y567" s="31"/>
      <c r="Z567" s="634"/>
      <c r="AA567" s="51"/>
      <c r="AB567" s="634"/>
      <c r="AC567" s="31"/>
      <c r="AD567" s="31"/>
      <c r="AE567" s="634"/>
      <c r="AF567" s="634"/>
      <c r="AG567" s="634"/>
      <c r="AH567" s="634"/>
      <c r="AI567" s="638"/>
      <c r="AJ567" s="634"/>
      <c r="AK567" s="642"/>
      <c r="AL567" s="647"/>
      <c r="AM567" s="31"/>
      <c r="AN567" s="31"/>
      <c r="AO567" s="31"/>
      <c r="AP567" s="31"/>
      <c r="AQ567" s="31"/>
      <c r="AR567" s="634"/>
      <c r="AS567" s="159">
        <f t="shared" si="399"/>
        <v>0</v>
      </c>
      <c r="AT567" s="634"/>
      <c r="AU567" s="38"/>
      <c r="AV567" s="634"/>
      <c r="AW567" s="28"/>
      <c r="AX567" s="634"/>
      <c r="AY567" s="634"/>
      <c r="AZ567" s="634"/>
      <c r="BA567" s="634"/>
      <c r="BB567" s="634"/>
      <c r="BC567" s="634"/>
      <c r="BD567" s="118"/>
      <c r="BE567" s="118"/>
      <c r="BF567" s="118"/>
      <c r="BG567" s="118"/>
      <c r="BH567" s="118"/>
      <c r="BI567" s="118"/>
      <c r="BJ567" s="118"/>
      <c r="BK567" s="118"/>
      <c r="BL567" s="118"/>
      <c r="BM567" s="118"/>
      <c r="BN567" s="118"/>
      <c r="BO567" s="118"/>
      <c r="BP567" s="118"/>
      <c r="BQ567" s="118"/>
      <c r="BR567" s="118"/>
      <c r="BS567" s="118"/>
      <c r="BT567" s="118"/>
      <c r="BU567" s="118"/>
      <c r="BV567" s="118"/>
      <c r="BW567" s="118"/>
      <c r="BX567" s="118"/>
      <c r="BY567" s="118"/>
      <c r="BZ567" s="118"/>
      <c r="CA567" s="118"/>
      <c r="CB567" s="118"/>
      <c r="CC567" s="118"/>
      <c r="CD567" s="118"/>
      <c r="CE567" s="118"/>
      <c r="CF567" s="118"/>
      <c r="CG567" s="118"/>
      <c r="CH567" s="118"/>
      <c r="CI567" s="118"/>
      <c r="CJ567" s="118"/>
      <c r="CK567" s="118"/>
      <c r="CL567" s="118"/>
      <c r="CM567" s="118"/>
      <c r="CN567" s="647"/>
      <c r="CO567" s="772"/>
      <c r="CP567" s="33"/>
      <c r="CQ567" s="33"/>
      <c r="CR567" s="33"/>
      <c r="CS567" s="33"/>
      <c r="CT567" s="33"/>
      <c r="CU567" s="634"/>
      <c r="CV567" s="32">
        <f t="shared" si="385"/>
        <v>0</v>
      </c>
      <c r="CW567" s="635"/>
      <c r="CX567" s="635"/>
      <c r="CY567" s="634"/>
      <c r="CZ567" s="634"/>
      <c r="DA567" s="634"/>
      <c r="DB567" s="635"/>
      <c r="DC567" s="660"/>
      <c r="DD567" s="647"/>
      <c r="DE567" s="772"/>
      <c r="DF567" s="33"/>
      <c r="DG567" s="33"/>
      <c r="DH567" s="33"/>
      <c r="DI567" s="33"/>
      <c r="DJ567" s="33"/>
      <c r="DK567" s="634"/>
      <c r="DL567" s="32">
        <f t="shared" si="386"/>
        <v>0</v>
      </c>
      <c r="DM567" s="635"/>
      <c r="DN567" s="635"/>
      <c r="DO567" s="634"/>
      <c r="DP567" s="634"/>
      <c r="DQ567" s="634"/>
      <c r="DR567" s="635"/>
      <c r="DS567" s="660"/>
      <c r="DT567" s="118"/>
      <c r="DU567" s="19"/>
      <c r="DV567" s="19"/>
      <c r="DW567" s="19"/>
      <c r="DX567" s="19"/>
      <c r="DY567" s="19"/>
      <c r="DZ567" s="19"/>
    </row>
    <row r="568" spans="1:130" ht="12.75" x14ac:dyDescent="0.2">
      <c r="A568" s="647"/>
      <c r="B568" s="670"/>
      <c r="C568" s="40"/>
      <c r="D568" s="31"/>
      <c r="E568" s="31"/>
      <c r="F568" s="31"/>
      <c r="G568" s="40"/>
      <c r="H568" s="634"/>
      <c r="I568" s="159">
        <f t="shared" ref="I568:I571" si="400">IF(E568=0,0,F568-E568+1-G568)</f>
        <v>0</v>
      </c>
      <c r="J568" s="634"/>
      <c r="K568" s="40"/>
      <c r="L568" s="40"/>
      <c r="M568" s="634"/>
      <c r="N568" s="634"/>
      <c r="O568" s="634"/>
      <c r="P568" s="634"/>
      <c r="Q568" s="634"/>
      <c r="R568" s="634"/>
      <c r="S568" s="659"/>
      <c r="T568" s="647"/>
      <c r="U568" s="40"/>
      <c r="V568" s="31"/>
      <c r="W568" s="31"/>
      <c r="X568" s="31"/>
      <c r="Y568" s="31"/>
      <c r="Z568" s="634"/>
      <c r="AA568" s="51">
        <f t="shared" ref="AA568:AA571" si="401">IF(X568=0,0,X568-W568+1-Y568)</f>
        <v>0</v>
      </c>
      <c r="AB568" s="634"/>
      <c r="AC568" s="31"/>
      <c r="AD568" s="31"/>
      <c r="AE568" s="634"/>
      <c r="AF568" s="634"/>
      <c r="AG568" s="634"/>
      <c r="AH568" s="634"/>
      <c r="AI568" s="638"/>
      <c r="AJ568" s="634"/>
      <c r="AK568" s="642"/>
      <c r="AL568" s="647"/>
      <c r="AM568" s="31"/>
      <c r="AN568" s="31"/>
      <c r="AO568" s="31"/>
      <c r="AP568" s="31"/>
      <c r="AQ568" s="31"/>
      <c r="AR568" s="634"/>
      <c r="AS568" s="159">
        <f t="shared" si="399"/>
        <v>0</v>
      </c>
      <c r="AT568" s="634"/>
      <c r="AU568" s="38"/>
      <c r="AV568" s="634"/>
      <c r="AW568" s="28"/>
      <c r="AX568" s="634"/>
      <c r="AY568" s="634"/>
      <c r="AZ568" s="634"/>
      <c r="BA568" s="635"/>
      <c r="BB568" s="634"/>
      <c r="BC568" s="635"/>
      <c r="BD568" s="118"/>
      <c r="BE568" s="118"/>
      <c r="BF568" s="118"/>
      <c r="BG568" s="118"/>
      <c r="BH568" s="118"/>
      <c r="BI568" s="118"/>
      <c r="BJ568" s="118"/>
      <c r="BK568" s="118"/>
      <c r="BL568" s="118"/>
      <c r="BM568" s="118"/>
      <c r="BN568" s="118"/>
      <c r="BO568" s="118"/>
      <c r="BP568" s="118"/>
      <c r="BQ568" s="118"/>
      <c r="BR568" s="118"/>
      <c r="BS568" s="118"/>
      <c r="BT568" s="118"/>
      <c r="BU568" s="118"/>
      <c r="BV568" s="118"/>
      <c r="BW568" s="118"/>
      <c r="BX568" s="118"/>
      <c r="BY568" s="118"/>
      <c r="BZ568" s="118"/>
      <c r="CA568" s="118"/>
      <c r="CB568" s="118"/>
      <c r="CC568" s="118"/>
      <c r="CD568" s="118"/>
      <c r="CE568" s="118"/>
      <c r="CF568" s="118"/>
      <c r="CG568" s="118"/>
      <c r="CH568" s="118"/>
      <c r="CI568" s="118"/>
      <c r="CJ568" s="118"/>
      <c r="CK568" s="118"/>
      <c r="CL568" s="118"/>
      <c r="CM568" s="118"/>
      <c r="CN568" s="647"/>
      <c r="CO568" s="788" t="s">
        <v>46</v>
      </c>
      <c r="CP568" s="35"/>
      <c r="CQ568" s="35">
        <v>607</v>
      </c>
      <c r="CR568" s="35">
        <v>4878</v>
      </c>
      <c r="CS568" s="35">
        <v>5003</v>
      </c>
      <c r="CT568" s="35">
        <v>4</v>
      </c>
      <c r="CU568" s="634"/>
      <c r="CV568" s="32">
        <f t="shared" si="385"/>
        <v>122</v>
      </c>
      <c r="CW568" s="636">
        <f>SUM(CV568:CV569)</f>
        <v>153</v>
      </c>
      <c r="CX568" s="653">
        <v>5</v>
      </c>
      <c r="CY568" s="634"/>
      <c r="CZ568" s="634"/>
      <c r="DA568" s="634"/>
      <c r="DB568" s="636">
        <v>1.8</v>
      </c>
      <c r="DC568" s="778">
        <f>IF(CX568=0,0,CW568/(CX568*60))</f>
        <v>0.51</v>
      </c>
      <c r="DD568" s="647"/>
      <c r="DE568" s="788" t="s">
        <v>46</v>
      </c>
      <c r="DF568" s="35"/>
      <c r="DG568" s="35">
        <v>610</v>
      </c>
      <c r="DH568" s="35">
        <v>6003</v>
      </c>
      <c r="DI568" s="35">
        <v>6199</v>
      </c>
      <c r="DJ568" s="35">
        <v>13</v>
      </c>
      <c r="DK568" s="634"/>
      <c r="DL568" s="32">
        <f t="shared" si="386"/>
        <v>184</v>
      </c>
      <c r="DM568" s="636">
        <f>SUM(DL568:DL570)</f>
        <v>184</v>
      </c>
      <c r="DN568" s="779">
        <v>4</v>
      </c>
      <c r="DO568" s="634"/>
      <c r="DP568" s="634"/>
      <c r="DQ568" s="634"/>
      <c r="DR568" s="636">
        <v>1.8</v>
      </c>
      <c r="DS568" s="778">
        <f>IF(DN568=0,0,DM568/(DN568*60))</f>
        <v>0.76666666666666672</v>
      </c>
      <c r="DT568" s="118"/>
      <c r="DU568" s="19"/>
      <c r="DV568" s="19"/>
      <c r="DW568" s="19"/>
      <c r="DX568" s="19"/>
      <c r="DY568" s="19"/>
      <c r="DZ568" s="19"/>
    </row>
    <row r="569" spans="1:130" ht="12.75" x14ac:dyDescent="0.2">
      <c r="A569" s="647"/>
      <c r="B569" s="670"/>
      <c r="C569" s="40"/>
      <c r="D569" s="31"/>
      <c r="E569" s="31"/>
      <c r="F569" s="31"/>
      <c r="G569" s="160"/>
      <c r="H569" s="634"/>
      <c r="I569" s="159">
        <f t="shared" si="400"/>
        <v>0</v>
      </c>
      <c r="J569" s="634"/>
      <c r="K569" s="40"/>
      <c r="L569" s="40"/>
      <c r="M569" s="634"/>
      <c r="N569" s="634"/>
      <c r="O569" s="634"/>
      <c r="P569" s="634"/>
      <c r="Q569" s="634"/>
      <c r="R569" s="634"/>
      <c r="S569" s="659"/>
      <c r="T569" s="647"/>
      <c r="U569" s="40"/>
      <c r="V569" s="31"/>
      <c r="W569" s="31"/>
      <c r="X569" s="31"/>
      <c r="Y569" s="40"/>
      <c r="Z569" s="634"/>
      <c r="AA569" s="51">
        <f t="shared" si="401"/>
        <v>0</v>
      </c>
      <c r="AB569" s="634"/>
      <c r="AC569" s="31"/>
      <c r="AD569" s="31"/>
      <c r="AE569" s="634"/>
      <c r="AF569" s="634"/>
      <c r="AG569" s="634"/>
      <c r="AH569" s="634"/>
      <c r="AI569" s="638"/>
      <c r="AJ569" s="634"/>
      <c r="AK569" s="642"/>
      <c r="AL569" s="647"/>
      <c r="AM569" s="31"/>
      <c r="AN569" s="31"/>
      <c r="AO569" s="31"/>
      <c r="AP569" s="31"/>
      <c r="AQ569" s="28"/>
      <c r="AR569" s="634"/>
      <c r="AS569" s="159">
        <f t="shared" si="399"/>
        <v>0</v>
      </c>
      <c r="AT569" s="634"/>
      <c r="AU569" s="152"/>
      <c r="AV569" s="28"/>
      <c r="AW569" s="152"/>
      <c r="AX569" s="634"/>
      <c r="AY569" s="634"/>
      <c r="AZ569" s="634"/>
      <c r="BA569" s="150">
        <f>AV569*60</f>
        <v>0</v>
      </c>
      <c r="BB569" s="156"/>
      <c r="BC569" s="95">
        <f>IF(BA569=0,0,AT569/BA569)</f>
        <v>0</v>
      </c>
      <c r="BD569" s="118"/>
      <c r="BE569" s="118"/>
      <c r="BF569" s="118"/>
      <c r="BG569" s="118"/>
      <c r="BH569" s="118"/>
      <c r="BI569" s="118"/>
      <c r="BJ569" s="118"/>
      <c r="BK569" s="118"/>
      <c r="BL569" s="118"/>
      <c r="BM569" s="118"/>
      <c r="BN569" s="118"/>
      <c r="BO569" s="118"/>
      <c r="BP569" s="118"/>
      <c r="BQ569" s="118"/>
      <c r="BR569" s="118"/>
      <c r="BS569" s="118"/>
      <c r="BT569" s="118"/>
      <c r="BU569" s="118"/>
      <c r="BV569" s="118"/>
      <c r="BW569" s="118"/>
      <c r="BX569" s="118"/>
      <c r="BY569" s="118"/>
      <c r="BZ569" s="118"/>
      <c r="CA569" s="118"/>
      <c r="CB569" s="118"/>
      <c r="CC569" s="118"/>
      <c r="CD569" s="118"/>
      <c r="CE569" s="118"/>
      <c r="CF569" s="118"/>
      <c r="CG569" s="118"/>
      <c r="CH569" s="118"/>
      <c r="CI569" s="118"/>
      <c r="CJ569" s="118"/>
      <c r="CK569" s="118"/>
      <c r="CL569" s="118"/>
      <c r="CM569" s="118"/>
      <c r="CN569" s="647"/>
      <c r="CO569" s="634"/>
      <c r="CP569" s="31"/>
      <c r="CQ569" s="31">
        <v>608</v>
      </c>
      <c r="CR569" s="31">
        <v>5004</v>
      </c>
      <c r="CS569" s="31">
        <v>5034</v>
      </c>
      <c r="CT569" s="38"/>
      <c r="CU569" s="634"/>
      <c r="CV569" s="32">
        <f t="shared" si="385"/>
        <v>31</v>
      </c>
      <c r="CW569" s="634"/>
      <c r="CX569" s="634"/>
      <c r="CY569" s="634"/>
      <c r="CZ569" s="634"/>
      <c r="DA569" s="634"/>
      <c r="DB569" s="634"/>
      <c r="DC569" s="659"/>
      <c r="DD569" s="647"/>
      <c r="DE569" s="634"/>
      <c r="DF569" s="31"/>
      <c r="DG569" s="31"/>
      <c r="DH569" s="31"/>
      <c r="DI569" s="31"/>
      <c r="DJ569" s="38"/>
      <c r="DK569" s="634"/>
      <c r="DL569" s="32">
        <f t="shared" si="386"/>
        <v>0</v>
      </c>
      <c r="DM569" s="634"/>
      <c r="DN569" s="634"/>
      <c r="DO569" s="634"/>
      <c r="DP569" s="634"/>
      <c r="DQ569" s="634"/>
      <c r="DR569" s="634"/>
      <c r="DS569" s="659"/>
      <c r="DT569" s="118"/>
      <c r="DU569" s="19"/>
      <c r="DV569" s="19"/>
      <c r="DW569" s="19"/>
      <c r="DX569" s="19"/>
      <c r="DY569" s="19"/>
      <c r="DZ569" s="19"/>
    </row>
    <row r="570" spans="1:130" ht="12.75" x14ac:dyDescent="0.2">
      <c r="A570" s="647"/>
      <c r="B570" s="671"/>
      <c r="C570" s="40"/>
      <c r="D570" s="160"/>
      <c r="E570" s="160"/>
      <c r="F570" s="160"/>
      <c r="G570" s="160"/>
      <c r="H570" s="635"/>
      <c r="I570" s="159">
        <f t="shared" si="400"/>
        <v>0</v>
      </c>
      <c r="J570" s="635"/>
      <c r="K570" s="40"/>
      <c r="L570" s="40"/>
      <c r="M570" s="635"/>
      <c r="N570" s="635"/>
      <c r="O570" s="635"/>
      <c r="P570" s="635"/>
      <c r="Q570" s="635"/>
      <c r="R570" s="635"/>
      <c r="S570" s="660"/>
      <c r="T570" s="648"/>
      <c r="U570" s="40"/>
      <c r="V570" s="40"/>
      <c r="W570" s="40"/>
      <c r="X570" s="40"/>
      <c r="Y570" s="40"/>
      <c r="Z570" s="635"/>
      <c r="AA570" s="51">
        <f t="shared" si="401"/>
        <v>0</v>
      </c>
      <c r="AB570" s="635"/>
      <c r="AC570" s="40"/>
      <c r="AD570" s="40"/>
      <c r="AE570" s="635"/>
      <c r="AF570" s="635"/>
      <c r="AG570" s="635"/>
      <c r="AH570" s="635"/>
      <c r="AI570" s="639"/>
      <c r="AJ570" s="635"/>
      <c r="AK570" s="643"/>
      <c r="AL570" s="648"/>
      <c r="AM570" s="28"/>
      <c r="AN570" s="28"/>
      <c r="AO570" s="28"/>
      <c r="AP570" s="28"/>
      <c r="AQ570" s="28"/>
      <c r="AR570" s="635"/>
      <c r="AS570" s="159">
        <f t="shared" si="399"/>
        <v>0</v>
      </c>
      <c r="AT570" s="635"/>
      <c r="AU570" s="38"/>
      <c r="AV570" s="50"/>
      <c r="AW570" s="28"/>
      <c r="AX570" s="635"/>
      <c r="AY570" s="635"/>
      <c r="AZ570" s="635"/>
      <c r="BA570" s="465"/>
      <c r="BB570" s="165"/>
      <c r="BC570" s="148"/>
      <c r="BD570" s="118"/>
      <c r="BE570" s="118"/>
      <c r="BF570" s="118"/>
      <c r="BG570" s="118"/>
      <c r="BH570" s="118"/>
      <c r="BI570" s="118"/>
      <c r="BJ570" s="118"/>
      <c r="BK570" s="118"/>
      <c r="BL570" s="118"/>
      <c r="BM570" s="118"/>
      <c r="BN570" s="118"/>
      <c r="BO570" s="118"/>
      <c r="BP570" s="118"/>
      <c r="BQ570" s="118"/>
      <c r="BR570" s="118"/>
      <c r="BS570" s="118"/>
      <c r="BT570" s="118"/>
      <c r="BU570" s="118"/>
      <c r="BV570" s="118"/>
      <c r="BW570" s="118"/>
      <c r="BX570" s="118"/>
      <c r="BY570" s="118"/>
      <c r="BZ570" s="118"/>
      <c r="CA570" s="118"/>
      <c r="CB570" s="118"/>
      <c r="CC570" s="118"/>
      <c r="CD570" s="118"/>
      <c r="CE570" s="118"/>
      <c r="CF570" s="118"/>
      <c r="CG570" s="118"/>
      <c r="CH570" s="118"/>
      <c r="CI570" s="118"/>
      <c r="CJ570" s="118"/>
      <c r="CK570" s="118"/>
      <c r="CL570" s="118"/>
      <c r="CM570" s="118"/>
      <c r="CN570" s="648"/>
      <c r="CO570" s="635"/>
      <c r="CP570" s="38"/>
      <c r="CQ570" s="38"/>
      <c r="CR570" s="38"/>
      <c r="CS570" s="38"/>
      <c r="CT570" s="38"/>
      <c r="CU570" s="635"/>
      <c r="CV570" s="72"/>
      <c r="CW570" s="635"/>
      <c r="CX570" s="635"/>
      <c r="CY570" s="635"/>
      <c r="CZ570" s="635"/>
      <c r="DA570" s="635"/>
      <c r="DB570" s="635"/>
      <c r="DC570" s="660"/>
      <c r="DD570" s="648"/>
      <c r="DE570" s="635"/>
      <c r="DF570" s="38"/>
      <c r="DG570" s="38"/>
      <c r="DH570" s="38"/>
      <c r="DI570" s="38"/>
      <c r="DJ570" s="38"/>
      <c r="DK570" s="635"/>
      <c r="DL570" s="32">
        <f t="shared" si="386"/>
        <v>0</v>
      </c>
      <c r="DM570" s="635"/>
      <c r="DN570" s="635"/>
      <c r="DO570" s="635"/>
      <c r="DP570" s="635"/>
      <c r="DQ570" s="635"/>
      <c r="DR570" s="635"/>
      <c r="DS570" s="660"/>
      <c r="DT570" s="118"/>
      <c r="DU570" s="19"/>
      <c r="DV570" s="19"/>
      <c r="DW570" s="19"/>
      <c r="DX570" s="19"/>
      <c r="DY570" s="19"/>
      <c r="DZ570" s="19"/>
    </row>
    <row r="571" spans="1:130" ht="12.75" x14ac:dyDescent="0.2">
      <c r="A571" s="647"/>
      <c r="B571" s="752">
        <v>46199</v>
      </c>
      <c r="C571" s="29"/>
      <c r="D571" s="29"/>
      <c r="E571" s="29"/>
      <c r="F571" s="29"/>
      <c r="G571" s="158"/>
      <c r="H571" s="649"/>
      <c r="I571" s="159">
        <f t="shared" si="400"/>
        <v>0</v>
      </c>
      <c r="J571" s="650">
        <f>SUM(I571:I576,H571)</f>
        <v>0</v>
      </c>
      <c r="K571" s="158"/>
      <c r="L571" s="158"/>
      <c r="M571" s="653"/>
      <c r="N571" s="653"/>
      <c r="O571" s="633">
        <f>SUM(M571:N576)</f>
        <v>0</v>
      </c>
      <c r="P571" s="649"/>
      <c r="Q571" s="640">
        <f>M571*60</f>
        <v>0</v>
      </c>
      <c r="R571" s="657">
        <f>IF(
   COUNTIF(K571:K576,"SI")&gt;0,
   1.8,
   IF(
      COUNTIF(L571:L576,"SI")&gt;0,
      1.6,
      2
   )
)</f>
        <v>2</v>
      </c>
      <c r="S571" s="658">
        <f>IF(Q571=0,0,J571/Q571)</f>
        <v>0</v>
      </c>
      <c r="T571" s="655">
        <v>46199</v>
      </c>
      <c r="U571" s="30"/>
      <c r="V571" s="28"/>
      <c r="W571" s="28"/>
      <c r="X571" s="28"/>
      <c r="Y571" s="28"/>
      <c r="Z571" s="640">
        <v>0</v>
      </c>
      <c r="AA571" s="51">
        <f t="shared" si="401"/>
        <v>0</v>
      </c>
      <c r="AB571" s="650">
        <f>SUM(AA571:AA576)</f>
        <v>0</v>
      </c>
      <c r="AC571" s="28"/>
      <c r="AD571" s="28"/>
      <c r="AE571" s="640"/>
      <c r="AF571" s="640">
        <v>7.25</v>
      </c>
      <c r="AG571" s="633">
        <f>SUM(AE571:AF576)</f>
        <v>7.25</v>
      </c>
      <c r="AH571" s="640"/>
      <c r="AI571" s="664">
        <f>AE571*60</f>
        <v>0</v>
      </c>
      <c r="AJ571" s="640">
        <f>IF(
   COUNTIF(AC571:AC576,"SI")&gt;0,
   1.8,
   IF(
      COUNTIF(AD571:AD576,"SI")&gt;0,
      1.6,
      2
   )
)</f>
        <v>2</v>
      </c>
      <c r="AK571" s="665">
        <f>IF(AI571=0,0,AB571/AI571)</f>
        <v>0</v>
      </c>
      <c r="AL571" s="655">
        <v>46199</v>
      </c>
      <c r="AM571" s="28"/>
      <c r="AN571" s="28"/>
      <c r="AO571" s="28"/>
      <c r="AP571" s="41"/>
      <c r="AQ571" s="28"/>
      <c r="AR571" s="649"/>
      <c r="AS571" s="159">
        <f t="shared" si="399"/>
        <v>0</v>
      </c>
      <c r="AT571" s="650">
        <f>SUM(AS571:AS575)+AR571</f>
        <v>0</v>
      </c>
      <c r="AU571" s="38"/>
      <c r="AV571" s="640"/>
      <c r="AW571" s="28"/>
      <c r="AX571" s="640">
        <v>8</v>
      </c>
      <c r="AY571" s="633">
        <f>SUM(AV571:AV576,AX571)</f>
        <v>8</v>
      </c>
      <c r="AZ571" s="649">
        <v>0.25</v>
      </c>
      <c r="BA571" s="640">
        <f>AV571*60</f>
        <v>0</v>
      </c>
      <c r="BB571" s="644">
        <f>IF(
   COUNTIF(AU571:AU576,"SI")&gt;0,
   1.8,
   IF(
      COUNTIF(AV571:AV576,"SI")&gt;0,
      1.6,
      2
   )
)</f>
        <v>2</v>
      </c>
      <c r="BC571" s="645">
        <f>IF(BA571=0,0,AT571/BA571)</f>
        <v>0</v>
      </c>
      <c r="BD571" s="118"/>
      <c r="BE571" s="118"/>
      <c r="BF571" s="118"/>
      <c r="BG571" s="118"/>
      <c r="BH571" s="118"/>
      <c r="BI571" s="118"/>
      <c r="BJ571" s="118"/>
      <c r="BK571" s="118"/>
      <c r="BL571" s="118"/>
      <c r="BM571" s="118"/>
      <c r="BN571" s="118"/>
      <c r="BO571" s="118"/>
      <c r="BP571" s="118"/>
      <c r="BQ571" s="118"/>
      <c r="BR571" s="118"/>
      <c r="BS571" s="118"/>
      <c r="BT571" s="118"/>
      <c r="BU571" s="118"/>
      <c r="BV571" s="118"/>
      <c r="BW571" s="118"/>
      <c r="BX571" s="118"/>
      <c r="BY571" s="118"/>
      <c r="BZ571" s="118"/>
      <c r="CA571" s="118"/>
      <c r="CB571" s="118"/>
      <c r="CC571" s="118"/>
      <c r="CD571" s="118"/>
      <c r="CE571" s="118"/>
      <c r="CF571" s="118"/>
      <c r="CG571" s="118"/>
      <c r="CH571" s="118"/>
      <c r="CI571" s="118"/>
      <c r="CJ571" s="118"/>
      <c r="CK571" s="118"/>
      <c r="CL571" s="118"/>
      <c r="CM571" s="118"/>
      <c r="CN571" s="787">
        <v>46199</v>
      </c>
      <c r="CO571" s="777" t="s">
        <v>45</v>
      </c>
      <c r="CP571" s="43"/>
      <c r="CQ571" s="43"/>
      <c r="CR571" s="43"/>
      <c r="CS571" s="41"/>
      <c r="CT571" s="43"/>
      <c r="CU571" s="780"/>
      <c r="CV571" s="42">
        <f t="shared" ref="CV571:CV582" si="402">IF(CQ571=0,0,CS571-CR571+1-CT571)</f>
        <v>0</v>
      </c>
      <c r="CW571" s="777">
        <f>SUM(CV571:CV573)</f>
        <v>0</v>
      </c>
      <c r="CX571" s="784"/>
      <c r="CY571" s="777"/>
      <c r="CZ571" s="656">
        <f>SUM(CX571:CY576)</f>
        <v>0</v>
      </c>
      <c r="DA571" s="780"/>
      <c r="DB571" s="777">
        <v>2</v>
      </c>
      <c r="DC571" s="778">
        <f>IF(CX571=0,0,CW571/(CX571*60))</f>
        <v>0</v>
      </c>
      <c r="DD571" s="787">
        <v>46199</v>
      </c>
      <c r="DE571" s="777" t="s">
        <v>45</v>
      </c>
      <c r="DF571" s="43"/>
      <c r="DG571" s="43">
        <v>476</v>
      </c>
      <c r="DH571" s="43">
        <v>14150</v>
      </c>
      <c r="DI571" s="41">
        <v>14472</v>
      </c>
      <c r="DJ571" s="43"/>
      <c r="DK571" s="780"/>
      <c r="DL571" s="42">
        <f t="shared" si="386"/>
        <v>323</v>
      </c>
      <c r="DM571" s="777">
        <f>SUM(DL571:DL573)</f>
        <v>323</v>
      </c>
      <c r="DN571" s="779">
        <v>4</v>
      </c>
      <c r="DO571" s="777"/>
      <c r="DP571" s="656">
        <f>SUM(DN571:DO576)</f>
        <v>4</v>
      </c>
      <c r="DQ571" s="780"/>
      <c r="DR571" s="777">
        <v>2</v>
      </c>
      <c r="DS571" s="778">
        <f>IF(DN571=0,0,DM571/(DN571*60))</f>
        <v>1.3458333333333334</v>
      </c>
      <c r="DT571" s="118"/>
      <c r="DU571" s="19"/>
      <c r="DV571" s="19"/>
      <c r="DW571" s="19"/>
      <c r="DX571" s="19"/>
      <c r="DY571" s="19"/>
      <c r="DZ571" s="19"/>
    </row>
    <row r="572" spans="1:130" ht="12.75" x14ac:dyDescent="0.2">
      <c r="A572" s="647"/>
      <c r="B572" s="670"/>
      <c r="C572" s="29"/>
      <c r="D572" s="30"/>
      <c r="E572" s="29"/>
      <c r="F572" s="29"/>
      <c r="G572" s="30"/>
      <c r="H572" s="634"/>
      <c r="I572" s="159"/>
      <c r="J572" s="634"/>
      <c r="K572" s="30"/>
      <c r="L572" s="30"/>
      <c r="M572" s="634"/>
      <c r="N572" s="634"/>
      <c r="O572" s="634"/>
      <c r="P572" s="634"/>
      <c r="Q572" s="634"/>
      <c r="R572" s="634"/>
      <c r="S572" s="659"/>
      <c r="T572" s="647"/>
      <c r="U572" s="30"/>
      <c r="V572" s="28"/>
      <c r="W572" s="28"/>
      <c r="X572" s="28"/>
      <c r="Y572" s="29"/>
      <c r="Z572" s="634"/>
      <c r="AA572" s="51"/>
      <c r="AB572" s="634"/>
      <c r="AC572" s="28"/>
      <c r="AD572" s="28"/>
      <c r="AE572" s="634"/>
      <c r="AF572" s="634"/>
      <c r="AG572" s="634"/>
      <c r="AH572" s="634"/>
      <c r="AI572" s="638"/>
      <c r="AJ572" s="634"/>
      <c r="AK572" s="642"/>
      <c r="AL572" s="647"/>
      <c r="AM572" s="28"/>
      <c r="AN572" s="28"/>
      <c r="AO572" s="28"/>
      <c r="AP572" s="28"/>
      <c r="AQ572" s="29"/>
      <c r="AR572" s="634"/>
      <c r="AS572" s="159"/>
      <c r="AT572" s="634"/>
      <c r="AU572" s="38"/>
      <c r="AV572" s="634"/>
      <c r="AW572" s="28"/>
      <c r="AX572" s="634"/>
      <c r="AY572" s="634"/>
      <c r="AZ572" s="634"/>
      <c r="BA572" s="634"/>
      <c r="BB572" s="634"/>
      <c r="BC572" s="634"/>
      <c r="BD572" s="118"/>
      <c r="BE572" s="118"/>
      <c r="BF572" s="118"/>
      <c r="BG572" s="118"/>
      <c r="BH572" s="118"/>
      <c r="BI572" s="118"/>
      <c r="BJ572" s="118"/>
      <c r="BK572" s="118"/>
      <c r="BL572" s="118"/>
      <c r="BM572" s="118"/>
      <c r="BN572" s="118"/>
      <c r="BO572" s="118"/>
      <c r="BP572" s="118"/>
      <c r="BQ572" s="118"/>
      <c r="BR572" s="118"/>
      <c r="BS572" s="118"/>
      <c r="BT572" s="118"/>
      <c r="BU572" s="118"/>
      <c r="BV572" s="118"/>
      <c r="BW572" s="118"/>
      <c r="BX572" s="118"/>
      <c r="BY572" s="118"/>
      <c r="BZ572" s="118"/>
      <c r="CA572" s="118"/>
      <c r="CB572" s="118"/>
      <c r="CC572" s="118"/>
      <c r="CD572" s="118"/>
      <c r="CE572" s="118"/>
      <c r="CF572" s="118"/>
      <c r="CG572" s="118"/>
      <c r="CH572" s="118"/>
      <c r="CI572" s="118"/>
      <c r="CJ572" s="118"/>
      <c r="CK572" s="118"/>
      <c r="CL572" s="118"/>
      <c r="CM572" s="118"/>
      <c r="CN572" s="647"/>
      <c r="CO572" s="634"/>
      <c r="CP572" s="43"/>
      <c r="CQ572" s="43"/>
      <c r="CR572" s="43"/>
      <c r="CS572" s="43"/>
      <c r="CT572" s="41"/>
      <c r="CU572" s="634"/>
      <c r="CV572" s="42">
        <f t="shared" si="402"/>
        <v>0</v>
      </c>
      <c r="CW572" s="634"/>
      <c r="CX572" s="634"/>
      <c r="CY572" s="634"/>
      <c r="CZ572" s="634"/>
      <c r="DA572" s="634"/>
      <c r="DB572" s="634"/>
      <c r="DC572" s="659"/>
      <c r="DD572" s="647"/>
      <c r="DE572" s="634"/>
      <c r="DF572" s="43"/>
      <c r="DG572" s="43"/>
      <c r="DH572" s="43"/>
      <c r="DI572" s="43"/>
      <c r="DJ572" s="41"/>
      <c r="DK572" s="634"/>
      <c r="DL572" s="42">
        <f t="shared" si="386"/>
        <v>0</v>
      </c>
      <c r="DM572" s="634"/>
      <c r="DN572" s="634"/>
      <c r="DO572" s="634"/>
      <c r="DP572" s="634"/>
      <c r="DQ572" s="634"/>
      <c r="DR572" s="634"/>
      <c r="DS572" s="659"/>
      <c r="DT572" s="118"/>
      <c r="DU572" s="19"/>
      <c r="DV572" s="19"/>
      <c r="DW572" s="19"/>
      <c r="DX572" s="19"/>
      <c r="DY572" s="19"/>
      <c r="DZ572" s="19"/>
    </row>
    <row r="573" spans="1:130" ht="12.75" x14ac:dyDescent="0.2">
      <c r="A573" s="647"/>
      <c r="B573" s="670"/>
      <c r="C573" s="29"/>
      <c r="D573" s="30"/>
      <c r="E573" s="29"/>
      <c r="F573" s="29"/>
      <c r="G573" s="30"/>
      <c r="H573" s="634"/>
      <c r="I573" s="159"/>
      <c r="J573" s="634"/>
      <c r="K573" s="30"/>
      <c r="L573" s="30"/>
      <c r="M573" s="634"/>
      <c r="N573" s="634"/>
      <c r="O573" s="634"/>
      <c r="P573" s="634"/>
      <c r="Q573" s="634"/>
      <c r="R573" s="634"/>
      <c r="S573" s="659"/>
      <c r="T573" s="647"/>
      <c r="U573" s="30"/>
      <c r="V573" s="28"/>
      <c r="W573" s="28"/>
      <c r="X573" s="28"/>
      <c r="Y573" s="29"/>
      <c r="Z573" s="634"/>
      <c r="AA573" s="51"/>
      <c r="AB573" s="634"/>
      <c r="AC573" s="28"/>
      <c r="AD573" s="28"/>
      <c r="AE573" s="634"/>
      <c r="AF573" s="634"/>
      <c r="AG573" s="634"/>
      <c r="AH573" s="634"/>
      <c r="AI573" s="638"/>
      <c r="AJ573" s="634"/>
      <c r="AK573" s="642"/>
      <c r="AL573" s="647"/>
      <c r="AM573" s="28"/>
      <c r="AN573" s="28"/>
      <c r="AO573" s="28"/>
      <c r="AP573" s="28"/>
      <c r="AQ573" s="29"/>
      <c r="AR573" s="634"/>
      <c r="AS573" s="159"/>
      <c r="AT573" s="634"/>
      <c r="AU573" s="38"/>
      <c r="AV573" s="634"/>
      <c r="AW573" s="28"/>
      <c r="AX573" s="634"/>
      <c r="AY573" s="634"/>
      <c r="AZ573" s="634"/>
      <c r="BA573" s="634"/>
      <c r="BB573" s="634"/>
      <c r="BC573" s="634"/>
      <c r="BD573" s="118"/>
      <c r="BE573" s="118"/>
      <c r="BF573" s="118"/>
      <c r="BG573" s="118"/>
      <c r="BH573" s="118"/>
      <c r="BI573" s="118"/>
      <c r="BJ573" s="118"/>
      <c r="BK573" s="118"/>
      <c r="BL573" s="118"/>
      <c r="BM573" s="118"/>
      <c r="BN573" s="118"/>
      <c r="BO573" s="118"/>
      <c r="BP573" s="118"/>
      <c r="BQ573" s="118"/>
      <c r="BR573" s="118"/>
      <c r="BS573" s="118"/>
      <c r="BT573" s="118"/>
      <c r="BU573" s="118"/>
      <c r="BV573" s="118"/>
      <c r="BW573" s="118"/>
      <c r="BX573" s="118"/>
      <c r="BY573" s="118"/>
      <c r="BZ573" s="118"/>
      <c r="CA573" s="118"/>
      <c r="CB573" s="118"/>
      <c r="CC573" s="118"/>
      <c r="CD573" s="118"/>
      <c r="CE573" s="118"/>
      <c r="CF573" s="118"/>
      <c r="CG573" s="118"/>
      <c r="CH573" s="118"/>
      <c r="CI573" s="118"/>
      <c r="CJ573" s="118"/>
      <c r="CK573" s="118"/>
      <c r="CL573" s="118"/>
      <c r="CM573" s="118"/>
      <c r="CN573" s="647"/>
      <c r="CO573" s="772"/>
      <c r="CP573" s="45"/>
      <c r="CQ573" s="45"/>
      <c r="CR573" s="45"/>
      <c r="CS573" s="45"/>
      <c r="CT573" s="44"/>
      <c r="CU573" s="634"/>
      <c r="CV573" s="42">
        <f t="shared" si="402"/>
        <v>0</v>
      </c>
      <c r="CW573" s="635"/>
      <c r="CX573" s="635"/>
      <c r="CY573" s="634"/>
      <c r="CZ573" s="634"/>
      <c r="DA573" s="634"/>
      <c r="DB573" s="635"/>
      <c r="DC573" s="660"/>
      <c r="DD573" s="647"/>
      <c r="DE573" s="772"/>
      <c r="DF573" s="45"/>
      <c r="DG573" s="45"/>
      <c r="DH573" s="45"/>
      <c r="DI573" s="45"/>
      <c r="DJ573" s="44"/>
      <c r="DK573" s="634"/>
      <c r="DL573" s="42">
        <f t="shared" si="386"/>
        <v>0</v>
      </c>
      <c r="DM573" s="635"/>
      <c r="DN573" s="635"/>
      <c r="DO573" s="634"/>
      <c r="DP573" s="634"/>
      <c r="DQ573" s="634"/>
      <c r="DR573" s="635"/>
      <c r="DS573" s="660"/>
      <c r="DT573" s="118"/>
      <c r="DU573" s="19"/>
      <c r="DV573" s="19"/>
      <c r="DW573" s="19"/>
      <c r="DX573" s="19"/>
      <c r="DY573" s="19"/>
      <c r="DZ573" s="19"/>
    </row>
    <row r="574" spans="1:130" ht="12.75" x14ac:dyDescent="0.2">
      <c r="A574" s="647"/>
      <c r="B574" s="670"/>
      <c r="C574" s="29"/>
      <c r="D574" s="30"/>
      <c r="E574" s="29"/>
      <c r="F574" s="29"/>
      <c r="G574" s="30"/>
      <c r="H574" s="634"/>
      <c r="I574" s="159">
        <f t="shared" ref="I574:I577" si="403">IF(E574=0,0,F574-E574+1-G574)</f>
        <v>0</v>
      </c>
      <c r="J574" s="634"/>
      <c r="K574" s="30"/>
      <c r="L574" s="30"/>
      <c r="M574" s="634"/>
      <c r="N574" s="634"/>
      <c r="O574" s="634"/>
      <c r="P574" s="634"/>
      <c r="Q574" s="634"/>
      <c r="R574" s="634"/>
      <c r="S574" s="659"/>
      <c r="T574" s="647"/>
      <c r="U574" s="30"/>
      <c r="V574" s="28"/>
      <c r="W574" s="28"/>
      <c r="X574" s="28"/>
      <c r="Y574" s="29"/>
      <c r="Z574" s="634"/>
      <c r="AA574" s="51">
        <f t="shared" ref="AA574:AA577" si="404">IF(X574=0,0,X574-W574+1-Y574)</f>
        <v>0</v>
      </c>
      <c r="AB574" s="634"/>
      <c r="AC574" s="28"/>
      <c r="AD574" s="28"/>
      <c r="AE574" s="634"/>
      <c r="AF574" s="634"/>
      <c r="AG574" s="634"/>
      <c r="AH574" s="634"/>
      <c r="AI574" s="638"/>
      <c r="AJ574" s="634"/>
      <c r="AK574" s="642"/>
      <c r="AL574" s="647"/>
      <c r="AM574" s="28"/>
      <c r="AN574" s="28"/>
      <c r="AO574" s="28"/>
      <c r="AP574" s="28"/>
      <c r="AQ574" s="29"/>
      <c r="AR574" s="634"/>
      <c r="AS574" s="159">
        <f t="shared" ref="AS574:AS577" si="405">IF(AO574=0,0,AP574-AO574+1-AQ574)</f>
        <v>0</v>
      </c>
      <c r="AT574" s="634"/>
      <c r="AU574" s="38"/>
      <c r="AV574" s="634"/>
      <c r="AW574" s="28"/>
      <c r="AX574" s="634"/>
      <c r="AY574" s="634"/>
      <c r="AZ574" s="634"/>
      <c r="BA574" s="634"/>
      <c r="BB574" s="634"/>
      <c r="BC574" s="634"/>
      <c r="BD574" s="118"/>
      <c r="BE574" s="118"/>
      <c r="BF574" s="118"/>
      <c r="BG574" s="118"/>
      <c r="BH574" s="118"/>
      <c r="BI574" s="118"/>
      <c r="BJ574" s="118"/>
      <c r="BK574" s="118"/>
      <c r="BL574" s="118"/>
      <c r="BM574" s="118"/>
      <c r="BN574" s="118"/>
      <c r="BO574" s="118"/>
      <c r="BP574" s="118"/>
      <c r="BQ574" s="118"/>
      <c r="BR574" s="118"/>
      <c r="BS574" s="118"/>
      <c r="BT574" s="118"/>
      <c r="BU574" s="118"/>
      <c r="BV574" s="118"/>
      <c r="BW574" s="118"/>
      <c r="BX574" s="118"/>
      <c r="BY574" s="118"/>
      <c r="BZ574" s="118"/>
      <c r="CA574" s="118"/>
      <c r="CB574" s="118"/>
      <c r="CC574" s="118"/>
      <c r="CD574" s="118"/>
      <c r="CE574" s="118"/>
      <c r="CF574" s="118"/>
      <c r="CG574" s="118"/>
      <c r="CH574" s="118"/>
      <c r="CI574" s="118"/>
      <c r="CJ574" s="118"/>
      <c r="CK574" s="118"/>
      <c r="CL574" s="118"/>
      <c r="CM574" s="118"/>
      <c r="CN574" s="647"/>
      <c r="CO574" s="786" t="s">
        <v>46</v>
      </c>
      <c r="CP574" s="47"/>
      <c r="CQ574" s="47"/>
      <c r="CR574" s="47"/>
      <c r="CS574" s="47"/>
      <c r="CT574" s="46"/>
      <c r="CU574" s="634"/>
      <c r="CV574" s="42">
        <f t="shared" si="402"/>
        <v>0</v>
      </c>
      <c r="CW574" s="777">
        <f>SUM(CV574:CV576)</f>
        <v>0</v>
      </c>
      <c r="CX574" s="780"/>
      <c r="CY574" s="634"/>
      <c r="CZ574" s="634"/>
      <c r="DA574" s="634"/>
      <c r="DB574" s="777">
        <v>1.8</v>
      </c>
      <c r="DC574" s="778">
        <f>IF(CX574=0,0,CW574/(CX574*60))</f>
        <v>0</v>
      </c>
      <c r="DD574" s="647"/>
      <c r="DE574" s="786" t="s">
        <v>46</v>
      </c>
      <c r="DF574" s="47"/>
      <c r="DG574" s="47"/>
      <c r="DH574" s="47"/>
      <c r="DI574" s="47"/>
      <c r="DJ574" s="46"/>
      <c r="DK574" s="634"/>
      <c r="DL574" s="42">
        <f t="shared" si="386"/>
        <v>0</v>
      </c>
      <c r="DM574" s="777">
        <f>SUM(DL574:DL576)</f>
        <v>0</v>
      </c>
      <c r="DN574" s="780"/>
      <c r="DO574" s="634"/>
      <c r="DP574" s="634"/>
      <c r="DQ574" s="634"/>
      <c r="DR574" s="777">
        <v>1.8</v>
      </c>
      <c r="DS574" s="778">
        <f>IF(DN574=0,0,DM574/(DN574*60))</f>
        <v>0</v>
      </c>
      <c r="DT574" s="118"/>
      <c r="DU574" s="19"/>
      <c r="DV574" s="19"/>
      <c r="DW574" s="19"/>
      <c r="DX574" s="19"/>
      <c r="DY574" s="19"/>
      <c r="DZ574" s="19"/>
    </row>
    <row r="575" spans="1:130" ht="12.75" x14ac:dyDescent="0.2">
      <c r="A575" s="647"/>
      <c r="B575" s="670"/>
      <c r="C575" s="30"/>
      <c r="D575" s="30"/>
      <c r="E575" s="30"/>
      <c r="F575" s="30"/>
      <c r="G575" s="30"/>
      <c r="H575" s="634"/>
      <c r="I575" s="159">
        <f t="shared" si="403"/>
        <v>0</v>
      </c>
      <c r="J575" s="634"/>
      <c r="K575" s="30"/>
      <c r="L575" s="30"/>
      <c r="M575" s="634"/>
      <c r="N575" s="634"/>
      <c r="O575" s="634"/>
      <c r="P575" s="634"/>
      <c r="Q575" s="634"/>
      <c r="R575" s="634"/>
      <c r="S575" s="659"/>
      <c r="T575" s="647"/>
      <c r="U575" s="30"/>
      <c r="V575" s="29"/>
      <c r="W575" s="29"/>
      <c r="X575" s="29"/>
      <c r="Y575" s="29"/>
      <c r="Z575" s="634"/>
      <c r="AA575" s="51">
        <f t="shared" si="404"/>
        <v>0</v>
      </c>
      <c r="AB575" s="634"/>
      <c r="AC575" s="28"/>
      <c r="AD575" s="28"/>
      <c r="AE575" s="634"/>
      <c r="AF575" s="634"/>
      <c r="AG575" s="634"/>
      <c r="AH575" s="634"/>
      <c r="AI575" s="638"/>
      <c r="AJ575" s="634"/>
      <c r="AK575" s="642"/>
      <c r="AL575" s="647"/>
      <c r="AM575" s="41"/>
      <c r="AN575" s="28"/>
      <c r="AO575" s="28"/>
      <c r="AP575" s="28"/>
      <c r="AQ575" s="48"/>
      <c r="AR575" s="634"/>
      <c r="AS575" s="159">
        <f t="shared" si="405"/>
        <v>0</v>
      </c>
      <c r="AT575" s="635"/>
      <c r="AU575" s="152"/>
      <c r="AV575" s="635"/>
      <c r="AW575" s="152"/>
      <c r="AX575" s="634"/>
      <c r="AY575" s="634"/>
      <c r="AZ575" s="634"/>
      <c r="BA575" s="634"/>
      <c r="BB575" s="634"/>
      <c r="BC575" s="635"/>
      <c r="BD575" s="118"/>
      <c r="BE575" s="118"/>
      <c r="BF575" s="118"/>
      <c r="BG575" s="118"/>
      <c r="BH575" s="118"/>
      <c r="BI575" s="118"/>
      <c r="BJ575" s="118"/>
      <c r="BK575" s="118"/>
      <c r="BL575" s="118"/>
      <c r="BM575" s="118"/>
      <c r="BN575" s="118"/>
      <c r="BO575" s="118"/>
      <c r="BP575" s="118"/>
      <c r="BQ575" s="118"/>
      <c r="BR575" s="118"/>
      <c r="BS575" s="118"/>
      <c r="BT575" s="118"/>
      <c r="BU575" s="118"/>
      <c r="BV575" s="118"/>
      <c r="BW575" s="118"/>
      <c r="BX575" s="118"/>
      <c r="BY575" s="118"/>
      <c r="BZ575" s="118"/>
      <c r="CA575" s="118"/>
      <c r="CB575" s="118"/>
      <c r="CC575" s="118"/>
      <c r="CD575" s="118"/>
      <c r="CE575" s="118"/>
      <c r="CF575" s="118"/>
      <c r="CG575" s="118"/>
      <c r="CH575" s="118"/>
      <c r="CI575" s="118"/>
      <c r="CJ575" s="118"/>
      <c r="CK575" s="118"/>
      <c r="CL575" s="118"/>
      <c r="CM575" s="118"/>
      <c r="CN575" s="647"/>
      <c r="CO575" s="634"/>
      <c r="CP575" s="41"/>
      <c r="CQ575" s="43"/>
      <c r="CR575" s="43"/>
      <c r="CS575" s="43"/>
      <c r="CT575" s="48"/>
      <c r="CU575" s="634"/>
      <c r="CV575" s="42">
        <f t="shared" si="402"/>
        <v>0</v>
      </c>
      <c r="CW575" s="634"/>
      <c r="CX575" s="634"/>
      <c r="CY575" s="634"/>
      <c r="CZ575" s="634"/>
      <c r="DA575" s="634"/>
      <c r="DB575" s="634"/>
      <c r="DC575" s="659"/>
      <c r="DD575" s="647"/>
      <c r="DE575" s="634"/>
      <c r="DF575" s="41"/>
      <c r="DG575" s="43"/>
      <c r="DH575" s="43"/>
      <c r="DI575" s="43"/>
      <c r="DJ575" s="48"/>
      <c r="DK575" s="634"/>
      <c r="DL575" s="42">
        <f t="shared" si="386"/>
        <v>0</v>
      </c>
      <c r="DM575" s="634"/>
      <c r="DN575" s="634"/>
      <c r="DO575" s="634"/>
      <c r="DP575" s="634"/>
      <c r="DQ575" s="634"/>
      <c r="DR575" s="634"/>
      <c r="DS575" s="659"/>
      <c r="DT575" s="118"/>
      <c r="DU575" s="19"/>
      <c r="DV575" s="19"/>
      <c r="DW575" s="19"/>
      <c r="DX575" s="19"/>
      <c r="DY575" s="19"/>
      <c r="DZ575" s="19"/>
    </row>
    <row r="576" spans="1:130" ht="12.75" x14ac:dyDescent="0.2">
      <c r="A576" s="647"/>
      <c r="B576" s="671"/>
      <c r="C576" s="30"/>
      <c r="D576" s="30"/>
      <c r="E576" s="30"/>
      <c r="F576" s="30"/>
      <c r="G576" s="30"/>
      <c r="H576" s="635"/>
      <c r="I576" s="159">
        <f t="shared" si="403"/>
        <v>0</v>
      </c>
      <c r="J576" s="635"/>
      <c r="K576" s="30"/>
      <c r="L576" s="30"/>
      <c r="M576" s="635"/>
      <c r="N576" s="635"/>
      <c r="O576" s="635"/>
      <c r="P576" s="635"/>
      <c r="Q576" s="635"/>
      <c r="R576" s="635"/>
      <c r="S576" s="660"/>
      <c r="T576" s="648"/>
      <c r="U576" s="30"/>
      <c r="V576" s="30"/>
      <c r="W576" s="30"/>
      <c r="X576" s="30"/>
      <c r="Y576" s="30"/>
      <c r="Z576" s="635"/>
      <c r="AA576" s="51">
        <f t="shared" si="404"/>
        <v>0</v>
      </c>
      <c r="AB576" s="634"/>
      <c r="AC576" s="30"/>
      <c r="AD576" s="30"/>
      <c r="AE576" s="634"/>
      <c r="AF576" s="635"/>
      <c r="AG576" s="635"/>
      <c r="AH576" s="635"/>
      <c r="AI576" s="638"/>
      <c r="AJ576" s="635"/>
      <c r="AK576" s="642"/>
      <c r="AL576" s="648"/>
      <c r="AM576" s="51"/>
      <c r="AN576" s="28"/>
      <c r="AO576" s="28"/>
      <c r="AP576" s="28"/>
      <c r="AQ576" s="51"/>
      <c r="AR576" s="635"/>
      <c r="AS576" s="159">
        <f t="shared" si="405"/>
        <v>0</v>
      </c>
      <c r="AT576" s="464"/>
      <c r="AU576" s="38"/>
      <c r="AV576" s="50"/>
      <c r="AW576" s="51"/>
      <c r="AX576" s="635"/>
      <c r="AY576" s="635"/>
      <c r="AZ576" s="635"/>
      <c r="BA576" s="27"/>
      <c r="BB576" s="635"/>
      <c r="BC576" s="531"/>
      <c r="BD576" s="118"/>
      <c r="BE576" s="118"/>
      <c r="BF576" s="118"/>
      <c r="BG576" s="118"/>
      <c r="BH576" s="118"/>
      <c r="BI576" s="118"/>
      <c r="BJ576" s="118"/>
      <c r="BK576" s="118"/>
      <c r="BL576" s="118"/>
      <c r="BM576" s="118"/>
      <c r="BN576" s="118"/>
      <c r="BO576" s="118"/>
      <c r="BP576" s="118"/>
      <c r="BQ576" s="118"/>
      <c r="BR576" s="118"/>
      <c r="BS576" s="118"/>
      <c r="BT576" s="118"/>
      <c r="BU576" s="118"/>
      <c r="BV576" s="118"/>
      <c r="BW576" s="118"/>
      <c r="BX576" s="118"/>
      <c r="BY576" s="118"/>
      <c r="BZ576" s="118"/>
      <c r="CA576" s="118"/>
      <c r="CB576" s="118"/>
      <c r="CC576" s="118"/>
      <c r="CD576" s="118"/>
      <c r="CE576" s="118"/>
      <c r="CF576" s="118"/>
      <c r="CG576" s="118"/>
      <c r="CH576" s="118"/>
      <c r="CI576" s="118"/>
      <c r="CJ576" s="118"/>
      <c r="CK576" s="118"/>
      <c r="CL576" s="118"/>
      <c r="CM576" s="118"/>
      <c r="CN576" s="648"/>
      <c r="CO576" s="635"/>
      <c r="CP576" s="570"/>
      <c r="CQ576" s="43"/>
      <c r="CR576" s="43"/>
      <c r="CS576" s="43"/>
      <c r="CT576" s="570"/>
      <c r="CU576" s="635"/>
      <c r="CV576" s="42">
        <f t="shared" si="402"/>
        <v>0</v>
      </c>
      <c r="CW576" s="635"/>
      <c r="CX576" s="635"/>
      <c r="CY576" s="635"/>
      <c r="CZ576" s="635"/>
      <c r="DA576" s="635"/>
      <c r="DB576" s="635"/>
      <c r="DC576" s="660"/>
      <c r="DD576" s="648"/>
      <c r="DE576" s="635"/>
      <c r="DF576" s="570"/>
      <c r="DG576" s="43"/>
      <c r="DH576" s="43"/>
      <c r="DI576" s="43"/>
      <c r="DJ576" s="570"/>
      <c r="DK576" s="635"/>
      <c r="DL576" s="42">
        <f t="shared" si="386"/>
        <v>0</v>
      </c>
      <c r="DM576" s="635"/>
      <c r="DN576" s="635"/>
      <c r="DO576" s="635"/>
      <c r="DP576" s="635"/>
      <c r="DQ576" s="635"/>
      <c r="DR576" s="635"/>
      <c r="DS576" s="660"/>
      <c r="DT576" s="118"/>
      <c r="DU576" s="19"/>
      <c r="DV576" s="19"/>
      <c r="DW576" s="19"/>
      <c r="DX576" s="19"/>
      <c r="DY576" s="19"/>
      <c r="DZ576" s="19"/>
    </row>
    <row r="577" spans="1:130" ht="12.75" x14ac:dyDescent="0.2">
      <c r="A577" s="647"/>
      <c r="B577" s="646">
        <v>46200</v>
      </c>
      <c r="C577" s="31"/>
      <c r="D577" s="31"/>
      <c r="E577" s="31"/>
      <c r="F577" s="31"/>
      <c r="G577" s="40"/>
      <c r="H577" s="653"/>
      <c r="I577" s="159">
        <f t="shared" si="403"/>
        <v>0</v>
      </c>
      <c r="J577" s="650">
        <f>SUM(I577:I582,H577)</f>
        <v>0</v>
      </c>
      <c r="K577" s="40"/>
      <c r="L577" s="40"/>
      <c r="M577" s="653"/>
      <c r="N577" s="653"/>
      <c r="O577" s="633">
        <f>SUM(M577:N582)</f>
        <v>0</v>
      </c>
      <c r="P577" s="653"/>
      <c r="Q577" s="636">
        <f>M577*60</f>
        <v>0</v>
      </c>
      <c r="R577" s="657">
        <f>IF(
   COUNTIF(K577:K582,"SI")&gt;0,
   1.8,
   IF(
      COUNTIF(L577:L582,"SI")&gt;0,
      1.6,
      2
   )
)</f>
        <v>2</v>
      </c>
      <c r="S577" s="658">
        <f>IF(Q577=0,0,J577/Q577)</f>
        <v>0</v>
      </c>
      <c r="T577" s="646">
        <v>46200</v>
      </c>
      <c r="U577" s="40"/>
      <c r="V577" s="31"/>
      <c r="W577" s="31"/>
      <c r="X577" s="31"/>
      <c r="Y577" s="31"/>
      <c r="Z577" s="653"/>
      <c r="AA577" s="51">
        <f t="shared" si="404"/>
        <v>0</v>
      </c>
      <c r="AB577" s="650">
        <f>SUM(AA577:AA582,Z577)</f>
        <v>0</v>
      </c>
      <c r="AC577" s="31"/>
      <c r="AD577" s="31"/>
      <c r="AE577" s="653"/>
      <c r="AF577" s="653"/>
      <c r="AG577" s="633">
        <f>SUM(AE577:AF582)</f>
        <v>0</v>
      </c>
      <c r="AH577" s="653">
        <v>1</v>
      </c>
      <c r="AI577" s="637">
        <f>AE577*60</f>
        <v>0</v>
      </c>
      <c r="AJ577" s="640">
        <f>IF(
   COUNTIF(AC577:AC582,"SI")&gt;0,
   1.8,
   IF(
      COUNTIF(AD577:AD582,"SI")&gt;0,
      1.6,
      2
   )
)</f>
        <v>2</v>
      </c>
      <c r="AK577" s="665">
        <f>IF(AI577=0,0,AB577/AI577)</f>
        <v>0</v>
      </c>
      <c r="AL577" s="646">
        <v>46200</v>
      </c>
      <c r="AM577" s="31"/>
      <c r="AN577" s="29"/>
      <c r="AO577" s="31"/>
      <c r="AP577" s="31"/>
      <c r="AQ577" s="40"/>
      <c r="AR577" s="653"/>
      <c r="AS577" s="159">
        <f t="shared" si="405"/>
        <v>0</v>
      </c>
      <c r="AT577" s="650">
        <f>SUM(AS577:AS582,AR577)</f>
        <v>0</v>
      </c>
      <c r="AU577" s="31"/>
      <c r="AV577" s="653"/>
      <c r="AW577" s="31"/>
      <c r="AX577" s="653">
        <v>3.5</v>
      </c>
      <c r="AY577" s="633">
        <f>SUM(AV577:AX582)</f>
        <v>3.5</v>
      </c>
      <c r="AZ577" s="653"/>
      <c r="BA577" s="636">
        <f>AV577*60</f>
        <v>0</v>
      </c>
      <c r="BB577" s="657">
        <f>IF(
   COUNTIF(AU577:AU582,"SI")&gt;0,
   1.8,
   IF(
      COUNTIF(AV577:AV582,"SI")&gt;0,
      1.6,
      2
   )
)</f>
        <v>2</v>
      </c>
      <c r="BC577" s="666">
        <f>IF(BA577=0,0,AT577/BA577)</f>
        <v>0</v>
      </c>
      <c r="BD577" s="118"/>
      <c r="BE577" s="118"/>
      <c r="BF577" s="118"/>
      <c r="BG577" s="118"/>
      <c r="BH577" s="118"/>
      <c r="BI577" s="118"/>
      <c r="BJ577" s="118"/>
      <c r="BK577" s="118"/>
      <c r="BL577" s="118"/>
      <c r="BM577" s="118"/>
      <c r="BN577" s="118"/>
      <c r="BO577" s="118"/>
      <c r="BP577" s="118"/>
      <c r="BQ577" s="118"/>
      <c r="BR577" s="118"/>
      <c r="BS577" s="118"/>
      <c r="BT577" s="118"/>
      <c r="BU577" s="118"/>
      <c r="BV577" s="118"/>
      <c r="BW577" s="118"/>
      <c r="BX577" s="118"/>
      <c r="BY577" s="118"/>
      <c r="BZ577" s="118"/>
      <c r="CA577" s="118"/>
      <c r="CB577" s="118"/>
      <c r="CC577" s="118"/>
      <c r="CD577" s="118"/>
      <c r="CE577" s="118"/>
      <c r="CF577" s="118"/>
      <c r="CG577" s="118"/>
      <c r="CH577" s="118"/>
      <c r="CI577" s="118"/>
      <c r="CJ577" s="118"/>
      <c r="CK577" s="118"/>
      <c r="CL577" s="118"/>
      <c r="CM577" s="118"/>
      <c r="CN577" s="785">
        <v>46200</v>
      </c>
      <c r="CO577" s="636" t="s">
        <v>45</v>
      </c>
      <c r="CP577" s="31"/>
      <c r="CQ577" s="31"/>
      <c r="CR577" s="31"/>
      <c r="CS577" s="31"/>
      <c r="CT577" s="40"/>
      <c r="CU577" s="653">
        <v>9</v>
      </c>
      <c r="CV577" s="32">
        <f t="shared" si="402"/>
        <v>0</v>
      </c>
      <c r="CW577" s="636">
        <f>SUM(CV577:CV579)</f>
        <v>0</v>
      </c>
      <c r="CX577" s="779"/>
      <c r="CY577" s="653">
        <v>2.64</v>
      </c>
      <c r="CZ577" s="656">
        <f>SUM(CX577:CY582)</f>
        <v>5.1300000000000008</v>
      </c>
      <c r="DA577" s="653"/>
      <c r="DB577" s="636">
        <v>2</v>
      </c>
      <c r="DC577" s="778">
        <f>IF(CX577=0,0,CW577/(CX577*60))</f>
        <v>0</v>
      </c>
      <c r="DD577" s="785">
        <v>46200</v>
      </c>
      <c r="DE577" s="636" t="s">
        <v>45</v>
      </c>
      <c r="DF577" s="31"/>
      <c r="DG577" s="31"/>
      <c r="DH577" s="31"/>
      <c r="DI577" s="31"/>
      <c r="DJ577" s="40"/>
      <c r="DK577" s="653"/>
      <c r="DL577" s="32">
        <f t="shared" si="386"/>
        <v>0</v>
      </c>
      <c r="DM577" s="636">
        <f>SUM(DL577:DL579)</f>
        <v>0</v>
      </c>
      <c r="DN577" s="779"/>
      <c r="DO577" s="653"/>
      <c r="DP577" s="656">
        <f>SUM(DN577:DO582)</f>
        <v>0</v>
      </c>
      <c r="DQ577" s="653"/>
      <c r="DR577" s="636">
        <v>2</v>
      </c>
      <c r="DS577" s="778">
        <f>IF(DN577=0,0,DM577/(DN577*60))</f>
        <v>0</v>
      </c>
      <c r="DT577" s="118"/>
      <c r="DU577" s="19"/>
      <c r="DV577" s="19"/>
      <c r="DW577" s="19"/>
      <c r="DX577" s="19"/>
      <c r="DY577" s="19"/>
      <c r="DZ577" s="19"/>
    </row>
    <row r="578" spans="1:130" ht="12.75" x14ac:dyDescent="0.2">
      <c r="A578" s="647"/>
      <c r="B578" s="647"/>
      <c r="C578" s="40"/>
      <c r="D578" s="40"/>
      <c r="E578" s="40"/>
      <c r="F578" s="40"/>
      <c r="G578" s="40"/>
      <c r="H578" s="634"/>
      <c r="I578" s="159"/>
      <c r="J578" s="634"/>
      <c r="K578" s="40"/>
      <c r="L578" s="40"/>
      <c r="M578" s="634"/>
      <c r="N578" s="634"/>
      <c r="O578" s="634"/>
      <c r="P578" s="634"/>
      <c r="Q578" s="634"/>
      <c r="R578" s="634"/>
      <c r="S578" s="659"/>
      <c r="T578" s="647"/>
      <c r="U578" s="40"/>
      <c r="V578" s="31"/>
      <c r="W578" s="31"/>
      <c r="X578" s="31"/>
      <c r="Y578" s="31"/>
      <c r="Z578" s="634"/>
      <c r="AA578" s="51"/>
      <c r="AB578" s="634"/>
      <c r="AC578" s="31"/>
      <c r="AD578" s="31"/>
      <c r="AE578" s="634"/>
      <c r="AF578" s="634"/>
      <c r="AG578" s="634"/>
      <c r="AH578" s="634"/>
      <c r="AI578" s="638"/>
      <c r="AJ578" s="634"/>
      <c r="AK578" s="642"/>
      <c r="AL578" s="647"/>
      <c r="AM578" s="31"/>
      <c r="AN578" s="31"/>
      <c r="AO578" s="31"/>
      <c r="AP578" s="31"/>
      <c r="AQ578" s="31"/>
      <c r="AR578" s="634"/>
      <c r="AS578" s="159"/>
      <c r="AT578" s="634"/>
      <c r="AU578" s="31"/>
      <c r="AV578" s="634"/>
      <c r="AW578" s="40"/>
      <c r="AX578" s="634"/>
      <c r="AY578" s="634"/>
      <c r="AZ578" s="634"/>
      <c r="BA578" s="634"/>
      <c r="BB578" s="634"/>
      <c r="BC578" s="634"/>
      <c r="BD578" s="118"/>
      <c r="BE578" s="118"/>
      <c r="BF578" s="118"/>
      <c r="BG578" s="118"/>
      <c r="BH578" s="118"/>
      <c r="BI578" s="118"/>
      <c r="BJ578" s="118"/>
      <c r="BK578" s="118"/>
      <c r="BL578" s="118"/>
      <c r="BM578" s="118"/>
      <c r="BN578" s="118"/>
      <c r="BO578" s="118"/>
      <c r="BP578" s="118"/>
      <c r="BQ578" s="118"/>
      <c r="BR578" s="118"/>
      <c r="BS578" s="118"/>
      <c r="BT578" s="118"/>
      <c r="BU578" s="118"/>
      <c r="BV578" s="118"/>
      <c r="BW578" s="118"/>
      <c r="BX578" s="118"/>
      <c r="BY578" s="118"/>
      <c r="BZ578" s="118"/>
      <c r="CA578" s="118"/>
      <c r="CB578" s="118"/>
      <c r="CC578" s="118"/>
      <c r="CD578" s="118"/>
      <c r="CE578" s="118"/>
      <c r="CF578" s="118"/>
      <c r="CG578" s="118"/>
      <c r="CH578" s="118"/>
      <c r="CI578" s="118"/>
      <c r="CJ578" s="118"/>
      <c r="CK578" s="118"/>
      <c r="CL578" s="118"/>
      <c r="CM578" s="118"/>
      <c r="CN578" s="647"/>
      <c r="CO578" s="634"/>
      <c r="CP578" s="31"/>
      <c r="CQ578" s="31"/>
      <c r="CR578" s="31"/>
      <c r="CS578" s="31"/>
      <c r="CT578" s="31"/>
      <c r="CU578" s="634"/>
      <c r="CV578" s="32">
        <f t="shared" si="402"/>
        <v>0</v>
      </c>
      <c r="CW578" s="634"/>
      <c r="CX578" s="634"/>
      <c r="CY578" s="634"/>
      <c r="CZ578" s="634"/>
      <c r="DA578" s="634"/>
      <c r="DB578" s="634"/>
      <c r="DC578" s="659"/>
      <c r="DD578" s="647"/>
      <c r="DE578" s="634"/>
      <c r="DF578" s="31"/>
      <c r="DG578" s="31"/>
      <c r="DH578" s="31"/>
      <c r="DI578" s="31"/>
      <c r="DJ578" s="31"/>
      <c r="DK578" s="634"/>
      <c r="DL578" s="32">
        <f t="shared" si="386"/>
        <v>0</v>
      </c>
      <c r="DM578" s="634"/>
      <c r="DN578" s="634"/>
      <c r="DO578" s="634"/>
      <c r="DP578" s="634"/>
      <c r="DQ578" s="634"/>
      <c r="DR578" s="634"/>
      <c r="DS578" s="659"/>
      <c r="DT578" s="118"/>
      <c r="DU578" s="19"/>
      <c r="DV578" s="19"/>
      <c r="DW578" s="19"/>
      <c r="DX578" s="19"/>
      <c r="DY578" s="19"/>
      <c r="DZ578" s="19"/>
    </row>
    <row r="579" spans="1:130" ht="12.75" x14ac:dyDescent="0.2">
      <c r="A579" s="647"/>
      <c r="B579" s="647"/>
      <c r="C579" s="40"/>
      <c r="D579" s="40"/>
      <c r="E579" s="40"/>
      <c r="F579" s="40"/>
      <c r="G579" s="40"/>
      <c r="H579" s="634"/>
      <c r="I579" s="159"/>
      <c r="J579" s="634"/>
      <c r="K579" s="40"/>
      <c r="L579" s="40"/>
      <c r="M579" s="634"/>
      <c r="N579" s="634"/>
      <c r="O579" s="634"/>
      <c r="P579" s="634"/>
      <c r="Q579" s="634"/>
      <c r="R579" s="634"/>
      <c r="S579" s="659"/>
      <c r="T579" s="647"/>
      <c r="U579" s="40"/>
      <c r="V579" s="31"/>
      <c r="W579" s="31"/>
      <c r="X579" s="31"/>
      <c r="Y579" s="31"/>
      <c r="Z579" s="634"/>
      <c r="AA579" s="51"/>
      <c r="AB579" s="634"/>
      <c r="AC579" s="31"/>
      <c r="AD579" s="31"/>
      <c r="AE579" s="634"/>
      <c r="AF579" s="634"/>
      <c r="AG579" s="634"/>
      <c r="AH579" s="634"/>
      <c r="AI579" s="638"/>
      <c r="AJ579" s="634"/>
      <c r="AK579" s="642"/>
      <c r="AL579" s="647"/>
      <c r="AM579" s="31"/>
      <c r="AN579" s="31"/>
      <c r="AO579" s="31"/>
      <c r="AP579" s="31"/>
      <c r="AQ579" s="31"/>
      <c r="AR579" s="634"/>
      <c r="AS579" s="159"/>
      <c r="AT579" s="634"/>
      <c r="AU579" s="31"/>
      <c r="AV579" s="634"/>
      <c r="AW579" s="40"/>
      <c r="AX579" s="634"/>
      <c r="AY579" s="634"/>
      <c r="AZ579" s="634"/>
      <c r="BA579" s="634"/>
      <c r="BB579" s="634"/>
      <c r="BC579" s="634"/>
      <c r="BD579" s="118"/>
      <c r="BE579" s="118"/>
      <c r="BF579" s="118"/>
      <c r="BG579" s="118"/>
      <c r="BH579" s="118"/>
      <c r="BI579" s="118"/>
      <c r="BJ579" s="118"/>
      <c r="BK579" s="118"/>
      <c r="BL579" s="118"/>
      <c r="BM579" s="118"/>
      <c r="BN579" s="118"/>
      <c r="BO579" s="118"/>
      <c r="BP579" s="118"/>
      <c r="BQ579" s="118"/>
      <c r="BR579" s="118"/>
      <c r="BS579" s="118"/>
      <c r="BT579" s="118"/>
      <c r="BU579" s="118"/>
      <c r="BV579" s="118"/>
      <c r="BW579" s="118"/>
      <c r="BX579" s="118"/>
      <c r="BY579" s="118"/>
      <c r="BZ579" s="118"/>
      <c r="CA579" s="118"/>
      <c r="CB579" s="118"/>
      <c r="CC579" s="118"/>
      <c r="CD579" s="118"/>
      <c r="CE579" s="118"/>
      <c r="CF579" s="118"/>
      <c r="CG579" s="118"/>
      <c r="CH579" s="118"/>
      <c r="CI579" s="118"/>
      <c r="CJ579" s="118"/>
      <c r="CK579" s="118"/>
      <c r="CL579" s="118"/>
      <c r="CM579" s="118"/>
      <c r="CN579" s="647"/>
      <c r="CO579" s="772"/>
      <c r="CP579" s="33"/>
      <c r="CQ579" s="33"/>
      <c r="CR579" s="33"/>
      <c r="CS579" s="33"/>
      <c r="CT579" s="33"/>
      <c r="CU579" s="634"/>
      <c r="CV579" s="32">
        <f t="shared" si="402"/>
        <v>0</v>
      </c>
      <c r="CW579" s="635"/>
      <c r="CX579" s="635"/>
      <c r="CY579" s="634"/>
      <c r="CZ579" s="634"/>
      <c r="DA579" s="634"/>
      <c r="DB579" s="635"/>
      <c r="DC579" s="660"/>
      <c r="DD579" s="647"/>
      <c r="DE579" s="772"/>
      <c r="DF579" s="33"/>
      <c r="DG579" s="33"/>
      <c r="DH579" s="33"/>
      <c r="DI579" s="33"/>
      <c r="DJ579" s="33"/>
      <c r="DK579" s="634"/>
      <c r="DL579" s="32">
        <f t="shared" si="386"/>
        <v>0</v>
      </c>
      <c r="DM579" s="635"/>
      <c r="DN579" s="635"/>
      <c r="DO579" s="634"/>
      <c r="DP579" s="634"/>
      <c r="DQ579" s="634"/>
      <c r="DR579" s="635"/>
      <c r="DS579" s="660"/>
      <c r="DT579" s="118"/>
      <c r="DU579" s="19"/>
      <c r="DV579" s="19"/>
      <c r="DW579" s="19"/>
      <c r="DX579" s="19"/>
      <c r="DY579" s="19"/>
      <c r="DZ579" s="19"/>
    </row>
    <row r="580" spans="1:130" ht="12.75" x14ac:dyDescent="0.2">
      <c r="A580" s="647"/>
      <c r="B580" s="647"/>
      <c r="C580" s="40"/>
      <c r="D580" s="40"/>
      <c r="E580" s="40"/>
      <c r="F580" s="40"/>
      <c r="G580" s="40"/>
      <c r="H580" s="634"/>
      <c r="I580" s="159">
        <f t="shared" ref="I580:I582" si="406">IF(E580=0,0,F580-E580+1-G580)</f>
        <v>0</v>
      </c>
      <c r="J580" s="634"/>
      <c r="K580" s="40"/>
      <c r="L580" s="40"/>
      <c r="M580" s="634"/>
      <c r="N580" s="634"/>
      <c r="O580" s="634"/>
      <c r="P580" s="634"/>
      <c r="Q580" s="634"/>
      <c r="R580" s="634"/>
      <c r="S580" s="659"/>
      <c r="T580" s="647"/>
      <c r="U580" s="40"/>
      <c r="V580" s="31"/>
      <c r="W580" s="31"/>
      <c r="X580" s="31"/>
      <c r="Y580" s="31"/>
      <c r="Z580" s="634"/>
      <c r="AA580" s="51">
        <f t="shared" ref="AA580:AA582" si="407">IF(X580=0,0,X580-W580+1-Y580)</f>
        <v>0</v>
      </c>
      <c r="AB580" s="634"/>
      <c r="AC580" s="31"/>
      <c r="AD580" s="31"/>
      <c r="AE580" s="634"/>
      <c r="AF580" s="634"/>
      <c r="AG580" s="634"/>
      <c r="AH580" s="634"/>
      <c r="AI580" s="638"/>
      <c r="AJ580" s="634"/>
      <c r="AK580" s="642"/>
      <c r="AL580" s="647"/>
      <c r="AM580" s="31"/>
      <c r="AN580" s="31"/>
      <c r="AO580" s="31"/>
      <c r="AP580" s="31"/>
      <c r="AQ580" s="31"/>
      <c r="AR580" s="634"/>
      <c r="AS580" s="159"/>
      <c r="AT580" s="634"/>
      <c r="AU580" s="31"/>
      <c r="AV580" s="634"/>
      <c r="AW580" s="40"/>
      <c r="AX580" s="634"/>
      <c r="AY580" s="634"/>
      <c r="AZ580" s="634"/>
      <c r="BA580" s="634"/>
      <c r="BB580" s="634"/>
      <c r="BC580" s="634"/>
      <c r="BD580" s="118"/>
      <c r="BE580" s="118"/>
      <c r="BF580" s="118"/>
      <c r="BG580" s="118"/>
      <c r="BH580" s="118"/>
      <c r="BI580" s="118"/>
      <c r="BJ580" s="118"/>
      <c r="BK580" s="118"/>
      <c r="BL580" s="118"/>
      <c r="BM580" s="118"/>
      <c r="BN580" s="118"/>
      <c r="BO580" s="118"/>
      <c r="BP580" s="118"/>
      <c r="BQ580" s="118"/>
      <c r="BR580" s="118"/>
      <c r="BS580" s="118"/>
      <c r="BT580" s="118"/>
      <c r="BU580" s="118"/>
      <c r="BV580" s="118"/>
      <c r="BW580" s="118"/>
      <c r="BX580" s="118"/>
      <c r="BY580" s="118"/>
      <c r="BZ580" s="118"/>
      <c r="CA580" s="118"/>
      <c r="CB580" s="118"/>
      <c r="CC580" s="118"/>
      <c r="CD580" s="118"/>
      <c r="CE580" s="118"/>
      <c r="CF580" s="118"/>
      <c r="CG580" s="118"/>
      <c r="CH580" s="118"/>
      <c r="CI580" s="118"/>
      <c r="CJ580" s="118"/>
      <c r="CK580" s="118"/>
      <c r="CL580" s="118"/>
      <c r="CM580" s="118"/>
      <c r="CN580" s="647"/>
      <c r="CO580" s="788" t="s">
        <v>46</v>
      </c>
      <c r="CP580" s="35"/>
      <c r="CQ580" s="35">
        <v>608</v>
      </c>
      <c r="CR580" s="35">
        <v>5035</v>
      </c>
      <c r="CS580" s="35">
        <v>5162</v>
      </c>
      <c r="CT580" s="35"/>
      <c r="CU580" s="634"/>
      <c r="CV580" s="32">
        <f t="shared" si="402"/>
        <v>128</v>
      </c>
      <c r="CW580" s="636">
        <f>SUM(CV580:CV582)</f>
        <v>128</v>
      </c>
      <c r="CX580" s="653">
        <v>2.4900000000000002</v>
      </c>
      <c r="CY580" s="634"/>
      <c r="CZ580" s="634"/>
      <c r="DA580" s="634"/>
      <c r="DB580" s="636">
        <v>1.8</v>
      </c>
      <c r="DC580" s="790">
        <f>IF(CX580=0,0,CW580/(CX580*60))</f>
        <v>0.85676037483266398</v>
      </c>
      <c r="DD580" s="647"/>
      <c r="DE580" s="788" t="s">
        <v>46</v>
      </c>
      <c r="DF580" s="35"/>
      <c r="DG580" s="35"/>
      <c r="DH580" s="35"/>
      <c r="DI580" s="35"/>
      <c r="DJ580" s="35"/>
      <c r="DK580" s="634"/>
      <c r="DL580" s="32">
        <f t="shared" si="386"/>
        <v>0</v>
      </c>
      <c r="DM580" s="636">
        <f>SUM(DL580:DL582)</f>
        <v>0</v>
      </c>
      <c r="DN580" s="653"/>
      <c r="DO580" s="634"/>
      <c r="DP580" s="634"/>
      <c r="DQ580" s="634"/>
      <c r="DR580" s="636">
        <v>1.8</v>
      </c>
      <c r="DS580" s="778">
        <f>IF(DN580=0,0,DM580/(DN580*60))</f>
        <v>0</v>
      </c>
      <c r="DT580" s="118"/>
      <c r="DU580" s="19"/>
      <c r="DV580" s="19"/>
      <c r="DW580" s="19"/>
      <c r="DX580" s="19"/>
      <c r="DY580" s="19"/>
      <c r="DZ580" s="19"/>
    </row>
    <row r="581" spans="1:130" ht="12.75" x14ac:dyDescent="0.2">
      <c r="A581" s="647"/>
      <c r="B581" s="647"/>
      <c r="C581" s="40"/>
      <c r="D581" s="40"/>
      <c r="E581" s="40"/>
      <c r="F581" s="40"/>
      <c r="G581" s="40"/>
      <c r="H581" s="634"/>
      <c r="I581" s="159">
        <f t="shared" si="406"/>
        <v>0</v>
      </c>
      <c r="J581" s="634"/>
      <c r="K581" s="40"/>
      <c r="L581" s="40"/>
      <c r="M581" s="634"/>
      <c r="N581" s="634"/>
      <c r="O581" s="634"/>
      <c r="P581" s="634"/>
      <c r="Q581" s="634"/>
      <c r="R581" s="634"/>
      <c r="S581" s="659"/>
      <c r="T581" s="647"/>
      <c r="U581" s="40"/>
      <c r="V581" s="31"/>
      <c r="W581" s="31"/>
      <c r="X581" s="31"/>
      <c r="Y581" s="31"/>
      <c r="Z581" s="634"/>
      <c r="AA581" s="51">
        <f t="shared" si="407"/>
        <v>0</v>
      </c>
      <c r="AB581" s="634"/>
      <c r="AC581" s="31"/>
      <c r="AD581" s="31"/>
      <c r="AE581" s="634"/>
      <c r="AF581" s="634"/>
      <c r="AG581" s="634"/>
      <c r="AH581" s="634"/>
      <c r="AI581" s="638"/>
      <c r="AJ581" s="634"/>
      <c r="AK581" s="642"/>
      <c r="AL581" s="647"/>
      <c r="AM581" s="40"/>
      <c r="AN581" s="40"/>
      <c r="AO581" s="40"/>
      <c r="AP581" s="40"/>
      <c r="AQ581" s="40"/>
      <c r="AR581" s="634"/>
      <c r="AS581" s="159"/>
      <c r="AT581" s="634"/>
      <c r="AU581" s="40"/>
      <c r="AV581" s="634"/>
      <c r="AW581" s="40"/>
      <c r="AX581" s="634"/>
      <c r="AY581" s="634"/>
      <c r="AZ581" s="634"/>
      <c r="BA581" s="634"/>
      <c r="BB581" s="634"/>
      <c r="BC581" s="634"/>
      <c r="BD581" s="118"/>
      <c r="BE581" s="118"/>
      <c r="BF581" s="118"/>
      <c r="BG581" s="118"/>
      <c r="BH581" s="118"/>
      <c r="BI581" s="118"/>
      <c r="BJ581" s="118"/>
      <c r="BK581" s="118"/>
      <c r="BL581" s="118"/>
      <c r="BM581" s="118"/>
      <c r="BN581" s="118"/>
      <c r="BO581" s="118"/>
      <c r="BP581" s="118"/>
      <c r="BQ581" s="118"/>
      <c r="BR581" s="118"/>
      <c r="BS581" s="118"/>
      <c r="BT581" s="118"/>
      <c r="BU581" s="118"/>
      <c r="BV581" s="118"/>
      <c r="BW581" s="118"/>
      <c r="BX581" s="118"/>
      <c r="BY581" s="118"/>
      <c r="BZ581" s="118"/>
      <c r="CA581" s="118"/>
      <c r="CB581" s="118"/>
      <c r="CC581" s="118"/>
      <c r="CD581" s="118"/>
      <c r="CE581" s="118"/>
      <c r="CF581" s="118"/>
      <c r="CG581" s="118"/>
      <c r="CH581" s="118"/>
      <c r="CI581" s="118"/>
      <c r="CJ581" s="118"/>
      <c r="CK581" s="118"/>
      <c r="CL581" s="118"/>
      <c r="CM581" s="118"/>
      <c r="CN581" s="647"/>
      <c r="CO581" s="634"/>
      <c r="CP581" s="40"/>
      <c r="CQ581" s="40"/>
      <c r="CR581" s="40"/>
      <c r="CS581" s="40"/>
      <c r="CT581" s="40"/>
      <c r="CU581" s="634"/>
      <c r="CV581" s="32">
        <f t="shared" si="402"/>
        <v>0</v>
      </c>
      <c r="CW581" s="634"/>
      <c r="CX581" s="634"/>
      <c r="CY581" s="634"/>
      <c r="CZ581" s="634"/>
      <c r="DA581" s="634"/>
      <c r="DB581" s="634"/>
      <c r="DC581" s="659"/>
      <c r="DD581" s="647"/>
      <c r="DE581" s="634"/>
      <c r="DF581" s="40"/>
      <c r="DG581" s="40"/>
      <c r="DH581" s="40"/>
      <c r="DI581" s="40"/>
      <c r="DJ581" s="40"/>
      <c r="DK581" s="634"/>
      <c r="DL581" s="32">
        <f t="shared" si="386"/>
        <v>0</v>
      </c>
      <c r="DM581" s="634"/>
      <c r="DN581" s="634"/>
      <c r="DO581" s="634"/>
      <c r="DP581" s="634"/>
      <c r="DQ581" s="634"/>
      <c r="DR581" s="634"/>
      <c r="DS581" s="659"/>
      <c r="DT581" s="118"/>
      <c r="DU581" s="19"/>
      <c r="DV581" s="19"/>
      <c r="DW581" s="19"/>
      <c r="DX581" s="19"/>
      <c r="DY581" s="19"/>
      <c r="DZ581" s="19"/>
    </row>
    <row r="582" spans="1:130" ht="12.75" x14ac:dyDescent="0.2">
      <c r="A582" s="648"/>
      <c r="B582" s="648"/>
      <c r="C582" s="40"/>
      <c r="D582" s="40"/>
      <c r="E582" s="40"/>
      <c r="F582" s="40"/>
      <c r="G582" s="40"/>
      <c r="H582" s="635"/>
      <c r="I582" s="159">
        <f t="shared" si="406"/>
        <v>0</v>
      </c>
      <c r="J582" s="635"/>
      <c r="K582" s="40"/>
      <c r="L582" s="40"/>
      <c r="M582" s="635"/>
      <c r="N582" s="635"/>
      <c r="O582" s="635"/>
      <c r="P582" s="635"/>
      <c r="Q582" s="635"/>
      <c r="R582" s="635"/>
      <c r="S582" s="660"/>
      <c r="T582" s="648"/>
      <c r="U582" s="40"/>
      <c r="V582" s="40"/>
      <c r="W582" s="40"/>
      <c r="X582" s="40"/>
      <c r="Y582" s="40"/>
      <c r="Z582" s="635"/>
      <c r="AA582" s="51">
        <f t="shared" si="407"/>
        <v>0</v>
      </c>
      <c r="AB582" s="635"/>
      <c r="AC582" s="40"/>
      <c r="AD582" s="40"/>
      <c r="AE582" s="635"/>
      <c r="AF582" s="635"/>
      <c r="AG582" s="635"/>
      <c r="AH582" s="635"/>
      <c r="AI582" s="639"/>
      <c r="AJ582" s="635"/>
      <c r="AK582" s="643"/>
      <c r="AL582" s="648"/>
      <c r="AM582" s="40"/>
      <c r="AN582" s="40"/>
      <c r="AO582" s="40"/>
      <c r="AP582" s="40"/>
      <c r="AQ582" s="40"/>
      <c r="AR582" s="635"/>
      <c r="AS582" s="159"/>
      <c r="AT582" s="635"/>
      <c r="AU582" s="40"/>
      <c r="AV582" s="635"/>
      <c r="AW582" s="40"/>
      <c r="AX582" s="635"/>
      <c r="AY582" s="635"/>
      <c r="AZ582" s="635"/>
      <c r="BA582" s="635"/>
      <c r="BB582" s="635"/>
      <c r="BC582" s="635"/>
      <c r="BD582" s="118"/>
      <c r="BE582" s="118"/>
      <c r="BF582" s="118"/>
      <c r="BG582" s="118"/>
      <c r="BH582" s="118"/>
      <c r="BI582" s="118"/>
      <c r="BJ582" s="118"/>
      <c r="BK582" s="118"/>
      <c r="BL582" s="118"/>
      <c r="BM582" s="118"/>
      <c r="BN582" s="118"/>
      <c r="BO582" s="118"/>
      <c r="BP582" s="118"/>
      <c r="BQ582" s="118"/>
      <c r="BR582" s="118"/>
      <c r="BS582" s="118"/>
      <c r="BT582" s="118"/>
      <c r="BU582" s="118"/>
      <c r="BV582" s="118"/>
      <c r="BW582" s="118"/>
      <c r="BX582" s="118"/>
      <c r="BY582" s="118"/>
      <c r="BZ582" s="118"/>
      <c r="CA582" s="118"/>
      <c r="CB582" s="118"/>
      <c r="CC582" s="118"/>
      <c r="CD582" s="118"/>
      <c r="CE582" s="118"/>
      <c r="CF582" s="118"/>
      <c r="CG582" s="118"/>
      <c r="CH582" s="118"/>
      <c r="CI582" s="118"/>
      <c r="CJ582" s="118"/>
      <c r="CK582" s="118"/>
      <c r="CL582" s="118"/>
      <c r="CM582" s="118"/>
      <c r="CN582" s="648"/>
      <c r="CO582" s="635"/>
      <c r="CP582" s="40"/>
      <c r="CQ582" s="40"/>
      <c r="CR582" s="40"/>
      <c r="CS582" s="40"/>
      <c r="CT582" s="40"/>
      <c r="CU582" s="635"/>
      <c r="CV582" s="32">
        <f t="shared" si="402"/>
        <v>0</v>
      </c>
      <c r="CW582" s="634"/>
      <c r="CX582" s="635"/>
      <c r="CY582" s="635"/>
      <c r="CZ582" s="635"/>
      <c r="DA582" s="635"/>
      <c r="DB582" s="635"/>
      <c r="DC582" s="660"/>
      <c r="DD582" s="648"/>
      <c r="DE582" s="635"/>
      <c r="DF582" s="40"/>
      <c r="DG582" s="40"/>
      <c r="DH582" s="40"/>
      <c r="DI582" s="40"/>
      <c r="DJ582" s="40"/>
      <c r="DK582" s="635"/>
      <c r="DL582" s="32">
        <f t="shared" si="386"/>
        <v>0</v>
      </c>
      <c r="DM582" s="634"/>
      <c r="DN582" s="635"/>
      <c r="DO582" s="635"/>
      <c r="DP582" s="635"/>
      <c r="DQ582" s="635"/>
      <c r="DR582" s="635"/>
      <c r="DS582" s="660"/>
      <c r="DT582" s="118"/>
      <c r="DU582" s="19"/>
      <c r="DV582" s="19"/>
      <c r="DW582" s="19"/>
      <c r="DX582" s="19"/>
      <c r="DY582" s="19"/>
      <c r="DZ582" s="19"/>
    </row>
    <row r="583" spans="1:130" ht="12.75" x14ac:dyDescent="0.2">
      <c r="A583" s="166"/>
      <c r="B583" s="167" t="s">
        <v>40</v>
      </c>
      <c r="C583" s="168">
        <f>SUM(C547:C582)</f>
        <v>0</v>
      </c>
      <c r="D583" s="168" t="s">
        <v>49</v>
      </c>
      <c r="E583" s="168" t="s">
        <v>49</v>
      </c>
      <c r="F583" s="168" t="s">
        <v>49</v>
      </c>
      <c r="G583" s="168">
        <f t="shared" ref="G583:J583" si="408">SUM(G547:G582)</f>
        <v>0</v>
      </c>
      <c r="H583" s="168">
        <f t="shared" si="408"/>
        <v>0</v>
      </c>
      <c r="I583" s="168">
        <f t="shared" si="408"/>
        <v>0</v>
      </c>
      <c r="J583" s="168">
        <f t="shared" si="408"/>
        <v>0</v>
      </c>
      <c r="K583" s="168" t="s">
        <v>49</v>
      </c>
      <c r="L583" s="168"/>
      <c r="M583" s="168">
        <f>SUM(M547:M582)</f>
        <v>0</v>
      </c>
      <c r="N583" s="168">
        <f>SUM(N547:N576)</f>
        <v>0</v>
      </c>
      <c r="O583" s="169">
        <f t="shared" ref="O583:Q583" si="409">SUM(O547:O582)</f>
        <v>0</v>
      </c>
      <c r="P583" s="168">
        <f t="shared" si="409"/>
        <v>0</v>
      </c>
      <c r="Q583" s="168">
        <f t="shared" si="409"/>
        <v>0</v>
      </c>
      <c r="R583" s="170"/>
      <c r="S583" s="171">
        <f>AVERAGE(S559:S570)</f>
        <v>0</v>
      </c>
      <c r="T583" s="167" t="s">
        <v>40</v>
      </c>
      <c r="U583" s="168">
        <f>SUM(U547:U582)</f>
        <v>0</v>
      </c>
      <c r="V583" s="168" t="s">
        <v>49</v>
      </c>
      <c r="W583" s="168" t="s">
        <v>49</v>
      </c>
      <c r="X583" s="168" t="s">
        <v>49</v>
      </c>
      <c r="Y583" s="168">
        <f t="shared" ref="Y583:AB583" si="410">SUM(Y547:Y582)</f>
        <v>0</v>
      </c>
      <c r="Z583" s="168">
        <f t="shared" si="410"/>
        <v>13</v>
      </c>
      <c r="AA583" s="168">
        <f t="shared" si="410"/>
        <v>496</v>
      </c>
      <c r="AB583" s="168">
        <f t="shared" si="410"/>
        <v>509</v>
      </c>
      <c r="AC583" s="168" t="s">
        <v>49</v>
      </c>
      <c r="AD583" s="168" t="s">
        <v>49</v>
      </c>
      <c r="AE583" s="168">
        <f t="shared" ref="AE583:AI583" si="411">SUM(AE547:AE582)</f>
        <v>5</v>
      </c>
      <c r="AF583" s="168">
        <f t="shared" si="411"/>
        <v>19</v>
      </c>
      <c r="AG583" s="169">
        <f t="shared" si="411"/>
        <v>24</v>
      </c>
      <c r="AH583" s="168">
        <f t="shared" si="411"/>
        <v>1.5</v>
      </c>
      <c r="AI583" s="168">
        <f t="shared" si="411"/>
        <v>300</v>
      </c>
      <c r="AJ583" s="467"/>
      <c r="AK583" s="171">
        <f t="shared" ref="AK583:AK584" si="412">IF(AI583=0,0,AB583/AI583)</f>
        <v>1.6966666666666668</v>
      </c>
      <c r="AL583" s="167" t="s">
        <v>40</v>
      </c>
      <c r="AM583" s="168">
        <f>SUM(AM547:AM582)</f>
        <v>0</v>
      </c>
      <c r="AN583" s="168" t="s">
        <v>49</v>
      </c>
      <c r="AO583" s="168" t="s">
        <v>49</v>
      </c>
      <c r="AP583" s="168" t="s">
        <v>49</v>
      </c>
      <c r="AQ583" s="168">
        <f t="shared" ref="AQ583:AT583" si="413">SUM(AQ547:AQ582)</f>
        <v>5</v>
      </c>
      <c r="AR583" s="168">
        <f t="shared" si="413"/>
        <v>13</v>
      </c>
      <c r="AS583" s="168">
        <f t="shared" si="413"/>
        <v>148</v>
      </c>
      <c r="AT583" s="168">
        <f t="shared" si="413"/>
        <v>161</v>
      </c>
      <c r="AU583" s="168" t="s">
        <v>49</v>
      </c>
      <c r="AV583" s="168">
        <f>SUM(AV547:AV582)</f>
        <v>1.1000000000000001</v>
      </c>
      <c r="AW583" s="168"/>
      <c r="AX583" s="172">
        <f t="shared" ref="AX583:BA583" si="414">SUM(AX547:AX582)</f>
        <v>29.4</v>
      </c>
      <c r="AY583" s="173">
        <f t="shared" si="414"/>
        <v>30.5</v>
      </c>
      <c r="AZ583" s="172">
        <f t="shared" si="414"/>
        <v>1.5</v>
      </c>
      <c r="BA583" s="168">
        <f t="shared" si="414"/>
        <v>66</v>
      </c>
      <c r="BB583" s="170"/>
      <c r="BC583" s="547">
        <f t="shared" ref="BC583:BC584" si="415">IF(BA583=0,0,AT583/BA583)</f>
        <v>2.4393939393939394</v>
      </c>
      <c r="BD583" s="118"/>
      <c r="BE583" s="118"/>
      <c r="BF583" s="118"/>
      <c r="BG583" s="118"/>
      <c r="BH583" s="118"/>
      <c r="BI583" s="118"/>
      <c r="BJ583" s="118"/>
      <c r="BK583" s="118"/>
      <c r="BL583" s="118"/>
      <c r="BM583" s="118"/>
      <c r="BN583" s="118"/>
      <c r="BO583" s="118"/>
      <c r="BP583" s="118"/>
      <c r="BQ583" s="118"/>
      <c r="BR583" s="118"/>
      <c r="BS583" s="118"/>
      <c r="BT583" s="118"/>
      <c r="BU583" s="118"/>
      <c r="BV583" s="118"/>
      <c r="BW583" s="118"/>
      <c r="BX583" s="118"/>
      <c r="BY583" s="118"/>
      <c r="BZ583" s="118"/>
      <c r="CA583" s="118"/>
      <c r="CB583" s="118"/>
      <c r="CC583" s="118"/>
      <c r="CD583" s="118"/>
      <c r="CE583" s="118"/>
      <c r="CF583" s="118"/>
      <c r="CG583" s="118"/>
      <c r="CH583" s="118"/>
      <c r="CI583" s="118"/>
      <c r="CJ583" s="118"/>
      <c r="CK583" s="118"/>
      <c r="CL583" s="118"/>
      <c r="CM583" s="118"/>
      <c r="CN583" s="167" t="s">
        <v>40</v>
      </c>
      <c r="CO583" s="168">
        <f t="shared" ref="CO583:CP583" si="416">SUM(CO547:CO582)</f>
        <v>0</v>
      </c>
      <c r="CP583" s="168">
        <f t="shared" si="416"/>
        <v>39</v>
      </c>
      <c r="CQ583" s="168" t="s">
        <v>49</v>
      </c>
      <c r="CR583" s="168" t="s">
        <v>49</v>
      </c>
      <c r="CS583" s="168" t="s">
        <v>49</v>
      </c>
      <c r="CT583" s="168">
        <f t="shared" ref="CT583:DA583" si="417">SUM(CT547:CT582)</f>
        <v>18</v>
      </c>
      <c r="CU583" s="168">
        <f t="shared" si="417"/>
        <v>9</v>
      </c>
      <c r="CV583" s="168">
        <f t="shared" si="417"/>
        <v>1200</v>
      </c>
      <c r="CW583" s="168">
        <f t="shared" si="417"/>
        <v>1200</v>
      </c>
      <c r="CX583" s="57">
        <f t="shared" si="417"/>
        <v>21.21</v>
      </c>
      <c r="CY583" s="172">
        <f t="shared" si="417"/>
        <v>4.1400000000000006</v>
      </c>
      <c r="CZ583" s="173">
        <f t="shared" si="417"/>
        <v>25.35</v>
      </c>
      <c r="DA583" s="172">
        <f t="shared" si="417"/>
        <v>0</v>
      </c>
      <c r="DB583" s="170"/>
      <c r="DC583" s="579">
        <f t="shared" ref="DC583:DC584" si="418">IF(CX583=0,0,CW583/(CX583*60))</f>
        <v>0.94295143800094283</v>
      </c>
      <c r="DD583" s="167" t="s">
        <v>40</v>
      </c>
      <c r="DE583" s="168">
        <f t="shared" ref="DE583:DF583" si="419">SUM(DE547:DE582)</f>
        <v>0</v>
      </c>
      <c r="DF583" s="168">
        <f t="shared" si="419"/>
        <v>0</v>
      </c>
      <c r="DG583" s="168" t="s">
        <v>49</v>
      </c>
      <c r="DH583" s="168" t="s">
        <v>49</v>
      </c>
      <c r="DI583" s="168" t="s">
        <v>49</v>
      </c>
      <c r="DJ583" s="168">
        <f t="shared" ref="DJ583:DQ583" si="420">SUM(DJ547:DJ582)</f>
        <v>73</v>
      </c>
      <c r="DK583" s="168">
        <f t="shared" si="420"/>
        <v>0</v>
      </c>
      <c r="DL583" s="168">
        <f t="shared" si="420"/>
        <v>1070</v>
      </c>
      <c r="DM583" s="168">
        <f t="shared" si="420"/>
        <v>1070</v>
      </c>
      <c r="DN583" s="168">
        <f t="shared" si="420"/>
        <v>21</v>
      </c>
      <c r="DO583" s="172">
        <f t="shared" si="420"/>
        <v>3</v>
      </c>
      <c r="DP583" s="173">
        <f t="shared" si="420"/>
        <v>24</v>
      </c>
      <c r="DQ583" s="172">
        <f t="shared" si="420"/>
        <v>0</v>
      </c>
      <c r="DR583" s="170"/>
      <c r="DS583" s="579">
        <f t="shared" ref="DS583:DS584" si="421">IF(DN583=0,0,DM583/(DN583*60))</f>
        <v>0.84920634920634919</v>
      </c>
      <c r="DT583" s="118"/>
      <c r="DU583" s="19"/>
      <c r="DV583" s="19"/>
      <c r="DW583" s="19"/>
      <c r="DX583" s="19"/>
      <c r="DY583" s="19"/>
      <c r="DZ583" s="19"/>
    </row>
    <row r="584" spans="1:130" ht="12.75" x14ac:dyDescent="0.2">
      <c r="A584" s="746" t="s">
        <v>1079</v>
      </c>
      <c r="B584" s="753">
        <v>46202</v>
      </c>
      <c r="C584" s="580"/>
      <c r="D584" s="580"/>
      <c r="E584" s="580"/>
      <c r="F584" s="580"/>
      <c r="G584" s="580"/>
      <c r="H584" s="759"/>
      <c r="I584" s="581">
        <f t="shared" ref="I584:I587" si="422">IF(E584=0,0,F584-E584+1-G584)</f>
        <v>0</v>
      </c>
      <c r="J584" s="760">
        <f>SUM(I584:I589,H584)</f>
        <v>0</v>
      </c>
      <c r="K584" s="580"/>
      <c r="L584" s="580"/>
      <c r="M584" s="759"/>
      <c r="N584" s="759"/>
      <c r="O584" s="764">
        <f>SUM(M584:N589)</f>
        <v>0</v>
      </c>
      <c r="P584" s="759"/>
      <c r="Q584" s="732">
        <f>M584*60</f>
        <v>0</v>
      </c>
      <c r="R584" s="732">
        <f>IF(
   COUNTIF(K584:K589,"SI")&gt;0,
   1.8,
   IF(
      COUNTIF(L584:L589,"SI")&gt;0,
      1.6,
      2
   )
)</f>
        <v>2</v>
      </c>
      <c r="S584" s="763">
        <f>IF(Q584=0,0,J584/Q584)</f>
        <v>0</v>
      </c>
      <c r="T584" s="753">
        <v>46202</v>
      </c>
      <c r="U584" s="580"/>
      <c r="V584" s="580"/>
      <c r="W584" s="580"/>
      <c r="X584" s="580"/>
      <c r="Y584" s="580"/>
      <c r="Z584" s="739"/>
      <c r="AA584" s="581">
        <f t="shared" ref="AA584:AA587" si="423">IF(X584=0,0,X584-W584+1-Y584)</f>
        <v>0</v>
      </c>
      <c r="AB584" s="767">
        <f>SUM(AA584:AA589,Z584)</f>
        <v>0</v>
      </c>
      <c r="AC584" s="580"/>
      <c r="AD584" s="580"/>
      <c r="AE584" s="759"/>
      <c r="AF584" s="759"/>
      <c r="AG584" s="764">
        <f>SUM(AE584:AF589)</f>
        <v>0</v>
      </c>
      <c r="AH584" s="759"/>
      <c r="AI584" s="765">
        <f>AE584*60</f>
        <v>0</v>
      </c>
      <c r="AJ584" s="732">
        <f>IF(
   COUNTIF(AC584:AC589,"SI")&gt;0,
   1.8,
   IF(
      COUNTIF(AD584:AD589,"SI")&gt;0,
      1.6,
      2
   )
)</f>
        <v>2</v>
      </c>
      <c r="AK584" s="766">
        <f t="shared" si="412"/>
        <v>0</v>
      </c>
      <c r="AL584" s="753">
        <v>46202</v>
      </c>
      <c r="AM584" s="582"/>
      <c r="AN584" s="583">
        <v>611</v>
      </c>
      <c r="AO584" s="583"/>
      <c r="AP584" s="582"/>
      <c r="AQ584" s="582">
        <v>9</v>
      </c>
      <c r="AR584" s="739"/>
      <c r="AS584" s="584">
        <f t="shared" ref="AS584:AS587" si="424">IF(AO584=0,0,AP584-AO584+1-AQ584)</f>
        <v>0</v>
      </c>
      <c r="AT584" s="744">
        <f>SUM(AS584:AS589)+AR584</f>
        <v>0</v>
      </c>
      <c r="AU584" s="585"/>
      <c r="AV584" s="740"/>
      <c r="AW584" s="585"/>
      <c r="AX584" s="732"/>
      <c r="AY584" s="731">
        <f>SUM(AV584,AX584)</f>
        <v>0</v>
      </c>
      <c r="AZ584" s="732"/>
      <c r="BA584" s="732">
        <f>AV584*60</f>
        <v>0</v>
      </c>
      <c r="BB584" s="732">
        <f>IF(
   COUNTIF(AU584:AU589,"SI")&gt;0,
   1.8,
   IF(
      COUNTIF(AV584:AV589,"SI")&gt;0,
      1.6,
      2
   )
)</f>
        <v>2</v>
      </c>
      <c r="BC584" s="738">
        <f t="shared" si="415"/>
        <v>0</v>
      </c>
      <c r="BD584" s="586"/>
      <c r="BE584" s="586"/>
      <c r="BF584" s="586"/>
      <c r="BG584" s="586"/>
      <c r="BH584" s="586"/>
      <c r="BI584" s="586"/>
      <c r="BJ584" s="586"/>
      <c r="BK584" s="586"/>
      <c r="BL584" s="586"/>
      <c r="BM584" s="586"/>
      <c r="BN584" s="586"/>
      <c r="BO584" s="586"/>
      <c r="BP584" s="586"/>
      <c r="BQ584" s="586"/>
      <c r="BR584" s="586"/>
      <c r="BS584" s="586"/>
      <c r="BT584" s="586"/>
      <c r="BU584" s="586"/>
      <c r="BV584" s="587"/>
      <c r="BW584" s="588"/>
      <c r="BX584" s="588"/>
      <c r="BY584" s="588"/>
      <c r="BZ584" s="588"/>
      <c r="CA584" s="588"/>
      <c r="CB584" s="588"/>
      <c r="CC584" s="588"/>
      <c r="CD584" s="588"/>
      <c r="CE584" s="588"/>
      <c r="CF584" s="588"/>
      <c r="CG584" s="588"/>
      <c r="CH584" s="588"/>
      <c r="CI584" s="588"/>
      <c r="CJ584" s="588"/>
      <c r="CK584" s="588"/>
      <c r="CL584" s="588"/>
      <c r="CM584" s="588"/>
      <c r="CN584" s="753">
        <v>46202</v>
      </c>
      <c r="CO584" s="781" t="s">
        <v>45</v>
      </c>
      <c r="CP584" s="589"/>
      <c r="CQ584" s="65"/>
      <c r="CR584" s="65"/>
      <c r="CS584" s="589"/>
      <c r="CT584" s="590"/>
      <c r="CU584" s="781">
        <v>0</v>
      </c>
      <c r="CV584" s="591">
        <f t="shared" ref="CV584:CV606" si="425">IF(CQ584=0,0,CS584-CR584+1-CT584)</f>
        <v>0</v>
      </c>
      <c r="CW584" s="776">
        <f>SUM(CV584:CV586)</f>
        <v>0</v>
      </c>
      <c r="CX584" s="770"/>
      <c r="CY584" s="781"/>
      <c r="CZ584" s="761">
        <f>SUM(CX584:CY589)</f>
        <v>0</v>
      </c>
      <c r="DA584" s="782"/>
      <c r="DB584" s="781">
        <v>2</v>
      </c>
      <c r="DC584" s="789">
        <f t="shared" si="418"/>
        <v>0</v>
      </c>
      <c r="DD584" s="753">
        <v>46202</v>
      </c>
      <c r="DE584" s="781" t="s">
        <v>45</v>
      </c>
      <c r="DF584" s="590"/>
      <c r="DG584" s="590"/>
      <c r="DH584" s="590"/>
      <c r="DI584" s="590"/>
      <c r="DJ584" s="590"/>
      <c r="DK584" s="781">
        <v>0</v>
      </c>
      <c r="DL584" s="589">
        <f t="shared" ref="DL584:DL619" si="426">IF(DG584=0,0,DI584-DH584+1-DJ584)</f>
        <v>0</v>
      </c>
      <c r="DM584" s="781">
        <f>SUM(DL584:DL586)</f>
        <v>0</v>
      </c>
      <c r="DN584" s="782"/>
      <c r="DO584" s="781"/>
      <c r="DP584" s="764">
        <f>SUM(DN584:DO589)</f>
        <v>0</v>
      </c>
      <c r="DQ584" s="781">
        <v>0</v>
      </c>
      <c r="DR584" s="781">
        <v>2</v>
      </c>
      <c r="DS584" s="783">
        <f t="shared" si="421"/>
        <v>0</v>
      </c>
      <c r="DT584" s="118"/>
      <c r="DU584" s="19"/>
      <c r="DV584" s="19"/>
      <c r="DW584" s="19"/>
      <c r="DX584" s="19"/>
      <c r="DY584" s="19"/>
      <c r="DZ584" s="19"/>
    </row>
    <row r="585" spans="1:130" ht="12.75" x14ac:dyDescent="0.2">
      <c r="A585" s="647"/>
      <c r="B585" s="670"/>
      <c r="C585" s="592"/>
      <c r="D585" s="592"/>
      <c r="E585" s="592"/>
      <c r="F585" s="592"/>
      <c r="G585" s="592"/>
      <c r="H585" s="634"/>
      <c r="I585" s="584">
        <f t="shared" si="422"/>
        <v>0</v>
      </c>
      <c r="J585" s="634"/>
      <c r="K585" s="592"/>
      <c r="L585" s="593"/>
      <c r="M585" s="634"/>
      <c r="N585" s="634"/>
      <c r="O585" s="634"/>
      <c r="P585" s="634"/>
      <c r="Q585" s="634"/>
      <c r="R585" s="634"/>
      <c r="S585" s="659"/>
      <c r="T585" s="670"/>
      <c r="U585" s="592"/>
      <c r="V585" s="592"/>
      <c r="W585" s="592"/>
      <c r="X585" s="592"/>
      <c r="Y585" s="592"/>
      <c r="Z585" s="638"/>
      <c r="AA585" s="584">
        <f t="shared" si="423"/>
        <v>0</v>
      </c>
      <c r="AB585" s="670"/>
      <c r="AC585" s="592"/>
      <c r="AD585" s="593"/>
      <c r="AE585" s="634"/>
      <c r="AF585" s="634"/>
      <c r="AG585" s="634"/>
      <c r="AH585" s="634"/>
      <c r="AI585" s="638"/>
      <c r="AJ585" s="634"/>
      <c r="AK585" s="642"/>
      <c r="AL585" s="670"/>
      <c r="AM585" s="592"/>
      <c r="AN585" s="585"/>
      <c r="AO585" s="585"/>
      <c r="AP585" s="592"/>
      <c r="AQ585" s="592"/>
      <c r="AR585" s="638"/>
      <c r="AS585" s="584">
        <f t="shared" si="424"/>
        <v>0</v>
      </c>
      <c r="AT585" s="670"/>
      <c r="AU585" s="585"/>
      <c r="AV585" s="634"/>
      <c r="AW585" s="585"/>
      <c r="AX585" s="634"/>
      <c r="AY585" s="634"/>
      <c r="AZ585" s="634"/>
      <c r="BA585" s="634"/>
      <c r="BB585" s="634"/>
      <c r="BC585" s="634"/>
      <c r="BD585" s="586"/>
      <c r="BE585" s="586"/>
      <c r="BF585" s="586"/>
      <c r="BG585" s="586"/>
      <c r="BH585" s="586"/>
      <c r="BI585" s="586"/>
      <c r="BJ585" s="586"/>
      <c r="BK585" s="586"/>
      <c r="BL585" s="586"/>
      <c r="BM585" s="586"/>
      <c r="BN585" s="586"/>
      <c r="BO585" s="586"/>
      <c r="BP585" s="586"/>
      <c r="BQ585" s="586"/>
      <c r="BR585" s="586"/>
      <c r="BS585" s="586"/>
      <c r="BT585" s="586"/>
      <c r="BU585" s="586"/>
      <c r="BV585" s="587"/>
      <c r="BW585" s="588"/>
      <c r="BX585" s="588"/>
      <c r="BY585" s="588"/>
      <c r="BZ585" s="588"/>
      <c r="CA585" s="588"/>
      <c r="CB585" s="588"/>
      <c r="CC585" s="588"/>
      <c r="CD585" s="588"/>
      <c r="CE585" s="588"/>
      <c r="CF585" s="588"/>
      <c r="CG585" s="588"/>
      <c r="CH585" s="588"/>
      <c r="CI585" s="588"/>
      <c r="CJ585" s="588"/>
      <c r="CK585" s="588"/>
      <c r="CL585" s="588"/>
      <c r="CM585" s="588"/>
      <c r="CN585" s="670"/>
      <c r="CO585" s="634"/>
      <c r="CP585" s="594"/>
      <c r="CQ585" s="594"/>
      <c r="CR585" s="594"/>
      <c r="CS585" s="594"/>
      <c r="CT585" s="594"/>
      <c r="CU585" s="634"/>
      <c r="CV585" s="591">
        <f t="shared" si="425"/>
        <v>0</v>
      </c>
      <c r="CW585" s="634"/>
      <c r="CX585" s="634"/>
      <c r="CY585" s="634"/>
      <c r="CZ585" s="634"/>
      <c r="DA585" s="634"/>
      <c r="DB585" s="634"/>
      <c r="DC585" s="642"/>
      <c r="DD585" s="670"/>
      <c r="DE585" s="634"/>
      <c r="DF585" s="594"/>
      <c r="DG585" s="594"/>
      <c r="DH585" s="594"/>
      <c r="DI585" s="594"/>
      <c r="DJ585" s="594"/>
      <c r="DK585" s="634"/>
      <c r="DL585" s="591">
        <f t="shared" si="426"/>
        <v>0</v>
      </c>
      <c r="DM585" s="634"/>
      <c r="DN585" s="634"/>
      <c r="DO585" s="634"/>
      <c r="DP585" s="634"/>
      <c r="DQ585" s="634"/>
      <c r="DR585" s="634"/>
      <c r="DS585" s="642"/>
      <c r="DT585" s="118"/>
      <c r="DU585" s="19"/>
      <c r="DV585" s="19"/>
      <c r="DW585" s="19"/>
      <c r="DX585" s="19"/>
      <c r="DY585" s="19"/>
      <c r="DZ585" s="19"/>
    </row>
    <row r="586" spans="1:130" ht="12.75" x14ac:dyDescent="0.2">
      <c r="A586" s="647"/>
      <c r="B586" s="670"/>
      <c r="C586" s="592"/>
      <c r="D586" s="592"/>
      <c r="E586" s="592"/>
      <c r="F586" s="592"/>
      <c r="G586" s="592"/>
      <c r="H586" s="634"/>
      <c r="I586" s="584">
        <f t="shared" si="422"/>
        <v>0</v>
      </c>
      <c r="J586" s="634"/>
      <c r="K586" s="592"/>
      <c r="L586" s="593"/>
      <c r="M586" s="634"/>
      <c r="N586" s="634"/>
      <c r="O586" s="634"/>
      <c r="P586" s="634"/>
      <c r="Q586" s="634"/>
      <c r="R586" s="634"/>
      <c r="S586" s="659"/>
      <c r="T586" s="670"/>
      <c r="U586" s="592"/>
      <c r="V586" s="592"/>
      <c r="W586" s="592"/>
      <c r="X586" s="592"/>
      <c r="Y586" s="592"/>
      <c r="Z586" s="638"/>
      <c r="AA586" s="584">
        <f t="shared" si="423"/>
        <v>0</v>
      </c>
      <c r="AB586" s="670"/>
      <c r="AC586" s="592"/>
      <c r="AD586" s="593"/>
      <c r="AE586" s="634"/>
      <c r="AF586" s="634"/>
      <c r="AG586" s="634"/>
      <c r="AH586" s="634"/>
      <c r="AI586" s="638"/>
      <c r="AJ586" s="634"/>
      <c r="AK586" s="642"/>
      <c r="AL586" s="670"/>
      <c r="AM586" s="592"/>
      <c r="AN586" s="592"/>
      <c r="AO586" s="592"/>
      <c r="AP586" s="592"/>
      <c r="AQ586" s="592"/>
      <c r="AR586" s="638"/>
      <c r="AS586" s="584">
        <f t="shared" si="424"/>
        <v>0</v>
      </c>
      <c r="AT586" s="670"/>
      <c r="AU586" s="592"/>
      <c r="AV586" s="634"/>
      <c r="AW586" s="592"/>
      <c r="AX586" s="634"/>
      <c r="AY586" s="634"/>
      <c r="AZ586" s="634"/>
      <c r="BA586" s="634"/>
      <c r="BB586" s="634"/>
      <c r="BC586" s="634"/>
      <c r="BD586" s="586"/>
      <c r="BE586" s="586"/>
      <c r="BF586" s="586"/>
      <c r="BG586" s="586"/>
      <c r="BH586" s="586"/>
      <c r="BI586" s="586"/>
      <c r="BJ586" s="586"/>
      <c r="BK586" s="586"/>
      <c r="BL586" s="586"/>
      <c r="BM586" s="586"/>
      <c r="BN586" s="586"/>
      <c r="BO586" s="586"/>
      <c r="BP586" s="586"/>
      <c r="BQ586" s="586"/>
      <c r="BR586" s="586"/>
      <c r="BS586" s="586"/>
      <c r="BT586" s="586"/>
      <c r="BU586" s="586"/>
      <c r="BV586" s="587"/>
      <c r="BW586" s="588"/>
      <c r="BX586" s="588"/>
      <c r="BY586" s="588"/>
      <c r="BZ586" s="588"/>
      <c r="CA586" s="588"/>
      <c r="CB586" s="588"/>
      <c r="CC586" s="588"/>
      <c r="CD586" s="588"/>
      <c r="CE586" s="588"/>
      <c r="CF586" s="588"/>
      <c r="CG586" s="588"/>
      <c r="CH586" s="588"/>
      <c r="CI586" s="588"/>
      <c r="CJ586" s="588"/>
      <c r="CK586" s="588"/>
      <c r="CL586" s="588"/>
      <c r="CM586" s="588"/>
      <c r="CN586" s="670"/>
      <c r="CO586" s="772"/>
      <c r="CP586" s="595"/>
      <c r="CQ586" s="595"/>
      <c r="CR586" s="595"/>
      <c r="CS586" s="595"/>
      <c r="CT586" s="595"/>
      <c r="CU586" s="634"/>
      <c r="CV586" s="591">
        <f t="shared" si="425"/>
        <v>0</v>
      </c>
      <c r="CW586" s="635"/>
      <c r="CX586" s="635"/>
      <c r="CY586" s="634"/>
      <c r="CZ586" s="634"/>
      <c r="DA586" s="634"/>
      <c r="DB586" s="635"/>
      <c r="DC586" s="642"/>
      <c r="DD586" s="670"/>
      <c r="DE586" s="772"/>
      <c r="DF586" s="595"/>
      <c r="DG586" s="595"/>
      <c r="DH586" s="595"/>
      <c r="DI586" s="595"/>
      <c r="DJ586" s="595"/>
      <c r="DK586" s="634"/>
      <c r="DL586" s="591">
        <f t="shared" si="426"/>
        <v>0</v>
      </c>
      <c r="DM586" s="635"/>
      <c r="DN586" s="635"/>
      <c r="DO586" s="634"/>
      <c r="DP586" s="634"/>
      <c r="DQ586" s="634"/>
      <c r="DR586" s="635"/>
      <c r="DS586" s="642"/>
      <c r="DT586" s="118"/>
      <c r="DU586" s="19"/>
      <c r="DV586" s="19"/>
      <c r="DW586" s="19"/>
      <c r="DX586" s="19"/>
      <c r="DY586" s="19"/>
      <c r="DZ586" s="19"/>
    </row>
    <row r="587" spans="1:130" ht="12.75" x14ac:dyDescent="0.2">
      <c r="A587" s="647"/>
      <c r="B587" s="670"/>
      <c r="C587" s="592"/>
      <c r="D587" s="592"/>
      <c r="E587" s="592"/>
      <c r="F587" s="592"/>
      <c r="G587" s="592"/>
      <c r="H587" s="634"/>
      <c r="I587" s="584">
        <f t="shared" si="422"/>
        <v>0</v>
      </c>
      <c r="J587" s="634"/>
      <c r="K587" s="592"/>
      <c r="L587" s="593"/>
      <c r="M587" s="634"/>
      <c r="N587" s="634"/>
      <c r="O587" s="634"/>
      <c r="P587" s="634"/>
      <c r="Q587" s="634"/>
      <c r="R587" s="634"/>
      <c r="S587" s="659"/>
      <c r="T587" s="670"/>
      <c r="U587" s="592"/>
      <c r="V587" s="592"/>
      <c r="W587" s="592"/>
      <c r="X587" s="592"/>
      <c r="Y587" s="592"/>
      <c r="Z587" s="638"/>
      <c r="AA587" s="584">
        <f t="shared" si="423"/>
        <v>0</v>
      </c>
      <c r="AB587" s="670"/>
      <c r="AC587" s="592"/>
      <c r="AD587" s="593"/>
      <c r="AE587" s="634"/>
      <c r="AF587" s="634"/>
      <c r="AG587" s="634"/>
      <c r="AH587" s="634"/>
      <c r="AI587" s="638"/>
      <c r="AJ587" s="634"/>
      <c r="AK587" s="642"/>
      <c r="AL587" s="670"/>
      <c r="AM587" s="592"/>
      <c r="AN587" s="592"/>
      <c r="AO587" s="592"/>
      <c r="AP587" s="592"/>
      <c r="AQ587" s="592"/>
      <c r="AR587" s="638"/>
      <c r="AS587" s="584">
        <f t="shared" si="424"/>
        <v>0</v>
      </c>
      <c r="AT587" s="671"/>
      <c r="AU587" s="592"/>
      <c r="AV587" s="635"/>
      <c r="AW587" s="593"/>
      <c r="AX587" s="634"/>
      <c r="AY587" s="634"/>
      <c r="AZ587" s="634"/>
      <c r="BA587" s="634"/>
      <c r="BB587" s="634"/>
      <c r="BC587" s="635"/>
      <c r="BD587" s="586"/>
      <c r="BE587" s="586"/>
      <c r="BF587" s="586"/>
      <c r="BG587" s="586"/>
      <c r="BH587" s="586"/>
      <c r="BI587" s="586"/>
      <c r="BJ587" s="586"/>
      <c r="BK587" s="586"/>
      <c r="BL587" s="586"/>
      <c r="BM587" s="586"/>
      <c r="BN587" s="586"/>
      <c r="BO587" s="586"/>
      <c r="BP587" s="586"/>
      <c r="BQ587" s="586"/>
      <c r="BR587" s="586"/>
      <c r="BS587" s="586"/>
      <c r="BT587" s="586"/>
      <c r="BU587" s="586"/>
      <c r="BV587" s="587"/>
      <c r="BW587" s="588"/>
      <c r="BX587" s="588"/>
      <c r="BY587" s="588"/>
      <c r="BZ587" s="588"/>
      <c r="CA587" s="588"/>
      <c r="CB587" s="588"/>
      <c r="CC587" s="588"/>
      <c r="CD587" s="588"/>
      <c r="CE587" s="588"/>
      <c r="CF587" s="588"/>
      <c r="CG587" s="588"/>
      <c r="CH587" s="588"/>
      <c r="CI587" s="588"/>
      <c r="CJ587" s="588"/>
      <c r="CK587" s="588"/>
      <c r="CL587" s="588"/>
      <c r="CM587" s="588"/>
      <c r="CN587" s="670"/>
      <c r="CO587" s="776" t="s">
        <v>46</v>
      </c>
      <c r="CP587" s="65"/>
      <c r="CQ587" s="65"/>
      <c r="CR587" s="65"/>
      <c r="CS587" s="65"/>
      <c r="CT587" s="65"/>
      <c r="CU587" s="634"/>
      <c r="CV587" s="591">
        <f t="shared" si="425"/>
        <v>0</v>
      </c>
      <c r="CW587" s="769">
        <f>SUM(CV587:CV589)</f>
        <v>0</v>
      </c>
      <c r="CX587" s="768"/>
      <c r="CY587" s="634"/>
      <c r="CZ587" s="634"/>
      <c r="DA587" s="634"/>
      <c r="DB587" s="769">
        <v>1.8</v>
      </c>
      <c r="DC587" s="771">
        <f>IF(CX587=0,0,CW587/(CX587*60))</f>
        <v>0</v>
      </c>
      <c r="DD587" s="670"/>
      <c r="DE587" s="776" t="s">
        <v>46</v>
      </c>
      <c r="DF587" s="65"/>
      <c r="DG587" s="65"/>
      <c r="DH587" s="65"/>
      <c r="DI587" s="65"/>
      <c r="DJ587" s="65"/>
      <c r="DK587" s="634"/>
      <c r="DL587" s="591">
        <f t="shared" si="426"/>
        <v>0</v>
      </c>
      <c r="DM587" s="769">
        <f>SUM(DL587:DL589)</f>
        <v>0</v>
      </c>
      <c r="DN587" s="768"/>
      <c r="DO587" s="634"/>
      <c r="DP587" s="634"/>
      <c r="DQ587" s="634"/>
      <c r="DR587" s="769">
        <v>1.8</v>
      </c>
      <c r="DS587" s="773">
        <f>IF(DN587=0,0,DM587/(DN587*60))</f>
        <v>0</v>
      </c>
      <c r="DT587" s="118"/>
      <c r="DU587" s="19"/>
      <c r="DV587" s="19"/>
      <c r="DW587" s="19"/>
      <c r="DX587" s="19"/>
      <c r="DY587" s="19"/>
      <c r="DZ587" s="19"/>
    </row>
    <row r="588" spans="1:130" ht="12.75" x14ac:dyDescent="0.2">
      <c r="A588" s="647"/>
      <c r="B588" s="670"/>
      <c r="C588" s="592"/>
      <c r="D588" s="592"/>
      <c r="E588" s="592"/>
      <c r="F588" s="592"/>
      <c r="G588" s="592"/>
      <c r="H588" s="634"/>
      <c r="I588" s="592"/>
      <c r="J588" s="634"/>
      <c r="K588" s="592"/>
      <c r="L588" s="593"/>
      <c r="M588" s="634"/>
      <c r="N588" s="634"/>
      <c r="O588" s="634"/>
      <c r="P588" s="634"/>
      <c r="Q588" s="634"/>
      <c r="R588" s="634"/>
      <c r="S588" s="659"/>
      <c r="T588" s="670"/>
      <c r="U588" s="592"/>
      <c r="V588" s="592"/>
      <c r="W588" s="592"/>
      <c r="X588" s="592"/>
      <c r="Y588" s="592"/>
      <c r="Z588" s="638"/>
      <c r="AA588" s="592"/>
      <c r="AB588" s="670"/>
      <c r="AC588" s="592"/>
      <c r="AD588" s="593"/>
      <c r="AE588" s="634"/>
      <c r="AF588" s="634"/>
      <c r="AG588" s="634"/>
      <c r="AH588" s="634"/>
      <c r="AI588" s="638"/>
      <c r="AJ588" s="634"/>
      <c r="AK588" s="642"/>
      <c r="AL588" s="670"/>
      <c r="AM588" s="592"/>
      <c r="AN588" s="592"/>
      <c r="AO588" s="592"/>
      <c r="AP588" s="592"/>
      <c r="AQ588" s="592"/>
      <c r="AR588" s="638"/>
      <c r="AS588" s="592"/>
      <c r="AT588" s="596"/>
      <c r="AU588" s="592"/>
      <c r="AV588" s="593"/>
      <c r="AW588" s="593"/>
      <c r="AX588" s="634"/>
      <c r="AY588" s="634"/>
      <c r="AZ588" s="634"/>
      <c r="BA588" s="597"/>
      <c r="BB588" s="634"/>
      <c r="BC588" s="598"/>
      <c r="BD588" s="586"/>
      <c r="BE588" s="586"/>
      <c r="BF588" s="586"/>
      <c r="BG588" s="586"/>
      <c r="BH588" s="586"/>
      <c r="BI588" s="586"/>
      <c r="BJ588" s="586"/>
      <c r="BK588" s="586"/>
      <c r="BL588" s="586"/>
      <c r="BM588" s="586"/>
      <c r="BN588" s="586"/>
      <c r="BO588" s="586"/>
      <c r="BP588" s="586"/>
      <c r="BQ588" s="586"/>
      <c r="BR588" s="586"/>
      <c r="BS588" s="586"/>
      <c r="BT588" s="586"/>
      <c r="BU588" s="586"/>
      <c r="BV588" s="587"/>
      <c r="BW588" s="588"/>
      <c r="BX588" s="588"/>
      <c r="BY588" s="588"/>
      <c r="BZ588" s="588"/>
      <c r="CA588" s="588"/>
      <c r="CB588" s="588"/>
      <c r="CC588" s="588"/>
      <c r="CD588" s="588"/>
      <c r="CE588" s="588"/>
      <c r="CF588" s="588"/>
      <c r="CG588" s="588"/>
      <c r="CH588" s="588"/>
      <c r="CI588" s="588"/>
      <c r="CJ588" s="588"/>
      <c r="CK588" s="588"/>
      <c r="CL588" s="588"/>
      <c r="CM588" s="588"/>
      <c r="CN588" s="670"/>
      <c r="CO588" s="634"/>
      <c r="CP588" s="594"/>
      <c r="CQ588" s="594"/>
      <c r="CR588" s="594"/>
      <c r="CS588" s="594"/>
      <c r="CT588" s="594"/>
      <c r="CU588" s="634"/>
      <c r="CV588" s="591">
        <f t="shared" si="425"/>
        <v>0</v>
      </c>
      <c r="CW588" s="634"/>
      <c r="CX588" s="634"/>
      <c r="CY588" s="634"/>
      <c r="CZ588" s="634"/>
      <c r="DA588" s="634"/>
      <c r="DB588" s="634"/>
      <c r="DC588" s="659"/>
      <c r="DD588" s="670"/>
      <c r="DE588" s="634"/>
      <c r="DF588" s="594"/>
      <c r="DG588" s="594"/>
      <c r="DH588" s="594"/>
      <c r="DI588" s="594"/>
      <c r="DJ588" s="594"/>
      <c r="DK588" s="634"/>
      <c r="DL588" s="591">
        <f t="shared" si="426"/>
        <v>0</v>
      </c>
      <c r="DM588" s="634"/>
      <c r="DN588" s="634"/>
      <c r="DO588" s="634"/>
      <c r="DP588" s="634"/>
      <c r="DQ588" s="634"/>
      <c r="DR588" s="634"/>
      <c r="DS588" s="659"/>
      <c r="DT588" s="118"/>
      <c r="DU588" s="19"/>
      <c r="DV588" s="19"/>
      <c r="DW588" s="19"/>
      <c r="DX588" s="19"/>
      <c r="DY588" s="19"/>
      <c r="DZ588" s="19"/>
    </row>
    <row r="589" spans="1:130" ht="12.75" x14ac:dyDescent="0.2">
      <c r="A589" s="647"/>
      <c r="B589" s="671"/>
      <c r="C589" s="592"/>
      <c r="D589" s="592"/>
      <c r="E589" s="592"/>
      <c r="F589" s="592"/>
      <c r="G589" s="592"/>
      <c r="H589" s="635"/>
      <c r="I589" s="584">
        <f t="shared" ref="I589:I591" si="427">IF(E589=0,0,F589-E589+1-G589)</f>
        <v>0</v>
      </c>
      <c r="J589" s="635"/>
      <c r="K589" s="592"/>
      <c r="L589" s="593"/>
      <c r="M589" s="635"/>
      <c r="N589" s="635"/>
      <c r="O589" s="635"/>
      <c r="P589" s="635"/>
      <c r="Q589" s="635"/>
      <c r="R589" s="635"/>
      <c r="S589" s="660"/>
      <c r="T589" s="671"/>
      <c r="U589" s="592"/>
      <c r="V589" s="592"/>
      <c r="W589" s="592"/>
      <c r="X589" s="592"/>
      <c r="Y589" s="592"/>
      <c r="Z589" s="639"/>
      <c r="AA589" s="584">
        <f t="shared" ref="AA589:AA591" si="428">IF(X589=0,0,X589-W589+1-Y589)</f>
        <v>0</v>
      </c>
      <c r="AB589" s="671"/>
      <c r="AC589" s="592"/>
      <c r="AD589" s="593"/>
      <c r="AE589" s="635"/>
      <c r="AF589" s="635"/>
      <c r="AG589" s="635"/>
      <c r="AH589" s="635"/>
      <c r="AI589" s="639"/>
      <c r="AJ589" s="635"/>
      <c r="AK589" s="643"/>
      <c r="AL589" s="671"/>
      <c r="AM589" s="592"/>
      <c r="AN589" s="592"/>
      <c r="AO589" s="592"/>
      <c r="AP589" s="592"/>
      <c r="AQ589" s="592"/>
      <c r="AR589" s="639"/>
      <c r="AS589" s="584">
        <f t="shared" ref="AS589:AS591" si="429">IF(AO589=0,0,AP589-AO589+1-AQ589)</f>
        <v>0</v>
      </c>
      <c r="AT589" s="599">
        <f>AS589</f>
        <v>0</v>
      </c>
      <c r="AU589" s="592"/>
      <c r="AV589" s="593"/>
      <c r="AW589" s="593"/>
      <c r="AX589" s="635"/>
      <c r="AY589" s="635"/>
      <c r="AZ589" s="635"/>
      <c r="BA589" s="600">
        <f t="shared" ref="BA589:BA590" si="430">AV589*60</f>
        <v>0</v>
      </c>
      <c r="BB589" s="635"/>
      <c r="BC589" s="601">
        <f t="shared" ref="BC589:BC590" si="431">IF(BA589=0,0,AT589/BA589)</f>
        <v>0</v>
      </c>
      <c r="BD589" s="586"/>
      <c r="BE589" s="586"/>
      <c r="BF589" s="586"/>
      <c r="BG589" s="586"/>
      <c r="BH589" s="586"/>
      <c r="BI589" s="586"/>
      <c r="BJ589" s="586"/>
      <c r="BK589" s="586"/>
      <c r="BL589" s="586"/>
      <c r="BM589" s="586"/>
      <c r="BN589" s="586"/>
      <c r="BO589" s="586"/>
      <c r="BP589" s="586"/>
      <c r="BQ589" s="586"/>
      <c r="BR589" s="586"/>
      <c r="BS589" s="586"/>
      <c r="BT589" s="586"/>
      <c r="BU589" s="586"/>
      <c r="BV589" s="587"/>
      <c r="BW589" s="588"/>
      <c r="BX589" s="588"/>
      <c r="BY589" s="588"/>
      <c r="BZ589" s="588"/>
      <c r="CA589" s="588"/>
      <c r="CB589" s="588"/>
      <c r="CC589" s="588"/>
      <c r="CD589" s="588"/>
      <c r="CE589" s="588"/>
      <c r="CF589" s="588"/>
      <c r="CG589" s="588"/>
      <c r="CH589" s="588"/>
      <c r="CI589" s="588"/>
      <c r="CJ589" s="588"/>
      <c r="CK589" s="588"/>
      <c r="CL589" s="588"/>
      <c r="CM589" s="588"/>
      <c r="CN589" s="671"/>
      <c r="CO589" s="635"/>
      <c r="CP589" s="594"/>
      <c r="CQ589" s="594"/>
      <c r="CR589" s="594"/>
      <c r="CS589" s="594"/>
      <c r="CT589" s="594"/>
      <c r="CU589" s="635"/>
      <c r="CV589" s="591">
        <f t="shared" si="425"/>
        <v>0</v>
      </c>
      <c r="CW589" s="635"/>
      <c r="CX589" s="635"/>
      <c r="CY589" s="635"/>
      <c r="CZ589" s="635"/>
      <c r="DA589" s="635"/>
      <c r="DB589" s="635"/>
      <c r="DC589" s="660"/>
      <c r="DD589" s="671"/>
      <c r="DE589" s="635"/>
      <c r="DF589" s="594"/>
      <c r="DG589" s="594"/>
      <c r="DH589" s="594"/>
      <c r="DI589" s="594"/>
      <c r="DJ589" s="594"/>
      <c r="DK589" s="635"/>
      <c r="DL589" s="591">
        <f t="shared" si="426"/>
        <v>0</v>
      </c>
      <c r="DM589" s="635"/>
      <c r="DN589" s="635"/>
      <c r="DO589" s="635"/>
      <c r="DP589" s="635"/>
      <c r="DQ589" s="635"/>
      <c r="DR589" s="635"/>
      <c r="DS589" s="660"/>
      <c r="DT589" s="118"/>
      <c r="DU589" s="19"/>
      <c r="DV589" s="19"/>
      <c r="DW589" s="19"/>
      <c r="DX589" s="19"/>
      <c r="DY589" s="19"/>
      <c r="DZ589" s="19"/>
    </row>
    <row r="590" spans="1:130" ht="12.75" x14ac:dyDescent="0.2">
      <c r="A590" s="647"/>
      <c r="B590" s="754">
        <v>46203</v>
      </c>
      <c r="C590" s="602"/>
      <c r="D590" s="602"/>
      <c r="E590" s="602"/>
      <c r="F590" s="602"/>
      <c r="G590" s="602"/>
      <c r="H590" s="730"/>
      <c r="I590" s="584">
        <f t="shared" si="427"/>
        <v>0</v>
      </c>
      <c r="J590" s="735">
        <f>SUM(I590:I595,H590)</f>
        <v>0</v>
      </c>
      <c r="K590" s="602"/>
      <c r="L590" s="602"/>
      <c r="M590" s="730"/>
      <c r="N590" s="730"/>
      <c r="O590" s="731">
        <f>SUM(M590:N595)</f>
        <v>0</v>
      </c>
      <c r="P590" s="730"/>
      <c r="Q590" s="733">
        <f>M590*60</f>
        <v>0</v>
      </c>
      <c r="R590" s="732">
        <f>IF(
   COUNTIF(K590:K595,"SI")&gt;0,
   1.8,
   IF(
      COUNTIF(L590:L595,"SI")&gt;0,
      1.6,
      2
   )
)</f>
        <v>2</v>
      </c>
      <c r="S590" s="763">
        <f>IF(Q590=0,0,J590/Q590)</f>
        <v>0</v>
      </c>
      <c r="T590" s="754">
        <v>46203</v>
      </c>
      <c r="U590" s="602"/>
      <c r="V590" s="603"/>
      <c r="W590" s="603"/>
      <c r="X590" s="603"/>
      <c r="Y590" s="603"/>
      <c r="Z590" s="730"/>
      <c r="AA590" s="584">
        <f t="shared" si="428"/>
        <v>0</v>
      </c>
      <c r="AB590" s="735">
        <f>SUM(AA590:AA595)+Z590</f>
        <v>0</v>
      </c>
      <c r="AC590" s="602"/>
      <c r="AD590" s="602"/>
      <c r="AE590" s="733"/>
      <c r="AF590" s="733" t="s">
        <v>1080</v>
      </c>
      <c r="AG590" s="731">
        <f>SUM(AE590:AF595)</f>
        <v>0</v>
      </c>
      <c r="AH590" s="730"/>
      <c r="AI590" s="756">
        <f>AE590*60</f>
        <v>0</v>
      </c>
      <c r="AJ590" s="736">
        <f>IF(
   COUNTIF(AC590:AC595,"SI")&gt;0,
   1.8,
   IF(
      COUNTIF(AD590:AD595,"SI")&gt;0,
      1.6,
      2
   )
)</f>
        <v>2</v>
      </c>
      <c r="AK590" s="762">
        <f>IF(AI590=0,0,AB590/AI590)</f>
        <v>0</v>
      </c>
      <c r="AL590" s="754">
        <v>46203</v>
      </c>
      <c r="AM590" s="582">
        <v>123</v>
      </c>
      <c r="AN590" s="583">
        <v>611</v>
      </c>
      <c r="AO590" s="583">
        <v>6502</v>
      </c>
      <c r="AP590" s="582">
        <v>7011</v>
      </c>
      <c r="AQ590" s="582">
        <v>9</v>
      </c>
      <c r="AR590" s="730"/>
      <c r="AS590" s="584">
        <f t="shared" si="429"/>
        <v>501</v>
      </c>
      <c r="AT590" s="744">
        <f>SUM(AS590:AS595)+AR590</f>
        <v>619</v>
      </c>
      <c r="AU590" s="730" t="s">
        <v>51</v>
      </c>
      <c r="AV590" s="730">
        <v>4</v>
      </c>
      <c r="AW590" s="602"/>
      <c r="AX590" s="730">
        <v>3.5</v>
      </c>
      <c r="AY590" s="731">
        <f>SUM(AV590:AX595)</f>
        <v>7.5</v>
      </c>
      <c r="AZ590" s="732">
        <v>0.25</v>
      </c>
      <c r="BA590" s="733">
        <f t="shared" si="430"/>
        <v>240</v>
      </c>
      <c r="BB590" s="732">
        <f>IF(
   COUNTIF(AU590:AU595,"SI")&gt;0,
   1.8,
   IF(
      COUNTIF(AV590:AV595,"SI")&gt;0,
      1.6,
      2
   )
)</f>
        <v>1.8</v>
      </c>
      <c r="BC590" s="734">
        <f t="shared" si="431"/>
        <v>2.5791666666666666</v>
      </c>
      <c r="BD590" s="586"/>
      <c r="BE590" s="586"/>
      <c r="BF590" s="586"/>
      <c r="BG590" s="586"/>
      <c r="BH590" s="586"/>
      <c r="BI590" s="586"/>
      <c r="BJ590" s="586"/>
      <c r="BK590" s="586"/>
      <c r="BL590" s="586"/>
      <c r="BM590" s="586"/>
      <c r="BN590" s="586"/>
      <c r="BO590" s="586"/>
      <c r="BP590" s="586"/>
      <c r="BQ590" s="586"/>
      <c r="BR590" s="586"/>
      <c r="BS590" s="586"/>
      <c r="BT590" s="586"/>
      <c r="BU590" s="586"/>
      <c r="BV590" s="587"/>
      <c r="BW590" s="588"/>
      <c r="BX590" s="588"/>
      <c r="BY590" s="588"/>
      <c r="BZ590" s="588"/>
      <c r="CA590" s="588"/>
      <c r="CB590" s="588"/>
      <c r="CC590" s="588"/>
      <c r="CD590" s="588"/>
      <c r="CE590" s="588"/>
      <c r="CF590" s="588"/>
      <c r="CG590" s="588"/>
      <c r="CH590" s="588"/>
      <c r="CI590" s="588"/>
      <c r="CJ590" s="588"/>
      <c r="CK590" s="588"/>
      <c r="CL590" s="588"/>
      <c r="CM590" s="588"/>
      <c r="CN590" s="754">
        <v>46203</v>
      </c>
      <c r="CO590" s="733" t="s">
        <v>45</v>
      </c>
      <c r="CP590" s="604"/>
      <c r="CQ590" s="583">
        <v>477</v>
      </c>
      <c r="CR590" s="583">
        <v>14576</v>
      </c>
      <c r="CS590" s="583">
        <v>15003</v>
      </c>
      <c r="CT590" s="604"/>
      <c r="CU590" s="730"/>
      <c r="CV590" s="605">
        <f t="shared" si="425"/>
        <v>428</v>
      </c>
      <c r="CW590" s="733">
        <f>SUM(CV590:CV592)</f>
        <v>428</v>
      </c>
      <c r="CX590" s="775">
        <v>4</v>
      </c>
      <c r="CY590" s="730">
        <v>1.24</v>
      </c>
      <c r="CZ590" s="761">
        <f>SUM(CX590:CY595)</f>
        <v>5.49</v>
      </c>
      <c r="DA590" s="730"/>
      <c r="DB590" s="733">
        <v>2</v>
      </c>
      <c r="DC590" s="773">
        <f>IF(CX590=0,0,CW590/(CX590*60))</f>
        <v>1.7833333333333334</v>
      </c>
      <c r="DD590" s="754">
        <v>46203</v>
      </c>
      <c r="DE590" s="733" t="s">
        <v>45</v>
      </c>
      <c r="DF590" s="604"/>
      <c r="DG590" s="606">
        <v>476</v>
      </c>
      <c r="DH590" s="606">
        <v>14476</v>
      </c>
      <c r="DI590" s="606">
        <v>14497</v>
      </c>
      <c r="DJ590" s="604"/>
      <c r="DK590" s="730"/>
      <c r="DL590" s="605">
        <f t="shared" si="426"/>
        <v>22</v>
      </c>
      <c r="DM590" s="733">
        <f>SUM(DL590:DL592)</f>
        <v>22</v>
      </c>
      <c r="DN590" s="775"/>
      <c r="DO590" s="730"/>
      <c r="DP590" s="677">
        <v>4</v>
      </c>
      <c r="DQ590" s="730"/>
      <c r="DR590" s="733">
        <v>2</v>
      </c>
      <c r="DS590" s="778">
        <f>IF(DN590=0,0,DM590/(DN590*60))</f>
        <v>0</v>
      </c>
      <c r="DT590" s="118"/>
      <c r="DU590" s="19"/>
      <c r="DV590" s="19"/>
      <c r="DW590" s="19"/>
      <c r="DX590" s="19"/>
      <c r="DY590" s="19"/>
      <c r="DZ590" s="19"/>
    </row>
    <row r="591" spans="1:130" ht="12.75" x14ac:dyDescent="0.2">
      <c r="A591" s="647"/>
      <c r="B591" s="670"/>
      <c r="C591" s="602"/>
      <c r="D591" s="602"/>
      <c r="E591" s="602"/>
      <c r="F591" s="602"/>
      <c r="G591" s="602"/>
      <c r="H591" s="634"/>
      <c r="I591" s="584">
        <f t="shared" si="427"/>
        <v>0</v>
      </c>
      <c r="J591" s="634"/>
      <c r="K591" s="602"/>
      <c r="L591" s="602"/>
      <c r="M591" s="634"/>
      <c r="N591" s="634"/>
      <c r="O591" s="634"/>
      <c r="P591" s="634"/>
      <c r="Q591" s="634"/>
      <c r="R591" s="634"/>
      <c r="S591" s="659"/>
      <c r="T591" s="670"/>
      <c r="U591" s="602"/>
      <c r="V591" s="602"/>
      <c r="W591" s="602"/>
      <c r="X591" s="602"/>
      <c r="Y591" s="602"/>
      <c r="Z591" s="634"/>
      <c r="AA591" s="584">
        <f t="shared" si="428"/>
        <v>0</v>
      </c>
      <c r="AB591" s="634"/>
      <c r="AC591" s="602"/>
      <c r="AD591" s="602"/>
      <c r="AE591" s="634"/>
      <c r="AF591" s="634"/>
      <c r="AG591" s="634"/>
      <c r="AH591" s="634"/>
      <c r="AI591" s="638"/>
      <c r="AJ591" s="634"/>
      <c r="AK591" s="642"/>
      <c r="AL591" s="670"/>
      <c r="AM591" s="592"/>
      <c r="AN591" s="585">
        <v>612</v>
      </c>
      <c r="AO591" s="585">
        <v>7012</v>
      </c>
      <c r="AP591" s="585">
        <v>7133</v>
      </c>
      <c r="AQ591" s="585">
        <v>4</v>
      </c>
      <c r="AR591" s="634"/>
      <c r="AS591" s="584">
        <f t="shared" si="429"/>
        <v>118</v>
      </c>
      <c r="AT591" s="670"/>
      <c r="AU591" s="634"/>
      <c r="AV591" s="634"/>
      <c r="AW591" s="602"/>
      <c r="AX591" s="634"/>
      <c r="AY591" s="634"/>
      <c r="AZ591" s="634"/>
      <c r="BA591" s="634"/>
      <c r="BB591" s="634"/>
      <c r="BC591" s="634"/>
      <c r="BD591" s="586"/>
      <c r="BE591" s="586"/>
      <c r="BF591" s="586"/>
      <c r="BG591" s="586"/>
      <c r="BH591" s="586"/>
      <c r="BI591" s="586"/>
      <c r="BJ591" s="586"/>
      <c r="BK591" s="586"/>
      <c r="BL591" s="586"/>
      <c r="BM591" s="586"/>
      <c r="BN591" s="586"/>
      <c r="BO591" s="586"/>
      <c r="BP591" s="586"/>
      <c r="BQ591" s="586"/>
      <c r="BR591" s="586"/>
      <c r="BS591" s="586"/>
      <c r="BT591" s="586"/>
      <c r="BU591" s="586"/>
      <c r="BV591" s="587"/>
      <c r="BW591" s="588"/>
      <c r="BX591" s="588"/>
      <c r="BY591" s="588"/>
      <c r="BZ591" s="588"/>
      <c r="CA591" s="588"/>
      <c r="CB591" s="588"/>
      <c r="CC591" s="588"/>
      <c r="CD591" s="588"/>
      <c r="CE591" s="588"/>
      <c r="CF591" s="588"/>
      <c r="CG591" s="588"/>
      <c r="CH591" s="588"/>
      <c r="CI591" s="588"/>
      <c r="CJ591" s="588"/>
      <c r="CK591" s="588"/>
      <c r="CL591" s="588"/>
      <c r="CM591" s="588"/>
      <c r="CN591" s="670"/>
      <c r="CO591" s="634"/>
      <c r="CP591" s="604"/>
      <c r="CQ591" s="604"/>
      <c r="CR591" s="604"/>
      <c r="CS591" s="604"/>
      <c r="CT591" s="604"/>
      <c r="CU591" s="634"/>
      <c r="CV591" s="605">
        <f t="shared" si="425"/>
        <v>0</v>
      </c>
      <c r="CW591" s="634"/>
      <c r="CX591" s="634"/>
      <c r="CY591" s="634"/>
      <c r="CZ591" s="634"/>
      <c r="DA591" s="634"/>
      <c r="DB591" s="634"/>
      <c r="DC591" s="659"/>
      <c r="DD591" s="670"/>
      <c r="DE591" s="634"/>
      <c r="DF591" s="604"/>
      <c r="DG591" s="604"/>
      <c r="DH591" s="604"/>
      <c r="DI591" s="604"/>
      <c r="DJ591" s="604"/>
      <c r="DK591" s="634"/>
      <c r="DL591" s="605">
        <f t="shared" si="426"/>
        <v>0</v>
      </c>
      <c r="DM591" s="634"/>
      <c r="DN591" s="634"/>
      <c r="DO591" s="634"/>
      <c r="DP591" s="634"/>
      <c r="DQ591" s="634"/>
      <c r="DR591" s="634"/>
      <c r="DS591" s="659"/>
      <c r="DT591" s="118"/>
      <c r="DU591" s="19"/>
      <c r="DV591" s="19"/>
      <c r="DW591" s="19"/>
      <c r="DX591" s="19"/>
      <c r="DY591" s="19"/>
      <c r="DZ591" s="19"/>
    </row>
    <row r="592" spans="1:130" ht="12.75" x14ac:dyDescent="0.2">
      <c r="A592" s="647"/>
      <c r="B592" s="670"/>
      <c r="C592" s="602"/>
      <c r="D592" s="602"/>
      <c r="E592" s="602"/>
      <c r="F592" s="602"/>
      <c r="G592" s="602"/>
      <c r="H592" s="634"/>
      <c r="I592" s="592"/>
      <c r="J592" s="634"/>
      <c r="K592" s="602"/>
      <c r="L592" s="602"/>
      <c r="M592" s="634"/>
      <c r="N592" s="634"/>
      <c r="O592" s="634"/>
      <c r="P592" s="634"/>
      <c r="Q592" s="634"/>
      <c r="R592" s="634"/>
      <c r="S592" s="659"/>
      <c r="T592" s="670"/>
      <c r="U592" s="602"/>
      <c r="V592" s="602"/>
      <c r="W592" s="602"/>
      <c r="X592" s="602"/>
      <c r="Y592" s="602"/>
      <c r="Z592" s="634"/>
      <c r="AA592" s="592"/>
      <c r="AB592" s="634"/>
      <c r="AC592" s="602"/>
      <c r="AD592" s="602"/>
      <c r="AE592" s="634"/>
      <c r="AF592" s="634"/>
      <c r="AG592" s="634"/>
      <c r="AH592" s="634"/>
      <c r="AI592" s="638"/>
      <c r="AJ592" s="634"/>
      <c r="AK592" s="642"/>
      <c r="AL592" s="670"/>
      <c r="AM592" s="602"/>
      <c r="AN592" s="602"/>
      <c r="AO592" s="602"/>
      <c r="AP592" s="602"/>
      <c r="AQ592" s="592"/>
      <c r="AR592" s="634"/>
      <c r="AS592" s="592"/>
      <c r="AT592" s="670"/>
      <c r="AU592" s="634"/>
      <c r="AV592" s="634"/>
      <c r="AW592" s="602"/>
      <c r="AX592" s="634"/>
      <c r="AY592" s="634"/>
      <c r="AZ592" s="634"/>
      <c r="BA592" s="634"/>
      <c r="BB592" s="634"/>
      <c r="BC592" s="634"/>
      <c r="BD592" s="586"/>
      <c r="BE592" s="586"/>
      <c r="BF592" s="586"/>
      <c r="BG592" s="586"/>
      <c r="BH592" s="586"/>
      <c r="BI592" s="586"/>
      <c r="BJ592" s="586"/>
      <c r="BK592" s="586"/>
      <c r="BL592" s="586"/>
      <c r="BM592" s="586"/>
      <c r="BN592" s="586"/>
      <c r="BO592" s="586"/>
      <c r="BP592" s="586"/>
      <c r="BQ592" s="586"/>
      <c r="BR592" s="586"/>
      <c r="BS592" s="586"/>
      <c r="BT592" s="586"/>
      <c r="BU592" s="586"/>
      <c r="BV592" s="587"/>
      <c r="BW592" s="588"/>
      <c r="BX592" s="588"/>
      <c r="BY592" s="588"/>
      <c r="BZ592" s="588"/>
      <c r="CA592" s="588"/>
      <c r="CB592" s="588"/>
      <c r="CC592" s="588"/>
      <c r="CD592" s="588"/>
      <c r="CE592" s="588"/>
      <c r="CF592" s="588"/>
      <c r="CG592" s="588"/>
      <c r="CH592" s="588"/>
      <c r="CI592" s="588"/>
      <c r="CJ592" s="588"/>
      <c r="CK592" s="588"/>
      <c r="CL592" s="588"/>
      <c r="CM592" s="588"/>
      <c r="CN592" s="670"/>
      <c r="CO592" s="772"/>
      <c r="CP592" s="607"/>
      <c r="CQ592" s="607"/>
      <c r="CR592" s="607"/>
      <c r="CS592" s="607"/>
      <c r="CT592" s="607"/>
      <c r="CU592" s="634"/>
      <c r="CV592" s="605">
        <f t="shared" si="425"/>
        <v>0</v>
      </c>
      <c r="CW592" s="635"/>
      <c r="CX592" s="634"/>
      <c r="CY592" s="634"/>
      <c r="CZ592" s="634"/>
      <c r="DA592" s="634"/>
      <c r="DB592" s="635"/>
      <c r="DC592" s="660"/>
      <c r="DD592" s="670"/>
      <c r="DE592" s="772"/>
      <c r="DF592" s="607"/>
      <c r="DG592" s="607"/>
      <c r="DH592" s="607"/>
      <c r="DI592" s="607"/>
      <c r="DJ592" s="607"/>
      <c r="DK592" s="634"/>
      <c r="DL592" s="605">
        <f t="shared" si="426"/>
        <v>0</v>
      </c>
      <c r="DM592" s="635"/>
      <c r="DN592" s="635"/>
      <c r="DO592" s="634"/>
      <c r="DP592" s="634"/>
      <c r="DQ592" s="634"/>
      <c r="DR592" s="635"/>
      <c r="DS592" s="660"/>
      <c r="DT592" s="118"/>
      <c r="DU592" s="19"/>
      <c r="DV592" s="19"/>
      <c r="DW592" s="19"/>
      <c r="DX592" s="19"/>
      <c r="DY592" s="19"/>
      <c r="DZ592" s="19"/>
    </row>
    <row r="593" spans="1:130" ht="12.75" x14ac:dyDescent="0.2">
      <c r="A593" s="647"/>
      <c r="B593" s="670"/>
      <c r="C593" s="602"/>
      <c r="D593" s="602"/>
      <c r="E593" s="602"/>
      <c r="F593" s="602"/>
      <c r="G593" s="602"/>
      <c r="H593" s="634"/>
      <c r="I593" s="592"/>
      <c r="J593" s="634"/>
      <c r="K593" s="602"/>
      <c r="L593" s="602"/>
      <c r="M593" s="634"/>
      <c r="N593" s="634"/>
      <c r="O593" s="634"/>
      <c r="P593" s="634"/>
      <c r="Q593" s="634"/>
      <c r="R593" s="634"/>
      <c r="S593" s="659"/>
      <c r="T593" s="670"/>
      <c r="U593" s="602"/>
      <c r="V593" s="602"/>
      <c r="W593" s="602"/>
      <c r="X593" s="602"/>
      <c r="Y593" s="602"/>
      <c r="Z593" s="634"/>
      <c r="AA593" s="592"/>
      <c r="AB593" s="634"/>
      <c r="AC593" s="602"/>
      <c r="AD593" s="602"/>
      <c r="AE593" s="634"/>
      <c r="AF593" s="634"/>
      <c r="AG593" s="634"/>
      <c r="AH593" s="634"/>
      <c r="AI593" s="638"/>
      <c r="AJ593" s="634"/>
      <c r="AK593" s="642"/>
      <c r="AL593" s="670"/>
      <c r="AM593" s="602"/>
      <c r="AN593" s="602"/>
      <c r="AO593" s="602"/>
      <c r="AP593" s="602"/>
      <c r="AQ593" s="592"/>
      <c r="AR593" s="634"/>
      <c r="AS593" s="592"/>
      <c r="AT593" s="670"/>
      <c r="AU593" s="634"/>
      <c r="AV593" s="634"/>
      <c r="AW593" s="602"/>
      <c r="AX593" s="634"/>
      <c r="AY593" s="634"/>
      <c r="AZ593" s="634"/>
      <c r="BA593" s="634"/>
      <c r="BB593" s="634"/>
      <c r="BC593" s="634"/>
      <c r="BD593" s="586"/>
      <c r="BE593" s="586"/>
      <c r="BF593" s="586"/>
      <c r="BG593" s="586"/>
      <c r="BH593" s="586"/>
      <c r="BI593" s="586"/>
      <c r="BJ593" s="586"/>
      <c r="BK593" s="586"/>
      <c r="BL593" s="586"/>
      <c r="BM593" s="586"/>
      <c r="BN593" s="586"/>
      <c r="BO593" s="586"/>
      <c r="BP593" s="586"/>
      <c r="BQ593" s="586"/>
      <c r="BR593" s="586"/>
      <c r="BS593" s="586"/>
      <c r="BT593" s="586"/>
      <c r="BU593" s="586"/>
      <c r="BV593" s="587"/>
      <c r="BW593" s="588"/>
      <c r="BX593" s="588"/>
      <c r="BY593" s="588"/>
      <c r="BZ593" s="588"/>
      <c r="CA593" s="588"/>
      <c r="CB593" s="588"/>
      <c r="CC593" s="588"/>
      <c r="CD593" s="588"/>
      <c r="CE593" s="588"/>
      <c r="CF593" s="588"/>
      <c r="CG593" s="588"/>
      <c r="CH593" s="588"/>
      <c r="CI593" s="588"/>
      <c r="CJ593" s="588"/>
      <c r="CK593" s="588"/>
      <c r="CL593" s="588"/>
      <c r="CM593" s="588"/>
      <c r="CN593" s="670"/>
      <c r="CO593" s="774" t="s">
        <v>46</v>
      </c>
      <c r="CP593" s="69"/>
      <c r="CQ593" s="64">
        <v>608</v>
      </c>
      <c r="CR593" s="64">
        <v>5163</v>
      </c>
      <c r="CS593" s="64">
        <v>5189</v>
      </c>
      <c r="CT593" s="605"/>
      <c r="CU593" s="634"/>
      <c r="CV593" s="605">
        <f t="shared" si="425"/>
        <v>27</v>
      </c>
      <c r="CW593" s="733">
        <f>SUM(CV593:CV595)</f>
        <v>27</v>
      </c>
      <c r="CX593" s="775">
        <v>0.25</v>
      </c>
      <c r="CY593" s="634"/>
      <c r="CZ593" s="634"/>
      <c r="DA593" s="634"/>
      <c r="DB593" s="733">
        <v>1.8</v>
      </c>
      <c r="DC593" s="773">
        <f>IF(CX593=0,0,CW593/(CX593*60))</f>
        <v>1.8</v>
      </c>
      <c r="DD593" s="670"/>
      <c r="DE593" s="774" t="s">
        <v>46</v>
      </c>
      <c r="DF593" s="69"/>
      <c r="DG593" s="64">
        <v>610</v>
      </c>
      <c r="DH593" s="63">
        <v>6203</v>
      </c>
      <c r="DI593" s="64">
        <v>6395</v>
      </c>
      <c r="DJ593" s="605"/>
      <c r="DK593" s="634"/>
      <c r="DL593" s="605">
        <f t="shared" si="426"/>
        <v>193</v>
      </c>
      <c r="DM593" s="733">
        <f>SUM(DL593:DL595)</f>
        <v>193</v>
      </c>
      <c r="DN593" s="730"/>
      <c r="DO593" s="634"/>
      <c r="DP593" s="634"/>
      <c r="DQ593" s="634"/>
      <c r="DR593" s="733">
        <v>1.8</v>
      </c>
      <c r="DS593" s="778">
        <f>IF(DN593=0,0,DM593/(DN593*60))</f>
        <v>0</v>
      </c>
      <c r="DT593" s="118"/>
      <c r="DU593" s="19"/>
      <c r="DV593" s="19"/>
      <c r="DW593" s="19"/>
      <c r="DX593" s="19"/>
      <c r="DY593" s="19"/>
      <c r="DZ593" s="19"/>
    </row>
    <row r="594" spans="1:130" ht="12.75" x14ac:dyDescent="0.2">
      <c r="A594" s="647"/>
      <c r="B594" s="670"/>
      <c r="C594" s="602"/>
      <c r="D594" s="602"/>
      <c r="E594" s="602"/>
      <c r="F594" s="602"/>
      <c r="G594" s="602"/>
      <c r="H594" s="634"/>
      <c r="I594" s="584">
        <f t="shared" ref="I594:I596" si="432">IF(E594=0,0,F594-E594+1-G594)</f>
        <v>0</v>
      </c>
      <c r="J594" s="634"/>
      <c r="K594" s="602"/>
      <c r="L594" s="602"/>
      <c r="M594" s="634"/>
      <c r="N594" s="634"/>
      <c r="O594" s="634"/>
      <c r="P594" s="634"/>
      <c r="Q594" s="634"/>
      <c r="R594" s="634"/>
      <c r="S594" s="659"/>
      <c r="T594" s="670"/>
      <c r="U594" s="602"/>
      <c r="V594" s="602"/>
      <c r="W594" s="602"/>
      <c r="X594" s="602"/>
      <c r="Y594" s="602"/>
      <c r="Z594" s="634"/>
      <c r="AA594" s="584">
        <f t="shared" ref="AA594:AA596" si="433">IF(X594=0,0,X594-W594+1-Y594)</f>
        <v>0</v>
      </c>
      <c r="AB594" s="634"/>
      <c r="AC594" s="602"/>
      <c r="AD594" s="602"/>
      <c r="AE594" s="634"/>
      <c r="AF594" s="634"/>
      <c r="AG594" s="634"/>
      <c r="AH594" s="634"/>
      <c r="AI594" s="638"/>
      <c r="AJ594" s="634"/>
      <c r="AK594" s="642"/>
      <c r="AL594" s="670"/>
      <c r="AM594" s="602"/>
      <c r="AN594" s="602"/>
      <c r="AO594" s="602"/>
      <c r="AP594" s="602"/>
      <c r="AQ594" s="592"/>
      <c r="AR594" s="634"/>
      <c r="AS594" s="584">
        <f t="shared" ref="AS594:AS596" si="434">IF(AO594=0,0,AP594-AO594+1-AQ594)</f>
        <v>0</v>
      </c>
      <c r="AT594" s="671"/>
      <c r="AU594" s="635"/>
      <c r="AV594" s="635"/>
      <c r="AW594" s="602"/>
      <c r="AX594" s="634"/>
      <c r="AY594" s="634"/>
      <c r="AZ594" s="634"/>
      <c r="BA594" s="634"/>
      <c r="BB594" s="634"/>
      <c r="BC594" s="635"/>
      <c r="BD594" s="586"/>
      <c r="BE594" s="586"/>
      <c r="BF594" s="586"/>
      <c r="BG594" s="586"/>
      <c r="BH594" s="586"/>
      <c r="BI594" s="586"/>
      <c r="BJ594" s="586"/>
      <c r="BK594" s="586"/>
      <c r="BL594" s="586"/>
      <c r="BM594" s="586"/>
      <c r="BN594" s="586"/>
      <c r="BO594" s="586"/>
      <c r="BP594" s="586"/>
      <c r="BQ594" s="586"/>
      <c r="BR594" s="586"/>
      <c r="BS594" s="586"/>
      <c r="BT594" s="586"/>
      <c r="BU594" s="586"/>
      <c r="BV594" s="587"/>
      <c r="BW594" s="588"/>
      <c r="BX594" s="588"/>
      <c r="BY594" s="588"/>
      <c r="BZ594" s="588"/>
      <c r="CA594" s="588"/>
      <c r="CB594" s="588"/>
      <c r="CC594" s="588"/>
      <c r="CD594" s="588"/>
      <c r="CE594" s="588"/>
      <c r="CF594" s="588"/>
      <c r="CG594" s="588"/>
      <c r="CH594" s="588"/>
      <c r="CI594" s="588"/>
      <c r="CJ594" s="588"/>
      <c r="CK594" s="588"/>
      <c r="CL594" s="588"/>
      <c r="CM594" s="588"/>
      <c r="CN594" s="670"/>
      <c r="CO594" s="634"/>
      <c r="CP594" s="604"/>
      <c r="CQ594" s="604"/>
      <c r="CR594" s="604"/>
      <c r="CS594" s="604"/>
      <c r="CT594" s="604"/>
      <c r="CU594" s="634"/>
      <c r="CV594" s="605">
        <f t="shared" si="425"/>
        <v>0</v>
      </c>
      <c r="CW594" s="634"/>
      <c r="CX594" s="634"/>
      <c r="CY594" s="634"/>
      <c r="CZ594" s="634"/>
      <c r="DA594" s="634"/>
      <c r="DB594" s="634"/>
      <c r="DC594" s="659"/>
      <c r="DD594" s="670"/>
      <c r="DE594" s="634"/>
      <c r="DF594" s="604"/>
      <c r="DG594" s="604"/>
      <c r="DH594" s="604"/>
      <c r="DI594" s="604"/>
      <c r="DJ594" s="604"/>
      <c r="DK594" s="634"/>
      <c r="DL594" s="605">
        <f t="shared" si="426"/>
        <v>0</v>
      </c>
      <c r="DM594" s="634"/>
      <c r="DN594" s="634"/>
      <c r="DO594" s="634"/>
      <c r="DP594" s="634"/>
      <c r="DQ594" s="634"/>
      <c r="DR594" s="634"/>
      <c r="DS594" s="659"/>
      <c r="DT594" s="118"/>
      <c r="DU594" s="19"/>
      <c r="DV594" s="19"/>
      <c r="DW594" s="19"/>
      <c r="DX594" s="19"/>
      <c r="DY594" s="19"/>
      <c r="DZ594" s="19"/>
    </row>
    <row r="595" spans="1:130" ht="12.75" x14ac:dyDescent="0.2">
      <c r="A595" s="647"/>
      <c r="B595" s="671"/>
      <c r="C595" s="602"/>
      <c r="D595" s="602"/>
      <c r="E595" s="602"/>
      <c r="F595" s="602"/>
      <c r="G595" s="602"/>
      <c r="H595" s="635"/>
      <c r="I595" s="584">
        <f t="shared" si="432"/>
        <v>0</v>
      </c>
      <c r="J595" s="635"/>
      <c r="K595" s="602"/>
      <c r="L595" s="602"/>
      <c r="M595" s="635"/>
      <c r="N595" s="635"/>
      <c r="O595" s="635"/>
      <c r="P595" s="635"/>
      <c r="Q595" s="635"/>
      <c r="R595" s="635"/>
      <c r="S595" s="660"/>
      <c r="T595" s="671"/>
      <c r="U595" s="602"/>
      <c r="V595" s="602"/>
      <c r="W595" s="602"/>
      <c r="X595" s="602"/>
      <c r="Y595" s="602"/>
      <c r="Z595" s="635"/>
      <c r="AA595" s="584">
        <f t="shared" si="433"/>
        <v>0</v>
      </c>
      <c r="AB595" s="634"/>
      <c r="AC595" s="602"/>
      <c r="AD595" s="602"/>
      <c r="AE595" s="634"/>
      <c r="AF595" s="635"/>
      <c r="AG595" s="635"/>
      <c r="AH595" s="635"/>
      <c r="AI595" s="638"/>
      <c r="AJ595" s="635"/>
      <c r="AK595" s="643"/>
      <c r="AL595" s="671"/>
      <c r="AM595" s="602"/>
      <c r="AN595" s="602"/>
      <c r="AO595" s="602"/>
      <c r="AP595" s="602"/>
      <c r="AQ595" s="602"/>
      <c r="AR595" s="635"/>
      <c r="AS595" s="584">
        <f t="shared" si="434"/>
        <v>0</v>
      </c>
      <c r="AT595" s="608"/>
      <c r="AU595" s="602"/>
      <c r="AV595" s="609"/>
      <c r="AW595" s="609"/>
      <c r="AX595" s="635"/>
      <c r="AY595" s="635"/>
      <c r="AZ595" s="635"/>
      <c r="BA595" s="609"/>
      <c r="BB595" s="635"/>
      <c r="BC595" s="610"/>
      <c r="BD595" s="586"/>
      <c r="BE595" s="586"/>
      <c r="BF595" s="586"/>
      <c r="BG595" s="586"/>
      <c r="BH595" s="586"/>
      <c r="BI595" s="586"/>
      <c r="BJ595" s="586"/>
      <c r="BK595" s="586"/>
      <c r="BL595" s="586"/>
      <c r="BM595" s="586"/>
      <c r="BN595" s="586"/>
      <c r="BO595" s="586"/>
      <c r="BP595" s="586"/>
      <c r="BQ595" s="586"/>
      <c r="BR595" s="586"/>
      <c r="BS595" s="586"/>
      <c r="BT595" s="586"/>
      <c r="BU595" s="586"/>
      <c r="BV595" s="587"/>
      <c r="BW595" s="588"/>
      <c r="BX595" s="588"/>
      <c r="BY595" s="588"/>
      <c r="BZ595" s="588"/>
      <c r="CA595" s="588"/>
      <c r="CB595" s="588"/>
      <c r="CC595" s="588"/>
      <c r="CD595" s="588"/>
      <c r="CE595" s="588"/>
      <c r="CF595" s="588"/>
      <c r="CG595" s="588"/>
      <c r="CH595" s="588"/>
      <c r="CI595" s="588"/>
      <c r="CJ595" s="588"/>
      <c r="CK595" s="588"/>
      <c r="CL595" s="588"/>
      <c r="CM595" s="588"/>
      <c r="CN595" s="671"/>
      <c r="CO595" s="635"/>
      <c r="CP595" s="604"/>
      <c r="CQ595" s="604"/>
      <c r="CR595" s="604"/>
      <c r="CS595" s="604"/>
      <c r="CT595" s="604"/>
      <c r="CU595" s="635"/>
      <c r="CV595" s="605">
        <f t="shared" si="425"/>
        <v>0</v>
      </c>
      <c r="CW595" s="635"/>
      <c r="CX595" s="635"/>
      <c r="CY595" s="635"/>
      <c r="CZ595" s="635"/>
      <c r="DA595" s="635"/>
      <c r="DB595" s="635"/>
      <c r="DC595" s="660"/>
      <c r="DD595" s="671"/>
      <c r="DE595" s="635"/>
      <c r="DF595" s="604"/>
      <c r="DG595" s="604"/>
      <c r="DH595" s="604"/>
      <c r="DI595" s="604"/>
      <c r="DJ595" s="604"/>
      <c r="DK595" s="635"/>
      <c r="DL595" s="605">
        <f t="shared" si="426"/>
        <v>0</v>
      </c>
      <c r="DM595" s="635"/>
      <c r="DN595" s="635"/>
      <c r="DO595" s="635"/>
      <c r="DP595" s="635"/>
      <c r="DQ595" s="635"/>
      <c r="DR595" s="635"/>
      <c r="DS595" s="660"/>
      <c r="DT595" s="118"/>
      <c r="DU595" s="19"/>
      <c r="DV595" s="19"/>
      <c r="DW595" s="19"/>
      <c r="DX595" s="19"/>
      <c r="DY595" s="19"/>
      <c r="DZ595" s="19"/>
    </row>
    <row r="596" spans="1:130" ht="12.75" x14ac:dyDescent="0.2">
      <c r="A596" s="647"/>
      <c r="B596" s="750">
        <v>46204</v>
      </c>
      <c r="C596" s="592"/>
      <c r="D596" s="592"/>
      <c r="E596" s="592"/>
      <c r="F596" s="592"/>
      <c r="G596" s="592"/>
      <c r="H596" s="740"/>
      <c r="I596" s="584">
        <f t="shared" si="432"/>
        <v>0</v>
      </c>
      <c r="J596" s="735">
        <f>SUM(I596:I601,H596)</f>
        <v>0</v>
      </c>
      <c r="K596" s="592"/>
      <c r="L596" s="592"/>
      <c r="M596" s="740"/>
      <c r="N596" s="740"/>
      <c r="O596" s="761">
        <f>SUM(M596:N601)</f>
        <v>0</v>
      </c>
      <c r="P596" s="740"/>
      <c r="Q596" s="745">
        <f>M596*60</f>
        <v>0</v>
      </c>
      <c r="R596" s="732">
        <f>IF(
   COUNTIF(K596:K601,"SI")&gt;0,
   1.8,
   IF(
      COUNTIF(L596:L601,"SI")&gt;0,
      1.6,
      2
   )
)</f>
        <v>2</v>
      </c>
      <c r="S596" s="748">
        <f>IF(Q596=0,0,J596/Q596)</f>
        <v>0</v>
      </c>
      <c r="T596" s="750">
        <v>46204</v>
      </c>
      <c r="U596" s="592"/>
      <c r="V596" s="592"/>
      <c r="W596" s="592"/>
      <c r="X596" s="592"/>
      <c r="Y596" s="592"/>
      <c r="Z596" s="740"/>
      <c r="AA596" s="584">
        <f t="shared" si="433"/>
        <v>0</v>
      </c>
      <c r="AB596" s="735">
        <f>SUM(AA596:AA601,Z596)</f>
        <v>0</v>
      </c>
      <c r="AC596" s="592"/>
      <c r="AD596" s="592"/>
      <c r="AE596" s="740"/>
      <c r="AF596" s="736"/>
      <c r="AG596" s="731">
        <f>SUM(AE596:AF601)</f>
        <v>0</v>
      </c>
      <c r="AH596" s="736"/>
      <c r="AI596" s="757">
        <f>AE596*60</f>
        <v>0</v>
      </c>
      <c r="AJ596" s="736">
        <f>IF(
   COUNTIF(AC596:AC601,"SI")&gt;0,
   1.8,
   IF(
      COUNTIF(AD596:AD601,"SI")&gt;0,
      1.6,
      2
   )
)</f>
        <v>2</v>
      </c>
      <c r="AK596" s="762">
        <f>IF(AI596=0,0,AB596/AI596)</f>
        <v>0</v>
      </c>
      <c r="AL596" s="750">
        <v>46204</v>
      </c>
      <c r="AM596" s="602"/>
      <c r="AN596" s="583">
        <v>612</v>
      </c>
      <c r="AO596" s="583">
        <v>7134</v>
      </c>
      <c r="AP596" s="583">
        <v>7359</v>
      </c>
      <c r="AQ596" s="583">
        <v>2</v>
      </c>
      <c r="AR596" s="730"/>
      <c r="AS596" s="584">
        <f t="shared" si="434"/>
        <v>224</v>
      </c>
      <c r="AT596" s="735">
        <f>SUM(AS596:AS600,AR596)</f>
        <v>224</v>
      </c>
      <c r="AU596" s="730"/>
      <c r="AV596" s="730">
        <v>1.5</v>
      </c>
      <c r="AW596" s="602"/>
      <c r="AX596" s="730">
        <v>7</v>
      </c>
      <c r="AY596" s="731">
        <f>SUM(AV596:AX601)</f>
        <v>8.5</v>
      </c>
      <c r="AZ596" s="733">
        <v>0.25</v>
      </c>
      <c r="BA596" s="736">
        <f>AV596*60</f>
        <v>90</v>
      </c>
      <c r="BB596" s="732">
        <f>IF(
   COUNTIF(AU596:AU601,"SI")&gt;0,
   1.8,
   IF(
      COUNTIF(AV596:AV601,"SI")&gt;0,
      1.6,
      2
   )
)</f>
        <v>2</v>
      </c>
      <c r="BC596" s="737">
        <f>IF(BA596=0,0,AT596/BA596)</f>
        <v>2.4888888888888889</v>
      </c>
      <c r="BD596" s="586"/>
      <c r="BE596" s="586"/>
      <c r="BF596" s="586"/>
      <c r="BG596" s="586"/>
      <c r="BH596" s="586"/>
      <c r="BI596" s="586"/>
      <c r="BJ596" s="586"/>
      <c r="BK596" s="586"/>
      <c r="BL596" s="586"/>
      <c r="BM596" s="586"/>
      <c r="BN596" s="586"/>
      <c r="BO596" s="586"/>
      <c r="BP596" s="586"/>
      <c r="BQ596" s="586"/>
      <c r="BR596" s="586"/>
      <c r="BS596" s="586"/>
      <c r="BT596" s="586"/>
      <c r="BU596" s="586"/>
      <c r="BV596" s="587"/>
      <c r="BW596" s="588"/>
      <c r="BX596" s="588"/>
      <c r="BY596" s="588"/>
      <c r="BZ596" s="588"/>
      <c r="CA596" s="588"/>
      <c r="CB596" s="588"/>
      <c r="CC596" s="588"/>
      <c r="CD596" s="588"/>
      <c r="CE596" s="588"/>
      <c r="CF596" s="588"/>
      <c r="CG596" s="588"/>
      <c r="CH596" s="588"/>
      <c r="CI596" s="588"/>
      <c r="CJ596" s="588"/>
      <c r="CK596" s="588"/>
      <c r="CL596" s="588"/>
      <c r="CM596" s="588"/>
      <c r="CN596" s="750">
        <v>46204</v>
      </c>
      <c r="CO596" s="769" t="s">
        <v>45</v>
      </c>
      <c r="CP596" s="594"/>
      <c r="CQ596" s="594"/>
      <c r="CR596" s="594"/>
      <c r="CS596" s="594"/>
      <c r="CT596" s="594"/>
      <c r="CU596" s="768"/>
      <c r="CV596" s="591">
        <f t="shared" si="425"/>
        <v>0</v>
      </c>
      <c r="CW596" s="769">
        <f>SUM(CV596:CV598)</f>
        <v>0</v>
      </c>
      <c r="CX596" s="770"/>
      <c r="CY596" s="768">
        <v>1</v>
      </c>
      <c r="CZ596" s="761">
        <f>SUM(CX596:CY601)</f>
        <v>6</v>
      </c>
      <c r="DA596" s="768"/>
      <c r="DB596" s="769">
        <v>2</v>
      </c>
      <c r="DC596" s="771">
        <f>IF(CX596=0,0,CW596/(CX596*60))</f>
        <v>0</v>
      </c>
      <c r="DD596" s="750">
        <v>46204</v>
      </c>
      <c r="DE596" s="769" t="s">
        <v>45</v>
      </c>
      <c r="DF596" s="594"/>
      <c r="DG596" s="606">
        <v>475</v>
      </c>
      <c r="DH596" s="606">
        <v>32907</v>
      </c>
      <c r="DI596" s="606">
        <v>33009</v>
      </c>
      <c r="DJ596" s="594"/>
      <c r="DK596" s="768"/>
      <c r="DL596" s="591">
        <f t="shared" si="426"/>
        <v>103</v>
      </c>
      <c r="DM596" s="769">
        <f>SUM(DL596:DL598)</f>
        <v>103</v>
      </c>
      <c r="DN596" s="770">
        <v>1.5</v>
      </c>
      <c r="DO596" s="768">
        <v>1</v>
      </c>
      <c r="DP596" s="761">
        <f>SUM(DN596:DO601)</f>
        <v>4</v>
      </c>
      <c r="DQ596" s="768"/>
      <c r="DR596" s="769">
        <v>2</v>
      </c>
      <c r="DS596" s="771">
        <f>IF(DN596=0,0,DM596/(DN596*60))</f>
        <v>1.1444444444444444</v>
      </c>
      <c r="DT596" s="118"/>
      <c r="DU596" s="19"/>
      <c r="DV596" s="19"/>
      <c r="DW596" s="19"/>
      <c r="DX596" s="19"/>
      <c r="DY596" s="19"/>
      <c r="DZ596" s="19"/>
    </row>
    <row r="597" spans="1:130" ht="12.75" x14ac:dyDescent="0.2">
      <c r="A597" s="647"/>
      <c r="B597" s="670"/>
      <c r="C597" s="592"/>
      <c r="D597" s="592"/>
      <c r="E597" s="592"/>
      <c r="F597" s="592"/>
      <c r="G597" s="592"/>
      <c r="H597" s="634"/>
      <c r="I597" s="592"/>
      <c r="J597" s="634"/>
      <c r="K597" s="592"/>
      <c r="L597" s="592"/>
      <c r="M597" s="634"/>
      <c r="N597" s="634"/>
      <c r="O597" s="634"/>
      <c r="P597" s="634"/>
      <c r="Q597" s="634"/>
      <c r="R597" s="634"/>
      <c r="S597" s="659"/>
      <c r="T597" s="670"/>
      <c r="U597" s="592"/>
      <c r="V597" s="592"/>
      <c r="W597" s="592"/>
      <c r="X597" s="592"/>
      <c r="Y597" s="592"/>
      <c r="Z597" s="634"/>
      <c r="AA597" s="592"/>
      <c r="AB597" s="634"/>
      <c r="AC597" s="592"/>
      <c r="AD597" s="592"/>
      <c r="AE597" s="634"/>
      <c r="AF597" s="634"/>
      <c r="AG597" s="634"/>
      <c r="AH597" s="634"/>
      <c r="AI597" s="638"/>
      <c r="AJ597" s="634"/>
      <c r="AK597" s="642"/>
      <c r="AL597" s="670"/>
      <c r="AM597" s="602"/>
      <c r="AN597" s="602"/>
      <c r="AO597" s="602"/>
      <c r="AP597" s="602"/>
      <c r="AQ597" s="592"/>
      <c r="AR597" s="634"/>
      <c r="AS597" s="592"/>
      <c r="AT597" s="634"/>
      <c r="AU597" s="634"/>
      <c r="AV597" s="634"/>
      <c r="AW597" s="602"/>
      <c r="AX597" s="634"/>
      <c r="AY597" s="634"/>
      <c r="AZ597" s="634"/>
      <c r="BA597" s="634"/>
      <c r="BB597" s="634"/>
      <c r="BC597" s="634"/>
      <c r="BD597" s="586"/>
      <c r="BE597" s="586"/>
      <c r="BF597" s="586"/>
      <c r="BG597" s="586"/>
      <c r="BH597" s="586"/>
      <c r="BI597" s="586"/>
      <c r="BJ597" s="586"/>
      <c r="BK597" s="586"/>
      <c r="BL597" s="586"/>
      <c r="BM597" s="586"/>
      <c r="BN597" s="586"/>
      <c r="BO597" s="586"/>
      <c r="BP597" s="586"/>
      <c r="BQ597" s="586"/>
      <c r="BR597" s="586"/>
      <c r="BS597" s="586"/>
      <c r="BT597" s="586"/>
      <c r="BU597" s="586"/>
      <c r="BV597" s="587"/>
      <c r="BW597" s="588"/>
      <c r="BX597" s="588"/>
      <c r="BY597" s="588"/>
      <c r="BZ597" s="588"/>
      <c r="CA597" s="588"/>
      <c r="CB597" s="588"/>
      <c r="CC597" s="588"/>
      <c r="CD597" s="588"/>
      <c r="CE597" s="588"/>
      <c r="CF597" s="588"/>
      <c r="CG597" s="588"/>
      <c r="CH597" s="588"/>
      <c r="CI597" s="588"/>
      <c r="CJ597" s="588"/>
      <c r="CK597" s="588"/>
      <c r="CL597" s="588"/>
      <c r="CM597" s="588"/>
      <c r="CN597" s="670"/>
      <c r="CO597" s="634"/>
      <c r="CP597" s="594"/>
      <c r="CQ597" s="594"/>
      <c r="CR597" s="594"/>
      <c r="CS597" s="594"/>
      <c r="CT597" s="594"/>
      <c r="CU597" s="634"/>
      <c r="CV597" s="591">
        <f t="shared" si="425"/>
        <v>0</v>
      </c>
      <c r="CW597" s="634"/>
      <c r="CX597" s="634"/>
      <c r="CY597" s="634"/>
      <c r="CZ597" s="634"/>
      <c r="DA597" s="634"/>
      <c r="DB597" s="634"/>
      <c r="DC597" s="659"/>
      <c r="DD597" s="670"/>
      <c r="DE597" s="634"/>
      <c r="DF597" s="594"/>
      <c r="DG597" s="594"/>
      <c r="DH597" s="594"/>
      <c r="DI597" s="594"/>
      <c r="DJ597" s="594"/>
      <c r="DK597" s="634"/>
      <c r="DL597" s="591">
        <f t="shared" si="426"/>
        <v>0</v>
      </c>
      <c r="DM597" s="634"/>
      <c r="DN597" s="634"/>
      <c r="DO597" s="634"/>
      <c r="DP597" s="634"/>
      <c r="DQ597" s="634"/>
      <c r="DR597" s="634"/>
      <c r="DS597" s="659"/>
      <c r="DT597" s="118"/>
      <c r="DU597" s="19"/>
      <c r="DV597" s="19"/>
      <c r="DW597" s="19"/>
      <c r="DX597" s="19"/>
      <c r="DY597" s="19"/>
      <c r="DZ597" s="19"/>
    </row>
    <row r="598" spans="1:130" ht="12.75" x14ac:dyDescent="0.2">
      <c r="A598" s="647"/>
      <c r="B598" s="670"/>
      <c r="C598" s="592"/>
      <c r="D598" s="592"/>
      <c r="E598" s="592"/>
      <c r="F598" s="592"/>
      <c r="G598" s="592"/>
      <c r="H598" s="634"/>
      <c r="I598" s="592"/>
      <c r="J598" s="634"/>
      <c r="K598" s="592"/>
      <c r="L598" s="592"/>
      <c r="M598" s="634"/>
      <c r="N598" s="634"/>
      <c r="O598" s="634"/>
      <c r="P598" s="634"/>
      <c r="Q598" s="634"/>
      <c r="R598" s="634"/>
      <c r="S598" s="659"/>
      <c r="T598" s="670"/>
      <c r="U598" s="592"/>
      <c r="V598" s="592"/>
      <c r="W598" s="592"/>
      <c r="X598" s="592"/>
      <c r="Y598" s="592"/>
      <c r="Z598" s="634"/>
      <c r="AA598" s="592"/>
      <c r="AB598" s="634"/>
      <c r="AC598" s="592"/>
      <c r="AD598" s="592"/>
      <c r="AE598" s="634"/>
      <c r="AF598" s="634"/>
      <c r="AG598" s="634"/>
      <c r="AH598" s="634"/>
      <c r="AI598" s="638"/>
      <c r="AJ598" s="634"/>
      <c r="AK598" s="642"/>
      <c r="AL598" s="670"/>
      <c r="AM598" s="602"/>
      <c r="AN598" s="602"/>
      <c r="AO598" s="602"/>
      <c r="AP598" s="602"/>
      <c r="AQ598" s="592"/>
      <c r="AR598" s="634"/>
      <c r="AS598" s="592"/>
      <c r="AT598" s="634"/>
      <c r="AU598" s="634"/>
      <c r="AV598" s="634"/>
      <c r="AW598" s="602"/>
      <c r="AX598" s="634"/>
      <c r="AY598" s="634"/>
      <c r="AZ598" s="634"/>
      <c r="BA598" s="634"/>
      <c r="BB598" s="634"/>
      <c r="BC598" s="634"/>
      <c r="BD598" s="586"/>
      <c r="BE598" s="586"/>
      <c r="BF598" s="586"/>
      <c r="BG598" s="586"/>
      <c r="BH598" s="586"/>
      <c r="BI598" s="586"/>
      <c r="BJ598" s="586"/>
      <c r="BK598" s="586"/>
      <c r="BL598" s="586"/>
      <c r="BM598" s="586"/>
      <c r="BN598" s="586"/>
      <c r="BO598" s="586"/>
      <c r="BP598" s="586"/>
      <c r="BQ598" s="586"/>
      <c r="BR598" s="586"/>
      <c r="BS598" s="586"/>
      <c r="BT598" s="586"/>
      <c r="BU598" s="586"/>
      <c r="BV598" s="587"/>
      <c r="BW598" s="588"/>
      <c r="BX598" s="588"/>
      <c r="BY598" s="588"/>
      <c r="BZ598" s="588"/>
      <c r="CA598" s="588"/>
      <c r="CB598" s="588"/>
      <c r="CC598" s="588"/>
      <c r="CD598" s="588"/>
      <c r="CE598" s="588"/>
      <c r="CF598" s="588"/>
      <c r="CG598" s="588"/>
      <c r="CH598" s="588"/>
      <c r="CI598" s="588"/>
      <c r="CJ598" s="588"/>
      <c r="CK598" s="588"/>
      <c r="CL598" s="588"/>
      <c r="CM598" s="588"/>
      <c r="CN598" s="670"/>
      <c r="CO598" s="772"/>
      <c r="CP598" s="595"/>
      <c r="CQ598" s="595"/>
      <c r="CR598" s="595"/>
      <c r="CS598" s="595"/>
      <c r="CT598" s="595"/>
      <c r="CU598" s="634"/>
      <c r="CV598" s="591">
        <f t="shared" si="425"/>
        <v>0</v>
      </c>
      <c r="CW598" s="635"/>
      <c r="CX598" s="635"/>
      <c r="CY598" s="634"/>
      <c r="CZ598" s="634"/>
      <c r="DA598" s="634"/>
      <c r="DB598" s="635"/>
      <c r="DC598" s="660"/>
      <c r="DD598" s="670"/>
      <c r="DE598" s="772"/>
      <c r="DF598" s="595"/>
      <c r="DG598" s="595"/>
      <c r="DH598" s="595"/>
      <c r="DI598" s="595"/>
      <c r="DJ598" s="595"/>
      <c r="DK598" s="634"/>
      <c r="DL598" s="591">
        <f t="shared" si="426"/>
        <v>0</v>
      </c>
      <c r="DM598" s="635"/>
      <c r="DN598" s="635"/>
      <c r="DO598" s="634"/>
      <c r="DP598" s="634"/>
      <c r="DQ598" s="634"/>
      <c r="DR598" s="635"/>
      <c r="DS598" s="660"/>
      <c r="DT598" s="118"/>
      <c r="DU598" s="19"/>
      <c r="DV598" s="19"/>
      <c r="DW598" s="19"/>
      <c r="DX598" s="19"/>
      <c r="DY598" s="19"/>
      <c r="DZ598" s="19"/>
    </row>
    <row r="599" spans="1:130" ht="12.75" x14ac:dyDescent="0.2">
      <c r="A599" s="647"/>
      <c r="B599" s="670"/>
      <c r="C599" s="592"/>
      <c r="D599" s="592"/>
      <c r="E599" s="592"/>
      <c r="F599" s="592"/>
      <c r="G599" s="592"/>
      <c r="H599" s="634"/>
      <c r="I599" s="592"/>
      <c r="J599" s="634"/>
      <c r="K599" s="592"/>
      <c r="L599" s="592"/>
      <c r="M599" s="634"/>
      <c r="N599" s="634"/>
      <c r="O599" s="634"/>
      <c r="P599" s="634"/>
      <c r="Q599" s="634"/>
      <c r="R599" s="634"/>
      <c r="S599" s="659"/>
      <c r="T599" s="670"/>
      <c r="U599" s="592"/>
      <c r="V599" s="592"/>
      <c r="W599" s="592"/>
      <c r="X599" s="592"/>
      <c r="Y599" s="592"/>
      <c r="Z599" s="634"/>
      <c r="AA599" s="592"/>
      <c r="AB599" s="634"/>
      <c r="AC599" s="592"/>
      <c r="AD599" s="592"/>
      <c r="AE599" s="634"/>
      <c r="AF599" s="634"/>
      <c r="AG599" s="634"/>
      <c r="AH599" s="634"/>
      <c r="AI599" s="638"/>
      <c r="AJ599" s="634"/>
      <c r="AK599" s="642"/>
      <c r="AL599" s="670"/>
      <c r="AM599" s="602"/>
      <c r="AN599" s="602"/>
      <c r="AO599" s="602"/>
      <c r="AP599" s="602"/>
      <c r="AQ599" s="592"/>
      <c r="AR599" s="634"/>
      <c r="AS599" s="592"/>
      <c r="AT599" s="634"/>
      <c r="AU599" s="634"/>
      <c r="AV599" s="634"/>
      <c r="AW599" s="602"/>
      <c r="AX599" s="634"/>
      <c r="AY599" s="634"/>
      <c r="AZ599" s="634"/>
      <c r="BA599" s="634"/>
      <c r="BB599" s="634"/>
      <c r="BC599" s="634"/>
      <c r="BD599" s="586"/>
      <c r="BE599" s="586"/>
      <c r="BF599" s="586"/>
      <c r="BG599" s="586"/>
      <c r="BH599" s="586"/>
      <c r="BI599" s="586"/>
      <c r="BJ599" s="586"/>
      <c r="BK599" s="586"/>
      <c r="BL599" s="586"/>
      <c r="BM599" s="586"/>
      <c r="BN599" s="586"/>
      <c r="BO599" s="586"/>
      <c r="BP599" s="586"/>
      <c r="BQ599" s="586"/>
      <c r="BR599" s="586"/>
      <c r="BS599" s="586"/>
      <c r="BT599" s="586"/>
      <c r="BU599" s="586"/>
      <c r="BV599" s="587"/>
      <c r="BW599" s="588"/>
      <c r="BX599" s="588"/>
      <c r="BY599" s="588"/>
      <c r="BZ599" s="588"/>
      <c r="CA599" s="588"/>
      <c r="CB599" s="588"/>
      <c r="CC599" s="588"/>
      <c r="CD599" s="588"/>
      <c r="CE599" s="588"/>
      <c r="CF599" s="588"/>
      <c r="CG599" s="588"/>
      <c r="CH599" s="588"/>
      <c r="CI599" s="588"/>
      <c r="CJ599" s="588"/>
      <c r="CK599" s="588"/>
      <c r="CL599" s="588"/>
      <c r="CM599" s="588"/>
      <c r="CN599" s="670"/>
      <c r="CO599" s="776" t="s">
        <v>46</v>
      </c>
      <c r="CP599" s="65"/>
      <c r="CQ599" s="583">
        <v>608</v>
      </c>
      <c r="CR599" s="583">
        <v>5190</v>
      </c>
      <c r="CS599" s="583">
        <v>5507</v>
      </c>
      <c r="CT599" s="65"/>
      <c r="CU599" s="634"/>
      <c r="CV599" s="591">
        <f t="shared" si="425"/>
        <v>318</v>
      </c>
      <c r="CW599" s="769">
        <f>SUM(CV599:CV601)</f>
        <v>318</v>
      </c>
      <c r="CX599" s="768">
        <v>5</v>
      </c>
      <c r="CY599" s="634"/>
      <c r="CZ599" s="634"/>
      <c r="DA599" s="634"/>
      <c r="DB599" s="769">
        <v>1.8</v>
      </c>
      <c r="DC599" s="773">
        <f>IF(CX599=0,0,CW599/(CX599*60))</f>
        <v>1.06</v>
      </c>
      <c r="DD599" s="670"/>
      <c r="DE599" s="776" t="s">
        <v>46</v>
      </c>
      <c r="DF599" s="65"/>
      <c r="DG599" s="63">
        <v>610</v>
      </c>
      <c r="DH599" s="63">
        <v>6399</v>
      </c>
      <c r="DI599" s="63">
        <v>6449</v>
      </c>
      <c r="DJ599" s="591"/>
      <c r="DK599" s="634"/>
      <c r="DL599" s="591">
        <f t="shared" si="426"/>
        <v>51</v>
      </c>
      <c r="DM599" s="769">
        <f>SUM(DL599:DL601)</f>
        <v>51</v>
      </c>
      <c r="DN599" s="768">
        <v>1.5</v>
      </c>
      <c r="DO599" s="634"/>
      <c r="DP599" s="634"/>
      <c r="DQ599" s="634"/>
      <c r="DR599" s="769">
        <v>1.8</v>
      </c>
      <c r="DS599" s="773">
        <f>IF(DN599=0,0,DM599/(DN599*60))</f>
        <v>0.56666666666666665</v>
      </c>
      <c r="DT599" s="118"/>
      <c r="DU599" s="19"/>
      <c r="DV599" s="19"/>
      <c r="DW599" s="19"/>
      <c r="DX599" s="19"/>
      <c r="DY599" s="19"/>
      <c r="DZ599" s="19"/>
    </row>
    <row r="600" spans="1:130" ht="12.75" x14ac:dyDescent="0.2">
      <c r="A600" s="647"/>
      <c r="B600" s="670"/>
      <c r="C600" s="592"/>
      <c r="D600" s="592"/>
      <c r="E600" s="592"/>
      <c r="F600" s="592"/>
      <c r="G600" s="592"/>
      <c r="H600" s="634"/>
      <c r="I600" s="584">
        <f t="shared" ref="I600:I602" si="435">IF(E600=0,0,F600-E600+1-G600)</f>
        <v>0</v>
      </c>
      <c r="J600" s="634"/>
      <c r="K600" s="592"/>
      <c r="L600" s="592"/>
      <c r="M600" s="634"/>
      <c r="N600" s="634"/>
      <c r="O600" s="634"/>
      <c r="P600" s="634"/>
      <c r="Q600" s="634"/>
      <c r="R600" s="634"/>
      <c r="S600" s="659"/>
      <c r="T600" s="670"/>
      <c r="U600" s="592"/>
      <c r="V600" s="592"/>
      <c r="W600" s="592"/>
      <c r="X600" s="592"/>
      <c r="Y600" s="592"/>
      <c r="Z600" s="634"/>
      <c r="AA600" s="584">
        <f t="shared" ref="AA600:AA608" si="436">IF(X600=0,0,X600-W600+1-Y600)</f>
        <v>0</v>
      </c>
      <c r="AB600" s="634"/>
      <c r="AC600" s="592"/>
      <c r="AD600" s="592"/>
      <c r="AE600" s="634"/>
      <c r="AF600" s="634"/>
      <c r="AG600" s="634"/>
      <c r="AH600" s="634"/>
      <c r="AI600" s="638"/>
      <c r="AJ600" s="634"/>
      <c r="AK600" s="642"/>
      <c r="AL600" s="670"/>
      <c r="AM600" s="602"/>
      <c r="AN600" s="602"/>
      <c r="AO600" s="602"/>
      <c r="AP600" s="602"/>
      <c r="AQ600" s="592"/>
      <c r="AR600" s="634"/>
      <c r="AS600" s="584">
        <f>IF(AO600=0,0,AP600-AO600+1-AQ600)</f>
        <v>0</v>
      </c>
      <c r="AT600" s="635"/>
      <c r="AU600" s="635"/>
      <c r="AV600" s="635"/>
      <c r="AW600" s="602"/>
      <c r="AX600" s="634"/>
      <c r="AY600" s="634"/>
      <c r="AZ600" s="634"/>
      <c r="BA600" s="634"/>
      <c r="BB600" s="634"/>
      <c r="BC600" s="635"/>
      <c r="BD600" s="586"/>
      <c r="BE600" s="586"/>
      <c r="BF600" s="586"/>
      <c r="BG600" s="586"/>
      <c r="BH600" s="586"/>
      <c r="BI600" s="586"/>
      <c r="BJ600" s="586"/>
      <c r="BK600" s="586"/>
      <c r="BL600" s="586"/>
      <c r="BM600" s="586"/>
      <c r="BN600" s="586"/>
      <c r="BO600" s="586"/>
      <c r="BP600" s="586"/>
      <c r="BQ600" s="586"/>
      <c r="BR600" s="586"/>
      <c r="BS600" s="586"/>
      <c r="BT600" s="586"/>
      <c r="BU600" s="586"/>
      <c r="BV600" s="587"/>
      <c r="BW600" s="588"/>
      <c r="BX600" s="588"/>
      <c r="BY600" s="588"/>
      <c r="BZ600" s="588"/>
      <c r="CA600" s="588"/>
      <c r="CB600" s="588"/>
      <c r="CC600" s="588"/>
      <c r="CD600" s="588"/>
      <c r="CE600" s="588"/>
      <c r="CF600" s="588"/>
      <c r="CG600" s="588"/>
      <c r="CH600" s="588"/>
      <c r="CI600" s="588"/>
      <c r="CJ600" s="588"/>
      <c r="CK600" s="588"/>
      <c r="CL600" s="588"/>
      <c r="CM600" s="588"/>
      <c r="CN600" s="670"/>
      <c r="CO600" s="634"/>
      <c r="CP600" s="594"/>
      <c r="CQ600" s="594"/>
      <c r="CR600" s="594"/>
      <c r="CS600" s="594"/>
      <c r="CT600" s="611"/>
      <c r="CU600" s="634"/>
      <c r="CV600" s="591">
        <f t="shared" si="425"/>
        <v>0</v>
      </c>
      <c r="CW600" s="634"/>
      <c r="CX600" s="634"/>
      <c r="CY600" s="634"/>
      <c r="CZ600" s="634"/>
      <c r="DA600" s="634"/>
      <c r="DB600" s="634"/>
      <c r="DC600" s="659"/>
      <c r="DD600" s="670"/>
      <c r="DE600" s="634"/>
      <c r="DF600" s="594"/>
      <c r="DG600" s="594"/>
      <c r="DH600" s="594"/>
      <c r="DI600" s="594"/>
      <c r="DJ600" s="594"/>
      <c r="DK600" s="634"/>
      <c r="DL600" s="591">
        <f t="shared" si="426"/>
        <v>0</v>
      </c>
      <c r="DM600" s="634"/>
      <c r="DN600" s="634"/>
      <c r="DO600" s="634"/>
      <c r="DP600" s="634"/>
      <c r="DQ600" s="634"/>
      <c r="DR600" s="634"/>
      <c r="DS600" s="659"/>
      <c r="DT600" s="118"/>
      <c r="DU600" s="19"/>
      <c r="DV600" s="19"/>
      <c r="DW600" s="19"/>
      <c r="DX600" s="19"/>
      <c r="DY600" s="19"/>
      <c r="DZ600" s="19"/>
    </row>
    <row r="601" spans="1:130" ht="12.75" x14ac:dyDescent="0.2">
      <c r="A601" s="647"/>
      <c r="B601" s="671"/>
      <c r="C601" s="592"/>
      <c r="D601" s="592"/>
      <c r="E601" s="592"/>
      <c r="F601" s="592"/>
      <c r="G601" s="592"/>
      <c r="H601" s="635"/>
      <c r="I601" s="584">
        <f t="shared" si="435"/>
        <v>0</v>
      </c>
      <c r="J601" s="635"/>
      <c r="K601" s="592"/>
      <c r="L601" s="592"/>
      <c r="M601" s="635"/>
      <c r="N601" s="635"/>
      <c r="O601" s="635"/>
      <c r="P601" s="635"/>
      <c r="Q601" s="635"/>
      <c r="R601" s="635"/>
      <c r="S601" s="660"/>
      <c r="T601" s="671"/>
      <c r="U601" s="592"/>
      <c r="V601" s="592"/>
      <c r="W601" s="592"/>
      <c r="X601" s="592"/>
      <c r="Y601" s="592"/>
      <c r="Z601" s="635"/>
      <c r="AA601" s="584">
        <f t="shared" si="436"/>
        <v>0</v>
      </c>
      <c r="AB601" s="635"/>
      <c r="AC601" s="592"/>
      <c r="AD601" s="592"/>
      <c r="AE601" s="635"/>
      <c r="AF601" s="635"/>
      <c r="AG601" s="635"/>
      <c r="AH601" s="635"/>
      <c r="AI601" s="638"/>
      <c r="AJ601" s="635"/>
      <c r="AK601" s="643"/>
      <c r="AL601" s="671"/>
      <c r="AM601" s="592"/>
      <c r="AN601" s="602"/>
      <c r="AO601" s="602"/>
      <c r="AP601" s="602"/>
      <c r="AQ601" s="602"/>
      <c r="AR601" s="635"/>
      <c r="AS601" s="592"/>
      <c r="AT601" s="608">
        <f>AS601</f>
        <v>0</v>
      </c>
      <c r="AU601" s="602"/>
      <c r="AV601" s="609"/>
      <c r="AW601" s="609"/>
      <c r="AX601" s="635"/>
      <c r="AY601" s="635"/>
      <c r="AZ601" s="635"/>
      <c r="BA601" s="600">
        <f t="shared" ref="BA601:BA602" si="437">AV601*60</f>
        <v>0</v>
      </c>
      <c r="BB601" s="593"/>
      <c r="BC601" s="612">
        <f t="shared" ref="BC601:BC602" si="438">IF(BA601=0,0,AT601/BA601)</f>
        <v>0</v>
      </c>
      <c r="BD601" s="586"/>
      <c r="BE601" s="586"/>
      <c r="BF601" s="586"/>
      <c r="BG601" s="586"/>
      <c r="BH601" s="586"/>
      <c r="BI601" s="586"/>
      <c r="BJ601" s="586"/>
      <c r="BK601" s="586"/>
      <c r="BL601" s="586"/>
      <c r="BM601" s="586"/>
      <c r="BN601" s="586"/>
      <c r="BO601" s="586"/>
      <c r="BP601" s="586"/>
      <c r="BQ601" s="586"/>
      <c r="BR601" s="586"/>
      <c r="BS601" s="586"/>
      <c r="BT601" s="586"/>
      <c r="BU601" s="586"/>
      <c r="BV601" s="586"/>
      <c r="BW601" s="588"/>
      <c r="BX601" s="588"/>
      <c r="BY601" s="588"/>
      <c r="BZ601" s="588"/>
      <c r="CA601" s="588"/>
      <c r="CB601" s="588"/>
      <c r="CC601" s="588"/>
      <c r="CD601" s="588"/>
      <c r="CE601" s="588"/>
      <c r="CF601" s="588"/>
      <c r="CG601" s="588"/>
      <c r="CH601" s="588"/>
      <c r="CI601" s="588"/>
      <c r="CJ601" s="588"/>
      <c r="CK601" s="588"/>
      <c r="CL601" s="588"/>
      <c r="CM601" s="588"/>
      <c r="CN601" s="671"/>
      <c r="CO601" s="635"/>
      <c r="CP601" s="594"/>
      <c r="CQ601" s="594"/>
      <c r="CR601" s="594"/>
      <c r="CS601" s="594"/>
      <c r="CT601" s="594"/>
      <c r="CU601" s="635"/>
      <c r="CV601" s="591">
        <f t="shared" si="425"/>
        <v>0</v>
      </c>
      <c r="CW601" s="635"/>
      <c r="CX601" s="635"/>
      <c r="CY601" s="635"/>
      <c r="CZ601" s="635"/>
      <c r="DA601" s="635"/>
      <c r="DB601" s="635"/>
      <c r="DC601" s="660"/>
      <c r="DD601" s="671"/>
      <c r="DE601" s="635"/>
      <c r="DF601" s="594"/>
      <c r="DG601" s="594"/>
      <c r="DH601" s="594"/>
      <c r="DI601" s="594"/>
      <c r="DJ601" s="594"/>
      <c r="DK601" s="635"/>
      <c r="DL601" s="591">
        <f t="shared" si="426"/>
        <v>0</v>
      </c>
      <c r="DM601" s="635"/>
      <c r="DN601" s="635"/>
      <c r="DO601" s="635"/>
      <c r="DP601" s="635"/>
      <c r="DQ601" s="635"/>
      <c r="DR601" s="635"/>
      <c r="DS601" s="660"/>
      <c r="DT601" s="118"/>
      <c r="DU601" s="19"/>
      <c r="DV601" s="19"/>
      <c r="DW601" s="19"/>
      <c r="DX601" s="19"/>
      <c r="DY601" s="19"/>
      <c r="DZ601" s="19"/>
    </row>
    <row r="602" spans="1:130" ht="12.75" x14ac:dyDescent="0.2">
      <c r="A602" s="647"/>
      <c r="B602" s="754">
        <v>46205</v>
      </c>
      <c r="C602" s="602"/>
      <c r="D602" s="602"/>
      <c r="E602" s="602"/>
      <c r="F602" s="602"/>
      <c r="G602" s="593"/>
      <c r="H602" s="758"/>
      <c r="I602" s="584">
        <f t="shared" si="435"/>
        <v>0</v>
      </c>
      <c r="J602" s="735">
        <f>SUM(I602:I607,H602)</f>
        <v>0</v>
      </c>
      <c r="K602" s="602"/>
      <c r="L602" s="602"/>
      <c r="M602" s="730"/>
      <c r="N602" s="730"/>
      <c r="O602" s="731">
        <f>SUM(M602:N607)</f>
        <v>0</v>
      </c>
      <c r="P602" s="730"/>
      <c r="Q602" s="733">
        <f>M602*60</f>
        <v>0</v>
      </c>
      <c r="R602" s="732">
        <f>IF(
   COUNTIF(K602:K607,"SI")&gt;0,
   1.8,
   IF(
      COUNTIF(L602:L607,"SI")&gt;0,
      1.6,
      2
   )
)</f>
        <v>2</v>
      </c>
      <c r="S602" s="748">
        <f>IF(Q602=0,0,J602/Q602)</f>
        <v>0</v>
      </c>
      <c r="T602" s="754">
        <v>46205</v>
      </c>
      <c r="U602" s="602"/>
      <c r="V602" s="583">
        <v>479</v>
      </c>
      <c r="W602" s="602"/>
      <c r="X602" s="602"/>
      <c r="Y602" s="602"/>
      <c r="Z602" s="730">
        <v>0</v>
      </c>
      <c r="AA602" s="584">
        <f t="shared" si="436"/>
        <v>0</v>
      </c>
      <c r="AB602" s="735">
        <f>SUM(AA602:AA607,Z602)</f>
        <v>100</v>
      </c>
      <c r="AC602" s="602"/>
      <c r="AD602" s="602"/>
      <c r="AE602" s="730"/>
      <c r="AF602" s="733">
        <v>4.25</v>
      </c>
      <c r="AG602" s="731">
        <f>SUM(AE602:AF607)</f>
        <v>4.25</v>
      </c>
      <c r="AH602" s="730"/>
      <c r="AI602" s="756">
        <f>AE602*60</f>
        <v>0</v>
      </c>
      <c r="AJ602" s="736">
        <f>IF(
   COUNTIF(AC602:AC607,"SI")&gt;0,
   1.8,
   IF(
      COUNTIF(AD602:AD607,"SI")&gt;0,
      1.6,
      2
   )
)</f>
        <v>2</v>
      </c>
      <c r="AK602" s="762">
        <f>IF(AI602=0,0,AB602/AI602)</f>
        <v>0</v>
      </c>
      <c r="AL602" s="754">
        <v>46205</v>
      </c>
      <c r="AM602" s="602"/>
      <c r="AN602" s="583">
        <v>473</v>
      </c>
      <c r="AO602" s="602"/>
      <c r="AP602" s="602"/>
      <c r="AQ602" s="602"/>
      <c r="AR602" s="740"/>
      <c r="AS602" s="584">
        <f t="shared" ref="AS602:AS608" si="439">IF(AO602=0,0,AP602-AO602+1-AQ602)</f>
        <v>0</v>
      </c>
      <c r="AT602" s="735">
        <f>SUM(AS602:AS607)+AR602</f>
        <v>0</v>
      </c>
      <c r="AU602" s="602"/>
      <c r="AV602" s="736"/>
      <c r="AW602" s="592"/>
      <c r="AX602" s="736"/>
      <c r="AY602" s="731">
        <f>SUM(AV602:AV606,AX602)</f>
        <v>0</v>
      </c>
      <c r="AZ602" s="733"/>
      <c r="BA602" s="733">
        <f t="shared" si="437"/>
        <v>0</v>
      </c>
      <c r="BB602" s="745">
        <f>IF(
   COUNTIF(AU602:AU605,"SI")&gt;0,
   1.8,
   IF(
      COUNTIF(AW602:AW605,"SI")&gt;0,
      1.6,
      2
   )
)</f>
        <v>2</v>
      </c>
      <c r="BC602" s="738">
        <f t="shared" si="438"/>
        <v>0</v>
      </c>
      <c r="BD602" s="586"/>
      <c r="BE602" s="586"/>
      <c r="BF602" s="586"/>
      <c r="BG602" s="586"/>
      <c r="BH602" s="586"/>
      <c r="BI602" s="586"/>
      <c r="BJ602" s="586"/>
      <c r="BK602" s="586"/>
      <c r="BL602" s="586"/>
      <c r="BM602" s="586"/>
      <c r="BN602" s="586"/>
      <c r="BO602" s="586"/>
      <c r="BP602" s="586"/>
      <c r="BQ602" s="586"/>
      <c r="BR602" s="586"/>
      <c r="BS602" s="586"/>
      <c r="BT602" s="586"/>
      <c r="BU602" s="586"/>
      <c r="BV602" s="586"/>
      <c r="BW602" s="588"/>
      <c r="BX602" s="588"/>
      <c r="BY602" s="588"/>
      <c r="BZ602" s="588"/>
      <c r="CA602" s="588"/>
      <c r="CB602" s="588"/>
      <c r="CC602" s="588"/>
      <c r="CD602" s="588"/>
      <c r="CE602" s="588"/>
      <c r="CF602" s="588"/>
      <c r="CG602" s="588"/>
      <c r="CH602" s="588"/>
      <c r="CI602" s="588"/>
      <c r="CJ602" s="588"/>
      <c r="CK602" s="588"/>
      <c r="CL602" s="588"/>
      <c r="CM602" s="588"/>
      <c r="CN602" s="754">
        <v>46205</v>
      </c>
      <c r="CO602" s="733" t="s">
        <v>45</v>
      </c>
      <c r="CP602" s="604"/>
      <c r="CQ602" s="583">
        <v>471</v>
      </c>
      <c r="CR602" s="583">
        <v>11508</v>
      </c>
      <c r="CS602" s="583">
        <v>11712</v>
      </c>
      <c r="CT602" s="604"/>
      <c r="CU602" s="730"/>
      <c r="CV602" s="605">
        <f t="shared" si="425"/>
        <v>205</v>
      </c>
      <c r="CW602" s="733">
        <f>SUM(CV602:CV604)</f>
        <v>205</v>
      </c>
      <c r="CX602" s="775">
        <v>2.2999999999999998</v>
      </c>
      <c r="CY602" s="730">
        <v>0.16</v>
      </c>
      <c r="CZ602" s="761">
        <f>SUM(CX602:CY607)</f>
        <v>2.46</v>
      </c>
      <c r="DA602" s="730"/>
      <c r="DB602" s="733">
        <v>2</v>
      </c>
      <c r="DC602" s="771">
        <f>IF(CX602=0,0,CW602/(CX602*60))</f>
        <v>1.4855072463768115</v>
      </c>
      <c r="DD602" s="754">
        <v>46205</v>
      </c>
      <c r="DE602" s="733" t="s">
        <v>45</v>
      </c>
      <c r="DF602" s="604"/>
      <c r="DG602" s="614">
        <v>470</v>
      </c>
      <c r="DH602" s="614">
        <v>11007</v>
      </c>
      <c r="DI602" s="614">
        <v>11277</v>
      </c>
      <c r="DJ602" s="591"/>
      <c r="DK602" s="730"/>
      <c r="DL602" s="605">
        <f t="shared" si="426"/>
        <v>271</v>
      </c>
      <c r="DM602" s="733">
        <f>SUM(DL602:DL604)</f>
        <v>271</v>
      </c>
      <c r="DN602" s="775">
        <v>2.5</v>
      </c>
      <c r="DO602" s="733">
        <v>1.5</v>
      </c>
      <c r="DP602" s="761">
        <f>SUM(DN602:DO607)</f>
        <v>4</v>
      </c>
      <c r="DQ602" s="730"/>
      <c r="DR602" s="733">
        <v>2</v>
      </c>
      <c r="DS602" s="773">
        <f>IF(DN602=0,0,DM602/(DN602*60))</f>
        <v>1.8066666666666666</v>
      </c>
      <c r="DT602" s="118"/>
      <c r="DU602" s="19"/>
      <c r="DV602" s="19"/>
      <c r="DW602" s="19"/>
      <c r="DX602" s="19"/>
      <c r="DY602" s="19"/>
      <c r="DZ602" s="19"/>
    </row>
    <row r="603" spans="1:130" ht="12.75" x14ac:dyDescent="0.2">
      <c r="A603" s="647"/>
      <c r="B603" s="670"/>
      <c r="C603" s="602"/>
      <c r="D603" s="602"/>
      <c r="E603" s="602"/>
      <c r="F603" s="602"/>
      <c r="G603" s="609"/>
      <c r="H603" s="634"/>
      <c r="I603" s="592"/>
      <c r="J603" s="634"/>
      <c r="K603" s="602"/>
      <c r="L603" s="602"/>
      <c r="M603" s="634"/>
      <c r="N603" s="634"/>
      <c r="O603" s="634"/>
      <c r="P603" s="634"/>
      <c r="Q603" s="634"/>
      <c r="R603" s="634"/>
      <c r="S603" s="659"/>
      <c r="T603" s="670"/>
      <c r="U603" s="602"/>
      <c r="V603" s="583">
        <v>474</v>
      </c>
      <c r="W603" s="583">
        <v>13016</v>
      </c>
      <c r="X603" s="583">
        <v>13115</v>
      </c>
      <c r="Y603" s="602"/>
      <c r="Z603" s="634"/>
      <c r="AA603" s="584">
        <f t="shared" si="436"/>
        <v>100</v>
      </c>
      <c r="AB603" s="634"/>
      <c r="AC603" s="602"/>
      <c r="AD603" s="602"/>
      <c r="AE603" s="634"/>
      <c r="AF603" s="634"/>
      <c r="AG603" s="634"/>
      <c r="AH603" s="634"/>
      <c r="AI603" s="638"/>
      <c r="AJ603" s="634"/>
      <c r="AK603" s="642"/>
      <c r="AL603" s="670"/>
      <c r="AM603" s="602"/>
      <c r="AN603" s="602"/>
      <c r="AO603" s="602"/>
      <c r="AP603" s="602"/>
      <c r="AQ603" s="602"/>
      <c r="AR603" s="634"/>
      <c r="AS603" s="584">
        <f t="shared" si="439"/>
        <v>0</v>
      </c>
      <c r="AT603" s="634"/>
      <c r="AU603" s="602"/>
      <c r="AV603" s="634"/>
      <c r="AW603" s="592"/>
      <c r="AX603" s="634"/>
      <c r="AY603" s="634"/>
      <c r="AZ603" s="634"/>
      <c r="BA603" s="634"/>
      <c r="BB603" s="634"/>
      <c r="BC603" s="634"/>
      <c r="BD603" s="586"/>
      <c r="BE603" s="586"/>
      <c r="BF603" s="586"/>
      <c r="BG603" s="586"/>
      <c r="BH603" s="586"/>
      <c r="BI603" s="586"/>
      <c r="BJ603" s="586"/>
      <c r="BK603" s="586"/>
      <c r="BL603" s="586"/>
      <c r="BM603" s="586"/>
      <c r="BN603" s="586"/>
      <c r="BO603" s="586"/>
      <c r="BP603" s="586"/>
      <c r="BQ603" s="586"/>
      <c r="BR603" s="586"/>
      <c r="BS603" s="586"/>
      <c r="BT603" s="586"/>
      <c r="BU603" s="586"/>
      <c r="BV603" s="586"/>
      <c r="BW603" s="588"/>
      <c r="BX603" s="588"/>
      <c r="BY603" s="588"/>
      <c r="BZ603" s="588"/>
      <c r="CA603" s="588"/>
      <c r="CB603" s="588"/>
      <c r="CC603" s="588"/>
      <c r="CD603" s="588"/>
      <c r="CE603" s="588"/>
      <c r="CF603" s="588"/>
      <c r="CG603" s="588"/>
      <c r="CH603" s="588"/>
      <c r="CI603" s="588"/>
      <c r="CJ603" s="588"/>
      <c r="CK603" s="588"/>
      <c r="CL603" s="588"/>
      <c r="CM603" s="588"/>
      <c r="CN603" s="670"/>
      <c r="CO603" s="634"/>
      <c r="CP603" s="604"/>
      <c r="CQ603" s="604"/>
      <c r="CR603" s="604"/>
      <c r="CS603" s="604"/>
      <c r="CT603" s="604"/>
      <c r="CU603" s="634"/>
      <c r="CV603" s="605">
        <f t="shared" si="425"/>
        <v>0</v>
      </c>
      <c r="CW603" s="634"/>
      <c r="CX603" s="634"/>
      <c r="CY603" s="634"/>
      <c r="CZ603" s="634"/>
      <c r="DA603" s="634"/>
      <c r="DB603" s="634"/>
      <c r="DC603" s="659"/>
      <c r="DD603" s="670"/>
      <c r="DE603" s="634"/>
      <c r="DF603" s="604"/>
      <c r="DG603" s="604"/>
      <c r="DH603" s="604"/>
      <c r="DI603" s="604"/>
      <c r="DJ603" s="604"/>
      <c r="DK603" s="634"/>
      <c r="DL603" s="605">
        <f t="shared" si="426"/>
        <v>0</v>
      </c>
      <c r="DM603" s="634"/>
      <c r="DN603" s="634"/>
      <c r="DO603" s="634"/>
      <c r="DP603" s="634"/>
      <c r="DQ603" s="634"/>
      <c r="DR603" s="634"/>
      <c r="DS603" s="659"/>
      <c r="DT603" s="118"/>
      <c r="DU603" s="19"/>
      <c r="DV603" s="19"/>
      <c r="DW603" s="19"/>
      <c r="DX603" s="19"/>
      <c r="DY603" s="19"/>
      <c r="DZ603" s="19"/>
    </row>
    <row r="604" spans="1:130" ht="12.75" x14ac:dyDescent="0.2">
      <c r="A604" s="647"/>
      <c r="B604" s="670"/>
      <c r="C604" s="602"/>
      <c r="D604" s="602"/>
      <c r="E604" s="602"/>
      <c r="F604" s="602"/>
      <c r="G604" s="609"/>
      <c r="H604" s="634"/>
      <c r="I604" s="592"/>
      <c r="J604" s="634"/>
      <c r="K604" s="602"/>
      <c r="L604" s="602"/>
      <c r="M604" s="634"/>
      <c r="N604" s="634"/>
      <c r="O604" s="634"/>
      <c r="P604" s="634"/>
      <c r="Q604" s="634"/>
      <c r="R604" s="634"/>
      <c r="S604" s="659"/>
      <c r="T604" s="670"/>
      <c r="U604" s="602"/>
      <c r="V604" s="602"/>
      <c r="W604" s="602"/>
      <c r="X604" s="602"/>
      <c r="Y604" s="602"/>
      <c r="Z604" s="634"/>
      <c r="AA604" s="584">
        <f t="shared" si="436"/>
        <v>0</v>
      </c>
      <c r="AB604" s="634"/>
      <c r="AC604" s="602"/>
      <c r="AD604" s="602"/>
      <c r="AE604" s="634"/>
      <c r="AF604" s="634"/>
      <c r="AG604" s="634"/>
      <c r="AH604" s="634"/>
      <c r="AI604" s="638"/>
      <c r="AJ604" s="634"/>
      <c r="AK604" s="642"/>
      <c r="AL604" s="670"/>
      <c r="AM604" s="602"/>
      <c r="AN604" s="602"/>
      <c r="AO604" s="602"/>
      <c r="AP604" s="602"/>
      <c r="AQ604" s="602"/>
      <c r="AR604" s="634"/>
      <c r="AS604" s="584">
        <f t="shared" si="439"/>
        <v>0</v>
      </c>
      <c r="AT604" s="634"/>
      <c r="AU604" s="602"/>
      <c r="AV604" s="634"/>
      <c r="AW604" s="592"/>
      <c r="AX604" s="634"/>
      <c r="AY604" s="634"/>
      <c r="AZ604" s="634"/>
      <c r="BA604" s="634"/>
      <c r="BB604" s="634"/>
      <c r="BC604" s="634"/>
      <c r="BD604" s="586"/>
      <c r="BE604" s="586"/>
      <c r="BF604" s="586"/>
      <c r="BG604" s="586"/>
      <c r="BH604" s="586"/>
      <c r="BI604" s="586"/>
      <c r="BJ604" s="586"/>
      <c r="BK604" s="586"/>
      <c r="BL604" s="586"/>
      <c r="BM604" s="586"/>
      <c r="BN604" s="586"/>
      <c r="BO604" s="586"/>
      <c r="BP604" s="586"/>
      <c r="BQ604" s="586"/>
      <c r="BR604" s="586"/>
      <c r="BS604" s="586"/>
      <c r="BT604" s="586"/>
      <c r="BU604" s="586"/>
      <c r="BV604" s="586"/>
      <c r="BW604" s="588"/>
      <c r="BX604" s="588"/>
      <c r="BY604" s="588"/>
      <c r="BZ604" s="588"/>
      <c r="CA604" s="588"/>
      <c r="CB604" s="588"/>
      <c r="CC604" s="588"/>
      <c r="CD604" s="588"/>
      <c r="CE604" s="588"/>
      <c r="CF604" s="588"/>
      <c r="CG604" s="588"/>
      <c r="CH604" s="588"/>
      <c r="CI604" s="588"/>
      <c r="CJ604" s="588"/>
      <c r="CK604" s="588"/>
      <c r="CL604" s="588"/>
      <c r="CM604" s="588"/>
      <c r="CN604" s="670"/>
      <c r="CO604" s="772"/>
      <c r="CP604" s="607"/>
      <c r="CQ604" s="607"/>
      <c r="CR604" s="607"/>
      <c r="CS604" s="607"/>
      <c r="CT604" s="607"/>
      <c r="CU604" s="634"/>
      <c r="CV604" s="605">
        <f t="shared" si="425"/>
        <v>0</v>
      </c>
      <c r="CW604" s="635"/>
      <c r="CX604" s="635"/>
      <c r="CY604" s="634"/>
      <c r="CZ604" s="634"/>
      <c r="DA604" s="634"/>
      <c r="DB604" s="635"/>
      <c r="DC604" s="660"/>
      <c r="DD604" s="670"/>
      <c r="DE604" s="772"/>
      <c r="DF604" s="607"/>
      <c r="DG604" s="607"/>
      <c r="DH604" s="607"/>
      <c r="DI604" s="607"/>
      <c r="DJ604" s="607"/>
      <c r="DK604" s="634"/>
      <c r="DL604" s="605">
        <f t="shared" si="426"/>
        <v>0</v>
      </c>
      <c r="DM604" s="635"/>
      <c r="DN604" s="635"/>
      <c r="DO604" s="634"/>
      <c r="DP604" s="634"/>
      <c r="DQ604" s="634"/>
      <c r="DR604" s="635"/>
      <c r="DS604" s="660"/>
      <c r="DT604" s="118"/>
      <c r="DU604" s="19"/>
      <c r="DV604" s="19"/>
      <c r="DW604" s="19"/>
      <c r="DX604" s="19"/>
      <c r="DY604" s="19"/>
      <c r="DZ604" s="19"/>
    </row>
    <row r="605" spans="1:130" ht="12.75" x14ac:dyDescent="0.2">
      <c r="A605" s="647"/>
      <c r="B605" s="670"/>
      <c r="C605" s="602"/>
      <c r="D605" s="602"/>
      <c r="E605" s="602"/>
      <c r="F605" s="602"/>
      <c r="G605" s="602"/>
      <c r="H605" s="634"/>
      <c r="I605" s="584">
        <f t="shared" ref="I605:I608" si="440">IF(E605=0,0,F605-E605+1-G605)</f>
        <v>0</v>
      </c>
      <c r="J605" s="634"/>
      <c r="K605" s="602"/>
      <c r="L605" s="602"/>
      <c r="M605" s="634"/>
      <c r="N605" s="634"/>
      <c r="O605" s="634"/>
      <c r="P605" s="634"/>
      <c r="Q605" s="634"/>
      <c r="R605" s="634"/>
      <c r="S605" s="659"/>
      <c r="T605" s="670"/>
      <c r="U605" s="602"/>
      <c r="V605" s="602"/>
      <c r="W605" s="602"/>
      <c r="X605" s="602"/>
      <c r="Y605" s="602"/>
      <c r="Z605" s="634"/>
      <c r="AA605" s="584">
        <f t="shared" si="436"/>
        <v>0</v>
      </c>
      <c r="AB605" s="634"/>
      <c r="AC605" s="602"/>
      <c r="AD605" s="602"/>
      <c r="AE605" s="634"/>
      <c r="AF605" s="634"/>
      <c r="AG605" s="634"/>
      <c r="AH605" s="634"/>
      <c r="AI605" s="638"/>
      <c r="AJ605" s="634"/>
      <c r="AK605" s="642"/>
      <c r="AL605" s="670"/>
      <c r="AM605" s="602"/>
      <c r="AN605" s="602"/>
      <c r="AO605" s="602"/>
      <c r="AP605" s="602"/>
      <c r="AQ605" s="602"/>
      <c r="AR605" s="634"/>
      <c r="AS605" s="584">
        <f t="shared" si="439"/>
        <v>0</v>
      </c>
      <c r="AT605" s="634"/>
      <c r="AU605" s="602"/>
      <c r="AV605" s="634"/>
      <c r="AW605" s="592"/>
      <c r="AX605" s="634"/>
      <c r="AY605" s="634"/>
      <c r="AZ605" s="634"/>
      <c r="BA605" s="635"/>
      <c r="BB605" s="634"/>
      <c r="BC605" s="635"/>
      <c r="BD605" s="586"/>
      <c r="BE605" s="586"/>
      <c r="BF605" s="586"/>
      <c r="BG605" s="586"/>
      <c r="BH605" s="586"/>
      <c r="BI605" s="586"/>
      <c r="BJ605" s="586"/>
      <c r="BK605" s="586"/>
      <c r="BL605" s="586"/>
      <c r="BM605" s="586"/>
      <c r="BN605" s="586"/>
      <c r="BO605" s="586"/>
      <c r="BP605" s="586"/>
      <c r="BQ605" s="586"/>
      <c r="BR605" s="586"/>
      <c r="BS605" s="586"/>
      <c r="BT605" s="586"/>
      <c r="BU605" s="586"/>
      <c r="BV605" s="586"/>
      <c r="BW605" s="588"/>
      <c r="BX605" s="588"/>
      <c r="BY605" s="588"/>
      <c r="BZ605" s="588"/>
      <c r="CA605" s="588"/>
      <c r="CB605" s="588"/>
      <c r="CC605" s="588"/>
      <c r="CD605" s="588"/>
      <c r="CE605" s="588"/>
      <c r="CF605" s="588"/>
      <c r="CG605" s="588"/>
      <c r="CH605" s="588"/>
      <c r="CI605" s="588"/>
      <c r="CJ605" s="588"/>
      <c r="CK605" s="588"/>
      <c r="CL605" s="588"/>
      <c r="CM605" s="588"/>
      <c r="CN605" s="670"/>
      <c r="CO605" s="774" t="s">
        <v>46</v>
      </c>
      <c r="CP605" s="69"/>
      <c r="CQ605" s="69"/>
      <c r="CR605" s="69"/>
      <c r="CS605" s="69"/>
      <c r="CT605" s="69"/>
      <c r="CU605" s="634"/>
      <c r="CV605" s="605">
        <f t="shared" si="425"/>
        <v>0</v>
      </c>
      <c r="CW605" s="733">
        <f>SUM(CV605:CV606)</f>
        <v>0</v>
      </c>
      <c r="CX605" s="730"/>
      <c r="CY605" s="634"/>
      <c r="CZ605" s="634"/>
      <c r="DA605" s="634"/>
      <c r="DB605" s="733">
        <v>1.8</v>
      </c>
      <c r="DC605" s="773">
        <f>IF(CX605=0,0,CW605/(CX605*60))</f>
        <v>0</v>
      </c>
      <c r="DD605" s="670"/>
      <c r="DE605" s="774" t="s">
        <v>46</v>
      </c>
      <c r="DF605" s="69"/>
      <c r="DG605" s="69"/>
      <c r="DH605" s="69"/>
      <c r="DI605" s="69"/>
      <c r="DJ605" s="69"/>
      <c r="DK605" s="634"/>
      <c r="DL605" s="605">
        <f t="shared" si="426"/>
        <v>0</v>
      </c>
      <c r="DM605" s="733">
        <f>SUM(DL605:DL607)</f>
        <v>0</v>
      </c>
      <c r="DN605" s="775"/>
      <c r="DO605" s="634"/>
      <c r="DP605" s="634"/>
      <c r="DQ605" s="634"/>
      <c r="DR605" s="733">
        <v>1.8</v>
      </c>
      <c r="DS605" s="773">
        <f>IF(DN605=0,0,DM605/(DN605*60))</f>
        <v>0</v>
      </c>
      <c r="DT605" s="118"/>
      <c r="DU605" s="19"/>
      <c r="DV605" s="19"/>
      <c r="DW605" s="19"/>
      <c r="DX605" s="19"/>
      <c r="DY605" s="19"/>
      <c r="DZ605" s="19"/>
    </row>
    <row r="606" spans="1:130" ht="12.75" x14ac:dyDescent="0.2">
      <c r="A606" s="647"/>
      <c r="B606" s="670"/>
      <c r="C606" s="602"/>
      <c r="D606" s="602"/>
      <c r="E606" s="602"/>
      <c r="F606" s="602"/>
      <c r="G606" s="602"/>
      <c r="H606" s="634"/>
      <c r="I606" s="584">
        <f t="shared" si="440"/>
        <v>0</v>
      </c>
      <c r="J606" s="634"/>
      <c r="K606" s="602"/>
      <c r="L606" s="602"/>
      <c r="M606" s="634"/>
      <c r="N606" s="634"/>
      <c r="O606" s="634"/>
      <c r="P606" s="634"/>
      <c r="Q606" s="634"/>
      <c r="R606" s="634"/>
      <c r="S606" s="659"/>
      <c r="T606" s="670"/>
      <c r="U606" s="602"/>
      <c r="V606" s="602"/>
      <c r="W606" s="602"/>
      <c r="X606" s="602"/>
      <c r="Y606" s="602"/>
      <c r="Z606" s="634"/>
      <c r="AA606" s="584">
        <f t="shared" si="436"/>
        <v>0</v>
      </c>
      <c r="AB606" s="634"/>
      <c r="AC606" s="602"/>
      <c r="AD606" s="602"/>
      <c r="AE606" s="634"/>
      <c r="AF606" s="634"/>
      <c r="AG606" s="634"/>
      <c r="AH606" s="634"/>
      <c r="AI606" s="638"/>
      <c r="AJ606" s="634"/>
      <c r="AK606" s="642"/>
      <c r="AL606" s="670"/>
      <c r="AM606" s="602"/>
      <c r="AN606" s="602"/>
      <c r="AO606" s="602"/>
      <c r="AP606" s="602"/>
      <c r="AQ606" s="592"/>
      <c r="AR606" s="634"/>
      <c r="AS606" s="584">
        <f t="shared" si="439"/>
        <v>0</v>
      </c>
      <c r="AT606" s="634"/>
      <c r="AU606" s="587"/>
      <c r="AV606" s="592"/>
      <c r="AW606" s="587"/>
      <c r="AX606" s="634"/>
      <c r="AY606" s="634"/>
      <c r="AZ606" s="634"/>
      <c r="BA606" s="603">
        <f>AV606*60</f>
        <v>0</v>
      </c>
      <c r="BB606" s="613"/>
      <c r="BC606" s="612">
        <f>IF(BA606=0,0,AT606/BA606)</f>
        <v>0</v>
      </c>
      <c r="BD606" s="586"/>
      <c r="BE606" s="586"/>
      <c r="BF606" s="586"/>
      <c r="BG606" s="586"/>
      <c r="BH606" s="586"/>
      <c r="BI606" s="586"/>
      <c r="BJ606" s="586"/>
      <c r="BK606" s="586"/>
      <c r="BL606" s="586"/>
      <c r="BM606" s="586"/>
      <c r="BN606" s="586"/>
      <c r="BO606" s="586"/>
      <c r="BP606" s="586"/>
      <c r="BQ606" s="586"/>
      <c r="BR606" s="586"/>
      <c r="BS606" s="586"/>
      <c r="BT606" s="586"/>
      <c r="BU606" s="586"/>
      <c r="BV606" s="586"/>
      <c r="BW606" s="588"/>
      <c r="BX606" s="588"/>
      <c r="BY606" s="588"/>
      <c r="BZ606" s="588"/>
      <c r="CA606" s="588"/>
      <c r="CB606" s="588"/>
      <c r="CC606" s="588"/>
      <c r="CD606" s="588"/>
      <c r="CE606" s="588"/>
      <c r="CF606" s="588"/>
      <c r="CG606" s="588"/>
      <c r="CH606" s="588"/>
      <c r="CI606" s="588"/>
      <c r="CJ606" s="588"/>
      <c r="CK606" s="588"/>
      <c r="CL606" s="588"/>
      <c r="CM606" s="588"/>
      <c r="CN606" s="670"/>
      <c r="CO606" s="634"/>
      <c r="CP606" s="604"/>
      <c r="CQ606" s="604"/>
      <c r="CR606" s="604"/>
      <c r="CS606" s="604"/>
      <c r="CT606" s="604"/>
      <c r="CU606" s="634"/>
      <c r="CV606" s="605">
        <f t="shared" si="425"/>
        <v>0</v>
      </c>
      <c r="CW606" s="634"/>
      <c r="CX606" s="634"/>
      <c r="CY606" s="634"/>
      <c r="CZ606" s="634"/>
      <c r="DA606" s="634"/>
      <c r="DB606" s="634"/>
      <c r="DC606" s="659"/>
      <c r="DD606" s="670"/>
      <c r="DE606" s="634"/>
      <c r="DF606" s="604"/>
      <c r="DG606" s="604"/>
      <c r="DH606" s="604"/>
      <c r="DI606" s="604"/>
      <c r="DJ606" s="604"/>
      <c r="DK606" s="634"/>
      <c r="DL606" s="605">
        <f t="shared" si="426"/>
        <v>0</v>
      </c>
      <c r="DM606" s="634"/>
      <c r="DN606" s="634"/>
      <c r="DO606" s="634"/>
      <c r="DP606" s="634"/>
      <c r="DQ606" s="634"/>
      <c r="DR606" s="634"/>
      <c r="DS606" s="659"/>
      <c r="DT606" s="118"/>
      <c r="DU606" s="19"/>
      <c r="DV606" s="19"/>
      <c r="DW606" s="19"/>
      <c r="DX606" s="19"/>
      <c r="DY606" s="19"/>
      <c r="DZ606" s="19"/>
    </row>
    <row r="607" spans="1:130" ht="12.75" x14ac:dyDescent="0.2">
      <c r="A607" s="647"/>
      <c r="B607" s="671"/>
      <c r="C607" s="602"/>
      <c r="D607" s="602"/>
      <c r="E607" s="602"/>
      <c r="F607" s="602"/>
      <c r="G607" s="602"/>
      <c r="H607" s="635"/>
      <c r="I607" s="584">
        <f t="shared" si="440"/>
        <v>0</v>
      </c>
      <c r="J607" s="635"/>
      <c r="K607" s="602"/>
      <c r="L607" s="602"/>
      <c r="M607" s="635"/>
      <c r="N607" s="635"/>
      <c r="O607" s="635"/>
      <c r="P607" s="635"/>
      <c r="Q607" s="635"/>
      <c r="R607" s="635"/>
      <c r="S607" s="660"/>
      <c r="T607" s="671"/>
      <c r="U607" s="602"/>
      <c r="V607" s="602"/>
      <c r="W607" s="602"/>
      <c r="X607" s="602"/>
      <c r="Y607" s="602"/>
      <c r="Z607" s="635"/>
      <c r="AA607" s="584">
        <f t="shared" si="436"/>
        <v>0</v>
      </c>
      <c r="AB607" s="635"/>
      <c r="AC607" s="602"/>
      <c r="AD607" s="602"/>
      <c r="AE607" s="635"/>
      <c r="AF607" s="635"/>
      <c r="AG607" s="635"/>
      <c r="AH607" s="635"/>
      <c r="AI607" s="639"/>
      <c r="AJ607" s="635"/>
      <c r="AK607" s="643"/>
      <c r="AL607" s="671"/>
      <c r="AM607" s="592"/>
      <c r="AN607" s="592"/>
      <c r="AO607" s="592"/>
      <c r="AP607" s="592"/>
      <c r="AQ607" s="592"/>
      <c r="AR607" s="635"/>
      <c r="AS607" s="584">
        <f t="shared" si="439"/>
        <v>0</v>
      </c>
      <c r="AT607" s="635"/>
      <c r="AU607" s="602"/>
      <c r="AV607" s="593"/>
      <c r="AW607" s="592"/>
      <c r="AX607" s="635"/>
      <c r="AY607" s="635"/>
      <c r="AZ607" s="635"/>
      <c r="BA607" s="597"/>
      <c r="BB607" s="593"/>
      <c r="BC607" s="598"/>
      <c r="BD607" s="586"/>
      <c r="BE607" s="586"/>
      <c r="BF607" s="586"/>
      <c r="BG607" s="586"/>
      <c r="BH607" s="586"/>
      <c r="BI607" s="586"/>
      <c r="BJ607" s="586"/>
      <c r="BK607" s="586"/>
      <c r="BL607" s="586"/>
      <c r="BM607" s="586"/>
      <c r="BN607" s="586"/>
      <c r="BO607" s="586"/>
      <c r="BP607" s="586"/>
      <c r="BQ607" s="586"/>
      <c r="BR607" s="586"/>
      <c r="BS607" s="586"/>
      <c r="BT607" s="586"/>
      <c r="BU607" s="586"/>
      <c r="BV607" s="586"/>
      <c r="BW607" s="588"/>
      <c r="BX607" s="588"/>
      <c r="BY607" s="588"/>
      <c r="BZ607" s="588"/>
      <c r="CA607" s="588"/>
      <c r="CB607" s="588"/>
      <c r="CC607" s="588"/>
      <c r="CD607" s="588"/>
      <c r="CE607" s="588"/>
      <c r="CF607" s="588"/>
      <c r="CG607" s="588"/>
      <c r="CH607" s="588"/>
      <c r="CI607" s="588"/>
      <c r="CJ607" s="588"/>
      <c r="CK607" s="588"/>
      <c r="CL607" s="588"/>
      <c r="CM607" s="588"/>
      <c r="CN607" s="671"/>
      <c r="CO607" s="635"/>
      <c r="CP607" s="604"/>
      <c r="CQ607" s="604"/>
      <c r="CR607" s="604"/>
      <c r="CS607" s="604"/>
      <c r="CT607" s="604"/>
      <c r="CU607" s="635"/>
      <c r="CV607" s="615"/>
      <c r="CW607" s="635"/>
      <c r="CX607" s="635"/>
      <c r="CY607" s="635"/>
      <c r="CZ607" s="635"/>
      <c r="DA607" s="635"/>
      <c r="DB607" s="635"/>
      <c r="DC607" s="660"/>
      <c r="DD607" s="671"/>
      <c r="DE607" s="635"/>
      <c r="DF607" s="604"/>
      <c r="DG607" s="604"/>
      <c r="DH607" s="604"/>
      <c r="DI607" s="604"/>
      <c r="DJ607" s="604"/>
      <c r="DK607" s="635"/>
      <c r="DL607" s="605">
        <f t="shared" si="426"/>
        <v>0</v>
      </c>
      <c r="DM607" s="635"/>
      <c r="DN607" s="635"/>
      <c r="DO607" s="635"/>
      <c r="DP607" s="635"/>
      <c r="DQ607" s="635"/>
      <c r="DR607" s="635"/>
      <c r="DS607" s="660"/>
      <c r="DT607" s="118"/>
      <c r="DU607" s="19"/>
      <c r="DV607" s="19"/>
      <c r="DW607" s="19"/>
      <c r="DX607" s="19"/>
      <c r="DY607" s="19"/>
      <c r="DZ607" s="19"/>
    </row>
    <row r="608" spans="1:130" ht="12.75" x14ac:dyDescent="0.2">
      <c r="A608" s="647"/>
      <c r="B608" s="750">
        <v>46206</v>
      </c>
      <c r="C608" s="592"/>
      <c r="D608" s="592"/>
      <c r="E608" s="592"/>
      <c r="F608" s="592"/>
      <c r="G608" s="592"/>
      <c r="H608" s="740"/>
      <c r="I608" s="584">
        <f t="shared" si="440"/>
        <v>0</v>
      </c>
      <c r="J608" s="735">
        <f>SUM(I608:I613,H608)</f>
        <v>0</v>
      </c>
      <c r="K608" s="592"/>
      <c r="L608" s="592"/>
      <c r="M608" s="730"/>
      <c r="N608" s="730"/>
      <c r="O608" s="731">
        <f>SUM(M608:N613)</f>
        <v>0</v>
      </c>
      <c r="P608" s="740"/>
      <c r="Q608" s="736">
        <f>M608*60</f>
        <v>0</v>
      </c>
      <c r="R608" s="732">
        <f>IF(
   COUNTIF(K608:K613,"SI")&gt;0,
   1.8,
   IF(
      COUNTIF(L608:L613,"SI")&gt;0,
      1.6,
      2
   )
)</f>
        <v>2</v>
      </c>
      <c r="S608" s="748">
        <f>IF(Q608=0,0,J608/Q608)</f>
        <v>0</v>
      </c>
      <c r="T608" s="750">
        <v>46206</v>
      </c>
      <c r="U608" s="592"/>
      <c r="V608" s="592"/>
      <c r="W608" s="592"/>
      <c r="X608" s="592"/>
      <c r="Y608" s="592"/>
      <c r="Z608" s="736">
        <v>0</v>
      </c>
      <c r="AA608" s="584">
        <f t="shared" si="436"/>
        <v>0</v>
      </c>
      <c r="AB608" s="735">
        <f>SUM(AA608:AA613)</f>
        <v>0</v>
      </c>
      <c r="AC608" s="592"/>
      <c r="AD608" s="592"/>
      <c r="AE608" s="740"/>
      <c r="AF608" s="736"/>
      <c r="AG608" s="731">
        <f>SUM(AE608:AF613)</f>
        <v>0</v>
      </c>
      <c r="AH608" s="740"/>
      <c r="AI608" s="757">
        <f>AE608*60</f>
        <v>0</v>
      </c>
      <c r="AJ608" s="736">
        <f>IF(
   COUNTIF(AC608:AC613,"SI")&gt;0,
   1.8,
   IF(
      COUNTIF(AD608:AD613,"SI")&gt;0,
      1.6,
      2
   )
)</f>
        <v>2</v>
      </c>
      <c r="AK608" s="755">
        <f>IF(AI608=0,0,AB608/AI608)</f>
        <v>0</v>
      </c>
      <c r="AL608" s="750">
        <v>46206</v>
      </c>
      <c r="AM608" s="592"/>
      <c r="AN608" s="592"/>
      <c r="AO608" s="592"/>
      <c r="AP608" s="616"/>
      <c r="AQ608" s="592"/>
      <c r="AR608" s="740"/>
      <c r="AS608" s="584">
        <f t="shared" si="439"/>
        <v>0</v>
      </c>
      <c r="AT608" s="735">
        <f>SUM(AS608:AS612)+AR608</f>
        <v>0</v>
      </c>
      <c r="AU608" s="602"/>
      <c r="AV608" s="740"/>
      <c r="AW608" s="592"/>
      <c r="AX608" s="736"/>
      <c r="AY608" s="731">
        <f>SUM(AV608:AV613,AX608)</f>
        <v>0</v>
      </c>
      <c r="AZ608" s="740"/>
      <c r="BA608" s="736">
        <f>AV608*60</f>
        <v>0</v>
      </c>
      <c r="BB608" s="745">
        <f>IF(
   COUNTIF(AU608:AU613,"SI")&gt;0,
   1.8,
   IF(
      COUNTIF(AV608:AV613,"SI")&gt;0,
      1.6,
      2
   )
)</f>
        <v>2</v>
      </c>
      <c r="BC608" s="738">
        <f>IF(BA608=0,0,AT608/BA608)</f>
        <v>0</v>
      </c>
      <c r="BD608" s="586"/>
      <c r="BE608" s="586"/>
      <c r="BF608" s="586"/>
      <c r="BG608" s="586"/>
      <c r="BH608" s="586"/>
      <c r="BI608" s="586"/>
      <c r="BJ608" s="586"/>
      <c r="BK608" s="586"/>
      <c r="BL608" s="586"/>
      <c r="BM608" s="586"/>
      <c r="BN608" s="586"/>
      <c r="BO608" s="586"/>
      <c r="BP608" s="586"/>
      <c r="BQ608" s="586"/>
      <c r="BR608" s="586"/>
      <c r="BS608" s="586"/>
      <c r="BT608" s="586"/>
      <c r="BU608" s="586"/>
      <c r="BV608" s="586"/>
      <c r="BW608" s="588"/>
      <c r="BX608" s="588"/>
      <c r="BY608" s="588"/>
      <c r="BZ608" s="588"/>
      <c r="CA608" s="588"/>
      <c r="CB608" s="588"/>
      <c r="CC608" s="588"/>
      <c r="CD608" s="588"/>
      <c r="CE608" s="588"/>
      <c r="CF608" s="588"/>
      <c r="CG608" s="588"/>
      <c r="CH608" s="588"/>
      <c r="CI608" s="588"/>
      <c r="CJ608" s="588"/>
      <c r="CK608" s="588"/>
      <c r="CL608" s="588"/>
      <c r="CM608" s="588"/>
      <c r="CN608" s="750">
        <v>46206</v>
      </c>
      <c r="CO608" s="769" t="s">
        <v>45</v>
      </c>
      <c r="CP608" s="594"/>
      <c r="CQ608" s="594"/>
      <c r="CR608" s="594"/>
      <c r="CS608" s="594"/>
      <c r="CT608" s="594"/>
      <c r="CU608" s="768"/>
      <c r="CV608" s="591">
        <f t="shared" ref="CV608:CV619" si="441">IF(CQ608=0,0,CS608-CR608+1-CT608)</f>
        <v>0</v>
      </c>
      <c r="CW608" s="769">
        <f>SUM(CV608:CV610)</f>
        <v>0</v>
      </c>
      <c r="CX608" s="770"/>
      <c r="CY608" s="768"/>
      <c r="CZ608" s="761">
        <f>SUM(CX608:CY613)</f>
        <v>0</v>
      </c>
      <c r="DA608" s="768"/>
      <c r="DB608" s="769">
        <v>2</v>
      </c>
      <c r="DC608" s="771">
        <f>IF(CX608=0,0,CW608/(CX608*60))</f>
        <v>0</v>
      </c>
      <c r="DD608" s="750">
        <v>46206</v>
      </c>
      <c r="DE608" s="769" t="s">
        <v>45</v>
      </c>
      <c r="DF608" s="594"/>
      <c r="DG608" s="611"/>
      <c r="DH608" s="611"/>
      <c r="DI608" s="594"/>
      <c r="DJ608" s="594"/>
      <c r="DK608" s="768"/>
      <c r="DL608" s="591">
        <f t="shared" si="426"/>
        <v>0</v>
      </c>
      <c r="DM608" s="769">
        <f>SUM(DL608:DL610)</f>
        <v>0</v>
      </c>
      <c r="DN608" s="770"/>
      <c r="DO608" s="768">
        <v>0.75</v>
      </c>
      <c r="DP608" s="761">
        <f>SUM(DN608:DO613)</f>
        <v>0.75</v>
      </c>
      <c r="DQ608" s="768"/>
      <c r="DR608" s="769">
        <v>2</v>
      </c>
      <c r="DS608" s="773">
        <f>IF(DN608=0,0,DM608/(DN608*60))</f>
        <v>0</v>
      </c>
      <c r="DT608" s="118"/>
      <c r="DU608" s="19"/>
      <c r="DV608" s="19"/>
      <c r="DW608" s="19"/>
      <c r="DX608" s="19"/>
      <c r="DY608" s="19"/>
      <c r="DZ608" s="19"/>
    </row>
    <row r="609" spans="1:130" ht="12.75" x14ac:dyDescent="0.2">
      <c r="A609" s="647"/>
      <c r="B609" s="670"/>
      <c r="C609" s="592"/>
      <c r="D609" s="592"/>
      <c r="E609" s="592"/>
      <c r="F609" s="592"/>
      <c r="G609" s="592"/>
      <c r="H609" s="634"/>
      <c r="I609" s="592"/>
      <c r="J609" s="634"/>
      <c r="K609" s="592"/>
      <c r="L609" s="592"/>
      <c r="M609" s="634"/>
      <c r="N609" s="634"/>
      <c r="O609" s="634"/>
      <c r="P609" s="634"/>
      <c r="Q609" s="634"/>
      <c r="R609" s="634"/>
      <c r="S609" s="659"/>
      <c r="T609" s="670"/>
      <c r="U609" s="592"/>
      <c r="V609" s="592"/>
      <c r="W609" s="592"/>
      <c r="X609" s="592"/>
      <c r="Y609" s="592"/>
      <c r="Z609" s="634"/>
      <c r="AA609" s="592"/>
      <c r="AB609" s="634"/>
      <c r="AC609" s="592"/>
      <c r="AD609" s="592"/>
      <c r="AE609" s="634"/>
      <c r="AF609" s="634"/>
      <c r="AG609" s="634"/>
      <c r="AH609" s="634"/>
      <c r="AI609" s="638"/>
      <c r="AJ609" s="634"/>
      <c r="AK609" s="642"/>
      <c r="AL609" s="670"/>
      <c r="AM609" s="592"/>
      <c r="AN609" s="592"/>
      <c r="AO609" s="592"/>
      <c r="AP609" s="592"/>
      <c r="AQ609" s="592"/>
      <c r="AR609" s="634"/>
      <c r="AS609" s="592"/>
      <c r="AT609" s="634"/>
      <c r="AU609" s="602"/>
      <c r="AV609" s="634"/>
      <c r="AW609" s="592"/>
      <c r="AX609" s="634"/>
      <c r="AY609" s="634"/>
      <c r="AZ609" s="634"/>
      <c r="BA609" s="634"/>
      <c r="BB609" s="634"/>
      <c r="BC609" s="634"/>
      <c r="BD609" s="586"/>
      <c r="BE609" s="586"/>
      <c r="BF609" s="586"/>
      <c r="BG609" s="586"/>
      <c r="BH609" s="586"/>
      <c r="BI609" s="586"/>
      <c r="BJ609" s="586"/>
      <c r="BK609" s="586"/>
      <c r="BL609" s="586"/>
      <c r="BM609" s="586"/>
      <c r="BN609" s="586"/>
      <c r="BO609" s="586"/>
      <c r="BP609" s="586"/>
      <c r="BQ609" s="586"/>
      <c r="BR609" s="586"/>
      <c r="BS609" s="586"/>
      <c r="BT609" s="586"/>
      <c r="BU609" s="586"/>
      <c r="BV609" s="586"/>
      <c r="BW609" s="588"/>
      <c r="BX609" s="588"/>
      <c r="BY609" s="588"/>
      <c r="BZ609" s="588"/>
      <c r="CA609" s="588"/>
      <c r="CB609" s="588"/>
      <c r="CC609" s="588"/>
      <c r="CD609" s="588"/>
      <c r="CE609" s="588"/>
      <c r="CF609" s="588"/>
      <c r="CG609" s="588"/>
      <c r="CH609" s="588"/>
      <c r="CI609" s="588"/>
      <c r="CJ609" s="588"/>
      <c r="CK609" s="588"/>
      <c r="CL609" s="588"/>
      <c r="CM609" s="588"/>
      <c r="CN609" s="670"/>
      <c r="CO609" s="634"/>
      <c r="CP609" s="594"/>
      <c r="CQ609" s="594"/>
      <c r="CR609" s="594"/>
      <c r="CS609" s="594"/>
      <c r="CT609" s="594"/>
      <c r="CU609" s="634"/>
      <c r="CV609" s="591">
        <f t="shared" si="441"/>
        <v>0</v>
      </c>
      <c r="CW609" s="634"/>
      <c r="CX609" s="634"/>
      <c r="CY609" s="634"/>
      <c r="CZ609" s="634"/>
      <c r="DA609" s="634"/>
      <c r="DB609" s="634"/>
      <c r="DC609" s="659"/>
      <c r="DD609" s="670"/>
      <c r="DE609" s="634"/>
      <c r="DF609" s="594"/>
      <c r="DG609" s="594"/>
      <c r="DH609" s="594"/>
      <c r="DI609" s="594"/>
      <c r="DJ609" s="594"/>
      <c r="DK609" s="634"/>
      <c r="DL609" s="591">
        <f t="shared" si="426"/>
        <v>0</v>
      </c>
      <c r="DM609" s="634"/>
      <c r="DN609" s="634"/>
      <c r="DO609" s="634"/>
      <c r="DP609" s="634"/>
      <c r="DQ609" s="634"/>
      <c r="DR609" s="634"/>
      <c r="DS609" s="659"/>
      <c r="DT609" s="118"/>
      <c r="DU609" s="19"/>
      <c r="DV609" s="19"/>
      <c r="DW609" s="19"/>
      <c r="DX609" s="19"/>
      <c r="DY609" s="19"/>
      <c r="DZ609" s="19"/>
    </row>
    <row r="610" spans="1:130" ht="12.75" x14ac:dyDescent="0.2">
      <c r="A610" s="647"/>
      <c r="B610" s="670"/>
      <c r="C610" s="592"/>
      <c r="D610" s="592"/>
      <c r="E610" s="592"/>
      <c r="F610" s="592"/>
      <c r="G610" s="592"/>
      <c r="H610" s="634"/>
      <c r="I610" s="592"/>
      <c r="J610" s="634"/>
      <c r="K610" s="592"/>
      <c r="L610" s="592"/>
      <c r="M610" s="634"/>
      <c r="N610" s="634"/>
      <c r="O610" s="634"/>
      <c r="P610" s="634"/>
      <c r="Q610" s="634"/>
      <c r="R610" s="634"/>
      <c r="S610" s="659"/>
      <c r="T610" s="670"/>
      <c r="U610" s="592"/>
      <c r="V610" s="592"/>
      <c r="W610" s="592"/>
      <c r="X610" s="592"/>
      <c r="Y610" s="592"/>
      <c r="Z610" s="634"/>
      <c r="AA610" s="592"/>
      <c r="AB610" s="634"/>
      <c r="AC610" s="592"/>
      <c r="AD610" s="592"/>
      <c r="AE610" s="634"/>
      <c r="AF610" s="634"/>
      <c r="AG610" s="634"/>
      <c r="AH610" s="634"/>
      <c r="AI610" s="638"/>
      <c r="AJ610" s="634"/>
      <c r="AK610" s="642"/>
      <c r="AL610" s="670"/>
      <c r="AM610" s="592"/>
      <c r="AN610" s="592"/>
      <c r="AO610" s="592"/>
      <c r="AP610" s="592"/>
      <c r="AQ610" s="592"/>
      <c r="AR610" s="634"/>
      <c r="AS610" s="592"/>
      <c r="AT610" s="634"/>
      <c r="AU610" s="602"/>
      <c r="AV610" s="634"/>
      <c r="AW610" s="592"/>
      <c r="AX610" s="634"/>
      <c r="AY610" s="634"/>
      <c r="AZ610" s="634"/>
      <c r="BA610" s="634"/>
      <c r="BB610" s="634"/>
      <c r="BC610" s="634"/>
      <c r="BD610" s="586"/>
      <c r="BE610" s="586"/>
      <c r="BF610" s="586"/>
      <c r="BG610" s="586"/>
      <c r="BH610" s="586"/>
      <c r="BI610" s="586"/>
      <c r="BJ610" s="586"/>
      <c r="BK610" s="586"/>
      <c r="BL610" s="586"/>
      <c r="BM610" s="586"/>
      <c r="BN610" s="586"/>
      <c r="BO610" s="586"/>
      <c r="BP610" s="586"/>
      <c r="BQ610" s="586"/>
      <c r="BR610" s="586"/>
      <c r="BS610" s="586"/>
      <c r="BT610" s="586"/>
      <c r="BU610" s="586"/>
      <c r="BV610" s="586"/>
      <c r="BW610" s="588"/>
      <c r="BX610" s="588"/>
      <c r="BY610" s="588"/>
      <c r="BZ610" s="588"/>
      <c r="CA610" s="588"/>
      <c r="CB610" s="588"/>
      <c r="CC610" s="588"/>
      <c r="CD610" s="588"/>
      <c r="CE610" s="588"/>
      <c r="CF610" s="588"/>
      <c r="CG610" s="588"/>
      <c r="CH610" s="588"/>
      <c r="CI610" s="588"/>
      <c r="CJ610" s="588"/>
      <c r="CK610" s="588"/>
      <c r="CL610" s="588"/>
      <c r="CM610" s="588"/>
      <c r="CN610" s="670"/>
      <c r="CO610" s="772"/>
      <c r="CP610" s="595"/>
      <c r="CQ610" s="595"/>
      <c r="CR610" s="595"/>
      <c r="CS610" s="595"/>
      <c r="CT610" s="595"/>
      <c r="CU610" s="634"/>
      <c r="CV610" s="591">
        <f t="shared" si="441"/>
        <v>0</v>
      </c>
      <c r="CW610" s="635"/>
      <c r="CX610" s="635"/>
      <c r="CY610" s="634"/>
      <c r="CZ610" s="634"/>
      <c r="DA610" s="634"/>
      <c r="DB610" s="635"/>
      <c r="DC610" s="660"/>
      <c r="DD610" s="670"/>
      <c r="DE610" s="772"/>
      <c r="DF610" s="595"/>
      <c r="DG610" s="595"/>
      <c r="DH610" s="595"/>
      <c r="DI610" s="595"/>
      <c r="DJ610" s="595"/>
      <c r="DK610" s="634"/>
      <c r="DL610" s="591">
        <f t="shared" si="426"/>
        <v>0</v>
      </c>
      <c r="DM610" s="635"/>
      <c r="DN610" s="635"/>
      <c r="DO610" s="634"/>
      <c r="DP610" s="634"/>
      <c r="DQ610" s="634"/>
      <c r="DR610" s="635"/>
      <c r="DS610" s="660"/>
      <c r="DT610" s="118"/>
      <c r="DU610" s="19"/>
      <c r="DV610" s="19"/>
      <c r="DW610" s="19"/>
      <c r="DX610" s="19"/>
      <c r="DY610" s="19"/>
      <c r="DZ610" s="19"/>
    </row>
    <row r="611" spans="1:130" ht="12.75" x14ac:dyDescent="0.2">
      <c r="A611" s="647"/>
      <c r="B611" s="670"/>
      <c r="C611" s="592"/>
      <c r="D611" s="592"/>
      <c r="E611" s="592"/>
      <c r="F611" s="592"/>
      <c r="G611" s="592"/>
      <c r="H611" s="634"/>
      <c r="I611" s="584">
        <f t="shared" ref="I611:I614" si="442">IF(E611=0,0,F611-E611+1-G611)</f>
        <v>0</v>
      </c>
      <c r="J611" s="634"/>
      <c r="K611" s="592"/>
      <c r="L611" s="592"/>
      <c r="M611" s="634"/>
      <c r="N611" s="634"/>
      <c r="O611" s="634"/>
      <c r="P611" s="634"/>
      <c r="Q611" s="634"/>
      <c r="R611" s="634"/>
      <c r="S611" s="659"/>
      <c r="T611" s="670"/>
      <c r="U611" s="592"/>
      <c r="V611" s="592"/>
      <c r="W611" s="592"/>
      <c r="X611" s="592"/>
      <c r="Y611" s="592"/>
      <c r="Z611" s="634"/>
      <c r="AA611" s="584">
        <f t="shared" ref="AA611:AA614" si="443">IF(X611=0,0,X611-W611+1-Y611)</f>
        <v>0</v>
      </c>
      <c r="AB611" s="634"/>
      <c r="AC611" s="592"/>
      <c r="AD611" s="592"/>
      <c r="AE611" s="634"/>
      <c r="AF611" s="634"/>
      <c r="AG611" s="634"/>
      <c r="AH611" s="634"/>
      <c r="AI611" s="638"/>
      <c r="AJ611" s="634"/>
      <c r="AK611" s="642"/>
      <c r="AL611" s="670"/>
      <c r="AM611" s="592"/>
      <c r="AN611" s="592"/>
      <c r="AO611" s="592"/>
      <c r="AP611" s="592"/>
      <c r="AQ611" s="592"/>
      <c r="AR611" s="634"/>
      <c r="AS611" s="584">
        <f t="shared" ref="AS611:AS614" si="444">IF(AO611=0,0,AP611-AO611+1-AQ611)</f>
        <v>0</v>
      </c>
      <c r="AT611" s="634"/>
      <c r="AU611" s="602"/>
      <c r="AV611" s="634"/>
      <c r="AW611" s="592"/>
      <c r="AX611" s="634"/>
      <c r="AY611" s="634"/>
      <c r="AZ611" s="634"/>
      <c r="BA611" s="634"/>
      <c r="BB611" s="634"/>
      <c r="BC611" s="634"/>
      <c r="BD611" s="586"/>
      <c r="BE611" s="586"/>
      <c r="BF611" s="586"/>
      <c r="BG611" s="586"/>
      <c r="BH611" s="586"/>
      <c r="BI611" s="586"/>
      <c r="BJ611" s="586"/>
      <c r="BK611" s="586"/>
      <c r="BL611" s="586"/>
      <c r="BM611" s="586"/>
      <c r="BN611" s="586"/>
      <c r="BO611" s="586"/>
      <c r="BP611" s="586"/>
      <c r="BQ611" s="586"/>
      <c r="BR611" s="586"/>
      <c r="BS611" s="586"/>
      <c r="BT611" s="586"/>
      <c r="BU611" s="586"/>
      <c r="BV611" s="586"/>
      <c r="BW611" s="588"/>
      <c r="BX611" s="588"/>
      <c r="BY611" s="588"/>
      <c r="BZ611" s="588"/>
      <c r="CA611" s="588"/>
      <c r="CB611" s="588"/>
      <c r="CC611" s="588"/>
      <c r="CD611" s="588"/>
      <c r="CE611" s="588"/>
      <c r="CF611" s="588"/>
      <c r="CG611" s="588"/>
      <c r="CH611" s="588"/>
      <c r="CI611" s="588"/>
      <c r="CJ611" s="588"/>
      <c r="CK611" s="588"/>
      <c r="CL611" s="588"/>
      <c r="CM611" s="588"/>
      <c r="CN611" s="670"/>
      <c r="CO611" s="776" t="s">
        <v>46</v>
      </c>
      <c r="CP611" s="65"/>
      <c r="CQ611" s="65"/>
      <c r="CR611" s="65"/>
      <c r="CS611" s="65"/>
      <c r="CT611" s="65"/>
      <c r="CU611" s="634"/>
      <c r="CV611" s="591">
        <f t="shared" si="441"/>
        <v>0</v>
      </c>
      <c r="CW611" s="769">
        <f>SUM(CV611:CV613)</f>
        <v>0</v>
      </c>
      <c r="CX611" s="768"/>
      <c r="CY611" s="634"/>
      <c r="CZ611" s="634"/>
      <c r="DA611" s="634"/>
      <c r="DB611" s="769">
        <v>1.8</v>
      </c>
      <c r="DC611" s="771">
        <f>IF(CX611=0,0,CW611/(CX611*60))</f>
        <v>0</v>
      </c>
      <c r="DD611" s="670"/>
      <c r="DE611" s="776" t="s">
        <v>46</v>
      </c>
      <c r="DF611" s="65"/>
      <c r="DG611" s="63">
        <v>610</v>
      </c>
      <c r="DH611" s="63">
        <v>6450</v>
      </c>
      <c r="DI611" s="63">
        <v>6501</v>
      </c>
      <c r="DJ611" s="65"/>
      <c r="DK611" s="634"/>
      <c r="DL611" s="591">
        <f t="shared" si="426"/>
        <v>52</v>
      </c>
      <c r="DM611" s="769">
        <f>SUM(DL611:DL613)</f>
        <v>158</v>
      </c>
      <c r="DN611" s="768"/>
      <c r="DO611" s="634"/>
      <c r="DP611" s="634"/>
      <c r="DQ611" s="634"/>
      <c r="DR611" s="769">
        <v>1.8</v>
      </c>
      <c r="DS611" s="771">
        <f>IF(DN611=0,0,DM611/(DN611*60))</f>
        <v>0</v>
      </c>
      <c r="DT611" s="118"/>
      <c r="DU611" s="19"/>
      <c r="DV611" s="19"/>
      <c r="DW611" s="19"/>
      <c r="DX611" s="19"/>
      <c r="DY611" s="19"/>
      <c r="DZ611" s="19"/>
    </row>
    <row r="612" spans="1:130" ht="12.75" x14ac:dyDescent="0.2">
      <c r="A612" s="647"/>
      <c r="B612" s="670"/>
      <c r="C612" s="592"/>
      <c r="D612" s="592"/>
      <c r="E612" s="592"/>
      <c r="F612" s="592"/>
      <c r="G612" s="592"/>
      <c r="H612" s="634"/>
      <c r="I612" s="584">
        <f t="shared" si="442"/>
        <v>0</v>
      </c>
      <c r="J612" s="634"/>
      <c r="K612" s="592"/>
      <c r="L612" s="592"/>
      <c r="M612" s="634"/>
      <c r="N612" s="634"/>
      <c r="O612" s="634"/>
      <c r="P612" s="634"/>
      <c r="Q612" s="634"/>
      <c r="R612" s="634"/>
      <c r="S612" s="659"/>
      <c r="T612" s="670"/>
      <c r="U612" s="592"/>
      <c r="V612" s="592"/>
      <c r="W612" s="592"/>
      <c r="X612" s="592"/>
      <c r="Y612" s="592"/>
      <c r="Z612" s="634"/>
      <c r="AA612" s="584">
        <f t="shared" si="443"/>
        <v>0</v>
      </c>
      <c r="AB612" s="634"/>
      <c r="AC612" s="592"/>
      <c r="AD612" s="592"/>
      <c r="AE612" s="634"/>
      <c r="AF612" s="634"/>
      <c r="AG612" s="634"/>
      <c r="AH612" s="634"/>
      <c r="AI612" s="638"/>
      <c r="AJ612" s="634"/>
      <c r="AK612" s="642"/>
      <c r="AL612" s="670"/>
      <c r="AM612" s="616"/>
      <c r="AN612" s="592"/>
      <c r="AO612" s="592"/>
      <c r="AP612" s="592"/>
      <c r="AQ612" s="616"/>
      <c r="AR612" s="634"/>
      <c r="AS612" s="584">
        <f t="shared" si="444"/>
        <v>0</v>
      </c>
      <c r="AT612" s="635"/>
      <c r="AU612" s="587"/>
      <c r="AV612" s="635"/>
      <c r="AW612" s="587"/>
      <c r="AX612" s="634"/>
      <c r="AY612" s="634"/>
      <c r="AZ612" s="634"/>
      <c r="BA612" s="634"/>
      <c r="BB612" s="634"/>
      <c r="BC612" s="635"/>
      <c r="BD612" s="586"/>
      <c r="BE612" s="586"/>
      <c r="BF612" s="586"/>
      <c r="BG612" s="586"/>
      <c r="BH612" s="586"/>
      <c r="BI612" s="586"/>
      <c r="BJ612" s="586"/>
      <c r="BK612" s="586"/>
      <c r="BL612" s="586"/>
      <c r="BM612" s="586"/>
      <c r="BN612" s="586"/>
      <c r="BO612" s="586"/>
      <c r="BP612" s="586"/>
      <c r="BQ612" s="586"/>
      <c r="BR612" s="586"/>
      <c r="BS612" s="586"/>
      <c r="BT612" s="586"/>
      <c r="BU612" s="586"/>
      <c r="BV612" s="586"/>
      <c r="BW612" s="588"/>
      <c r="BX612" s="588"/>
      <c r="BY612" s="588"/>
      <c r="BZ612" s="588"/>
      <c r="CA612" s="588"/>
      <c r="CB612" s="588"/>
      <c r="CC612" s="588"/>
      <c r="CD612" s="588"/>
      <c r="CE612" s="588"/>
      <c r="CF612" s="588"/>
      <c r="CG612" s="588"/>
      <c r="CH612" s="588"/>
      <c r="CI612" s="588"/>
      <c r="CJ612" s="588"/>
      <c r="CK612" s="588"/>
      <c r="CL612" s="588"/>
      <c r="CM612" s="588"/>
      <c r="CN612" s="670"/>
      <c r="CO612" s="634"/>
      <c r="CP612" s="594"/>
      <c r="CQ612" s="594"/>
      <c r="CR612" s="594"/>
      <c r="CS612" s="594"/>
      <c r="CT612" s="594"/>
      <c r="CU612" s="634"/>
      <c r="CV612" s="591">
        <f t="shared" si="441"/>
        <v>0</v>
      </c>
      <c r="CW612" s="634"/>
      <c r="CX612" s="634"/>
      <c r="CY612" s="634"/>
      <c r="CZ612" s="634"/>
      <c r="DA612" s="634"/>
      <c r="DB612" s="634"/>
      <c r="DC612" s="659"/>
      <c r="DD612" s="670"/>
      <c r="DE612" s="634"/>
      <c r="DF612" s="594"/>
      <c r="DG612" s="606">
        <v>613</v>
      </c>
      <c r="DH612" s="606">
        <v>7502</v>
      </c>
      <c r="DI612" s="606">
        <v>7607</v>
      </c>
      <c r="DJ612" s="594"/>
      <c r="DK612" s="634"/>
      <c r="DL612" s="591">
        <f t="shared" si="426"/>
        <v>106</v>
      </c>
      <c r="DM612" s="634"/>
      <c r="DN612" s="634"/>
      <c r="DO612" s="634"/>
      <c r="DP612" s="634"/>
      <c r="DQ612" s="634"/>
      <c r="DR612" s="634"/>
      <c r="DS612" s="659"/>
      <c r="DT612" s="118"/>
      <c r="DU612" s="19"/>
      <c r="DV612" s="19"/>
      <c r="DW612" s="19"/>
      <c r="DX612" s="19"/>
      <c r="DY612" s="19"/>
      <c r="DZ612" s="19"/>
    </row>
    <row r="613" spans="1:130" ht="12.75" x14ac:dyDescent="0.2">
      <c r="A613" s="647"/>
      <c r="B613" s="671"/>
      <c r="C613" s="592"/>
      <c r="D613" s="592"/>
      <c r="E613" s="592"/>
      <c r="F613" s="592"/>
      <c r="G613" s="592"/>
      <c r="H613" s="635"/>
      <c r="I613" s="584">
        <f t="shared" si="442"/>
        <v>0</v>
      </c>
      <c r="J613" s="635"/>
      <c r="K613" s="592"/>
      <c r="L613" s="592"/>
      <c r="M613" s="635"/>
      <c r="N613" s="635"/>
      <c r="O613" s="635"/>
      <c r="P613" s="635"/>
      <c r="Q613" s="635"/>
      <c r="R613" s="635"/>
      <c r="S613" s="660"/>
      <c r="T613" s="671"/>
      <c r="U613" s="592"/>
      <c r="V613" s="592"/>
      <c r="W613" s="592"/>
      <c r="X613" s="592"/>
      <c r="Y613" s="592"/>
      <c r="Z613" s="635"/>
      <c r="AA613" s="584">
        <f t="shared" si="443"/>
        <v>0</v>
      </c>
      <c r="AB613" s="634"/>
      <c r="AC613" s="592"/>
      <c r="AD613" s="592"/>
      <c r="AE613" s="634"/>
      <c r="AF613" s="635"/>
      <c r="AG613" s="635"/>
      <c r="AH613" s="635"/>
      <c r="AI613" s="638"/>
      <c r="AJ613" s="635"/>
      <c r="AK613" s="642"/>
      <c r="AL613" s="671"/>
      <c r="AM613" s="592"/>
      <c r="AN613" s="592"/>
      <c r="AO613" s="592"/>
      <c r="AP613" s="592"/>
      <c r="AQ613" s="592"/>
      <c r="AR613" s="635"/>
      <c r="AS613" s="584">
        <f t="shared" si="444"/>
        <v>0</v>
      </c>
      <c r="AT613" s="617"/>
      <c r="AU613" s="602"/>
      <c r="AV613" s="593"/>
      <c r="AW613" s="592"/>
      <c r="AX613" s="635"/>
      <c r="AY613" s="635"/>
      <c r="AZ613" s="635"/>
      <c r="BA613" s="593"/>
      <c r="BB613" s="635"/>
      <c r="BC613" s="598"/>
      <c r="BD613" s="586"/>
      <c r="BE613" s="586"/>
      <c r="BF613" s="586"/>
      <c r="BG613" s="586"/>
      <c r="BH613" s="586"/>
      <c r="BI613" s="586"/>
      <c r="BJ613" s="586"/>
      <c r="BK613" s="586"/>
      <c r="BL613" s="586"/>
      <c r="BM613" s="586"/>
      <c r="BN613" s="586"/>
      <c r="BO613" s="586"/>
      <c r="BP613" s="586"/>
      <c r="BQ613" s="586"/>
      <c r="BR613" s="586"/>
      <c r="BS613" s="586"/>
      <c r="BT613" s="586"/>
      <c r="BU613" s="586"/>
      <c r="BV613" s="586"/>
      <c r="BW613" s="588"/>
      <c r="BX613" s="588"/>
      <c r="BY613" s="588"/>
      <c r="BZ613" s="588"/>
      <c r="CA613" s="588"/>
      <c r="CB613" s="588"/>
      <c r="CC613" s="588"/>
      <c r="CD613" s="588"/>
      <c r="CE613" s="588"/>
      <c r="CF613" s="588"/>
      <c r="CG613" s="588"/>
      <c r="CH613" s="588"/>
      <c r="CI613" s="588"/>
      <c r="CJ613" s="588"/>
      <c r="CK613" s="588"/>
      <c r="CL613" s="588"/>
      <c r="CM613" s="588"/>
      <c r="CN613" s="671"/>
      <c r="CO613" s="635"/>
      <c r="CP613" s="594"/>
      <c r="CQ613" s="594"/>
      <c r="CR613" s="594"/>
      <c r="CS613" s="594"/>
      <c r="CT613" s="594"/>
      <c r="CU613" s="635"/>
      <c r="CV613" s="591">
        <f t="shared" si="441"/>
        <v>0</v>
      </c>
      <c r="CW613" s="635"/>
      <c r="CX613" s="635"/>
      <c r="CY613" s="635"/>
      <c r="CZ613" s="635"/>
      <c r="DA613" s="635"/>
      <c r="DB613" s="635"/>
      <c r="DC613" s="660"/>
      <c r="DD613" s="671"/>
      <c r="DE613" s="635"/>
      <c r="DF613" s="594"/>
      <c r="DG613" s="594"/>
      <c r="DH613" s="594"/>
      <c r="DI613" s="594"/>
      <c r="DJ613" s="594"/>
      <c r="DK613" s="635"/>
      <c r="DL613" s="591">
        <f t="shared" si="426"/>
        <v>0</v>
      </c>
      <c r="DM613" s="635"/>
      <c r="DN613" s="635"/>
      <c r="DO613" s="635"/>
      <c r="DP613" s="635"/>
      <c r="DQ613" s="635"/>
      <c r="DR613" s="635"/>
      <c r="DS613" s="660"/>
      <c r="DT613" s="118"/>
      <c r="DU613" s="19"/>
      <c r="DV613" s="19"/>
      <c r="DW613" s="19"/>
      <c r="DX613" s="19"/>
      <c r="DY613" s="19"/>
      <c r="DZ613" s="19"/>
    </row>
    <row r="614" spans="1:130" ht="12.75" x14ac:dyDescent="0.2">
      <c r="A614" s="647"/>
      <c r="B614" s="749">
        <v>46207</v>
      </c>
      <c r="C614" s="602"/>
      <c r="D614" s="602"/>
      <c r="E614" s="602"/>
      <c r="F614" s="602"/>
      <c r="G614" s="602"/>
      <c r="H614" s="730"/>
      <c r="I614" s="584">
        <f t="shared" si="442"/>
        <v>0</v>
      </c>
      <c r="J614" s="735">
        <f>SUM(I614:I619,H614)</f>
        <v>0</v>
      </c>
      <c r="K614" s="602"/>
      <c r="L614" s="602"/>
      <c r="M614" s="730"/>
      <c r="N614" s="730"/>
      <c r="O614" s="731">
        <f>SUM(M614:N619)</f>
        <v>0</v>
      </c>
      <c r="P614" s="730"/>
      <c r="Q614" s="733">
        <f>M614*60</f>
        <v>0</v>
      </c>
      <c r="R614" s="732">
        <f>IF(
   COUNTIF(K614:K619,"SI")&gt;0,
   1.8,
   IF(
      COUNTIF(L614:L619,"SI")&gt;0,
      1.6,
      2
   )
)</f>
        <v>2</v>
      </c>
      <c r="S614" s="748">
        <f>IF(Q614=0,0,J614/Q614)</f>
        <v>0</v>
      </c>
      <c r="T614" s="749">
        <v>46207</v>
      </c>
      <c r="U614" s="602"/>
      <c r="V614" s="602"/>
      <c r="W614" s="602"/>
      <c r="X614" s="602"/>
      <c r="Y614" s="602"/>
      <c r="Z614" s="730"/>
      <c r="AA614" s="584">
        <f t="shared" si="443"/>
        <v>0</v>
      </c>
      <c r="AB614" s="735">
        <f>SUM(AA614:AA619,Z614)</f>
        <v>0</v>
      </c>
      <c r="AC614" s="602"/>
      <c r="AD614" s="602"/>
      <c r="AE614" s="730"/>
      <c r="AF614" s="730"/>
      <c r="AG614" s="731">
        <f>SUM(AE614:AF619)</f>
        <v>0</v>
      </c>
      <c r="AH614" s="730"/>
      <c r="AI614" s="756">
        <f>AE614*60</f>
        <v>0</v>
      </c>
      <c r="AJ614" s="736">
        <f>IF(
   COUNTIF(AC614:AC619,"SI")&gt;0,
   1.8,
   IF(
      COUNTIF(AD614:AD619,"SI")&gt;0,
      1.6,
      2
   )
)</f>
        <v>2</v>
      </c>
      <c r="AK614" s="755">
        <f>IF(AI614=0,0,AB614/AI614)</f>
        <v>0</v>
      </c>
      <c r="AL614" s="749">
        <v>46207</v>
      </c>
      <c r="AM614" s="602"/>
      <c r="AN614" s="592"/>
      <c r="AO614" s="602"/>
      <c r="AP614" s="602"/>
      <c r="AQ614" s="602"/>
      <c r="AR614" s="730"/>
      <c r="AS614" s="584">
        <f t="shared" si="444"/>
        <v>0</v>
      </c>
      <c r="AT614" s="735">
        <f>SUM(AS614:AS619,AR614)</f>
        <v>0</v>
      </c>
      <c r="AU614" s="602"/>
      <c r="AV614" s="730"/>
      <c r="AW614" s="602"/>
      <c r="AX614" s="730"/>
      <c r="AY614" s="731">
        <f>SUM(AV614:AX619)</f>
        <v>0</v>
      </c>
      <c r="AZ614" s="730"/>
      <c r="BA614" s="733">
        <f>AV614*60</f>
        <v>0</v>
      </c>
      <c r="BB614" s="732">
        <f>IF(
   COUNTIF(AU614:AU619,"SI")&gt;0,
   1.8,
   IF(
      COUNTIF(AV614:AV619,"SI")&gt;0,
      1.6,
      2
   )
)</f>
        <v>2</v>
      </c>
      <c r="BC614" s="737">
        <f>IF(BA614=0,0,AT614/BA614)</f>
        <v>0</v>
      </c>
      <c r="BD614" s="586"/>
      <c r="BE614" s="586"/>
      <c r="BF614" s="586"/>
      <c r="BG614" s="586"/>
      <c r="BH614" s="586"/>
      <c r="BI614" s="586"/>
      <c r="BJ614" s="586"/>
      <c r="BK614" s="586"/>
      <c r="BL614" s="586"/>
      <c r="BM614" s="586"/>
      <c r="BN614" s="586"/>
      <c r="BO614" s="586"/>
      <c r="BP614" s="586"/>
      <c r="BQ614" s="586"/>
      <c r="BR614" s="586"/>
      <c r="BS614" s="586"/>
      <c r="BT614" s="586"/>
      <c r="BU614" s="586"/>
      <c r="BV614" s="586"/>
      <c r="BW614" s="588"/>
      <c r="BX614" s="588"/>
      <c r="BY614" s="588"/>
      <c r="BZ614" s="588"/>
      <c r="CA614" s="588"/>
      <c r="CB614" s="588"/>
      <c r="CC614" s="588"/>
      <c r="CD614" s="588"/>
      <c r="CE614" s="588"/>
      <c r="CF614" s="588"/>
      <c r="CG614" s="588"/>
      <c r="CH614" s="588"/>
      <c r="CI614" s="588"/>
      <c r="CJ614" s="588"/>
      <c r="CK614" s="588"/>
      <c r="CL614" s="588"/>
      <c r="CM614" s="588"/>
      <c r="CN614" s="749">
        <v>46207</v>
      </c>
      <c r="CO614" s="733" t="s">
        <v>45</v>
      </c>
      <c r="CP614" s="604"/>
      <c r="CQ614" s="604"/>
      <c r="CR614" s="604"/>
      <c r="CS614" s="604"/>
      <c r="CT614" s="604"/>
      <c r="CU614" s="730"/>
      <c r="CV614" s="605">
        <f t="shared" si="441"/>
        <v>0</v>
      </c>
      <c r="CW614" s="733">
        <f>SUM(CV614:CV616)</f>
        <v>0</v>
      </c>
      <c r="CX614" s="775"/>
      <c r="CY614" s="730">
        <v>0.5</v>
      </c>
      <c r="CZ614" s="761">
        <f>SUM(CX614:CY619)</f>
        <v>0.5</v>
      </c>
      <c r="DA614" s="730"/>
      <c r="DB614" s="733">
        <v>2</v>
      </c>
      <c r="DC614" s="771">
        <f>IF(CX614=0,0,CW614/(CX614*60))</f>
        <v>0</v>
      </c>
      <c r="DD614" s="749">
        <v>46207</v>
      </c>
      <c r="DE614" s="733" t="s">
        <v>45</v>
      </c>
      <c r="DF614" s="604"/>
      <c r="DG614" s="604"/>
      <c r="DH614" s="604"/>
      <c r="DI614" s="604"/>
      <c r="DJ614" s="604"/>
      <c r="DK614" s="730"/>
      <c r="DL614" s="605">
        <f t="shared" si="426"/>
        <v>0</v>
      </c>
      <c r="DM614" s="733">
        <f>SUM(DL614:DL616)</f>
        <v>0</v>
      </c>
      <c r="DN614" s="775"/>
      <c r="DO614" s="730"/>
      <c r="DP614" s="761">
        <f>SUM(DN614:DO619)</f>
        <v>0</v>
      </c>
      <c r="DQ614" s="730"/>
      <c r="DR614" s="733">
        <v>2</v>
      </c>
      <c r="DS614" s="771">
        <f>IF(DN614=0,0,DM614/(DN614*60))</f>
        <v>0</v>
      </c>
      <c r="DT614" s="118"/>
      <c r="DU614" s="19"/>
      <c r="DV614" s="19"/>
      <c r="DW614" s="19"/>
      <c r="DX614" s="19"/>
      <c r="DY614" s="19"/>
      <c r="DZ614" s="19"/>
    </row>
    <row r="615" spans="1:130" ht="12.75" x14ac:dyDescent="0.2">
      <c r="A615" s="647"/>
      <c r="B615" s="647"/>
      <c r="C615" s="602"/>
      <c r="D615" s="602"/>
      <c r="E615" s="602"/>
      <c r="F615" s="602"/>
      <c r="G615" s="602"/>
      <c r="H615" s="634"/>
      <c r="I615" s="592"/>
      <c r="J615" s="634"/>
      <c r="K615" s="602"/>
      <c r="L615" s="602"/>
      <c r="M615" s="634"/>
      <c r="N615" s="634"/>
      <c r="O615" s="634"/>
      <c r="P615" s="634"/>
      <c r="Q615" s="634"/>
      <c r="R615" s="634"/>
      <c r="S615" s="659"/>
      <c r="T615" s="647"/>
      <c r="U615" s="602"/>
      <c r="V615" s="602"/>
      <c r="W615" s="602"/>
      <c r="X615" s="602"/>
      <c r="Y615" s="602"/>
      <c r="Z615" s="634"/>
      <c r="AA615" s="592"/>
      <c r="AB615" s="634"/>
      <c r="AC615" s="602"/>
      <c r="AD615" s="602"/>
      <c r="AE615" s="634"/>
      <c r="AF615" s="634"/>
      <c r="AG615" s="634"/>
      <c r="AH615" s="634"/>
      <c r="AI615" s="638"/>
      <c r="AJ615" s="634"/>
      <c r="AK615" s="642"/>
      <c r="AL615" s="647"/>
      <c r="AM615" s="602"/>
      <c r="AN615" s="602"/>
      <c r="AO615" s="602"/>
      <c r="AP615" s="602"/>
      <c r="AQ615" s="602"/>
      <c r="AR615" s="634"/>
      <c r="AS615" s="592"/>
      <c r="AT615" s="634"/>
      <c r="AU615" s="602"/>
      <c r="AV615" s="634"/>
      <c r="AW615" s="602"/>
      <c r="AX615" s="634"/>
      <c r="AY615" s="634"/>
      <c r="AZ615" s="634"/>
      <c r="BA615" s="634"/>
      <c r="BB615" s="634"/>
      <c r="BC615" s="634"/>
      <c r="BD615" s="586"/>
      <c r="BE615" s="586"/>
      <c r="BF615" s="586"/>
      <c r="BG615" s="586"/>
      <c r="BH615" s="586"/>
      <c r="BI615" s="586"/>
      <c r="BJ615" s="586"/>
      <c r="BK615" s="586"/>
      <c r="BL615" s="586"/>
      <c r="BM615" s="586"/>
      <c r="BN615" s="586"/>
      <c r="BO615" s="586"/>
      <c r="BP615" s="586"/>
      <c r="BQ615" s="586"/>
      <c r="BR615" s="586"/>
      <c r="BS615" s="586"/>
      <c r="BT615" s="586"/>
      <c r="BU615" s="586"/>
      <c r="BV615" s="586"/>
      <c r="BW615" s="588"/>
      <c r="BX615" s="588"/>
      <c r="BY615" s="588"/>
      <c r="BZ615" s="588"/>
      <c r="CA615" s="588"/>
      <c r="CB615" s="588"/>
      <c r="CC615" s="588"/>
      <c r="CD615" s="588"/>
      <c r="CE615" s="588"/>
      <c r="CF615" s="588"/>
      <c r="CG615" s="588"/>
      <c r="CH615" s="588"/>
      <c r="CI615" s="588"/>
      <c r="CJ615" s="588"/>
      <c r="CK615" s="588"/>
      <c r="CL615" s="588"/>
      <c r="CM615" s="588"/>
      <c r="CN615" s="647"/>
      <c r="CO615" s="634"/>
      <c r="CP615" s="604"/>
      <c r="CQ615" s="604"/>
      <c r="CR615" s="604"/>
      <c r="CS615" s="604"/>
      <c r="CT615" s="604"/>
      <c r="CU615" s="634"/>
      <c r="CV615" s="605">
        <f t="shared" si="441"/>
        <v>0</v>
      </c>
      <c r="CW615" s="634"/>
      <c r="CX615" s="634"/>
      <c r="CY615" s="634"/>
      <c r="CZ615" s="634"/>
      <c r="DA615" s="634"/>
      <c r="DB615" s="634"/>
      <c r="DC615" s="659"/>
      <c r="DD615" s="647"/>
      <c r="DE615" s="634"/>
      <c r="DF615" s="604"/>
      <c r="DG615" s="604"/>
      <c r="DH615" s="604"/>
      <c r="DI615" s="604"/>
      <c r="DJ615" s="604"/>
      <c r="DK615" s="634"/>
      <c r="DL615" s="605">
        <f t="shared" si="426"/>
        <v>0</v>
      </c>
      <c r="DM615" s="634"/>
      <c r="DN615" s="634"/>
      <c r="DO615" s="634"/>
      <c r="DP615" s="634"/>
      <c r="DQ615" s="634"/>
      <c r="DR615" s="634"/>
      <c r="DS615" s="659"/>
      <c r="DT615" s="118"/>
      <c r="DU615" s="19"/>
      <c r="DV615" s="19"/>
      <c r="DW615" s="19"/>
      <c r="DX615" s="19"/>
      <c r="DY615" s="19"/>
      <c r="DZ615" s="19"/>
    </row>
    <row r="616" spans="1:130" ht="12.75" x14ac:dyDescent="0.2">
      <c r="A616" s="647"/>
      <c r="B616" s="647"/>
      <c r="C616" s="602"/>
      <c r="D616" s="602"/>
      <c r="E616" s="602"/>
      <c r="F616" s="602"/>
      <c r="G616" s="602"/>
      <c r="H616" s="634"/>
      <c r="I616" s="592"/>
      <c r="J616" s="634"/>
      <c r="K616" s="602"/>
      <c r="L616" s="602"/>
      <c r="M616" s="634"/>
      <c r="N616" s="634"/>
      <c r="O616" s="634"/>
      <c r="P616" s="634"/>
      <c r="Q616" s="634"/>
      <c r="R616" s="634"/>
      <c r="S616" s="659"/>
      <c r="T616" s="647"/>
      <c r="U616" s="602"/>
      <c r="V616" s="602"/>
      <c r="W616" s="602"/>
      <c r="X616" s="602"/>
      <c r="Y616" s="602"/>
      <c r="Z616" s="634"/>
      <c r="AA616" s="592"/>
      <c r="AB616" s="634"/>
      <c r="AC616" s="602"/>
      <c r="AD616" s="602"/>
      <c r="AE616" s="634"/>
      <c r="AF616" s="634"/>
      <c r="AG616" s="634"/>
      <c r="AH616" s="634"/>
      <c r="AI616" s="638"/>
      <c r="AJ616" s="634"/>
      <c r="AK616" s="642"/>
      <c r="AL616" s="647"/>
      <c r="AM616" s="602"/>
      <c r="AN616" s="602"/>
      <c r="AO616" s="602"/>
      <c r="AP616" s="602"/>
      <c r="AQ616" s="602"/>
      <c r="AR616" s="634"/>
      <c r="AS616" s="592"/>
      <c r="AT616" s="634"/>
      <c r="AU616" s="602"/>
      <c r="AV616" s="634"/>
      <c r="AW616" s="602"/>
      <c r="AX616" s="634"/>
      <c r="AY616" s="634"/>
      <c r="AZ616" s="634"/>
      <c r="BA616" s="634"/>
      <c r="BB616" s="634"/>
      <c r="BC616" s="634"/>
      <c r="BD616" s="586"/>
      <c r="BE616" s="586"/>
      <c r="BF616" s="586"/>
      <c r="BG616" s="586"/>
      <c r="BH616" s="586"/>
      <c r="BI616" s="586"/>
      <c r="BJ616" s="586"/>
      <c r="BK616" s="586"/>
      <c r="BL616" s="586"/>
      <c r="BM616" s="586"/>
      <c r="BN616" s="586"/>
      <c r="BO616" s="586"/>
      <c r="BP616" s="586"/>
      <c r="BQ616" s="586"/>
      <c r="BR616" s="586"/>
      <c r="BS616" s="586"/>
      <c r="BT616" s="586"/>
      <c r="BU616" s="586"/>
      <c r="BV616" s="586"/>
      <c r="BW616" s="588"/>
      <c r="BX616" s="588"/>
      <c r="BY616" s="588"/>
      <c r="BZ616" s="588"/>
      <c r="CA616" s="588"/>
      <c r="CB616" s="588"/>
      <c r="CC616" s="588"/>
      <c r="CD616" s="588"/>
      <c r="CE616" s="588"/>
      <c r="CF616" s="588"/>
      <c r="CG616" s="588"/>
      <c r="CH616" s="588"/>
      <c r="CI616" s="588"/>
      <c r="CJ616" s="588"/>
      <c r="CK616" s="588"/>
      <c r="CL616" s="588"/>
      <c r="CM616" s="588"/>
      <c r="CN616" s="647"/>
      <c r="CO616" s="772"/>
      <c r="CP616" s="607"/>
      <c r="CQ616" s="607"/>
      <c r="CR616" s="607"/>
      <c r="CS616" s="607"/>
      <c r="CT616" s="607"/>
      <c r="CU616" s="634"/>
      <c r="CV616" s="605">
        <f t="shared" si="441"/>
        <v>0</v>
      </c>
      <c r="CW616" s="635"/>
      <c r="CX616" s="635"/>
      <c r="CY616" s="634"/>
      <c r="CZ616" s="634"/>
      <c r="DA616" s="634"/>
      <c r="DB616" s="635"/>
      <c r="DC616" s="660"/>
      <c r="DD616" s="647"/>
      <c r="DE616" s="772"/>
      <c r="DF616" s="607"/>
      <c r="DG616" s="607"/>
      <c r="DH616" s="607"/>
      <c r="DI616" s="607"/>
      <c r="DJ616" s="607"/>
      <c r="DK616" s="634"/>
      <c r="DL616" s="605">
        <f t="shared" si="426"/>
        <v>0</v>
      </c>
      <c r="DM616" s="635"/>
      <c r="DN616" s="635"/>
      <c r="DO616" s="634"/>
      <c r="DP616" s="634"/>
      <c r="DQ616" s="634"/>
      <c r="DR616" s="635"/>
      <c r="DS616" s="660"/>
      <c r="DT616" s="118"/>
      <c r="DU616" s="19"/>
      <c r="DV616" s="19"/>
      <c r="DW616" s="19"/>
      <c r="DX616" s="19"/>
      <c r="DY616" s="19"/>
      <c r="DZ616" s="19"/>
    </row>
    <row r="617" spans="1:130" ht="12.75" x14ac:dyDescent="0.2">
      <c r="A617" s="647"/>
      <c r="B617" s="647"/>
      <c r="C617" s="602"/>
      <c r="D617" s="602"/>
      <c r="E617" s="602"/>
      <c r="F617" s="602"/>
      <c r="G617" s="602"/>
      <c r="H617" s="634"/>
      <c r="I617" s="584">
        <f t="shared" ref="I617:I619" si="445">IF(E617=0,0,F617-E617+1-G617)</f>
        <v>0</v>
      </c>
      <c r="J617" s="634"/>
      <c r="K617" s="602"/>
      <c r="L617" s="602"/>
      <c r="M617" s="634"/>
      <c r="N617" s="634"/>
      <c r="O617" s="634"/>
      <c r="P617" s="634"/>
      <c r="Q617" s="634"/>
      <c r="R617" s="634"/>
      <c r="S617" s="659"/>
      <c r="T617" s="647"/>
      <c r="U617" s="602"/>
      <c r="V617" s="602"/>
      <c r="W617" s="602"/>
      <c r="X617" s="602"/>
      <c r="Y617" s="602"/>
      <c r="Z617" s="634"/>
      <c r="AA617" s="584">
        <f t="shared" ref="AA617:AA619" si="446">IF(X617=0,0,X617-W617+1-Y617)</f>
        <v>0</v>
      </c>
      <c r="AB617" s="634"/>
      <c r="AC617" s="602"/>
      <c r="AD617" s="602"/>
      <c r="AE617" s="634"/>
      <c r="AF617" s="634"/>
      <c r="AG617" s="634"/>
      <c r="AH617" s="634"/>
      <c r="AI617" s="638"/>
      <c r="AJ617" s="634"/>
      <c r="AK617" s="642"/>
      <c r="AL617" s="647"/>
      <c r="AM617" s="602"/>
      <c r="AN617" s="602"/>
      <c r="AO617" s="602"/>
      <c r="AP617" s="602"/>
      <c r="AQ617" s="602"/>
      <c r="AR617" s="634"/>
      <c r="AS617" s="592"/>
      <c r="AT617" s="634"/>
      <c r="AU617" s="602"/>
      <c r="AV617" s="634"/>
      <c r="AW617" s="602"/>
      <c r="AX617" s="634"/>
      <c r="AY617" s="634"/>
      <c r="AZ617" s="634"/>
      <c r="BA617" s="634"/>
      <c r="BB617" s="634"/>
      <c r="BC617" s="634"/>
      <c r="BD617" s="586"/>
      <c r="BE617" s="586"/>
      <c r="BF617" s="586"/>
      <c r="BG617" s="586"/>
      <c r="BH617" s="586"/>
      <c r="BI617" s="586"/>
      <c r="BJ617" s="586"/>
      <c r="BK617" s="586"/>
      <c r="BL617" s="586"/>
      <c r="BM617" s="586"/>
      <c r="BN617" s="586"/>
      <c r="BO617" s="586"/>
      <c r="BP617" s="586"/>
      <c r="BQ617" s="586"/>
      <c r="BR617" s="586"/>
      <c r="BS617" s="586"/>
      <c r="BT617" s="586"/>
      <c r="BU617" s="586"/>
      <c r="BV617" s="586"/>
      <c r="BW617" s="588"/>
      <c r="BX617" s="588"/>
      <c r="BY617" s="588"/>
      <c r="BZ617" s="588"/>
      <c r="CA617" s="588"/>
      <c r="CB617" s="588"/>
      <c r="CC617" s="588"/>
      <c r="CD617" s="588"/>
      <c r="CE617" s="588"/>
      <c r="CF617" s="588"/>
      <c r="CG617" s="588"/>
      <c r="CH617" s="588"/>
      <c r="CI617" s="588"/>
      <c r="CJ617" s="588"/>
      <c r="CK617" s="588"/>
      <c r="CL617" s="588"/>
      <c r="CM617" s="588"/>
      <c r="CN617" s="647"/>
      <c r="CO617" s="774" t="s">
        <v>46</v>
      </c>
      <c r="CP617" s="69"/>
      <c r="CQ617" s="64">
        <v>609</v>
      </c>
      <c r="CR617" s="64">
        <v>5505</v>
      </c>
      <c r="CS617" s="69"/>
      <c r="CT617" s="64">
        <v>4</v>
      </c>
      <c r="CU617" s="634"/>
      <c r="CV617" s="605">
        <f t="shared" si="441"/>
        <v>-5508</v>
      </c>
      <c r="CW617" s="733">
        <f>SUM(CV617:CV619)</f>
        <v>-5508</v>
      </c>
      <c r="CX617" s="730"/>
      <c r="CY617" s="634"/>
      <c r="CZ617" s="634"/>
      <c r="DA617" s="634"/>
      <c r="DB617" s="733">
        <v>1.8</v>
      </c>
      <c r="DC617" s="773">
        <f>IF(CX617=0,0,CW617/(CX617*60))</f>
        <v>0</v>
      </c>
      <c r="DD617" s="647"/>
      <c r="DE617" s="774" t="s">
        <v>46</v>
      </c>
      <c r="DF617" s="69"/>
      <c r="DG617" s="64">
        <v>470</v>
      </c>
      <c r="DH617" s="69"/>
      <c r="DI617" s="69"/>
      <c r="DJ617" s="69"/>
      <c r="DK617" s="634"/>
      <c r="DL617" s="605">
        <f t="shared" si="426"/>
        <v>1</v>
      </c>
      <c r="DM617" s="733">
        <f>SUM(DL617:DL619)</f>
        <v>2</v>
      </c>
      <c r="DN617" s="730"/>
      <c r="DO617" s="634"/>
      <c r="DP617" s="634"/>
      <c r="DQ617" s="634"/>
      <c r="DR617" s="733">
        <v>1.8</v>
      </c>
      <c r="DS617" s="771">
        <f>IF(DN617=0,0,DM617/(DN617*60))</f>
        <v>0</v>
      </c>
      <c r="DT617" s="118"/>
      <c r="DU617" s="19"/>
      <c r="DV617" s="19"/>
      <c r="DW617" s="19"/>
      <c r="DX617" s="19"/>
      <c r="DY617" s="19"/>
      <c r="DZ617" s="19"/>
    </row>
    <row r="618" spans="1:130" ht="12.75" x14ac:dyDescent="0.2">
      <c r="A618" s="647"/>
      <c r="B618" s="647"/>
      <c r="C618" s="602"/>
      <c r="D618" s="602"/>
      <c r="E618" s="602"/>
      <c r="F618" s="602"/>
      <c r="G618" s="602"/>
      <c r="H618" s="634"/>
      <c r="I618" s="584">
        <f t="shared" si="445"/>
        <v>0</v>
      </c>
      <c r="J618" s="634"/>
      <c r="K618" s="602"/>
      <c r="L618" s="602"/>
      <c r="M618" s="634"/>
      <c r="N618" s="634"/>
      <c r="O618" s="634"/>
      <c r="P618" s="634"/>
      <c r="Q618" s="634"/>
      <c r="R618" s="634"/>
      <c r="S618" s="659"/>
      <c r="T618" s="647"/>
      <c r="U618" s="602"/>
      <c r="V618" s="602"/>
      <c r="W618" s="602"/>
      <c r="X618" s="602"/>
      <c r="Y618" s="602"/>
      <c r="Z618" s="634"/>
      <c r="AA618" s="584">
        <f t="shared" si="446"/>
        <v>0</v>
      </c>
      <c r="AB618" s="634"/>
      <c r="AC618" s="602"/>
      <c r="AD618" s="602"/>
      <c r="AE618" s="634"/>
      <c r="AF618" s="634"/>
      <c r="AG618" s="634"/>
      <c r="AH618" s="634"/>
      <c r="AI618" s="638"/>
      <c r="AJ618" s="634"/>
      <c r="AK618" s="642"/>
      <c r="AL618" s="647"/>
      <c r="AM618" s="602"/>
      <c r="AN618" s="602"/>
      <c r="AO618" s="602"/>
      <c r="AP618" s="602"/>
      <c r="AQ618" s="602"/>
      <c r="AR618" s="634"/>
      <c r="AS618" s="592"/>
      <c r="AT618" s="634"/>
      <c r="AU618" s="602"/>
      <c r="AV618" s="634"/>
      <c r="AW618" s="602"/>
      <c r="AX618" s="634"/>
      <c r="AY618" s="634"/>
      <c r="AZ618" s="634"/>
      <c r="BA618" s="634"/>
      <c r="BB618" s="634"/>
      <c r="BC618" s="634"/>
      <c r="BD618" s="586"/>
      <c r="BE618" s="586"/>
      <c r="BF618" s="586"/>
      <c r="BG618" s="586"/>
      <c r="BH618" s="586"/>
      <c r="BI618" s="586"/>
      <c r="BJ618" s="586"/>
      <c r="BK618" s="586"/>
      <c r="BL618" s="586"/>
      <c r="BM618" s="586"/>
      <c r="BN618" s="586"/>
      <c r="BO618" s="586"/>
      <c r="BP618" s="586"/>
      <c r="BQ618" s="586"/>
      <c r="BR618" s="586"/>
      <c r="BS618" s="586"/>
      <c r="BT618" s="586"/>
      <c r="BU618" s="586"/>
      <c r="BV618" s="586"/>
      <c r="BW618" s="588"/>
      <c r="BX618" s="588"/>
      <c r="BY618" s="588"/>
      <c r="BZ618" s="588"/>
      <c r="CA618" s="588"/>
      <c r="CB618" s="588"/>
      <c r="CC618" s="588"/>
      <c r="CD618" s="588"/>
      <c r="CE618" s="588"/>
      <c r="CF618" s="588"/>
      <c r="CG618" s="588"/>
      <c r="CH618" s="588"/>
      <c r="CI618" s="588"/>
      <c r="CJ618" s="588"/>
      <c r="CK618" s="588"/>
      <c r="CL618" s="588"/>
      <c r="CM618" s="588"/>
      <c r="CN618" s="647"/>
      <c r="CO618" s="634"/>
      <c r="CP618" s="604"/>
      <c r="CQ618" s="604"/>
      <c r="CR618" s="604"/>
      <c r="CS618" s="604"/>
      <c r="CT618" s="604"/>
      <c r="CU618" s="634"/>
      <c r="CV618" s="605">
        <f t="shared" si="441"/>
        <v>0</v>
      </c>
      <c r="CW618" s="634"/>
      <c r="CX618" s="634"/>
      <c r="CY618" s="634"/>
      <c r="CZ618" s="634"/>
      <c r="DA618" s="634"/>
      <c r="DB618" s="634"/>
      <c r="DC618" s="659"/>
      <c r="DD618" s="647"/>
      <c r="DE618" s="634"/>
      <c r="DF618" s="604"/>
      <c r="DG618" s="583">
        <v>468</v>
      </c>
      <c r="DH618" s="604"/>
      <c r="DI618" s="604"/>
      <c r="DJ618" s="604"/>
      <c r="DK618" s="634"/>
      <c r="DL618" s="605">
        <f t="shared" si="426"/>
        <v>1</v>
      </c>
      <c r="DM618" s="634"/>
      <c r="DN618" s="634"/>
      <c r="DO618" s="634"/>
      <c r="DP618" s="634"/>
      <c r="DQ618" s="634"/>
      <c r="DR618" s="634"/>
      <c r="DS618" s="659"/>
      <c r="DT618" s="118"/>
      <c r="DU618" s="19"/>
      <c r="DV618" s="19"/>
      <c r="DW618" s="19"/>
      <c r="DX618" s="19"/>
      <c r="DY618" s="19"/>
      <c r="DZ618" s="19"/>
    </row>
    <row r="619" spans="1:130" ht="12.75" x14ac:dyDescent="0.2">
      <c r="A619" s="648"/>
      <c r="B619" s="648"/>
      <c r="C619" s="602"/>
      <c r="D619" s="602"/>
      <c r="E619" s="602"/>
      <c r="F619" s="602"/>
      <c r="G619" s="602"/>
      <c r="H619" s="635"/>
      <c r="I619" s="584">
        <f t="shared" si="445"/>
        <v>0</v>
      </c>
      <c r="J619" s="635"/>
      <c r="K619" s="602"/>
      <c r="L619" s="602"/>
      <c r="M619" s="635"/>
      <c r="N619" s="635"/>
      <c r="O619" s="635"/>
      <c r="P619" s="635"/>
      <c r="Q619" s="635"/>
      <c r="R619" s="635"/>
      <c r="S619" s="660"/>
      <c r="T619" s="648"/>
      <c r="U619" s="602"/>
      <c r="V619" s="602"/>
      <c r="W619" s="602"/>
      <c r="X619" s="602"/>
      <c r="Y619" s="602"/>
      <c r="Z619" s="635"/>
      <c r="AA619" s="584">
        <f t="shared" si="446"/>
        <v>0</v>
      </c>
      <c r="AB619" s="635"/>
      <c r="AC619" s="602"/>
      <c r="AD619" s="602"/>
      <c r="AE619" s="635"/>
      <c r="AF619" s="635"/>
      <c r="AG619" s="635"/>
      <c r="AH619" s="635"/>
      <c r="AI619" s="639"/>
      <c r="AJ619" s="635"/>
      <c r="AK619" s="643"/>
      <c r="AL619" s="648"/>
      <c r="AM619" s="602"/>
      <c r="AN619" s="602"/>
      <c r="AO619" s="602"/>
      <c r="AP619" s="602"/>
      <c r="AQ619" s="602"/>
      <c r="AR619" s="635"/>
      <c r="AS619" s="592"/>
      <c r="AT619" s="635"/>
      <c r="AU619" s="602"/>
      <c r="AV619" s="635"/>
      <c r="AW619" s="602"/>
      <c r="AX619" s="635"/>
      <c r="AY619" s="635"/>
      <c r="AZ619" s="635"/>
      <c r="BA619" s="635"/>
      <c r="BB619" s="635"/>
      <c r="BC619" s="635"/>
      <c r="BD619" s="586"/>
      <c r="BE619" s="586"/>
      <c r="BF619" s="586"/>
      <c r="BG619" s="586"/>
      <c r="BH619" s="586"/>
      <c r="BI619" s="586"/>
      <c r="BJ619" s="586"/>
      <c r="BK619" s="586"/>
      <c r="BL619" s="586"/>
      <c r="BM619" s="586"/>
      <c r="BN619" s="586"/>
      <c r="BO619" s="586"/>
      <c r="BP619" s="586"/>
      <c r="BQ619" s="586"/>
      <c r="BR619" s="586"/>
      <c r="BS619" s="586"/>
      <c r="BT619" s="586"/>
      <c r="BU619" s="586"/>
      <c r="BV619" s="586"/>
      <c r="BW619" s="588"/>
      <c r="BX619" s="588"/>
      <c r="BY619" s="588"/>
      <c r="BZ619" s="588"/>
      <c r="CA619" s="588"/>
      <c r="CB619" s="588"/>
      <c r="CC619" s="588"/>
      <c r="CD619" s="588"/>
      <c r="CE619" s="588"/>
      <c r="CF619" s="588"/>
      <c r="CG619" s="588"/>
      <c r="CH619" s="588"/>
      <c r="CI619" s="588"/>
      <c r="CJ619" s="588"/>
      <c r="CK619" s="588"/>
      <c r="CL619" s="588"/>
      <c r="CM619" s="588"/>
      <c r="CN619" s="648"/>
      <c r="CO619" s="635"/>
      <c r="CP619" s="604"/>
      <c r="CQ619" s="604"/>
      <c r="CR619" s="604"/>
      <c r="CS619" s="604"/>
      <c r="CT619" s="604"/>
      <c r="CU619" s="635"/>
      <c r="CV619" s="605">
        <f t="shared" si="441"/>
        <v>0</v>
      </c>
      <c r="CW619" s="634"/>
      <c r="CX619" s="635"/>
      <c r="CY619" s="635"/>
      <c r="CZ619" s="635"/>
      <c r="DA619" s="635"/>
      <c r="DB619" s="635"/>
      <c r="DC619" s="660"/>
      <c r="DD619" s="648"/>
      <c r="DE619" s="635"/>
      <c r="DF619" s="604"/>
      <c r="DG619" s="604"/>
      <c r="DH619" s="604"/>
      <c r="DI619" s="604"/>
      <c r="DJ619" s="604"/>
      <c r="DK619" s="635"/>
      <c r="DL619" s="605">
        <f t="shared" si="426"/>
        <v>0</v>
      </c>
      <c r="DM619" s="634"/>
      <c r="DN619" s="635"/>
      <c r="DO619" s="635"/>
      <c r="DP619" s="635"/>
      <c r="DQ619" s="635"/>
      <c r="DR619" s="635"/>
      <c r="DS619" s="660"/>
      <c r="DT619" s="118"/>
      <c r="DU619" s="19"/>
      <c r="DV619" s="19"/>
      <c r="DW619" s="19"/>
      <c r="DX619" s="19"/>
      <c r="DY619" s="19"/>
      <c r="DZ619" s="19"/>
    </row>
    <row r="620" spans="1:130" ht="12.75" x14ac:dyDescent="0.2">
      <c r="A620" s="618"/>
      <c r="B620" s="619" t="s">
        <v>40</v>
      </c>
      <c r="C620" s="620">
        <f>SUM(C584:C619)</f>
        <v>0</v>
      </c>
      <c r="D620" s="620" t="s">
        <v>49</v>
      </c>
      <c r="E620" s="620" t="s">
        <v>49</v>
      </c>
      <c r="F620" s="620" t="s">
        <v>49</v>
      </c>
      <c r="G620" s="620">
        <f t="shared" ref="G620:J620" si="447">SUM(G584:G619)</f>
        <v>0</v>
      </c>
      <c r="H620" s="620">
        <f t="shared" si="447"/>
        <v>0</v>
      </c>
      <c r="I620" s="620">
        <f t="shared" si="447"/>
        <v>0</v>
      </c>
      <c r="J620" s="620">
        <f t="shared" si="447"/>
        <v>0</v>
      </c>
      <c r="K620" s="620" t="s">
        <v>49</v>
      </c>
      <c r="L620" s="620"/>
      <c r="M620" s="620">
        <f>SUM(M584:M619)</f>
        <v>0</v>
      </c>
      <c r="N620" s="620">
        <f>SUM(N584:N613)</f>
        <v>0</v>
      </c>
      <c r="O620" s="621">
        <f t="shared" ref="O620:Q620" si="448">SUM(O584:O619)</f>
        <v>0</v>
      </c>
      <c r="P620" s="620">
        <f t="shared" si="448"/>
        <v>0</v>
      </c>
      <c r="Q620" s="620">
        <f t="shared" si="448"/>
        <v>0</v>
      </c>
      <c r="R620" s="622"/>
      <c r="S620" s="623">
        <f>AVERAGE(S596:S607)</f>
        <v>0</v>
      </c>
      <c r="T620" s="619" t="s">
        <v>40</v>
      </c>
      <c r="U620" s="620">
        <f>SUM(U584:U619)</f>
        <v>0</v>
      </c>
      <c r="V620" s="620" t="s">
        <v>49</v>
      </c>
      <c r="W620" s="620" t="s">
        <v>49</v>
      </c>
      <c r="X620" s="620" t="s">
        <v>49</v>
      </c>
      <c r="Y620" s="620">
        <f t="shared" ref="Y620:AB620" si="449">SUM(Y584:Y619)</f>
        <v>0</v>
      </c>
      <c r="Z620" s="620">
        <f t="shared" si="449"/>
        <v>0</v>
      </c>
      <c r="AA620" s="620">
        <f t="shared" si="449"/>
        <v>100</v>
      </c>
      <c r="AB620" s="620">
        <f t="shared" si="449"/>
        <v>100</v>
      </c>
      <c r="AC620" s="620" t="s">
        <v>49</v>
      </c>
      <c r="AD620" s="620" t="s">
        <v>49</v>
      </c>
      <c r="AE620" s="620">
        <f t="shared" ref="AE620:AI620" si="450">SUM(AE584:AE619)</f>
        <v>0</v>
      </c>
      <c r="AF620" s="620">
        <f t="shared" si="450"/>
        <v>4.25</v>
      </c>
      <c r="AG620" s="621">
        <f t="shared" si="450"/>
        <v>4.25</v>
      </c>
      <c r="AH620" s="620">
        <f t="shared" si="450"/>
        <v>0</v>
      </c>
      <c r="AI620" s="620">
        <f t="shared" si="450"/>
        <v>0</v>
      </c>
      <c r="AJ620" s="624"/>
      <c r="AK620" s="623">
        <f>IF(AI620=0,0,AB620/AI620)</f>
        <v>0</v>
      </c>
      <c r="AL620" s="619" t="s">
        <v>40</v>
      </c>
      <c r="AM620" s="620">
        <f>SUM(AM584:AM619)</f>
        <v>123</v>
      </c>
      <c r="AN620" s="620" t="s">
        <v>49</v>
      </c>
      <c r="AO620" s="620" t="s">
        <v>49</v>
      </c>
      <c r="AP620" s="620" t="s">
        <v>49</v>
      </c>
      <c r="AQ620" s="620">
        <f t="shared" ref="AQ620:AT620" si="451">SUM(AQ584:AQ619)</f>
        <v>24</v>
      </c>
      <c r="AR620" s="620">
        <f t="shared" si="451"/>
        <v>0</v>
      </c>
      <c r="AS620" s="620">
        <f t="shared" si="451"/>
        <v>843</v>
      </c>
      <c r="AT620" s="620">
        <f t="shared" si="451"/>
        <v>843</v>
      </c>
      <c r="AU620" s="620" t="s">
        <v>49</v>
      </c>
      <c r="AV620" s="620">
        <f>SUM(AV584:AV619)</f>
        <v>5.5</v>
      </c>
      <c r="AW620" s="620"/>
      <c r="AX620" s="625">
        <f t="shared" ref="AX620:BA620" si="452">SUM(AX584:AX619)</f>
        <v>10.5</v>
      </c>
      <c r="AY620" s="626">
        <f t="shared" si="452"/>
        <v>16</v>
      </c>
      <c r="AZ620" s="625">
        <f t="shared" si="452"/>
        <v>0.5</v>
      </c>
      <c r="BA620" s="620">
        <f t="shared" si="452"/>
        <v>330</v>
      </c>
      <c r="BB620" s="622"/>
      <c r="BC620" s="598">
        <f>IF(BA620=0,0,AT620/BA620)</f>
        <v>2.5545454545454547</v>
      </c>
      <c r="BD620" s="586"/>
      <c r="BE620" s="586"/>
      <c r="BF620" s="586"/>
      <c r="BG620" s="586"/>
      <c r="BH620" s="586"/>
      <c r="BI620" s="586"/>
      <c r="BJ620" s="586"/>
      <c r="BK620" s="586"/>
      <c r="BL620" s="586"/>
      <c r="BM620" s="586"/>
      <c r="BN620" s="586"/>
      <c r="BO620" s="586"/>
      <c r="BP620" s="586"/>
      <c r="BQ620" s="586"/>
      <c r="BR620" s="586"/>
      <c r="BS620" s="586"/>
      <c r="BT620" s="586"/>
      <c r="BU620" s="586"/>
      <c r="BV620" s="586"/>
      <c r="BW620" s="588"/>
      <c r="BX620" s="588"/>
      <c r="BY620" s="588"/>
      <c r="BZ620" s="588"/>
      <c r="CA620" s="588"/>
      <c r="CB620" s="588"/>
      <c r="CC620" s="588"/>
      <c r="CD620" s="588"/>
      <c r="CE620" s="588"/>
      <c r="CF620" s="588"/>
      <c r="CG620" s="588"/>
      <c r="CH620" s="588"/>
      <c r="CI620" s="588"/>
      <c r="CJ620" s="588"/>
      <c r="CK620" s="588"/>
      <c r="CL620" s="588"/>
      <c r="CM620" s="588"/>
      <c r="CN620" s="627" t="s">
        <v>40</v>
      </c>
      <c r="CO620" s="628">
        <f t="shared" ref="CO620:CP620" si="453">SUM(CO584:CO619)</f>
        <v>0</v>
      </c>
      <c r="CP620" s="628">
        <f t="shared" si="453"/>
        <v>0</v>
      </c>
      <c r="CQ620" s="628" t="s">
        <v>49</v>
      </c>
      <c r="CR620" s="628" t="s">
        <v>49</v>
      </c>
      <c r="CS620" s="628" t="s">
        <v>49</v>
      </c>
      <c r="CT620" s="628">
        <f t="shared" ref="CT620:DA620" si="454">SUM(CT584:CT619)</f>
        <v>4</v>
      </c>
      <c r="CU620" s="628">
        <f t="shared" si="454"/>
        <v>0</v>
      </c>
      <c r="CV620" s="628">
        <f t="shared" si="454"/>
        <v>-4530</v>
      </c>
      <c r="CW620" s="628">
        <f t="shared" si="454"/>
        <v>-4530</v>
      </c>
      <c r="CX620" s="628">
        <f t="shared" si="454"/>
        <v>11.55</v>
      </c>
      <c r="CY620" s="629">
        <f t="shared" si="454"/>
        <v>2.9000000000000004</v>
      </c>
      <c r="CZ620" s="630">
        <f t="shared" si="454"/>
        <v>14.45</v>
      </c>
      <c r="DA620" s="629">
        <f t="shared" si="454"/>
        <v>0</v>
      </c>
      <c r="DB620" s="631"/>
      <c r="DC620" s="632">
        <f>IF(CX620=0,0,CW620/(CX620*60))</f>
        <v>-6.5367965367965368</v>
      </c>
      <c r="DD620" s="627" t="s">
        <v>40</v>
      </c>
      <c r="DE620" s="628">
        <f t="shared" ref="DE620:DF620" si="455">SUM(DE584:DE619)</f>
        <v>0</v>
      </c>
      <c r="DF620" s="628">
        <f t="shared" si="455"/>
        <v>0</v>
      </c>
      <c r="DG620" s="628" t="s">
        <v>49</v>
      </c>
      <c r="DH620" s="628" t="s">
        <v>49</v>
      </c>
      <c r="DI620" s="628" t="s">
        <v>49</v>
      </c>
      <c r="DJ620" s="628">
        <f t="shared" ref="DJ620:DQ620" si="456">SUM(DJ584:DJ619)</f>
        <v>0</v>
      </c>
      <c r="DK620" s="628">
        <f t="shared" si="456"/>
        <v>0</v>
      </c>
      <c r="DL620" s="628">
        <f t="shared" si="456"/>
        <v>800</v>
      </c>
      <c r="DM620" s="628">
        <f t="shared" si="456"/>
        <v>800</v>
      </c>
      <c r="DN620" s="628">
        <f t="shared" si="456"/>
        <v>5.5</v>
      </c>
      <c r="DO620" s="629">
        <f t="shared" si="456"/>
        <v>3.25</v>
      </c>
      <c r="DP620" s="630">
        <f t="shared" si="456"/>
        <v>12.75</v>
      </c>
      <c r="DQ620" s="629">
        <f t="shared" si="456"/>
        <v>0</v>
      </c>
      <c r="DR620" s="631"/>
      <c r="DS620" s="632">
        <f>IF(DN620=0,0,DM620/(DN620*60))</f>
        <v>2.4242424242424243</v>
      </c>
      <c r="DT620" s="118"/>
      <c r="DU620" s="19"/>
      <c r="DV620" s="19"/>
      <c r="DW620" s="19"/>
      <c r="DX620" s="19"/>
      <c r="DY620" s="19"/>
      <c r="DZ620" s="19"/>
    </row>
    <row r="621" spans="1:130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18"/>
      <c r="BX621" s="118"/>
      <c r="BY621" s="118"/>
      <c r="BZ621" s="118"/>
      <c r="CA621" s="118"/>
      <c r="CB621" s="118"/>
      <c r="CC621" s="118"/>
      <c r="CD621" s="118"/>
      <c r="CE621" s="118"/>
      <c r="CF621" s="118"/>
      <c r="CG621" s="118"/>
      <c r="CH621" s="118"/>
      <c r="CI621" s="118"/>
      <c r="CJ621" s="118"/>
      <c r="CK621" s="118"/>
      <c r="CL621" s="118"/>
      <c r="CM621" s="118"/>
      <c r="CN621" s="118"/>
      <c r="CO621" s="118"/>
      <c r="CP621" s="118"/>
      <c r="CQ621" s="118"/>
      <c r="CR621" s="118"/>
      <c r="CS621" s="118"/>
      <c r="CT621" s="118"/>
      <c r="CU621" s="118"/>
      <c r="CV621" s="118"/>
      <c r="CW621" s="118"/>
      <c r="CX621" s="118"/>
      <c r="CY621" s="118"/>
      <c r="CZ621" s="118"/>
      <c r="DA621" s="118"/>
      <c r="DB621" s="118"/>
      <c r="DC621" s="118"/>
      <c r="DD621" s="118"/>
      <c r="DE621" s="118"/>
      <c r="DF621" s="118"/>
      <c r="DG621" s="118"/>
      <c r="DH621" s="118"/>
      <c r="DI621" s="118"/>
      <c r="DJ621" s="118"/>
      <c r="DK621" s="118"/>
      <c r="DL621" s="118"/>
      <c r="DM621" s="118"/>
      <c r="DN621" s="118"/>
      <c r="DO621" s="118"/>
      <c r="DP621" s="118"/>
      <c r="DQ621" s="118"/>
      <c r="DR621" s="118"/>
      <c r="DS621" s="118"/>
      <c r="DT621" s="118"/>
      <c r="DU621" s="19"/>
      <c r="DV621" s="19"/>
      <c r="DW621" s="19"/>
      <c r="DX621" s="19"/>
      <c r="DY621" s="19"/>
      <c r="DZ621" s="19"/>
    </row>
    <row r="622" spans="1:130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18"/>
      <c r="BX622" s="118"/>
      <c r="BY622" s="118"/>
      <c r="BZ622" s="118"/>
      <c r="CA622" s="118"/>
      <c r="CB622" s="118"/>
      <c r="CC622" s="118"/>
      <c r="CD622" s="118"/>
      <c r="CE622" s="118"/>
      <c r="CF622" s="118"/>
      <c r="CG622" s="118"/>
      <c r="CH622" s="118"/>
      <c r="CI622" s="118"/>
      <c r="CJ622" s="118"/>
      <c r="CK622" s="118"/>
      <c r="CL622" s="118"/>
      <c r="CM622" s="118"/>
      <c r="CN622" s="118"/>
      <c r="CO622" s="118"/>
      <c r="CP622" s="118"/>
      <c r="CQ622" s="118"/>
      <c r="CR622" s="118"/>
      <c r="CS622" s="118"/>
      <c r="CT622" s="118"/>
      <c r="CU622" s="118"/>
      <c r="CV622" s="118"/>
      <c r="CW622" s="118"/>
      <c r="CX622" s="118"/>
      <c r="CY622" s="118"/>
      <c r="CZ622" s="118"/>
      <c r="DA622" s="118"/>
      <c r="DB622" s="118"/>
      <c r="DC622" s="118"/>
      <c r="DD622" s="118"/>
      <c r="DE622" s="118"/>
      <c r="DF622" s="118"/>
      <c r="DG622" s="118"/>
      <c r="DH622" s="118"/>
      <c r="DI622" s="118"/>
      <c r="DJ622" s="118"/>
      <c r="DK622" s="118"/>
      <c r="DL622" s="118"/>
      <c r="DM622" s="118"/>
      <c r="DN622" s="118"/>
      <c r="DO622" s="118"/>
      <c r="DP622" s="118"/>
      <c r="DQ622" s="118"/>
      <c r="DR622" s="118"/>
      <c r="DS622" s="118"/>
      <c r="DT622" s="118"/>
      <c r="DU622" s="19"/>
      <c r="DV622" s="19"/>
      <c r="DW622" s="19"/>
      <c r="DX622" s="19"/>
      <c r="DY622" s="19"/>
      <c r="DZ622" s="19"/>
    </row>
    <row r="623" spans="1:130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18"/>
      <c r="BX623" s="118"/>
      <c r="BY623" s="118"/>
      <c r="BZ623" s="118"/>
      <c r="CA623" s="118"/>
      <c r="CB623" s="118"/>
      <c r="CC623" s="118"/>
      <c r="CD623" s="118"/>
      <c r="CE623" s="118"/>
      <c r="CF623" s="118"/>
      <c r="CG623" s="118"/>
      <c r="CH623" s="118"/>
      <c r="CI623" s="118"/>
      <c r="CJ623" s="118"/>
      <c r="CK623" s="118"/>
      <c r="CL623" s="118"/>
      <c r="CM623" s="118"/>
      <c r="CN623" s="118"/>
      <c r="CO623" s="118"/>
      <c r="CP623" s="118"/>
      <c r="CQ623" s="118"/>
      <c r="CR623" s="118"/>
      <c r="CS623" s="118"/>
      <c r="CT623" s="118"/>
      <c r="CU623" s="118"/>
      <c r="CV623" s="118"/>
      <c r="CW623" s="118"/>
      <c r="CX623" s="118"/>
      <c r="CY623" s="118"/>
      <c r="CZ623" s="118"/>
      <c r="DA623" s="118"/>
      <c r="DB623" s="118"/>
      <c r="DC623" s="118"/>
      <c r="DD623" s="118"/>
      <c r="DE623" s="118"/>
      <c r="DF623" s="118"/>
      <c r="DG623" s="118"/>
      <c r="DH623" s="118"/>
      <c r="DI623" s="118"/>
      <c r="DJ623" s="118"/>
      <c r="DK623" s="118"/>
      <c r="DL623" s="118"/>
      <c r="DM623" s="118"/>
      <c r="DN623" s="118"/>
      <c r="DO623" s="118"/>
      <c r="DP623" s="118"/>
      <c r="DQ623" s="118"/>
      <c r="DR623" s="118"/>
      <c r="DS623" s="118"/>
      <c r="DT623" s="118"/>
      <c r="DU623" s="19"/>
      <c r="DV623" s="19"/>
      <c r="DW623" s="19"/>
      <c r="DX623" s="19"/>
      <c r="DY623" s="19"/>
      <c r="DZ623" s="19"/>
    </row>
    <row r="624" spans="1:130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18"/>
      <c r="BX624" s="118"/>
      <c r="BY624" s="118"/>
      <c r="BZ624" s="118"/>
      <c r="CA624" s="118"/>
      <c r="CB624" s="118"/>
      <c r="CC624" s="118"/>
      <c r="CD624" s="118"/>
      <c r="CE624" s="118"/>
      <c r="CF624" s="118"/>
      <c r="CG624" s="118"/>
      <c r="CH624" s="118"/>
      <c r="CI624" s="118"/>
      <c r="CJ624" s="118"/>
      <c r="CK624" s="118"/>
      <c r="CL624" s="118"/>
      <c r="CM624" s="118"/>
      <c r="CN624" s="118"/>
      <c r="CO624" s="118"/>
      <c r="CP624" s="118"/>
      <c r="CQ624" s="118"/>
      <c r="CR624" s="118"/>
      <c r="CS624" s="118"/>
      <c r="CT624" s="118"/>
      <c r="CU624" s="118"/>
      <c r="CV624" s="118"/>
      <c r="CW624" s="118"/>
      <c r="CX624" s="118"/>
      <c r="CY624" s="118"/>
      <c r="CZ624" s="118"/>
      <c r="DA624" s="118"/>
      <c r="DB624" s="118"/>
      <c r="DC624" s="118"/>
      <c r="DD624" s="118"/>
      <c r="DE624" s="118"/>
      <c r="DF624" s="118"/>
      <c r="DG624" s="118"/>
      <c r="DH624" s="118"/>
      <c r="DI624" s="118"/>
      <c r="DJ624" s="118"/>
      <c r="DK624" s="118"/>
      <c r="DL624" s="118"/>
      <c r="DM624" s="118"/>
      <c r="DN624" s="118"/>
      <c r="DO624" s="118"/>
      <c r="DP624" s="118"/>
      <c r="DQ624" s="118"/>
      <c r="DR624" s="118"/>
      <c r="DS624" s="118"/>
      <c r="DT624" s="118"/>
      <c r="DU624" s="19"/>
      <c r="DV624" s="19"/>
      <c r="DW624" s="19"/>
      <c r="DX624" s="19"/>
      <c r="DY624" s="19"/>
      <c r="DZ624" s="19"/>
    </row>
    <row r="625" spans="1:130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18"/>
      <c r="BX625" s="118"/>
      <c r="BY625" s="118"/>
      <c r="BZ625" s="118"/>
      <c r="CA625" s="118"/>
      <c r="CB625" s="118"/>
      <c r="CC625" s="118"/>
      <c r="CD625" s="118"/>
      <c r="CE625" s="118"/>
      <c r="CF625" s="118"/>
      <c r="CG625" s="118"/>
      <c r="CH625" s="118"/>
      <c r="CI625" s="118"/>
      <c r="CJ625" s="118"/>
      <c r="CK625" s="118"/>
      <c r="CL625" s="118"/>
      <c r="CM625" s="118"/>
      <c r="CN625" s="118"/>
      <c r="CO625" s="118"/>
      <c r="CP625" s="118"/>
      <c r="CQ625" s="118"/>
      <c r="CR625" s="118"/>
      <c r="CS625" s="118"/>
      <c r="CT625" s="118"/>
      <c r="CU625" s="118"/>
      <c r="CV625" s="118"/>
      <c r="CW625" s="118"/>
      <c r="CX625" s="118"/>
      <c r="CY625" s="118"/>
      <c r="CZ625" s="118"/>
      <c r="DA625" s="118"/>
      <c r="DB625" s="118"/>
      <c r="DC625" s="118"/>
      <c r="DD625" s="118"/>
      <c r="DE625" s="118"/>
      <c r="DF625" s="118"/>
      <c r="DG625" s="118"/>
      <c r="DH625" s="118"/>
      <c r="DI625" s="118"/>
      <c r="DJ625" s="118"/>
      <c r="DK625" s="118"/>
      <c r="DL625" s="118"/>
      <c r="DM625" s="118"/>
      <c r="DN625" s="118"/>
      <c r="DO625" s="118"/>
      <c r="DP625" s="118"/>
      <c r="DQ625" s="118"/>
      <c r="DR625" s="118"/>
      <c r="DS625" s="118"/>
      <c r="DT625" s="118"/>
      <c r="DU625" s="19"/>
      <c r="DV625" s="19"/>
      <c r="DW625" s="19"/>
      <c r="DX625" s="19"/>
      <c r="DY625" s="19"/>
      <c r="DZ625" s="19"/>
    </row>
    <row r="626" spans="1:130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18"/>
      <c r="BX626" s="118"/>
      <c r="BY626" s="118"/>
      <c r="BZ626" s="118"/>
      <c r="CA626" s="118"/>
      <c r="CB626" s="118"/>
      <c r="CC626" s="118"/>
      <c r="CD626" s="118"/>
      <c r="CE626" s="118"/>
      <c r="CF626" s="118"/>
      <c r="CG626" s="118"/>
      <c r="CH626" s="118"/>
      <c r="CI626" s="118"/>
      <c r="CJ626" s="118"/>
      <c r="CK626" s="118"/>
      <c r="CL626" s="118"/>
      <c r="CM626" s="118"/>
      <c r="CN626" s="118"/>
      <c r="CO626" s="118"/>
      <c r="CP626" s="118"/>
      <c r="CQ626" s="118"/>
      <c r="CR626" s="118"/>
      <c r="CS626" s="118"/>
      <c r="CT626" s="118"/>
      <c r="CU626" s="118"/>
      <c r="CV626" s="118"/>
      <c r="CW626" s="118"/>
      <c r="CX626" s="118"/>
      <c r="CY626" s="118"/>
      <c r="CZ626" s="118"/>
      <c r="DA626" s="118"/>
      <c r="DB626" s="118"/>
      <c r="DC626" s="118"/>
      <c r="DD626" s="118"/>
      <c r="DE626" s="118"/>
      <c r="DF626" s="118"/>
      <c r="DG626" s="118"/>
      <c r="DH626" s="118"/>
      <c r="DI626" s="118"/>
      <c r="DJ626" s="118"/>
      <c r="DK626" s="118"/>
      <c r="DL626" s="118"/>
      <c r="DM626" s="118"/>
      <c r="DN626" s="118"/>
      <c r="DO626" s="118"/>
      <c r="DP626" s="118"/>
      <c r="DQ626" s="118"/>
      <c r="DR626" s="118"/>
      <c r="DS626" s="118"/>
      <c r="DT626" s="118"/>
      <c r="DU626" s="19"/>
      <c r="DV626" s="19"/>
      <c r="DW626" s="19"/>
      <c r="DX626" s="19"/>
      <c r="DY626" s="19"/>
      <c r="DZ626" s="19"/>
    </row>
    <row r="627" spans="1:130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18"/>
      <c r="BX627" s="118"/>
      <c r="BY627" s="118"/>
      <c r="BZ627" s="118"/>
      <c r="CA627" s="118"/>
      <c r="CB627" s="118"/>
      <c r="CC627" s="118"/>
      <c r="CD627" s="118"/>
      <c r="CE627" s="118"/>
      <c r="CF627" s="118"/>
      <c r="CG627" s="118"/>
      <c r="CH627" s="118"/>
      <c r="CI627" s="118"/>
      <c r="CJ627" s="118"/>
      <c r="CK627" s="118"/>
      <c r="CL627" s="118"/>
      <c r="CM627" s="118"/>
      <c r="CN627" s="118"/>
      <c r="CO627" s="118"/>
      <c r="CP627" s="118"/>
      <c r="CQ627" s="118"/>
      <c r="CR627" s="118"/>
      <c r="CS627" s="118"/>
      <c r="CT627" s="118"/>
      <c r="CU627" s="118"/>
      <c r="CV627" s="118"/>
      <c r="CW627" s="118"/>
      <c r="CX627" s="118"/>
      <c r="CY627" s="118"/>
      <c r="CZ627" s="118"/>
      <c r="DA627" s="118"/>
      <c r="DB627" s="118"/>
      <c r="DC627" s="118"/>
      <c r="DD627" s="118"/>
      <c r="DE627" s="118"/>
      <c r="DF627" s="118"/>
      <c r="DG627" s="118"/>
      <c r="DH627" s="118"/>
      <c r="DI627" s="118"/>
      <c r="DJ627" s="118"/>
      <c r="DK627" s="118"/>
      <c r="DL627" s="118"/>
      <c r="DM627" s="118"/>
      <c r="DN627" s="118"/>
      <c r="DO627" s="118"/>
      <c r="DP627" s="118"/>
      <c r="DQ627" s="118"/>
      <c r="DR627" s="118"/>
      <c r="DS627" s="118"/>
      <c r="DT627" s="118"/>
      <c r="DU627" s="19"/>
      <c r="DV627" s="19"/>
      <c r="DW627" s="19"/>
      <c r="DX627" s="19"/>
      <c r="DY627" s="19"/>
      <c r="DZ627" s="19"/>
    </row>
    <row r="628" spans="1:130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18"/>
      <c r="BX628" s="118"/>
      <c r="BY628" s="118"/>
      <c r="BZ628" s="118"/>
      <c r="CA628" s="118"/>
      <c r="CB628" s="118"/>
      <c r="CC628" s="118"/>
      <c r="CD628" s="118"/>
      <c r="CE628" s="118"/>
      <c r="CF628" s="118"/>
      <c r="CG628" s="118"/>
      <c r="CH628" s="118"/>
      <c r="CI628" s="118"/>
      <c r="CJ628" s="118"/>
      <c r="CK628" s="118"/>
      <c r="CL628" s="118"/>
      <c r="CM628" s="118"/>
      <c r="CN628" s="118"/>
      <c r="CO628" s="118"/>
      <c r="CP628" s="118"/>
      <c r="CQ628" s="118"/>
      <c r="CR628" s="118"/>
      <c r="CS628" s="118"/>
      <c r="CT628" s="118"/>
      <c r="CU628" s="118"/>
      <c r="CV628" s="118"/>
      <c r="CW628" s="118"/>
      <c r="CX628" s="118"/>
      <c r="CY628" s="118"/>
      <c r="CZ628" s="118"/>
      <c r="DA628" s="118"/>
      <c r="DB628" s="118"/>
      <c r="DC628" s="118"/>
      <c r="DD628" s="118"/>
      <c r="DE628" s="118"/>
      <c r="DF628" s="118"/>
      <c r="DG628" s="118"/>
      <c r="DH628" s="118"/>
      <c r="DI628" s="118"/>
      <c r="DJ628" s="118"/>
      <c r="DK628" s="118"/>
      <c r="DL628" s="118"/>
      <c r="DM628" s="118"/>
      <c r="DN628" s="118"/>
      <c r="DO628" s="118"/>
      <c r="DP628" s="118"/>
      <c r="DQ628" s="118"/>
      <c r="DR628" s="118"/>
      <c r="DS628" s="118"/>
      <c r="DT628" s="118"/>
      <c r="DU628" s="19"/>
      <c r="DV628" s="19"/>
      <c r="DW628" s="19"/>
      <c r="DX628" s="19"/>
      <c r="DY628" s="19"/>
      <c r="DZ628" s="19"/>
    </row>
    <row r="629" spans="1:130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18"/>
      <c r="BX629" s="118"/>
      <c r="BY629" s="118"/>
      <c r="BZ629" s="118"/>
      <c r="CA629" s="118"/>
      <c r="CB629" s="118"/>
      <c r="CC629" s="118"/>
      <c r="CD629" s="118"/>
      <c r="CE629" s="118"/>
      <c r="CF629" s="118"/>
      <c r="CG629" s="118"/>
      <c r="CH629" s="118"/>
      <c r="CI629" s="118"/>
      <c r="CJ629" s="118"/>
      <c r="CK629" s="118"/>
      <c r="CL629" s="118"/>
      <c r="CM629" s="118"/>
      <c r="CN629" s="118"/>
      <c r="CO629" s="118"/>
      <c r="CP629" s="118"/>
      <c r="CQ629" s="118"/>
      <c r="CR629" s="118"/>
      <c r="CS629" s="118"/>
      <c r="CT629" s="118"/>
      <c r="CU629" s="118"/>
      <c r="CV629" s="118"/>
      <c r="CW629" s="118"/>
      <c r="CX629" s="118"/>
      <c r="CY629" s="118"/>
      <c r="CZ629" s="118"/>
      <c r="DA629" s="118"/>
      <c r="DB629" s="118"/>
      <c r="DC629" s="118"/>
      <c r="DD629" s="118"/>
      <c r="DE629" s="118"/>
      <c r="DF629" s="118"/>
      <c r="DG629" s="118"/>
      <c r="DH629" s="118"/>
      <c r="DI629" s="118"/>
      <c r="DJ629" s="118"/>
      <c r="DK629" s="118"/>
      <c r="DL629" s="118"/>
      <c r="DM629" s="118"/>
      <c r="DN629" s="118"/>
      <c r="DO629" s="118"/>
      <c r="DP629" s="118"/>
      <c r="DQ629" s="118"/>
      <c r="DR629" s="118"/>
      <c r="DS629" s="118"/>
      <c r="DT629" s="118"/>
      <c r="DU629" s="19"/>
      <c r="DV629" s="19"/>
      <c r="DW629" s="19"/>
      <c r="DX629" s="19"/>
      <c r="DY629" s="19"/>
      <c r="DZ629" s="19"/>
    </row>
    <row r="630" spans="1:130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18"/>
      <c r="BX630" s="118"/>
      <c r="BY630" s="118"/>
      <c r="BZ630" s="118"/>
      <c r="CA630" s="118"/>
      <c r="CB630" s="118"/>
      <c r="CC630" s="118"/>
      <c r="CD630" s="118"/>
      <c r="CE630" s="118"/>
      <c r="CF630" s="118"/>
      <c r="CG630" s="118"/>
      <c r="CH630" s="118"/>
      <c r="CI630" s="118"/>
      <c r="CJ630" s="118"/>
      <c r="CK630" s="118"/>
      <c r="CL630" s="118"/>
      <c r="CM630" s="118"/>
      <c r="CN630" s="118"/>
      <c r="CO630" s="118"/>
      <c r="CP630" s="118"/>
      <c r="CQ630" s="118"/>
      <c r="CR630" s="118"/>
      <c r="CS630" s="118"/>
      <c r="CT630" s="118"/>
      <c r="CU630" s="118"/>
      <c r="CV630" s="118"/>
      <c r="CW630" s="118"/>
      <c r="CX630" s="118"/>
      <c r="CY630" s="118"/>
      <c r="CZ630" s="118"/>
      <c r="DA630" s="118"/>
      <c r="DB630" s="118"/>
      <c r="DC630" s="118"/>
      <c r="DD630" s="118"/>
      <c r="DE630" s="118"/>
      <c r="DF630" s="118"/>
      <c r="DG630" s="118"/>
      <c r="DH630" s="118"/>
      <c r="DI630" s="118"/>
      <c r="DJ630" s="118"/>
      <c r="DK630" s="118"/>
      <c r="DL630" s="118"/>
      <c r="DM630" s="118"/>
      <c r="DN630" s="118"/>
      <c r="DO630" s="118"/>
      <c r="DP630" s="118"/>
      <c r="DQ630" s="118"/>
      <c r="DR630" s="118"/>
      <c r="DS630" s="118"/>
      <c r="DT630" s="118"/>
      <c r="DU630" s="19"/>
      <c r="DV630" s="19"/>
      <c r="DW630" s="19"/>
      <c r="DX630" s="19"/>
      <c r="DY630" s="19"/>
      <c r="DZ630" s="19"/>
    </row>
    <row r="631" spans="1:130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18"/>
      <c r="BX631" s="118"/>
      <c r="BY631" s="118"/>
      <c r="BZ631" s="118"/>
      <c r="CA631" s="118"/>
      <c r="CB631" s="118"/>
      <c r="CC631" s="118"/>
      <c r="CD631" s="118"/>
      <c r="CE631" s="118"/>
      <c r="CF631" s="118"/>
      <c r="CG631" s="118"/>
      <c r="CH631" s="118"/>
      <c r="CI631" s="118"/>
      <c r="CJ631" s="118"/>
      <c r="CK631" s="118"/>
      <c r="CL631" s="118"/>
      <c r="CM631" s="118"/>
      <c r="CN631" s="118"/>
      <c r="CO631" s="118"/>
      <c r="CP631" s="118"/>
      <c r="CQ631" s="118"/>
      <c r="CR631" s="118"/>
      <c r="CS631" s="118"/>
      <c r="CT631" s="118"/>
      <c r="CU631" s="118"/>
      <c r="CV631" s="118"/>
      <c r="CW631" s="118"/>
      <c r="CX631" s="118"/>
      <c r="CY631" s="118"/>
      <c r="CZ631" s="118"/>
      <c r="DA631" s="118"/>
      <c r="DB631" s="118"/>
      <c r="DC631" s="118"/>
      <c r="DD631" s="118"/>
      <c r="DE631" s="118"/>
      <c r="DF631" s="118"/>
      <c r="DG631" s="118"/>
      <c r="DH631" s="118"/>
      <c r="DI631" s="118"/>
      <c r="DJ631" s="118"/>
      <c r="DK631" s="118"/>
      <c r="DL631" s="118"/>
      <c r="DM631" s="118"/>
      <c r="DN631" s="118"/>
      <c r="DO631" s="118"/>
      <c r="DP631" s="118"/>
      <c r="DQ631" s="118"/>
      <c r="DR631" s="118"/>
      <c r="DS631" s="118"/>
      <c r="DT631" s="118"/>
      <c r="DU631" s="19"/>
      <c r="DV631" s="19"/>
      <c r="DW631" s="19"/>
      <c r="DX631" s="19"/>
      <c r="DY631" s="19"/>
      <c r="DZ631" s="19"/>
    </row>
    <row r="632" spans="1:130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18"/>
      <c r="BX632" s="118"/>
      <c r="BY632" s="118"/>
      <c r="BZ632" s="118"/>
      <c r="CA632" s="118"/>
      <c r="CB632" s="118"/>
      <c r="CC632" s="118"/>
      <c r="CD632" s="118"/>
      <c r="CE632" s="118"/>
      <c r="CF632" s="118"/>
      <c r="CG632" s="118"/>
      <c r="CH632" s="118"/>
      <c r="CI632" s="118"/>
      <c r="CJ632" s="118"/>
      <c r="CK632" s="118"/>
      <c r="CL632" s="118"/>
      <c r="CM632" s="118"/>
      <c r="CN632" s="118"/>
      <c r="CO632" s="118"/>
      <c r="CP632" s="118"/>
      <c r="CQ632" s="118"/>
      <c r="CR632" s="118"/>
      <c r="CS632" s="118"/>
      <c r="CT632" s="118"/>
      <c r="CU632" s="118"/>
      <c r="CV632" s="118"/>
      <c r="CW632" s="118"/>
      <c r="CX632" s="118"/>
      <c r="CY632" s="118"/>
      <c r="CZ632" s="118"/>
      <c r="DA632" s="118"/>
      <c r="DB632" s="118"/>
      <c r="DC632" s="118"/>
      <c r="DD632" s="118"/>
      <c r="DE632" s="118"/>
      <c r="DF632" s="118"/>
      <c r="DG632" s="118"/>
      <c r="DH632" s="118"/>
      <c r="DI632" s="118"/>
      <c r="DJ632" s="118"/>
      <c r="DK632" s="118"/>
      <c r="DL632" s="118"/>
      <c r="DM632" s="118"/>
      <c r="DN632" s="118"/>
      <c r="DO632" s="118"/>
      <c r="DP632" s="118"/>
      <c r="DQ632" s="118"/>
      <c r="DR632" s="118"/>
      <c r="DS632" s="118"/>
      <c r="DT632" s="118"/>
      <c r="DU632" s="19"/>
      <c r="DV632" s="19"/>
      <c r="DW632" s="19"/>
      <c r="DX632" s="19"/>
      <c r="DY632" s="19"/>
      <c r="DZ632" s="19"/>
    </row>
    <row r="633" spans="1:130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18"/>
      <c r="BX633" s="118"/>
      <c r="BY633" s="118"/>
      <c r="BZ633" s="118"/>
      <c r="CA633" s="118"/>
      <c r="CB633" s="118"/>
      <c r="CC633" s="118"/>
      <c r="CD633" s="118"/>
      <c r="CE633" s="118"/>
      <c r="CF633" s="118"/>
      <c r="CG633" s="118"/>
      <c r="CH633" s="118"/>
      <c r="CI633" s="118"/>
      <c r="CJ633" s="118"/>
      <c r="CK633" s="118"/>
      <c r="CL633" s="118"/>
      <c r="CM633" s="118"/>
      <c r="CN633" s="118"/>
      <c r="CO633" s="118"/>
      <c r="CP633" s="118"/>
      <c r="CQ633" s="118"/>
      <c r="CR633" s="118"/>
      <c r="CS633" s="118"/>
      <c r="CT633" s="118"/>
      <c r="CU633" s="118"/>
      <c r="CV633" s="118"/>
      <c r="CW633" s="118"/>
      <c r="CX633" s="118"/>
      <c r="CY633" s="118"/>
      <c r="CZ633" s="118"/>
      <c r="DA633" s="118"/>
      <c r="DB633" s="118"/>
      <c r="DC633" s="118"/>
      <c r="DD633" s="118"/>
      <c r="DE633" s="118"/>
      <c r="DF633" s="118"/>
      <c r="DG633" s="118"/>
      <c r="DH633" s="118"/>
      <c r="DI633" s="118"/>
      <c r="DJ633" s="118"/>
      <c r="DK633" s="118"/>
      <c r="DL633" s="118"/>
      <c r="DM633" s="118"/>
      <c r="DN633" s="118"/>
      <c r="DO633" s="118"/>
      <c r="DP633" s="118"/>
      <c r="DQ633" s="118"/>
      <c r="DR633" s="118"/>
      <c r="DS633" s="118"/>
      <c r="DT633" s="118"/>
      <c r="DU633" s="19"/>
      <c r="DV633" s="19"/>
      <c r="DW633" s="19"/>
      <c r="DX633" s="19"/>
      <c r="DY633" s="19"/>
      <c r="DZ633" s="19"/>
    </row>
    <row r="634" spans="1:130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18"/>
      <c r="BX634" s="118"/>
      <c r="BY634" s="118"/>
      <c r="BZ634" s="118"/>
      <c r="CA634" s="118"/>
      <c r="CB634" s="118"/>
      <c r="CC634" s="118"/>
      <c r="CD634" s="118"/>
      <c r="CE634" s="118"/>
      <c r="CF634" s="118"/>
      <c r="CG634" s="118"/>
      <c r="CH634" s="118"/>
      <c r="CI634" s="118"/>
      <c r="CJ634" s="118"/>
      <c r="CK634" s="118"/>
      <c r="CL634" s="118"/>
      <c r="CM634" s="118"/>
      <c r="CN634" s="118"/>
      <c r="CO634" s="118"/>
      <c r="CP634" s="118"/>
      <c r="CQ634" s="118"/>
      <c r="CR634" s="118"/>
      <c r="CS634" s="118"/>
      <c r="CT634" s="118"/>
      <c r="CU634" s="118"/>
      <c r="CV634" s="118"/>
      <c r="CW634" s="118"/>
      <c r="CX634" s="118"/>
      <c r="CY634" s="118"/>
      <c r="CZ634" s="118"/>
      <c r="DA634" s="118"/>
      <c r="DB634" s="118"/>
      <c r="DC634" s="118"/>
      <c r="DD634" s="118"/>
      <c r="DE634" s="118"/>
      <c r="DF634" s="118"/>
      <c r="DG634" s="118"/>
      <c r="DH634" s="118"/>
      <c r="DI634" s="118"/>
      <c r="DJ634" s="118"/>
      <c r="DK634" s="118"/>
      <c r="DL634" s="118"/>
      <c r="DM634" s="118"/>
      <c r="DN634" s="118"/>
      <c r="DO634" s="118"/>
      <c r="DP634" s="118"/>
      <c r="DQ634" s="118"/>
      <c r="DR634" s="118"/>
      <c r="DS634" s="118"/>
      <c r="DT634" s="118"/>
      <c r="DU634" s="19"/>
      <c r="DV634" s="19"/>
      <c r="DW634" s="19"/>
      <c r="DX634" s="19"/>
      <c r="DY634" s="19"/>
      <c r="DZ634" s="19"/>
    </row>
    <row r="635" spans="1:130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18"/>
      <c r="BX635" s="118"/>
      <c r="BY635" s="118"/>
      <c r="BZ635" s="118"/>
      <c r="CA635" s="118"/>
      <c r="CB635" s="118"/>
      <c r="CC635" s="118"/>
      <c r="CD635" s="118"/>
      <c r="CE635" s="118"/>
      <c r="CF635" s="118"/>
      <c r="CG635" s="118"/>
      <c r="CH635" s="118"/>
      <c r="CI635" s="118"/>
      <c r="CJ635" s="118"/>
      <c r="CK635" s="118"/>
      <c r="CL635" s="118"/>
      <c r="CM635" s="118"/>
      <c r="CN635" s="118"/>
      <c r="CO635" s="118"/>
      <c r="CP635" s="118"/>
      <c r="CQ635" s="118"/>
      <c r="CR635" s="118"/>
      <c r="CS635" s="118"/>
      <c r="CT635" s="118"/>
      <c r="CU635" s="118"/>
      <c r="CV635" s="118"/>
      <c r="CW635" s="118"/>
      <c r="CX635" s="118"/>
      <c r="CY635" s="118"/>
      <c r="CZ635" s="118"/>
      <c r="DA635" s="118"/>
      <c r="DB635" s="118"/>
      <c r="DC635" s="118"/>
      <c r="DD635" s="118"/>
      <c r="DE635" s="118"/>
      <c r="DF635" s="118"/>
      <c r="DG635" s="118"/>
      <c r="DH635" s="118"/>
      <c r="DI635" s="118"/>
      <c r="DJ635" s="118"/>
      <c r="DK635" s="118"/>
      <c r="DL635" s="118"/>
      <c r="DM635" s="118"/>
      <c r="DN635" s="118"/>
      <c r="DO635" s="118"/>
      <c r="DP635" s="118"/>
      <c r="DQ635" s="118"/>
      <c r="DR635" s="118"/>
      <c r="DS635" s="118"/>
      <c r="DT635" s="118"/>
      <c r="DU635" s="19"/>
      <c r="DV635" s="19"/>
      <c r="DW635" s="19"/>
      <c r="DX635" s="19"/>
      <c r="DY635" s="19"/>
      <c r="DZ635" s="19"/>
    </row>
    <row r="636" spans="1:130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18"/>
      <c r="BX636" s="118"/>
      <c r="BY636" s="118"/>
      <c r="BZ636" s="118"/>
      <c r="CA636" s="118"/>
      <c r="CB636" s="118"/>
      <c r="CC636" s="118"/>
      <c r="CD636" s="118"/>
      <c r="CE636" s="118"/>
      <c r="CF636" s="118"/>
      <c r="CG636" s="118"/>
      <c r="CH636" s="118"/>
      <c r="CI636" s="118"/>
      <c r="CJ636" s="118"/>
      <c r="CK636" s="118"/>
      <c r="CL636" s="118"/>
      <c r="CM636" s="118"/>
      <c r="CN636" s="118"/>
      <c r="CO636" s="118"/>
      <c r="CP636" s="118"/>
      <c r="CQ636" s="118"/>
      <c r="CR636" s="118"/>
      <c r="CS636" s="118"/>
      <c r="CT636" s="118"/>
      <c r="CU636" s="118"/>
      <c r="CV636" s="118"/>
      <c r="CW636" s="118"/>
      <c r="CX636" s="118"/>
      <c r="CY636" s="118"/>
      <c r="CZ636" s="118"/>
      <c r="DA636" s="118"/>
      <c r="DB636" s="118"/>
      <c r="DC636" s="118"/>
      <c r="DD636" s="118"/>
      <c r="DE636" s="118"/>
      <c r="DF636" s="118"/>
      <c r="DG636" s="118"/>
      <c r="DH636" s="118"/>
      <c r="DI636" s="118"/>
      <c r="DJ636" s="118"/>
      <c r="DK636" s="118"/>
      <c r="DL636" s="118"/>
      <c r="DM636" s="118"/>
      <c r="DN636" s="118"/>
      <c r="DO636" s="118"/>
      <c r="DP636" s="118"/>
      <c r="DQ636" s="118"/>
      <c r="DR636" s="118"/>
      <c r="DS636" s="118"/>
      <c r="DT636" s="118"/>
      <c r="DU636" s="19"/>
      <c r="DV636" s="19"/>
      <c r="DW636" s="19"/>
      <c r="DX636" s="19"/>
      <c r="DY636" s="19"/>
      <c r="DZ636" s="19"/>
    </row>
    <row r="637" spans="1:130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18"/>
      <c r="BX637" s="118"/>
      <c r="BY637" s="118"/>
      <c r="BZ637" s="118"/>
      <c r="CA637" s="118"/>
      <c r="CB637" s="118"/>
      <c r="CC637" s="118"/>
      <c r="CD637" s="118"/>
      <c r="CE637" s="118"/>
      <c r="CF637" s="118"/>
      <c r="CG637" s="118"/>
      <c r="CH637" s="118"/>
      <c r="CI637" s="118"/>
      <c r="CJ637" s="118"/>
      <c r="CK637" s="118"/>
      <c r="CL637" s="118"/>
      <c r="CM637" s="118"/>
      <c r="CN637" s="118"/>
      <c r="CO637" s="118"/>
      <c r="CP637" s="118"/>
      <c r="CQ637" s="118"/>
      <c r="CR637" s="118"/>
      <c r="CS637" s="118"/>
      <c r="CT637" s="118"/>
      <c r="CU637" s="118"/>
      <c r="CV637" s="118"/>
      <c r="CW637" s="118"/>
      <c r="CX637" s="118"/>
      <c r="CY637" s="118"/>
      <c r="CZ637" s="118"/>
      <c r="DA637" s="118"/>
      <c r="DB637" s="118"/>
      <c r="DC637" s="118"/>
      <c r="DD637" s="118"/>
      <c r="DE637" s="118"/>
      <c r="DF637" s="118"/>
      <c r="DG637" s="118"/>
      <c r="DH637" s="118"/>
      <c r="DI637" s="118"/>
      <c r="DJ637" s="118"/>
      <c r="DK637" s="118"/>
      <c r="DL637" s="118"/>
      <c r="DM637" s="118"/>
      <c r="DN637" s="118"/>
      <c r="DO637" s="118"/>
      <c r="DP637" s="118"/>
      <c r="DQ637" s="118"/>
      <c r="DR637" s="118"/>
      <c r="DS637" s="118"/>
      <c r="DT637" s="118"/>
      <c r="DU637" s="19"/>
      <c r="DV637" s="19"/>
      <c r="DW637" s="19"/>
      <c r="DX637" s="19"/>
      <c r="DY637" s="19"/>
      <c r="DZ637" s="19"/>
    </row>
    <row r="638" spans="1:130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18"/>
      <c r="BX638" s="118"/>
      <c r="BY638" s="118"/>
      <c r="BZ638" s="118"/>
      <c r="CA638" s="118"/>
      <c r="CB638" s="118"/>
      <c r="CC638" s="118"/>
      <c r="CD638" s="118"/>
      <c r="CE638" s="118"/>
      <c r="CF638" s="118"/>
      <c r="CG638" s="118"/>
      <c r="CH638" s="118"/>
      <c r="CI638" s="118"/>
      <c r="CJ638" s="118"/>
      <c r="CK638" s="118"/>
      <c r="CL638" s="118"/>
      <c r="CM638" s="118"/>
      <c r="CN638" s="118"/>
      <c r="CO638" s="118"/>
      <c r="CP638" s="118"/>
      <c r="CQ638" s="118"/>
      <c r="CR638" s="118"/>
      <c r="CS638" s="118"/>
      <c r="CT638" s="118"/>
      <c r="CU638" s="118"/>
      <c r="CV638" s="118"/>
      <c r="CW638" s="118"/>
      <c r="CX638" s="118"/>
      <c r="CY638" s="118"/>
      <c r="CZ638" s="118"/>
      <c r="DA638" s="118"/>
      <c r="DB638" s="118"/>
      <c r="DC638" s="118"/>
      <c r="DD638" s="118"/>
      <c r="DE638" s="118"/>
      <c r="DF638" s="118"/>
      <c r="DG638" s="118"/>
      <c r="DH638" s="118"/>
      <c r="DI638" s="118"/>
      <c r="DJ638" s="118"/>
      <c r="DK638" s="118"/>
      <c r="DL638" s="118"/>
      <c r="DM638" s="118"/>
      <c r="DN638" s="118"/>
      <c r="DO638" s="118"/>
      <c r="DP638" s="118"/>
      <c r="DQ638" s="118"/>
      <c r="DR638" s="118"/>
      <c r="DS638" s="118"/>
      <c r="DT638" s="118"/>
      <c r="DU638" s="19"/>
      <c r="DV638" s="19"/>
      <c r="DW638" s="19"/>
      <c r="DX638" s="19"/>
      <c r="DY638" s="19"/>
      <c r="DZ638" s="19"/>
    </row>
    <row r="639" spans="1:130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18"/>
      <c r="BX639" s="118"/>
      <c r="BY639" s="118"/>
      <c r="BZ639" s="118"/>
      <c r="CA639" s="118"/>
      <c r="CB639" s="118"/>
      <c r="CC639" s="118"/>
      <c r="CD639" s="118"/>
      <c r="CE639" s="118"/>
      <c r="CF639" s="118"/>
      <c r="CG639" s="118"/>
      <c r="CH639" s="118"/>
      <c r="CI639" s="118"/>
      <c r="CJ639" s="118"/>
      <c r="CK639" s="118"/>
      <c r="CL639" s="118"/>
      <c r="CM639" s="118"/>
      <c r="CN639" s="118"/>
      <c r="CO639" s="118"/>
      <c r="CP639" s="118"/>
      <c r="CQ639" s="118"/>
      <c r="CR639" s="118"/>
      <c r="CS639" s="118"/>
      <c r="CT639" s="118"/>
      <c r="CU639" s="118"/>
      <c r="CV639" s="118"/>
      <c r="CW639" s="118"/>
      <c r="CX639" s="118"/>
      <c r="CY639" s="118"/>
      <c r="CZ639" s="118"/>
      <c r="DA639" s="118"/>
      <c r="DB639" s="118"/>
      <c r="DC639" s="118"/>
      <c r="DD639" s="118"/>
      <c r="DE639" s="118"/>
      <c r="DF639" s="118"/>
      <c r="DG639" s="118"/>
      <c r="DH639" s="118"/>
      <c r="DI639" s="118"/>
      <c r="DJ639" s="118"/>
      <c r="DK639" s="118"/>
      <c r="DL639" s="118"/>
      <c r="DM639" s="118"/>
      <c r="DN639" s="118"/>
      <c r="DO639" s="118"/>
      <c r="DP639" s="118"/>
      <c r="DQ639" s="118"/>
      <c r="DR639" s="118"/>
      <c r="DS639" s="118"/>
      <c r="DT639" s="118"/>
      <c r="DU639" s="19"/>
      <c r="DV639" s="19"/>
      <c r="DW639" s="19"/>
      <c r="DX639" s="19"/>
      <c r="DY639" s="19"/>
      <c r="DZ639" s="19"/>
    </row>
    <row r="640" spans="1:130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18"/>
      <c r="BX640" s="118"/>
      <c r="BY640" s="118"/>
      <c r="BZ640" s="118"/>
      <c r="CA640" s="118"/>
      <c r="CB640" s="118"/>
      <c r="CC640" s="118"/>
      <c r="CD640" s="118"/>
      <c r="CE640" s="118"/>
      <c r="CF640" s="118"/>
      <c r="CG640" s="118"/>
      <c r="CH640" s="118"/>
      <c r="CI640" s="118"/>
      <c r="CJ640" s="118"/>
      <c r="CK640" s="118"/>
      <c r="CL640" s="118"/>
      <c r="CM640" s="118"/>
      <c r="CN640" s="118"/>
      <c r="CO640" s="118"/>
      <c r="CP640" s="118"/>
      <c r="CQ640" s="118"/>
      <c r="CR640" s="118"/>
      <c r="CS640" s="118"/>
      <c r="CT640" s="118"/>
      <c r="CU640" s="118"/>
      <c r="CV640" s="118"/>
      <c r="CW640" s="118"/>
      <c r="CX640" s="118"/>
      <c r="CY640" s="118"/>
      <c r="CZ640" s="118"/>
      <c r="DA640" s="118"/>
      <c r="DB640" s="118"/>
      <c r="DC640" s="118"/>
      <c r="DD640" s="118"/>
      <c r="DE640" s="118"/>
      <c r="DF640" s="118"/>
      <c r="DG640" s="118"/>
      <c r="DH640" s="118"/>
      <c r="DI640" s="118"/>
      <c r="DJ640" s="118"/>
      <c r="DK640" s="118"/>
      <c r="DL640" s="118"/>
      <c r="DM640" s="118"/>
      <c r="DN640" s="118"/>
      <c r="DO640" s="118"/>
      <c r="DP640" s="118"/>
      <c r="DQ640" s="118"/>
      <c r="DR640" s="118"/>
      <c r="DS640" s="118"/>
      <c r="DT640" s="118"/>
      <c r="DU640" s="19"/>
      <c r="DV640" s="19"/>
      <c r="DW640" s="19"/>
      <c r="DX640" s="19"/>
      <c r="DY640" s="19"/>
      <c r="DZ640" s="19"/>
    </row>
    <row r="641" spans="1:130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18"/>
      <c r="BX641" s="118"/>
      <c r="BY641" s="118"/>
      <c r="BZ641" s="118"/>
      <c r="CA641" s="118"/>
      <c r="CB641" s="118"/>
      <c r="CC641" s="118"/>
      <c r="CD641" s="118"/>
      <c r="CE641" s="118"/>
      <c r="CF641" s="118"/>
      <c r="CG641" s="118"/>
      <c r="CH641" s="118"/>
      <c r="CI641" s="118"/>
      <c r="CJ641" s="118"/>
      <c r="CK641" s="118"/>
      <c r="CL641" s="118"/>
      <c r="CM641" s="118"/>
      <c r="CN641" s="118"/>
      <c r="CO641" s="118"/>
      <c r="CP641" s="118"/>
      <c r="CQ641" s="118"/>
      <c r="CR641" s="118"/>
      <c r="CS641" s="118"/>
      <c r="CT641" s="118"/>
      <c r="CU641" s="118"/>
      <c r="CV641" s="118"/>
      <c r="CW641" s="118"/>
      <c r="CX641" s="118"/>
      <c r="CY641" s="118"/>
      <c r="CZ641" s="118"/>
      <c r="DA641" s="118"/>
      <c r="DB641" s="118"/>
      <c r="DC641" s="118"/>
      <c r="DD641" s="118"/>
      <c r="DE641" s="118"/>
      <c r="DF641" s="118"/>
      <c r="DG641" s="118"/>
      <c r="DH641" s="118"/>
      <c r="DI641" s="118"/>
      <c r="DJ641" s="118"/>
      <c r="DK641" s="118"/>
      <c r="DL641" s="118"/>
      <c r="DM641" s="118"/>
      <c r="DN641" s="118"/>
      <c r="DO641" s="118"/>
      <c r="DP641" s="118"/>
      <c r="DQ641" s="118"/>
      <c r="DR641" s="118"/>
      <c r="DS641" s="118"/>
      <c r="DT641" s="118"/>
      <c r="DU641" s="19"/>
      <c r="DV641" s="19"/>
      <c r="DW641" s="19"/>
      <c r="DX641" s="19"/>
      <c r="DY641" s="19"/>
      <c r="DZ641" s="19"/>
    </row>
    <row r="642" spans="1:130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18"/>
      <c r="BX642" s="118"/>
      <c r="BY642" s="118"/>
      <c r="BZ642" s="118"/>
      <c r="CA642" s="118"/>
      <c r="CB642" s="118"/>
      <c r="CC642" s="118"/>
      <c r="CD642" s="118"/>
      <c r="CE642" s="118"/>
      <c r="CF642" s="118"/>
      <c r="CG642" s="118"/>
      <c r="CH642" s="118"/>
      <c r="CI642" s="118"/>
      <c r="CJ642" s="118"/>
      <c r="CK642" s="118"/>
      <c r="CL642" s="118"/>
      <c r="CM642" s="118"/>
      <c r="CN642" s="118"/>
      <c r="CO642" s="118"/>
      <c r="CP642" s="118"/>
      <c r="CQ642" s="118"/>
      <c r="CR642" s="118"/>
      <c r="CS642" s="118"/>
      <c r="CT642" s="118"/>
      <c r="CU642" s="118"/>
      <c r="CV642" s="118"/>
      <c r="CW642" s="118"/>
      <c r="CX642" s="118"/>
      <c r="CY642" s="118"/>
      <c r="CZ642" s="118"/>
      <c r="DA642" s="118"/>
      <c r="DB642" s="118"/>
      <c r="DC642" s="118"/>
      <c r="DD642" s="118"/>
      <c r="DE642" s="118"/>
      <c r="DF642" s="118"/>
      <c r="DG642" s="118"/>
      <c r="DH642" s="118"/>
      <c r="DI642" s="118"/>
      <c r="DJ642" s="118"/>
      <c r="DK642" s="118"/>
      <c r="DL642" s="118"/>
      <c r="DM642" s="118"/>
      <c r="DN642" s="118"/>
      <c r="DO642" s="118"/>
      <c r="DP642" s="118"/>
      <c r="DQ642" s="118"/>
      <c r="DR642" s="118"/>
      <c r="DS642" s="118"/>
      <c r="DT642" s="118"/>
      <c r="DU642" s="19"/>
      <c r="DV642" s="19"/>
      <c r="DW642" s="19"/>
      <c r="DX642" s="19"/>
      <c r="DY642" s="19"/>
      <c r="DZ642" s="19"/>
    </row>
    <row r="643" spans="1:130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18"/>
      <c r="BX643" s="118"/>
      <c r="BY643" s="118"/>
      <c r="BZ643" s="118"/>
      <c r="CA643" s="118"/>
      <c r="CB643" s="118"/>
      <c r="CC643" s="118"/>
      <c r="CD643" s="118"/>
      <c r="CE643" s="118"/>
      <c r="CF643" s="118"/>
      <c r="CG643" s="118"/>
      <c r="CH643" s="118"/>
      <c r="CI643" s="118"/>
      <c r="CJ643" s="118"/>
      <c r="CK643" s="118"/>
      <c r="CL643" s="118"/>
      <c r="CM643" s="118"/>
      <c r="CN643" s="118"/>
      <c r="CO643" s="118"/>
      <c r="CP643" s="118"/>
      <c r="CQ643" s="118"/>
      <c r="CR643" s="118"/>
      <c r="CS643" s="118"/>
      <c r="CT643" s="118"/>
      <c r="CU643" s="118"/>
      <c r="CV643" s="118"/>
      <c r="CW643" s="118"/>
      <c r="CX643" s="118"/>
      <c r="CY643" s="118"/>
      <c r="CZ643" s="118"/>
      <c r="DA643" s="118"/>
      <c r="DB643" s="118"/>
      <c r="DC643" s="118"/>
      <c r="DD643" s="118"/>
      <c r="DE643" s="118"/>
      <c r="DF643" s="118"/>
      <c r="DG643" s="118"/>
      <c r="DH643" s="118"/>
      <c r="DI643" s="118"/>
      <c r="DJ643" s="118"/>
      <c r="DK643" s="118"/>
      <c r="DL643" s="118"/>
      <c r="DM643" s="118"/>
      <c r="DN643" s="118"/>
      <c r="DO643" s="118"/>
      <c r="DP643" s="118"/>
      <c r="DQ643" s="118"/>
      <c r="DR643" s="118"/>
      <c r="DS643" s="118"/>
      <c r="DT643" s="118"/>
      <c r="DU643" s="19"/>
      <c r="DV643" s="19"/>
      <c r="DW643" s="19"/>
      <c r="DX643" s="19"/>
      <c r="DY643" s="19"/>
      <c r="DZ643" s="19"/>
    </row>
    <row r="644" spans="1:130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18"/>
      <c r="BX644" s="118"/>
      <c r="BY644" s="118"/>
      <c r="BZ644" s="118"/>
      <c r="CA644" s="118"/>
      <c r="CB644" s="118"/>
      <c r="CC644" s="118"/>
      <c r="CD644" s="118"/>
      <c r="CE644" s="118"/>
      <c r="CF644" s="118"/>
      <c r="CG644" s="118"/>
      <c r="CH644" s="118"/>
      <c r="CI644" s="118"/>
      <c r="CJ644" s="118"/>
      <c r="CK644" s="118"/>
      <c r="CL644" s="118"/>
      <c r="CM644" s="118"/>
      <c r="CN644" s="118"/>
      <c r="CO644" s="118"/>
      <c r="CP644" s="118"/>
      <c r="CQ644" s="118"/>
      <c r="CR644" s="118"/>
      <c r="CS644" s="118"/>
      <c r="CT644" s="118"/>
      <c r="CU644" s="118"/>
      <c r="CV644" s="118"/>
      <c r="CW644" s="118"/>
      <c r="CX644" s="118"/>
      <c r="CY644" s="118"/>
      <c r="CZ644" s="118"/>
      <c r="DA644" s="118"/>
      <c r="DB644" s="118"/>
      <c r="DC644" s="118"/>
      <c r="DD644" s="118"/>
      <c r="DE644" s="118"/>
      <c r="DF644" s="118"/>
      <c r="DG644" s="118"/>
      <c r="DH644" s="118"/>
      <c r="DI644" s="118"/>
      <c r="DJ644" s="118"/>
      <c r="DK644" s="118"/>
      <c r="DL644" s="118"/>
      <c r="DM644" s="118"/>
      <c r="DN644" s="118"/>
      <c r="DO644" s="118"/>
      <c r="DP644" s="118"/>
      <c r="DQ644" s="118"/>
      <c r="DR644" s="118"/>
      <c r="DS644" s="118"/>
      <c r="DT644" s="118"/>
      <c r="DU644" s="19"/>
      <c r="DV644" s="19"/>
      <c r="DW644" s="19"/>
      <c r="DX644" s="19"/>
      <c r="DY644" s="19"/>
      <c r="DZ644" s="19"/>
    </row>
    <row r="645" spans="1:130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18"/>
      <c r="BX645" s="118"/>
      <c r="BY645" s="118"/>
      <c r="BZ645" s="118"/>
      <c r="CA645" s="118"/>
      <c r="CB645" s="118"/>
      <c r="CC645" s="118"/>
      <c r="CD645" s="118"/>
      <c r="CE645" s="118"/>
      <c r="CF645" s="118"/>
      <c r="CG645" s="118"/>
      <c r="CH645" s="118"/>
      <c r="CI645" s="118"/>
      <c r="CJ645" s="118"/>
      <c r="CK645" s="118"/>
      <c r="CL645" s="118"/>
      <c r="CM645" s="118"/>
      <c r="CN645" s="118"/>
      <c r="CO645" s="118"/>
      <c r="CP645" s="118"/>
      <c r="CQ645" s="118"/>
      <c r="CR645" s="118"/>
      <c r="CS645" s="118"/>
      <c r="CT645" s="118"/>
      <c r="CU645" s="118"/>
      <c r="CV645" s="118"/>
      <c r="CW645" s="118"/>
      <c r="CX645" s="118"/>
      <c r="CY645" s="118"/>
      <c r="CZ645" s="118"/>
      <c r="DA645" s="118"/>
      <c r="DB645" s="118"/>
      <c r="DC645" s="118"/>
      <c r="DD645" s="118"/>
      <c r="DE645" s="118"/>
      <c r="DF645" s="118"/>
      <c r="DG645" s="118"/>
      <c r="DH645" s="118"/>
      <c r="DI645" s="118"/>
      <c r="DJ645" s="118"/>
      <c r="DK645" s="118"/>
      <c r="DL645" s="118"/>
      <c r="DM645" s="118"/>
      <c r="DN645" s="118"/>
      <c r="DO645" s="118"/>
      <c r="DP645" s="118"/>
      <c r="DQ645" s="118"/>
      <c r="DR645" s="118"/>
      <c r="DS645" s="118"/>
      <c r="DT645" s="118"/>
      <c r="DU645" s="19"/>
      <c r="DV645" s="19"/>
      <c r="DW645" s="19"/>
      <c r="DX645" s="19"/>
      <c r="DY645" s="19"/>
      <c r="DZ645" s="19"/>
    </row>
    <row r="646" spans="1:130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18"/>
      <c r="BX646" s="118"/>
      <c r="BY646" s="118"/>
      <c r="BZ646" s="118"/>
      <c r="CA646" s="118"/>
      <c r="CB646" s="118"/>
      <c r="CC646" s="118"/>
      <c r="CD646" s="118"/>
      <c r="CE646" s="118"/>
      <c r="CF646" s="118"/>
      <c r="CG646" s="118"/>
      <c r="CH646" s="118"/>
      <c r="CI646" s="118"/>
      <c r="CJ646" s="118"/>
      <c r="CK646" s="118"/>
      <c r="CL646" s="118"/>
      <c r="CM646" s="118"/>
      <c r="CN646" s="118"/>
      <c r="CO646" s="118"/>
      <c r="CP646" s="118"/>
      <c r="CQ646" s="118"/>
      <c r="CR646" s="118"/>
      <c r="CS646" s="118"/>
      <c r="CT646" s="118"/>
      <c r="CU646" s="118"/>
      <c r="CV646" s="118"/>
      <c r="CW646" s="118"/>
      <c r="CX646" s="118"/>
      <c r="CY646" s="118"/>
      <c r="CZ646" s="118"/>
      <c r="DA646" s="118"/>
      <c r="DB646" s="118"/>
      <c r="DC646" s="118"/>
      <c r="DD646" s="118"/>
      <c r="DE646" s="118"/>
      <c r="DF646" s="118"/>
      <c r="DG646" s="118"/>
      <c r="DH646" s="118"/>
      <c r="DI646" s="118"/>
      <c r="DJ646" s="118"/>
      <c r="DK646" s="118"/>
      <c r="DL646" s="118"/>
      <c r="DM646" s="118"/>
      <c r="DN646" s="118"/>
      <c r="DO646" s="118"/>
      <c r="DP646" s="118"/>
      <c r="DQ646" s="118"/>
      <c r="DR646" s="118"/>
      <c r="DS646" s="118"/>
      <c r="DT646" s="118"/>
      <c r="DU646" s="19"/>
      <c r="DV646" s="19"/>
      <c r="DW646" s="19"/>
      <c r="DX646" s="19"/>
      <c r="DY646" s="19"/>
      <c r="DZ646" s="19"/>
    </row>
    <row r="647" spans="1:130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18"/>
      <c r="BX647" s="118"/>
      <c r="BY647" s="118"/>
      <c r="BZ647" s="118"/>
      <c r="CA647" s="118"/>
      <c r="CB647" s="118"/>
      <c r="CC647" s="118"/>
      <c r="CD647" s="118"/>
      <c r="CE647" s="118"/>
      <c r="CF647" s="118"/>
      <c r="CG647" s="118"/>
      <c r="CH647" s="118"/>
      <c r="CI647" s="118"/>
      <c r="CJ647" s="118"/>
      <c r="CK647" s="118"/>
      <c r="CL647" s="118"/>
      <c r="CM647" s="118"/>
      <c r="CN647" s="118"/>
      <c r="CO647" s="118"/>
      <c r="CP647" s="118"/>
      <c r="CQ647" s="118"/>
      <c r="CR647" s="118"/>
      <c r="CS647" s="118"/>
      <c r="CT647" s="118"/>
      <c r="CU647" s="118"/>
      <c r="CV647" s="118"/>
      <c r="CW647" s="118"/>
      <c r="CX647" s="118"/>
      <c r="CY647" s="118"/>
      <c r="CZ647" s="118"/>
      <c r="DA647" s="118"/>
      <c r="DB647" s="118"/>
      <c r="DC647" s="118"/>
      <c r="DD647" s="118"/>
      <c r="DE647" s="118"/>
      <c r="DF647" s="118"/>
      <c r="DG647" s="118"/>
      <c r="DH647" s="118"/>
      <c r="DI647" s="118"/>
      <c r="DJ647" s="118"/>
      <c r="DK647" s="118"/>
      <c r="DL647" s="118"/>
      <c r="DM647" s="118"/>
      <c r="DN647" s="118"/>
      <c r="DO647" s="118"/>
      <c r="DP647" s="118"/>
      <c r="DQ647" s="118"/>
      <c r="DR647" s="118"/>
      <c r="DS647" s="118"/>
      <c r="DT647" s="118"/>
      <c r="DU647" s="19"/>
      <c r="DV647" s="19"/>
      <c r="DW647" s="19"/>
      <c r="DX647" s="19"/>
      <c r="DY647" s="19"/>
      <c r="DZ647" s="19"/>
    </row>
    <row r="648" spans="1:130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18"/>
      <c r="BX648" s="118"/>
      <c r="BY648" s="118"/>
      <c r="BZ648" s="118"/>
      <c r="CA648" s="118"/>
      <c r="CB648" s="118"/>
      <c r="CC648" s="118"/>
      <c r="CD648" s="118"/>
      <c r="CE648" s="118"/>
      <c r="CF648" s="118"/>
      <c r="CG648" s="118"/>
      <c r="CH648" s="118"/>
      <c r="CI648" s="118"/>
      <c r="CJ648" s="118"/>
      <c r="CK648" s="118"/>
      <c r="CL648" s="118"/>
      <c r="CM648" s="118"/>
      <c r="CN648" s="118"/>
      <c r="CO648" s="118"/>
      <c r="CP648" s="118"/>
      <c r="CQ648" s="118"/>
      <c r="CR648" s="118"/>
      <c r="CS648" s="118"/>
      <c r="CT648" s="118"/>
      <c r="CU648" s="118"/>
      <c r="CV648" s="118"/>
      <c r="CW648" s="118"/>
      <c r="CX648" s="118"/>
      <c r="CY648" s="118"/>
      <c r="CZ648" s="118"/>
      <c r="DA648" s="118"/>
      <c r="DB648" s="118"/>
      <c r="DC648" s="118"/>
      <c r="DD648" s="118"/>
      <c r="DE648" s="118"/>
      <c r="DF648" s="118"/>
      <c r="DG648" s="118"/>
      <c r="DH648" s="118"/>
      <c r="DI648" s="118"/>
      <c r="DJ648" s="118"/>
      <c r="DK648" s="118"/>
      <c r="DL648" s="118"/>
      <c r="DM648" s="118"/>
      <c r="DN648" s="118"/>
      <c r="DO648" s="118"/>
      <c r="DP648" s="118"/>
      <c r="DQ648" s="118"/>
      <c r="DR648" s="118"/>
      <c r="DS648" s="118"/>
      <c r="DT648" s="118"/>
      <c r="DU648" s="19"/>
      <c r="DV648" s="19"/>
      <c r="DW648" s="19"/>
      <c r="DX648" s="19"/>
      <c r="DY648" s="19"/>
      <c r="DZ648" s="19"/>
    </row>
    <row r="649" spans="1:130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18"/>
      <c r="BX649" s="118"/>
      <c r="BY649" s="118"/>
      <c r="BZ649" s="118"/>
      <c r="CA649" s="118"/>
      <c r="CB649" s="118"/>
      <c r="CC649" s="118"/>
      <c r="CD649" s="118"/>
      <c r="CE649" s="118"/>
      <c r="CF649" s="118"/>
      <c r="CG649" s="118"/>
      <c r="CH649" s="118"/>
      <c r="CI649" s="118"/>
      <c r="CJ649" s="118"/>
      <c r="CK649" s="118"/>
      <c r="CL649" s="118"/>
      <c r="CM649" s="118"/>
      <c r="CN649" s="118"/>
      <c r="CO649" s="118"/>
      <c r="CP649" s="118"/>
      <c r="CQ649" s="118"/>
      <c r="CR649" s="118"/>
      <c r="CS649" s="118"/>
      <c r="CT649" s="118"/>
      <c r="CU649" s="118"/>
      <c r="CV649" s="118"/>
      <c r="CW649" s="118"/>
      <c r="CX649" s="118"/>
      <c r="CY649" s="118"/>
      <c r="CZ649" s="118"/>
      <c r="DA649" s="118"/>
      <c r="DB649" s="118"/>
      <c r="DC649" s="118"/>
      <c r="DD649" s="118"/>
      <c r="DE649" s="118"/>
      <c r="DF649" s="118"/>
      <c r="DG649" s="118"/>
      <c r="DH649" s="118"/>
      <c r="DI649" s="118"/>
      <c r="DJ649" s="118"/>
      <c r="DK649" s="118"/>
      <c r="DL649" s="118"/>
      <c r="DM649" s="118"/>
      <c r="DN649" s="118"/>
      <c r="DO649" s="118"/>
      <c r="DP649" s="118"/>
      <c r="DQ649" s="118"/>
      <c r="DR649" s="118"/>
      <c r="DS649" s="118"/>
      <c r="DT649" s="118"/>
      <c r="DU649" s="19"/>
      <c r="DV649" s="19"/>
      <c r="DW649" s="19"/>
      <c r="DX649" s="19"/>
      <c r="DY649" s="19"/>
      <c r="DZ649" s="19"/>
    </row>
    <row r="650" spans="1:130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18"/>
      <c r="BX650" s="118"/>
      <c r="BY650" s="118"/>
      <c r="BZ650" s="118"/>
      <c r="CA650" s="118"/>
      <c r="CB650" s="118"/>
      <c r="CC650" s="118"/>
      <c r="CD650" s="118"/>
      <c r="CE650" s="118"/>
      <c r="CF650" s="118"/>
      <c r="CG650" s="118"/>
      <c r="CH650" s="118"/>
      <c r="CI650" s="118"/>
      <c r="CJ650" s="118"/>
      <c r="CK650" s="118"/>
      <c r="CL650" s="118"/>
      <c r="CM650" s="118"/>
      <c r="CN650" s="118"/>
      <c r="CO650" s="118"/>
      <c r="CP650" s="118"/>
      <c r="CQ650" s="118"/>
      <c r="CR650" s="118"/>
      <c r="CS650" s="118"/>
      <c r="CT650" s="118"/>
      <c r="CU650" s="118"/>
      <c r="CV650" s="118"/>
      <c r="CW650" s="118"/>
      <c r="CX650" s="118"/>
      <c r="CY650" s="118"/>
      <c r="CZ650" s="118"/>
      <c r="DA650" s="118"/>
      <c r="DB650" s="118"/>
      <c r="DC650" s="118"/>
      <c r="DD650" s="118"/>
      <c r="DE650" s="118"/>
      <c r="DF650" s="118"/>
      <c r="DG650" s="118"/>
      <c r="DH650" s="118"/>
      <c r="DI650" s="118"/>
      <c r="DJ650" s="118"/>
      <c r="DK650" s="118"/>
      <c r="DL650" s="118"/>
      <c r="DM650" s="118"/>
      <c r="DN650" s="118"/>
      <c r="DO650" s="118"/>
      <c r="DP650" s="118"/>
      <c r="DQ650" s="118"/>
      <c r="DR650" s="118"/>
      <c r="DS650" s="118"/>
      <c r="DT650" s="118"/>
      <c r="DU650" s="19"/>
      <c r="DV650" s="19"/>
      <c r="DW650" s="19"/>
      <c r="DX650" s="19"/>
      <c r="DY650" s="19"/>
      <c r="DZ650" s="19"/>
    </row>
    <row r="651" spans="1:130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18"/>
      <c r="BX651" s="118"/>
      <c r="BY651" s="118"/>
      <c r="BZ651" s="118"/>
      <c r="CA651" s="118"/>
      <c r="CB651" s="118"/>
      <c r="CC651" s="118"/>
      <c r="CD651" s="118"/>
      <c r="CE651" s="118"/>
      <c r="CF651" s="118"/>
      <c r="CG651" s="118"/>
      <c r="CH651" s="118"/>
      <c r="CI651" s="118"/>
      <c r="CJ651" s="118"/>
      <c r="CK651" s="118"/>
      <c r="CL651" s="118"/>
      <c r="CM651" s="118"/>
      <c r="CN651" s="118"/>
      <c r="CO651" s="118"/>
      <c r="CP651" s="118"/>
      <c r="CQ651" s="118"/>
      <c r="CR651" s="118"/>
      <c r="CS651" s="118"/>
      <c r="CT651" s="118"/>
      <c r="CU651" s="118"/>
      <c r="CV651" s="118"/>
      <c r="CW651" s="118"/>
      <c r="CX651" s="118"/>
      <c r="CY651" s="118"/>
      <c r="CZ651" s="118"/>
      <c r="DA651" s="118"/>
      <c r="DB651" s="118"/>
      <c r="DC651" s="118"/>
      <c r="DD651" s="118"/>
      <c r="DE651" s="118"/>
      <c r="DF651" s="118"/>
      <c r="DG651" s="118"/>
      <c r="DH651" s="118"/>
      <c r="DI651" s="118"/>
      <c r="DJ651" s="118"/>
      <c r="DK651" s="118"/>
      <c r="DL651" s="118"/>
      <c r="DM651" s="118"/>
      <c r="DN651" s="118"/>
      <c r="DO651" s="118"/>
      <c r="DP651" s="118"/>
      <c r="DQ651" s="118"/>
      <c r="DR651" s="118"/>
      <c r="DS651" s="118"/>
      <c r="DT651" s="118"/>
      <c r="DU651" s="19"/>
      <c r="DV651" s="19"/>
      <c r="DW651" s="19"/>
      <c r="DX651" s="19"/>
      <c r="DY651" s="19"/>
      <c r="DZ651" s="19"/>
    </row>
    <row r="652" spans="1:130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18"/>
      <c r="BX652" s="118"/>
      <c r="BY652" s="118"/>
      <c r="BZ652" s="118"/>
      <c r="CA652" s="118"/>
      <c r="CB652" s="118"/>
      <c r="CC652" s="118"/>
      <c r="CD652" s="118"/>
      <c r="CE652" s="118"/>
      <c r="CF652" s="118"/>
      <c r="CG652" s="118"/>
      <c r="CH652" s="118"/>
      <c r="CI652" s="118"/>
      <c r="CJ652" s="118"/>
      <c r="CK652" s="118"/>
      <c r="CL652" s="118"/>
      <c r="CM652" s="118"/>
      <c r="CN652" s="118"/>
      <c r="CO652" s="118"/>
      <c r="CP652" s="118"/>
      <c r="CQ652" s="118"/>
      <c r="CR652" s="118"/>
      <c r="CS652" s="118"/>
      <c r="CT652" s="118"/>
      <c r="CU652" s="118"/>
      <c r="CV652" s="118"/>
      <c r="CW652" s="118"/>
      <c r="CX652" s="118"/>
      <c r="CY652" s="118"/>
      <c r="CZ652" s="118"/>
      <c r="DA652" s="118"/>
      <c r="DB652" s="118"/>
      <c r="DC652" s="118"/>
      <c r="DD652" s="118"/>
      <c r="DE652" s="118"/>
      <c r="DF652" s="118"/>
      <c r="DG652" s="118"/>
      <c r="DH652" s="118"/>
      <c r="DI652" s="118"/>
      <c r="DJ652" s="118"/>
      <c r="DK652" s="118"/>
      <c r="DL652" s="118"/>
      <c r="DM652" s="118"/>
      <c r="DN652" s="118"/>
      <c r="DO652" s="118"/>
      <c r="DP652" s="118"/>
      <c r="DQ652" s="118"/>
      <c r="DR652" s="118"/>
      <c r="DS652" s="118"/>
      <c r="DT652" s="118"/>
      <c r="DU652" s="19"/>
      <c r="DV652" s="19"/>
      <c r="DW652" s="19"/>
      <c r="DX652" s="19"/>
      <c r="DY652" s="19"/>
      <c r="DZ652" s="19"/>
    </row>
    <row r="653" spans="1:130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18"/>
      <c r="BX653" s="118"/>
      <c r="BY653" s="118"/>
      <c r="BZ653" s="118"/>
      <c r="CA653" s="118"/>
      <c r="CB653" s="118"/>
      <c r="CC653" s="118"/>
      <c r="CD653" s="118"/>
      <c r="CE653" s="118"/>
      <c r="CF653" s="118"/>
      <c r="CG653" s="118"/>
      <c r="CH653" s="118"/>
      <c r="CI653" s="118"/>
      <c r="CJ653" s="118"/>
      <c r="CK653" s="118"/>
      <c r="CL653" s="118"/>
      <c r="CM653" s="118"/>
      <c r="CN653" s="118"/>
      <c r="CO653" s="118"/>
      <c r="CP653" s="118"/>
      <c r="CQ653" s="118"/>
      <c r="CR653" s="118"/>
      <c r="CS653" s="118"/>
      <c r="CT653" s="118"/>
      <c r="CU653" s="118"/>
      <c r="CV653" s="118"/>
      <c r="CW653" s="118"/>
      <c r="CX653" s="118"/>
      <c r="CY653" s="118"/>
      <c r="CZ653" s="118"/>
      <c r="DA653" s="118"/>
      <c r="DB653" s="118"/>
      <c r="DC653" s="118"/>
      <c r="DD653" s="118"/>
      <c r="DE653" s="118"/>
      <c r="DF653" s="118"/>
      <c r="DG653" s="118"/>
      <c r="DH653" s="118"/>
      <c r="DI653" s="118"/>
      <c r="DJ653" s="118"/>
      <c r="DK653" s="118"/>
      <c r="DL653" s="118"/>
      <c r="DM653" s="118"/>
      <c r="DN653" s="118"/>
      <c r="DO653" s="118"/>
      <c r="DP653" s="118"/>
      <c r="DQ653" s="118"/>
      <c r="DR653" s="118"/>
      <c r="DS653" s="118"/>
      <c r="DT653" s="118"/>
      <c r="DU653" s="19"/>
      <c r="DV653" s="19"/>
      <c r="DW653" s="19"/>
      <c r="DX653" s="19"/>
      <c r="DY653" s="19"/>
      <c r="DZ653" s="19"/>
    </row>
    <row r="654" spans="1:130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18"/>
      <c r="BX654" s="118"/>
      <c r="BY654" s="118"/>
      <c r="BZ654" s="118"/>
      <c r="CA654" s="118"/>
      <c r="CB654" s="118"/>
      <c r="CC654" s="118"/>
      <c r="CD654" s="118"/>
      <c r="CE654" s="118"/>
      <c r="CF654" s="118"/>
      <c r="CG654" s="118"/>
      <c r="CH654" s="118"/>
      <c r="CI654" s="118"/>
      <c r="CJ654" s="118"/>
      <c r="CK654" s="118"/>
      <c r="CL654" s="118"/>
      <c r="CM654" s="118"/>
      <c r="CN654" s="118"/>
      <c r="CO654" s="118"/>
      <c r="CP654" s="118"/>
      <c r="CQ654" s="118"/>
      <c r="CR654" s="118"/>
      <c r="CS654" s="118"/>
      <c r="CT654" s="118"/>
      <c r="CU654" s="118"/>
      <c r="CV654" s="118"/>
      <c r="CW654" s="118"/>
      <c r="CX654" s="118"/>
      <c r="CY654" s="118"/>
      <c r="CZ654" s="118"/>
      <c r="DA654" s="118"/>
      <c r="DB654" s="118"/>
      <c r="DC654" s="118"/>
      <c r="DD654" s="118"/>
      <c r="DE654" s="118"/>
      <c r="DF654" s="118"/>
      <c r="DG654" s="118"/>
      <c r="DH654" s="118"/>
      <c r="DI654" s="118"/>
      <c r="DJ654" s="118"/>
      <c r="DK654" s="118"/>
      <c r="DL654" s="118"/>
      <c r="DM654" s="118"/>
      <c r="DN654" s="118"/>
      <c r="DO654" s="118"/>
      <c r="DP654" s="118"/>
      <c r="DQ654" s="118"/>
      <c r="DR654" s="118"/>
      <c r="DS654" s="118"/>
      <c r="DT654" s="118"/>
      <c r="DU654" s="19"/>
      <c r="DV654" s="19"/>
      <c r="DW654" s="19"/>
      <c r="DX654" s="19"/>
      <c r="DY654" s="19"/>
      <c r="DZ654" s="19"/>
    </row>
    <row r="655" spans="1:130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18"/>
      <c r="BX655" s="118"/>
      <c r="BY655" s="118"/>
      <c r="BZ655" s="118"/>
      <c r="CA655" s="118"/>
      <c r="CB655" s="118"/>
      <c r="CC655" s="118"/>
      <c r="CD655" s="118"/>
      <c r="CE655" s="118"/>
      <c r="CF655" s="118"/>
      <c r="CG655" s="118"/>
      <c r="CH655" s="118"/>
      <c r="CI655" s="118"/>
      <c r="CJ655" s="118"/>
      <c r="CK655" s="118"/>
      <c r="CL655" s="118"/>
      <c r="CM655" s="118"/>
      <c r="CN655" s="118"/>
      <c r="CO655" s="118"/>
      <c r="CP655" s="118"/>
      <c r="CQ655" s="118"/>
      <c r="CR655" s="118"/>
      <c r="CS655" s="118"/>
      <c r="CT655" s="118"/>
      <c r="CU655" s="118"/>
      <c r="CV655" s="118"/>
      <c r="CW655" s="118"/>
      <c r="CX655" s="118"/>
      <c r="CY655" s="118"/>
      <c r="CZ655" s="118"/>
      <c r="DA655" s="118"/>
      <c r="DB655" s="118"/>
      <c r="DC655" s="118"/>
      <c r="DD655" s="118"/>
      <c r="DE655" s="118"/>
      <c r="DF655" s="118"/>
      <c r="DG655" s="118"/>
      <c r="DH655" s="118"/>
      <c r="DI655" s="118"/>
      <c r="DJ655" s="118"/>
      <c r="DK655" s="118"/>
      <c r="DL655" s="118"/>
      <c r="DM655" s="118"/>
      <c r="DN655" s="118"/>
      <c r="DO655" s="118"/>
      <c r="DP655" s="118"/>
      <c r="DQ655" s="118"/>
      <c r="DR655" s="118"/>
      <c r="DS655" s="118"/>
      <c r="DT655" s="118"/>
      <c r="DU655" s="19"/>
      <c r="DV655" s="19"/>
      <c r="DW655" s="19"/>
      <c r="DX655" s="19"/>
      <c r="DY655" s="19"/>
      <c r="DZ655" s="19"/>
    </row>
    <row r="656" spans="1:130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18"/>
      <c r="BX656" s="118"/>
      <c r="BY656" s="118"/>
      <c r="BZ656" s="118"/>
      <c r="CA656" s="118"/>
      <c r="CB656" s="118"/>
      <c r="CC656" s="118"/>
      <c r="CD656" s="118"/>
      <c r="CE656" s="118"/>
      <c r="CF656" s="118"/>
      <c r="CG656" s="118"/>
      <c r="CH656" s="118"/>
      <c r="CI656" s="118"/>
      <c r="CJ656" s="118"/>
      <c r="CK656" s="118"/>
      <c r="CL656" s="118"/>
      <c r="CM656" s="118"/>
      <c r="CN656" s="118"/>
      <c r="CO656" s="118"/>
      <c r="CP656" s="118"/>
      <c r="CQ656" s="118"/>
      <c r="CR656" s="118"/>
      <c r="CS656" s="118"/>
      <c r="CT656" s="118"/>
      <c r="CU656" s="118"/>
      <c r="CV656" s="118"/>
      <c r="CW656" s="118"/>
      <c r="CX656" s="118"/>
      <c r="CY656" s="118"/>
      <c r="CZ656" s="118"/>
      <c r="DA656" s="118"/>
      <c r="DB656" s="118"/>
      <c r="DC656" s="118"/>
      <c r="DD656" s="118"/>
      <c r="DE656" s="118"/>
      <c r="DF656" s="118"/>
      <c r="DG656" s="118"/>
      <c r="DH656" s="118"/>
      <c r="DI656" s="118"/>
      <c r="DJ656" s="118"/>
      <c r="DK656" s="118"/>
      <c r="DL656" s="118"/>
      <c r="DM656" s="118"/>
      <c r="DN656" s="118"/>
      <c r="DO656" s="118"/>
      <c r="DP656" s="118"/>
      <c r="DQ656" s="118"/>
      <c r="DR656" s="118"/>
      <c r="DS656" s="118"/>
      <c r="DT656" s="118"/>
      <c r="DU656" s="19"/>
      <c r="DV656" s="19"/>
      <c r="DW656" s="19"/>
      <c r="DX656" s="19"/>
      <c r="DY656" s="19"/>
      <c r="DZ656" s="19"/>
    </row>
    <row r="657" spans="1:130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18"/>
      <c r="BX657" s="118"/>
      <c r="BY657" s="118"/>
      <c r="BZ657" s="118"/>
      <c r="CA657" s="118"/>
      <c r="CB657" s="118"/>
      <c r="CC657" s="118"/>
      <c r="CD657" s="118"/>
      <c r="CE657" s="118"/>
      <c r="CF657" s="118"/>
      <c r="CG657" s="118"/>
      <c r="CH657" s="118"/>
      <c r="CI657" s="118"/>
      <c r="CJ657" s="118"/>
      <c r="CK657" s="118"/>
      <c r="CL657" s="118"/>
      <c r="CM657" s="118"/>
      <c r="CN657" s="118"/>
      <c r="CO657" s="118"/>
      <c r="CP657" s="118"/>
      <c r="CQ657" s="118"/>
      <c r="CR657" s="118"/>
      <c r="CS657" s="118"/>
      <c r="CT657" s="118"/>
      <c r="CU657" s="118"/>
      <c r="CV657" s="118"/>
      <c r="CW657" s="118"/>
      <c r="CX657" s="118"/>
      <c r="CY657" s="118"/>
      <c r="CZ657" s="118"/>
      <c r="DA657" s="118"/>
      <c r="DB657" s="118"/>
      <c r="DC657" s="118"/>
      <c r="DD657" s="118"/>
      <c r="DE657" s="118"/>
      <c r="DF657" s="118"/>
      <c r="DG657" s="118"/>
      <c r="DH657" s="118"/>
      <c r="DI657" s="118"/>
      <c r="DJ657" s="118"/>
      <c r="DK657" s="118"/>
      <c r="DL657" s="118"/>
      <c r="DM657" s="118"/>
      <c r="DN657" s="118"/>
      <c r="DO657" s="118"/>
      <c r="DP657" s="118"/>
      <c r="DQ657" s="118"/>
      <c r="DR657" s="118"/>
      <c r="DS657" s="118"/>
      <c r="DT657" s="118"/>
      <c r="DU657" s="19"/>
      <c r="DV657" s="19"/>
      <c r="DW657" s="19"/>
      <c r="DX657" s="19"/>
      <c r="DY657" s="19"/>
      <c r="DZ657" s="19"/>
    </row>
    <row r="658" spans="1:130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18"/>
      <c r="BX658" s="118"/>
      <c r="BY658" s="118"/>
      <c r="BZ658" s="118"/>
      <c r="CA658" s="118"/>
      <c r="CB658" s="118"/>
      <c r="CC658" s="118"/>
      <c r="CD658" s="118"/>
      <c r="CE658" s="118"/>
      <c r="CF658" s="118"/>
      <c r="CG658" s="118"/>
      <c r="CH658" s="118"/>
      <c r="CI658" s="118"/>
      <c r="CJ658" s="118"/>
      <c r="CK658" s="118"/>
      <c r="CL658" s="118"/>
      <c r="CM658" s="118"/>
      <c r="CN658" s="118"/>
      <c r="CO658" s="118"/>
      <c r="CP658" s="118"/>
      <c r="CQ658" s="118"/>
      <c r="CR658" s="118"/>
      <c r="CS658" s="118"/>
      <c r="CT658" s="118"/>
      <c r="CU658" s="118"/>
      <c r="CV658" s="118"/>
      <c r="CW658" s="118"/>
      <c r="CX658" s="118"/>
      <c r="CY658" s="118"/>
      <c r="CZ658" s="118"/>
      <c r="DA658" s="118"/>
      <c r="DB658" s="118"/>
      <c r="DC658" s="118"/>
      <c r="DD658" s="118"/>
      <c r="DE658" s="118"/>
      <c r="DF658" s="118"/>
      <c r="DG658" s="118"/>
      <c r="DH658" s="118"/>
      <c r="DI658" s="118"/>
      <c r="DJ658" s="118"/>
      <c r="DK658" s="118"/>
      <c r="DL658" s="118"/>
      <c r="DM658" s="118"/>
      <c r="DN658" s="118"/>
      <c r="DO658" s="118"/>
      <c r="DP658" s="118"/>
      <c r="DQ658" s="118"/>
      <c r="DR658" s="118"/>
      <c r="DS658" s="118"/>
      <c r="DT658" s="118"/>
      <c r="DU658" s="19"/>
      <c r="DV658" s="19"/>
      <c r="DW658" s="19"/>
      <c r="DX658" s="19"/>
      <c r="DY658" s="19"/>
      <c r="DZ658" s="19"/>
    </row>
    <row r="659" spans="1:130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18"/>
      <c r="BX659" s="118"/>
      <c r="BY659" s="118"/>
      <c r="BZ659" s="118"/>
      <c r="CA659" s="118"/>
      <c r="CB659" s="118"/>
      <c r="CC659" s="118"/>
      <c r="CD659" s="118"/>
      <c r="CE659" s="118"/>
      <c r="CF659" s="118"/>
      <c r="CG659" s="118"/>
      <c r="CH659" s="118"/>
      <c r="CI659" s="118"/>
      <c r="CJ659" s="118"/>
      <c r="CK659" s="118"/>
      <c r="CL659" s="118"/>
      <c r="CM659" s="118"/>
      <c r="CN659" s="118"/>
      <c r="CO659" s="118"/>
      <c r="CP659" s="118"/>
      <c r="CQ659" s="118"/>
      <c r="CR659" s="118"/>
      <c r="CS659" s="118"/>
      <c r="CT659" s="118"/>
      <c r="CU659" s="118"/>
      <c r="CV659" s="118"/>
      <c r="CW659" s="118"/>
      <c r="CX659" s="118"/>
      <c r="CY659" s="118"/>
      <c r="CZ659" s="118"/>
      <c r="DA659" s="118"/>
      <c r="DB659" s="118"/>
      <c r="DC659" s="118"/>
      <c r="DD659" s="118"/>
      <c r="DE659" s="118"/>
      <c r="DF659" s="118"/>
      <c r="DG659" s="118"/>
      <c r="DH659" s="118"/>
      <c r="DI659" s="118"/>
      <c r="DJ659" s="118"/>
      <c r="DK659" s="118"/>
      <c r="DL659" s="118"/>
      <c r="DM659" s="118"/>
      <c r="DN659" s="118"/>
      <c r="DO659" s="118"/>
      <c r="DP659" s="118"/>
      <c r="DQ659" s="118"/>
      <c r="DR659" s="118"/>
      <c r="DS659" s="118"/>
      <c r="DT659" s="118"/>
      <c r="DU659" s="19"/>
      <c r="DV659" s="19"/>
      <c r="DW659" s="19"/>
      <c r="DX659" s="19"/>
      <c r="DY659" s="19"/>
      <c r="DZ659" s="19"/>
    </row>
    <row r="660" spans="1:130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18"/>
      <c r="BX660" s="118"/>
      <c r="BY660" s="118"/>
      <c r="BZ660" s="118"/>
      <c r="CA660" s="118"/>
      <c r="CB660" s="118"/>
      <c r="CC660" s="118"/>
      <c r="CD660" s="118"/>
      <c r="CE660" s="118"/>
      <c r="CF660" s="118"/>
      <c r="CG660" s="118"/>
      <c r="CH660" s="118"/>
      <c r="CI660" s="118"/>
      <c r="CJ660" s="118"/>
      <c r="CK660" s="118"/>
      <c r="CL660" s="118"/>
      <c r="CM660" s="118"/>
      <c r="CN660" s="118"/>
      <c r="CO660" s="118"/>
      <c r="CP660" s="118"/>
      <c r="CQ660" s="118"/>
      <c r="CR660" s="118"/>
      <c r="CS660" s="118"/>
      <c r="CT660" s="118"/>
      <c r="CU660" s="118"/>
      <c r="CV660" s="118"/>
      <c r="CW660" s="118"/>
      <c r="CX660" s="118"/>
      <c r="CY660" s="118"/>
      <c r="CZ660" s="118"/>
      <c r="DA660" s="118"/>
      <c r="DB660" s="118"/>
      <c r="DC660" s="118"/>
      <c r="DD660" s="118"/>
      <c r="DE660" s="118"/>
      <c r="DF660" s="118"/>
      <c r="DG660" s="118"/>
      <c r="DH660" s="118"/>
      <c r="DI660" s="118"/>
      <c r="DJ660" s="118"/>
      <c r="DK660" s="118"/>
      <c r="DL660" s="118"/>
      <c r="DM660" s="118"/>
      <c r="DN660" s="118"/>
      <c r="DO660" s="118"/>
      <c r="DP660" s="118"/>
      <c r="DQ660" s="118"/>
      <c r="DR660" s="118"/>
      <c r="DS660" s="118"/>
      <c r="DT660" s="118"/>
      <c r="DU660" s="19"/>
      <c r="DV660" s="19"/>
      <c r="DW660" s="19"/>
      <c r="DX660" s="19"/>
      <c r="DY660" s="19"/>
      <c r="DZ660" s="19"/>
    </row>
    <row r="661" spans="1:130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18"/>
      <c r="BX661" s="118"/>
      <c r="BY661" s="118"/>
      <c r="BZ661" s="118"/>
      <c r="CA661" s="118"/>
      <c r="CB661" s="118"/>
      <c r="CC661" s="118"/>
      <c r="CD661" s="118"/>
      <c r="CE661" s="118"/>
      <c r="CF661" s="118"/>
      <c r="CG661" s="118"/>
      <c r="CH661" s="118"/>
      <c r="CI661" s="118"/>
      <c r="CJ661" s="118"/>
      <c r="CK661" s="118"/>
      <c r="CL661" s="118"/>
      <c r="CM661" s="118"/>
      <c r="CN661" s="118"/>
      <c r="CO661" s="118"/>
      <c r="CP661" s="118"/>
      <c r="CQ661" s="118"/>
      <c r="CR661" s="118"/>
      <c r="CS661" s="118"/>
      <c r="CT661" s="118"/>
      <c r="CU661" s="118"/>
      <c r="CV661" s="118"/>
      <c r="CW661" s="118"/>
      <c r="CX661" s="118"/>
      <c r="CY661" s="118"/>
      <c r="CZ661" s="118"/>
      <c r="DA661" s="118"/>
      <c r="DB661" s="118"/>
      <c r="DC661" s="118"/>
      <c r="DD661" s="118"/>
      <c r="DE661" s="118"/>
      <c r="DF661" s="118"/>
      <c r="DG661" s="118"/>
      <c r="DH661" s="118"/>
      <c r="DI661" s="118"/>
      <c r="DJ661" s="118"/>
      <c r="DK661" s="118"/>
      <c r="DL661" s="118"/>
      <c r="DM661" s="118"/>
      <c r="DN661" s="118"/>
      <c r="DO661" s="118"/>
      <c r="DP661" s="118"/>
      <c r="DQ661" s="118"/>
      <c r="DR661" s="118"/>
      <c r="DS661" s="118"/>
      <c r="DT661" s="118"/>
      <c r="DU661" s="19"/>
      <c r="DV661" s="19"/>
      <c r="DW661" s="19"/>
      <c r="DX661" s="19"/>
      <c r="DY661" s="19"/>
      <c r="DZ661" s="19"/>
    </row>
    <row r="662" spans="1:130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18"/>
      <c r="BX662" s="118"/>
      <c r="BY662" s="118"/>
      <c r="BZ662" s="118"/>
      <c r="CA662" s="118"/>
      <c r="CB662" s="118"/>
      <c r="CC662" s="118"/>
      <c r="CD662" s="118"/>
      <c r="CE662" s="118"/>
      <c r="CF662" s="118"/>
      <c r="CG662" s="118"/>
      <c r="CH662" s="118"/>
      <c r="CI662" s="118"/>
      <c r="CJ662" s="118"/>
      <c r="CK662" s="118"/>
      <c r="CL662" s="118"/>
      <c r="CM662" s="118"/>
      <c r="CN662" s="118"/>
      <c r="CO662" s="118"/>
      <c r="CP662" s="118"/>
      <c r="CQ662" s="118"/>
      <c r="CR662" s="118"/>
      <c r="CS662" s="118"/>
      <c r="CT662" s="118"/>
      <c r="CU662" s="118"/>
      <c r="CV662" s="118"/>
      <c r="CW662" s="118"/>
      <c r="CX662" s="118"/>
      <c r="CY662" s="118"/>
      <c r="CZ662" s="118"/>
      <c r="DA662" s="118"/>
      <c r="DB662" s="118"/>
      <c r="DC662" s="118"/>
      <c r="DD662" s="118"/>
      <c r="DE662" s="118"/>
      <c r="DF662" s="118"/>
      <c r="DG662" s="118"/>
      <c r="DH662" s="118"/>
      <c r="DI662" s="118"/>
      <c r="DJ662" s="118"/>
      <c r="DK662" s="118"/>
      <c r="DL662" s="118"/>
      <c r="DM662" s="118"/>
      <c r="DN662" s="118"/>
      <c r="DO662" s="118"/>
      <c r="DP662" s="118"/>
      <c r="DQ662" s="118"/>
      <c r="DR662" s="118"/>
      <c r="DS662" s="118"/>
      <c r="DT662" s="118"/>
      <c r="DU662" s="19"/>
      <c r="DV662" s="19"/>
      <c r="DW662" s="19"/>
      <c r="DX662" s="19"/>
      <c r="DY662" s="19"/>
      <c r="DZ662" s="19"/>
    </row>
    <row r="663" spans="1:130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18"/>
      <c r="BX663" s="118"/>
      <c r="BY663" s="118"/>
      <c r="BZ663" s="118"/>
      <c r="CA663" s="118"/>
      <c r="CB663" s="118"/>
      <c r="CC663" s="118"/>
      <c r="CD663" s="118"/>
      <c r="CE663" s="118"/>
      <c r="CF663" s="118"/>
      <c r="CG663" s="118"/>
      <c r="CH663" s="118"/>
      <c r="CI663" s="118"/>
      <c r="CJ663" s="118"/>
      <c r="CK663" s="118"/>
      <c r="CL663" s="118"/>
      <c r="CM663" s="118"/>
      <c r="CN663" s="118"/>
      <c r="CO663" s="118"/>
      <c r="CP663" s="118"/>
      <c r="CQ663" s="118"/>
      <c r="CR663" s="118"/>
      <c r="CS663" s="118"/>
      <c r="CT663" s="118"/>
      <c r="CU663" s="118"/>
      <c r="CV663" s="118"/>
      <c r="CW663" s="118"/>
      <c r="CX663" s="118"/>
      <c r="CY663" s="118"/>
      <c r="CZ663" s="118"/>
      <c r="DA663" s="118"/>
      <c r="DB663" s="118"/>
      <c r="DC663" s="118"/>
      <c r="DD663" s="118"/>
      <c r="DE663" s="118"/>
      <c r="DF663" s="118"/>
      <c r="DG663" s="118"/>
      <c r="DH663" s="118"/>
      <c r="DI663" s="118"/>
      <c r="DJ663" s="118"/>
      <c r="DK663" s="118"/>
      <c r="DL663" s="118"/>
      <c r="DM663" s="118"/>
      <c r="DN663" s="118"/>
      <c r="DO663" s="118"/>
      <c r="DP663" s="118"/>
      <c r="DQ663" s="118"/>
      <c r="DR663" s="118"/>
      <c r="DS663" s="118"/>
      <c r="DT663" s="118"/>
      <c r="DU663" s="19"/>
      <c r="DV663" s="19"/>
      <c r="DW663" s="19"/>
      <c r="DX663" s="19"/>
      <c r="DY663" s="19"/>
      <c r="DZ663" s="19"/>
    </row>
    <row r="664" spans="1:130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18"/>
      <c r="BX664" s="118"/>
      <c r="BY664" s="118"/>
      <c r="BZ664" s="118"/>
      <c r="CA664" s="118"/>
      <c r="CB664" s="118"/>
      <c r="CC664" s="118"/>
      <c r="CD664" s="118"/>
      <c r="CE664" s="118"/>
      <c r="CF664" s="118"/>
      <c r="CG664" s="118"/>
      <c r="CH664" s="118"/>
      <c r="CI664" s="118"/>
      <c r="CJ664" s="118"/>
      <c r="CK664" s="118"/>
      <c r="CL664" s="118"/>
      <c r="CM664" s="118"/>
      <c r="CN664" s="118"/>
      <c r="CO664" s="118"/>
      <c r="CP664" s="118"/>
      <c r="CQ664" s="118"/>
      <c r="CR664" s="118"/>
      <c r="CS664" s="118"/>
      <c r="CT664" s="118"/>
      <c r="CU664" s="118"/>
      <c r="CV664" s="118"/>
      <c r="CW664" s="118"/>
      <c r="CX664" s="118"/>
      <c r="CY664" s="118"/>
      <c r="CZ664" s="118"/>
      <c r="DA664" s="118"/>
      <c r="DB664" s="118"/>
      <c r="DC664" s="118"/>
      <c r="DD664" s="118"/>
      <c r="DE664" s="118"/>
      <c r="DF664" s="118"/>
      <c r="DG664" s="118"/>
      <c r="DH664" s="118"/>
      <c r="DI664" s="118"/>
      <c r="DJ664" s="118"/>
      <c r="DK664" s="118"/>
      <c r="DL664" s="118"/>
      <c r="DM664" s="118"/>
      <c r="DN664" s="118"/>
      <c r="DO664" s="118"/>
      <c r="DP664" s="118"/>
      <c r="DQ664" s="118"/>
      <c r="DR664" s="118"/>
      <c r="DS664" s="118"/>
      <c r="DT664" s="118"/>
      <c r="DU664" s="19"/>
      <c r="DV664" s="19"/>
      <c r="DW664" s="19"/>
      <c r="DX664" s="19"/>
      <c r="DY664" s="19"/>
      <c r="DZ664" s="19"/>
    </row>
    <row r="665" spans="1:130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18"/>
      <c r="BX665" s="118"/>
      <c r="BY665" s="118"/>
      <c r="BZ665" s="118"/>
      <c r="CA665" s="118"/>
      <c r="CB665" s="118"/>
      <c r="CC665" s="118"/>
      <c r="CD665" s="118"/>
      <c r="CE665" s="118"/>
      <c r="CF665" s="118"/>
      <c r="CG665" s="118"/>
      <c r="CH665" s="118"/>
      <c r="CI665" s="118"/>
      <c r="CJ665" s="118"/>
      <c r="CK665" s="118"/>
      <c r="CL665" s="118"/>
      <c r="CM665" s="118"/>
      <c r="CN665" s="118"/>
      <c r="CO665" s="118"/>
      <c r="CP665" s="118"/>
      <c r="CQ665" s="118"/>
      <c r="CR665" s="118"/>
      <c r="CS665" s="118"/>
      <c r="CT665" s="118"/>
      <c r="CU665" s="118"/>
      <c r="CV665" s="118"/>
      <c r="CW665" s="118"/>
      <c r="CX665" s="118"/>
      <c r="CY665" s="118"/>
      <c r="CZ665" s="118"/>
      <c r="DA665" s="118"/>
      <c r="DB665" s="118"/>
      <c r="DC665" s="118"/>
      <c r="DD665" s="118"/>
      <c r="DE665" s="118"/>
      <c r="DF665" s="118"/>
      <c r="DG665" s="118"/>
      <c r="DH665" s="118"/>
      <c r="DI665" s="118"/>
      <c r="DJ665" s="118"/>
      <c r="DK665" s="118"/>
      <c r="DL665" s="118"/>
      <c r="DM665" s="118"/>
      <c r="DN665" s="118"/>
      <c r="DO665" s="118"/>
      <c r="DP665" s="118"/>
      <c r="DQ665" s="118"/>
      <c r="DR665" s="118"/>
      <c r="DS665" s="118"/>
      <c r="DT665" s="118"/>
      <c r="DU665" s="19"/>
      <c r="DV665" s="19"/>
      <c r="DW665" s="19"/>
      <c r="DX665" s="19"/>
      <c r="DY665" s="19"/>
      <c r="DZ665" s="19"/>
    </row>
    <row r="666" spans="1:130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18"/>
      <c r="BX666" s="118"/>
      <c r="BY666" s="118"/>
      <c r="BZ666" s="118"/>
      <c r="CA666" s="118"/>
      <c r="CB666" s="118"/>
      <c r="CC666" s="118"/>
      <c r="CD666" s="118"/>
      <c r="CE666" s="118"/>
      <c r="CF666" s="118"/>
      <c r="CG666" s="118"/>
      <c r="CH666" s="118"/>
      <c r="CI666" s="118"/>
      <c r="CJ666" s="118"/>
      <c r="CK666" s="118"/>
      <c r="CL666" s="118"/>
      <c r="CM666" s="118"/>
      <c r="CN666" s="118"/>
      <c r="CO666" s="118"/>
      <c r="CP666" s="118"/>
      <c r="CQ666" s="118"/>
      <c r="CR666" s="118"/>
      <c r="CS666" s="118"/>
      <c r="CT666" s="118"/>
      <c r="CU666" s="118"/>
      <c r="CV666" s="118"/>
      <c r="CW666" s="118"/>
      <c r="CX666" s="118"/>
      <c r="CY666" s="118"/>
      <c r="CZ666" s="118"/>
      <c r="DA666" s="118"/>
      <c r="DB666" s="118"/>
      <c r="DC666" s="118"/>
      <c r="DD666" s="118"/>
      <c r="DE666" s="118"/>
      <c r="DF666" s="118"/>
      <c r="DG666" s="118"/>
      <c r="DH666" s="118"/>
      <c r="DI666" s="118"/>
      <c r="DJ666" s="118"/>
      <c r="DK666" s="118"/>
      <c r="DL666" s="118"/>
      <c r="DM666" s="118"/>
      <c r="DN666" s="118"/>
      <c r="DO666" s="118"/>
      <c r="DP666" s="118"/>
      <c r="DQ666" s="118"/>
      <c r="DR666" s="118"/>
      <c r="DS666" s="118"/>
      <c r="DT666" s="118"/>
      <c r="DU666" s="19"/>
      <c r="DV666" s="19"/>
      <c r="DW666" s="19"/>
      <c r="DX666" s="19"/>
      <c r="DY666" s="19"/>
      <c r="DZ666" s="19"/>
    </row>
    <row r="667" spans="1:130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18"/>
      <c r="BX667" s="118"/>
      <c r="BY667" s="118"/>
      <c r="BZ667" s="118"/>
      <c r="CA667" s="118"/>
      <c r="CB667" s="118"/>
      <c r="CC667" s="118"/>
      <c r="CD667" s="118"/>
      <c r="CE667" s="118"/>
      <c r="CF667" s="118"/>
      <c r="CG667" s="118"/>
      <c r="CH667" s="118"/>
      <c r="CI667" s="118"/>
      <c r="CJ667" s="118"/>
      <c r="CK667" s="118"/>
      <c r="CL667" s="118"/>
      <c r="CM667" s="118"/>
      <c r="CN667" s="118"/>
      <c r="CO667" s="118"/>
      <c r="CP667" s="118"/>
      <c r="CQ667" s="118"/>
      <c r="CR667" s="118"/>
      <c r="CS667" s="118"/>
      <c r="CT667" s="118"/>
      <c r="CU667" s="118"/>
      <c r="CV667" s="118"/>
      <c r="CW667" s="118"/>
      <c r="CX667" s="118"/>
      <c r="CY667" s="118"/>
      <c r="CZ667" s="118"/>
      <c r="DA667" s="118"/>
      <c r="DB667" s="118"/>
      <c r="DC667" s="118"/>
      <c r="DD667" s="118"/>
      <c r="DE667" s="118"/>
      <c r="DF667" s="118"/>
      <c r="DG667" s="118"/>
      <c r="DH667" s="118"/>
      <c r="DI667" s="118"/>
      <c r="DJ667" s="118"/>
      <c r="DK667" s="118"/>
      <c r="DL667" s="118"/>
      <c r="DM667" s="118"/>
      <c r="DN667" s="118"/>
      <c r="DO667" s="118"/>
      <c r="DP667" s="118"/>
      <c r="DQ667" s="118"/>
      <c r="DR667" s="118"/>
      <c r="DS667" s="118"/>
      <c r="DT667" s="118"/>
      <c r="DU667" s="19"/>
      <c r="DV667" s="19"/>
      <c r="DW667" s="19"/>
      <c r="DX667" s="19"/>
      <c r="DY667" s="19"/>
      <c r="DZ667" s="19"/>
    </row>
    <row r="668" spans="1:130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18"/>
      <c r="BX668" s="118"/>
      <c r="BY668" s="118"/>
      <c r="BZ668" s="118"/>
      <c r="CA668" s="118"/>
      <c r="CB668" s="118"/>
      <c r="CC668" s="118"/>
      <c r="CD668" s="118"/>
      <c r="CE668" s="118"/>
      <c r="CF668" s="118"/>
      <c r="CG668" s="118"/>
      <c r="CH668" s="118"/>
      <c r="CI668" s="118"/>
      <c r="CJ668" s="118"/>
      <c r="CK668" s="118"/>
      <c r="CL668" s="118"/>
      <c r="CM668" s="118"/>
      <c r="CN668" s="118"/>
      <c r="CO668" s="118"/>
      <c r="CP668" s="118"/>
      <c r="CQ668" s="118"/>
      <c r="CR668" s="118"/>
      <c r="CS668" s="118"/>
      <c r="CT668" s="118"/>
      <c r="CU668" s="118"/>
      <c r="CV668" s="118"/>
      <c r="CW668" s="118"/>
      <c r="CX668" s="118"/>
      <c r="CY668" s="118"/>
      <c r="CZ668" s="118"/>
      <c r="DA668" s="118"/>
      <c r="DB668" s="118"/>
      <c r="DC668" s="118"/>
      <c r="DD668" s="118"/>
      <c r="DE668" s="118"/>
      <c r="DF668" s="118"/>
      <c r="DG668" s="118"/>
      <c r="DH668" s="118"/>
      <c r="DI668" s="118"/>
      <c r="DJ668" s="118"/>
      <c r="DK668" s="118"/>
      <c r="DL668" s="118"/>
      <c r="DM668" s="118"/>
      <c r="DN668" s="118"/>
      <c r="DO668" s="118"/>
      <c r="DP668" s="118"/>
      <c r="DQ668" s="118"/>
      <c r="DR668" s="118"/>
      <c r="DS668" s="118"/>
      <c r="DT668" s="118"/>
      <c r="DU668" s="19"/>
      <c r="DV668" s="19"/>
      <c r="DW668" s="19"/>
      <c r="DX668" s="19"/>
      <c r="DY668" s="19"/>
      <c r="DZ668" s="19"/>
    </row>
    <row r="669" spans="1:130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18"/>
      <c r="BX669" s="118"/>
      <c r="BY669" s="118"/>
      <c r="BZ669" s="118"/>
      <c r="CA669" s="118"/>
      <c r="CB669" s="118"/>
      <c r="CC669" s="118"/>
      <c r="CD669" s="118"/>
      <c r="CE669" s="118"/>
      <c r="CF669" s="118"/>
      <c r="CG669" s="118"/>
      <c r="CH669" s="118"/>
      <c r="CI669" s="118"/>
      <c r="CJ669" s="118"/>
      <c r="CK669" s="118"/>
      <c r="CL669" s="118"/>
      <c r="CM669" s="118"/>
      <c r="CN669" s="118"/>
      <c r="CO669" s="118"/>
      <c r="CP669" s="118"/>
      <c r="CQ669" s="118"/>
      <c r="CR669" s="118"/>
      <c r="CS669" s="118"/>
      <c r="CT669" s="118"/>
      <c r="CU669" s="118"/>
      <c r="CV669" s="118"/>
      <c r="CW669" s="118"/>
      <c r="CX669" s="118"/>
      <c r="CY669" s="118"/>
      <c r="CZ669" s="118"/>
      <c r="DA669" s="118"/>
      <c r="DB669" s="118"/>
      <c r="DC669" s="118"/>
      <c r="DD669" s="118"/>
      <c r="DE669" s="118"/>
      <c r="DF669" s="118"/>
      <c r="DG669" s="118"/>
      <c r="DH669" s="118"/>
      <c r="DI669" s="118"/>
      <c r="DJ669" s="118"/>
      <c r="DK669" s="118"/>
      <c r="DL669" s="118"/>
      <c r="DM669" s="118"/>
      <c r="DN669" s="118"/>
      <c r="DO669" s="118"/>
      <c r="DP669" s="118"/>
      <c r="DQ669" s="118"/>
      <c r="DR669" s="118"/>
      <c r="DS669" s="118"/>
      <c r="DT669" s="118"/>
      <c r="DU669" s="19"/>
      <c r="DV669" s="19"/>
      <c r="DW669" s="19"/>
      <c r="DX669" s="19"/>
      <c r="DY669" s="19"/>
      <c r="DZ669" s="19"/>
    </row>
    <row r="670" spans="1:130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18"/>
      <c r="BX670" s="118"/>
      <c r="BY670" s="118"/>
      <c r="BZ670" s="118"/>
      <c r="CA670" s="118"/>
      <c r="CB670" s="118"/>
      <c r="CC670" s="118"/>
      <c r="CD670" s="118"/>
      <c r="CE670" s="118"/>
      <c r="CF670" s="118"/>
      <c r="CG670" s="118"/>
      <c r="CH670" s="118"/>
      <c r="CI670" s="118"/>
      <c r="CJ670" s="118"/>
      <c r="CK670" s="118"/>
      <c r="CL670" s="118"/>
      <c r="CM670" s="118"/>
      <c r="CN670" s="118"/>
      <c r="CO670" s="118"/>
      <c r="CP670" s="118"/>
      <c r="CQ670" s="118"/>
      <c r="CR670" s="118"/>
      <c r="CS670" s="118"/>
      <c r="CT670" s="118"/>
      <c r="CU670" s="118"/>
      <c r="CV670" s="118"/>
      <c r="CW670" s="118"/>
      <c r="CX670" s="118"/>
      <c r="CY670" s="118"/>
      <c r="CZ670" s="118"/>
      <c r="DA670" s="118"/>
      <c r="DB670" s="118"/>
      <c r="DC670" s="118"/>
      <c r="DD670" s="118"/>
      <c r="DE670" s="118"/>
      <c r="DF670" s="118"/>
      <c r="DG670" s="118"/>
      <c r="DH670" s="118"/>
      <c r="DI670" s="118"/>
      <c r="DJ670" s="118"/>
      <c r="DK670" s="118"/>
      <c r="DL670" s="118"/>
      <c r="DM670" s="118"/>
      <c r="DN670" s="118"/>
      <c r="DO670" s="118"/>
      <c r="DP670" s="118"/>
      <c r="DQ670" s="118"/>
      <c r="DR670" s="118"/>
      <c r="DS670" s="118"/>
      <c r="DT670" s="118"/>
      <c r="DU670" s="19"/>
      <c r="DV670" s="19"/>
      <c r="DW670" s="19"/>
      <c r="DX670" s="19"/>
      <c r="DY670" s="19"/>
      <c r="DZ670" s="19"/>
    </row>
    <row r="671" spans="1:130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18"/>
      <c r="BX671" s="118"/>
      <c r="BY671" s="118"/>
      <c r="BZ671" s="118"/>
      <c r="CA671" s="118"/>
      <c r="CB671" s="118"/>
      <c r="CC671" s="118"/>
      <c r="CD671" s="118"/>
      <c r="CE671" s="118"/>
      <c r="CF671" s="118"/>
      <c r="CG671" s="118"/>
      <c r="CH671" s="118"/>
      <c r="CI671" s="118"/>
      <c r="CJ671" s="118"/>
      <c r="CK671" s="118"/>
      <c r="CL671" s="118"/>
      <c r="CM671" s="118"/>
      <c r="CN671" s="118"/>
      <c r="CO671" s="118"/>
      <c r="CP671" s="118"/>
      <c r="CQ671" s="118"/>
      <c r="CR671" s="118"/>
      <c r="CS671" s="118"/>
      <c r="CT671" s="118"/>
      <c r="CU671" s="118"/>
      <c r="CV671" s="118"/>
      <c r="CW671" s="118"/>
      <c r="CX671" s="118"/>
      <c r="CY671" s="118"/>
      <c r="CZ671" s="118"/>
      <c r="DA671" s="118"/>
      <c r="DB671" s="118"/>
      <c r="DC671" s="118"/>
      <c r="DD671" s="118"/>
      <c r="DE671" s="118"/>
      <c r="DF671" s="118"/>
      <c r="DG671" s="118"/>
      <c r="DH671" s="118"/>
      <c r="DI671" s="118"/>
      <c r="DJ671" s="118"/>
      <c r="DK671" s="118"/>
      <c r="DL671" s="118"/>
      <c r="DM671" s="118"/>
      <c r="DN671" s="118"/>
      <c r="DO671" s="118"/>
      <c r="DP671" s="118"/>
      <c r="DQ671" s="118"/>
      <c r="DR671" s="118"/>
      <c r="DS671" s="118"/>
      <c r="DT671" s="118"/>
      <c r="DU671" s="19"/>
      <c r="DV671" s="19"/>
      <c r="DW671" s="19"/>
      <c r="DX671" s="19"/>
      <c r="DY671" s="19"/>
      <c r="DZ671" s="19"/>
    </row>
    <row r="672" spans="1:130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18"/>
      <c r="BX672" s="118"/>
      <c r="BY672" s="118"/>
      <c r="BZ672" s="118"/>
      <c r="CA672" s="118"/>
      <c r="CB672" s="118"/>
      <c r="CC672" s="118"/>
      <c r="CD672" s="118"/>
      <c r="CE672" s="118"/>
      <c r="CF672" s="118"/>
      <c r="CG672" s="118"/>
      <c r="CH672" s="118"/>
      <c r="CI672" s="118"/>
      <c r="CJ672" s="118"/>
      <c r="CK672" s="118"/>
      <c r="CL672" s="118"/>
      <c r="CM672" s="118"/>
      <c r="CN672" s="118"/>
      <c r="CO672" s="118"/>
      <c r="CP672" s="118"/>
      <c r="CQ672" s="118"/>
      <c r="CR672" s="118"/>
      <c r="CS672" s="118"/>
      <c r="CT672" s="118"/>
      <c r="CU672" s="118"/>
      <c r="CV672" s="118"/>
      <c r="CW672" s="118"/>
      <c r="CX672" s="118"/>
      <c r="CY672" s="118"/>
      <c r="CZ672" s="118"/>
      <c r="DA672" s="118"/>
      <c r="DB672" s="118"/>
      <c r="DC672" s="118"/>
      <c r="DD672" s="118"/>
      <c r="DE672" s="118"/>
      <c r="DF672" s="118"/>
      <c r="DG672" s="118"/>
      <c r="DH672" s="118"/>
      <c r="DI672" s="118"/>
      <c r="DJ672" s="118"/>
      <c r="DK672" s="118"/>
      <c r="DL672" s="118"/>
      <c r="DM672" s="118"/>
      <c r="DN672" s="118"/>
      <c r="DO672" s="118"/>
      <c r="DP672" s="118"/>
      <c r="DQ672" s="118"/>
      <c r="DR672" s="118"/>
      <c r="DS672" s="118"/>
      <c r="DT672" s="118"/>
      <c r="DU672" s="19"/>
      <c r="DV672" s="19"/>
      <c r="DW672" s="19"/>
      <c r="DX672" s="19"/>
      <c r="DY672" s="19"/>
      <c r="DZ672" s="19"/>
    </row>
    <row r="673" spans="1:130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18"/>
      <c r="BX673" s="118"/>
      <c r="BY673" s="118"/>
      <c r="BZ673" s="118"/>
      <c r="CA673" s="118"/>
      <c r="CB673" s="118"/>
      <c r="CC673" s="118"/>
      <c r="CD673" s="118"/>
      <c r="CE673" s="118"/>
      <c r="CF673" s="118"/>
      <c r="CG673" s="118"/>
      <c r="CH673" s="118"/>
      <c r="CI673" s="118"/>
      <c r="CJ673" s="118"/>
      <c r="CK673" s="118"/>
      <c r="CL673" s="118"/>
      <c r="CM673" s="118"/>
      <c r="CN673" s="118"/>
      <c r="CO673" s="118"/>
      <c r="CP673" s="118"/>
      <c r="CQ673" s="118"/>
      <c r="CR673" s="118"/>
      <c r="CS673" s="118"/>
      <c r="CT673" s="118"/>
      <c r="CU673" s="118"/>
      <c r="CV673" s="118"/>
      <c r="CW673" s="118"/>
      <c r="CX673" s="118"/>
      <c r="CY673" s="118"/>
      <c r="CZ673" s="118"/>
      <c r="DA673" s="118"/>
      <c r="DB673" s="118"/>
      <c r="DC673" s="118"/>
      <c r="DD673" s="118"/>
      <c r="DE673" s="118"/>
      <c r="DF673" s="118"/>
      <c r="DG673" s="118"/>
      <c r="DH673" s="118"/>
      <c r="DI673" s="118"/>
      <c r="DJ673" s="118"/>
      <c r="DK673" s="118"/>
      <c r="DL673" s="118"/>
      <c r="DM673" s="118"/>
      <c r="DN673" s="118"/>
      <c r="DO673" s="118"/>
      <c r="DP673" s="118"/>
      <c r="DQ673" s="118"/>
      <c r="DR673" s="118"/>
      <c r="DS673" s="118"/>
      <c r="DT673" s="118"/>
      <c r="DU673" s="19"/>
      <c r="DV673" s="19"/>
      <c r="DW673" s="19"/>
      <c r="DX673" s="19"/>
      <c r="DY673" s="19"/>
      <c r="DZ673" s="19"/>
    </row>
    <row r="674" spans="1:130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18"/>
      <c r="BX674" s="118"/>
      <c r="BY674" s="118"/>
      <c r="BZ674" s="118"/>
      <c r="CA674" s="118"/>
      <c r="CB674" s="118"/>
      <c r="CC674" s="118"/>
      <c r="CD674" s="118"/>
      <c r="CE674" s="118"/>
      <c r="CF674" s="118"/>
      <c r="CG674" s="118"/>
      <c r="CH674" s="118"/>
      <c r="CI674" s="118"/>
      <c r="CJ674" s="118"/>
      <c r="CK674" s="118"/>
      <c r="CL674" s="118"/>
      <c r="CM674" s="118"/>
      <c r="CN674" s="118"/>
      <c r="CO674" s="118"/>
      <c r="CP674" s="118"/>
      <c r="CQ674" s="118"/>
      <c r="CR674" s="118"/>
      <c r="CS674" s="118"/>
      <c r="CT674" s="118"/>
      <c r="CU674" s="118"/>
      <c r="CV674" s="118"/>
      <c r="CW674" s="118"/>
      <c r="CX674" s="118"/>
      <c r="CY674" s="118"/>
      <c r="CZ674" s="118"/>
      <c r="DA674" s="118"/>
      <c r="DB674" s="118"/>
      <c r="DC674" s="118"/>
      <c r="DD674" s="118"/>
      <c r="DE674" s="118"/>
      <c r="DF674" s="118"/>
      <c r="DG674" s="118"/>
      <c r="DH674" s="118"/>
      <c r="DI674" s="118"/>
      <c r="DJ674" s="118"/>
      <c r="DK674" s="118"/>
      <c r="DL674" s="118"/>
      <c r="DM674" s="118"/>
      <c r="DN674" s="118"/>
      <c r="DO674" s="118"/>
      <c r="DP674" s="118"/>
      <c r="DQ674" s="118"/>
      <c r="DR674" s="118"/>
      <c r="DS674" s="118"/>
      <c r="DT674" s="118"/>
      <c r="DU674" s="19"/>
      <c r="DV674" s="19"/>
      <c r="DW674" s="19"/>
      <c r="DX674" s="19"/>
      <c r="DY674" s="19"/>
      <c r="DZ674" s="19"/>
    </row>
    <row r="675" spans="1:130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18"/>
      <c r="BX675" s="118"/>
      <c r="BY675" s="118"/>
      <c r="BZ675" s="118"/>
      <c r="CA675" s="118"/>
      <c r="CB675" s="118"/>
      <c r="CC675" s="118"/>
      <c r="CD675" s="118"/>
      <c r="CE675" s="118"/>
      <c r="CF675" s="118"/>
      <c r="CG675" s="118"/>
      <c r="CH675" s="118"/>
      <c r="CI675" s="118"/>
      <c r="CJ675" s="118"/>
      <c r="CK675" s="118"/>
      <c r="CL675" s="118"/>
      <c r="CM675" s="118"/>
      <c r="CN675" s="118"/>
      <c r="CO675" s="118"/>
      <c r="CP675" s="118"/>
      <c r="CQ675" s="118"/>
      <c r="CR675" s="118"/>
      <c r="CS675" s="118"/>
      <c r="CT675" s="118"/>
      <c r="CU675" s="118"/>
      <c r="CV675" s="118"/>
      <c r="CW675" s="118"/>
      <c r="CX675" s="118"/>
      <c r="CY675" s="118"/>
      <c r="CZ675" s="118"/>
      <c r="DA675" s="118"/>
      <c r="DB675" s="118"/>
      <c r="DC675" s="118"/>
      <c r="DD675" s="118"/>
      <c r="DE675" s="118"/>
      <c r="DF675" s="118"/>
      <c r="DG675" s="118"/>
      <c r="DH675" s="118"/>
      <c r="DI675" s="118"/>
      <c r="DJ675" s="118"/>
      <c r="DK675" s="118"/>
      <c r="DL675" s="118"/>
      <c r="DM675" s="118"/>
      <c r="DN675" s="118"/>
      <c r="DO675" s="118"/>
      <c r="DP675" s="118"/>
      <c r="DQ675" s="118"/>
      <c r="DR675" s="118"/>
      <c r="DS675" s="118"/>
      <c r="DT675" s="118"/>
      <c r="DU675" s="19"/>
      <c r="DV675" s="19"/>
      <c r="DW675" s="19"/>
      <c r="DX675" s="19"/>
      <c r="DY675" s="19"/>
      <c r="DZ675" s="19"/>
    </row>
    <row r="676" spans="1:130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18"/>
      <c r="BX676" s="118"/>
      <c r="BY676" s="118"/>
      <c r="BZ676" s="118"/>
      <c r="CA676" s="118"/>
      <c r="CB676" s="118"/>
      <c r="CC676" s="118"/>
      <c r="CD676" s="118"/>
      <c r="CE676" s="118"/>
      <c r="CF676" s="118"/>
      <c r="CG676" s="118"/>
      <c r="CH676" s="118"/>
      <c r="CI676" s="118"/>
      <c r="CJ676" s="118"/>
      <c r="CK676" s="118"/>
      <c r="CL676" s="118"/>
      <c r="CM676" s="118"/>
      <c r="CN676" s="118"/>
      <c r="CO676" s="118"/>
      <c r="CP676" s="118"/>
      <c r="CQ676" s="118"/>
      <c r="CR676" s="118"/>
      <c r="CS676" s="118"/>
      <c r="CT676" s="118"/>
      <c r="CU676" s="118"/>
      <c r="CV676" s="118"/>
      <c r="CW676" s="118"/>
      <c r="CX676" s="118"/>
      <c r="CY676" s="118"/>
      <c r="CZ676" s="118"/>
      <c r="DA676" s="118"/>
      <c r="DB676" s="118"/>
      <c r="DC676" s="118"/>
      <c r="DD676" s="118"/>
      <c r="DE676" s="118"/>
      <c r="DF676" s="118"/>
      <c r="DG676" s="118"/>
      <c r="DH676" s="118"/>
      <c r="DI676" s="118"/>
      <c r="DJ676" s="118"/>
      <c r="DK676" s="118"/>
      <c r="DL676" s="118"/>
      <c r="DM676" s="118"/>
      <c r="DN676" s="118"/>
      <c r="DO676" s="118"/>
      <c r="DP676" s="118"/>
      <c r="DQ676" s="118"/>
      <c r="DR676" s="118"/>
      <c r="DS676" s="118"/>
      <c r="DT676" s="118"/>
      <c r="DU676" s="19"/>
      <c r="DV676" s="19"/>
      <c r="DW676" s="19"/>
      <c r="DX676" s="19"/>
      <c r="DY676" s="19"/>
      <c r="DZ676" s="19"/>
    </row>
    <row r="677" spans="1:130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18"/>
      <c r="BX677" s="118"/>
      <c r="BY677" s="118"/>
      <c r="BZ677" s="118"/>
      <c r="CA677" s="118"/>
      <c r="CB677" s="118"/>
      <c r="CC677" s="118"/>
      <c r="CD677" s="118"/>
      <c r="CE677" s="118"/>
      <c r="CF677" s="118"/>
      <c r="CG677" s="118"/>
      <c r="CH677" s="118"/>
      <c r="CI677" s="118"/>
      <c r="CJ677" s="118"/>
      <c r="CK677" s="118"/>
      <c r="CL677" s="118"/>
      <c r="CM677" s="118"/>
      <c r="CN677" s="118"/>
      <c r="CO677" s="118"/>
      <c r="CP677" s="118"/>
      <c r="CQ677" s="118"/>
      <c r="CR677" s="118"/>
      <c r="CS677" s="118"/>
      <c r="CT677" s="118"/>
      <c r="CU677" s="118"/>
      <c r="CV677" s="118"/>
      <c r="CW677" s="118"/>
      <c r="CX677" s="118"/>
      <c r="CY677" s="118"/>
      <c r="CZ677" s="118"/>
      <c r="DA677" s="118"/>
      <c r="DB677" s="118"/>
      <c r="DC677" s="118"/>
      <c r="DD677" s="118"/>
      <c r="DE677" s="118"/>
      <c r="DF677" s="118"/>
      <c r="DG677" s="118"/>
      <c r="DH677" s="118"/>
      <c r="DI677" s="118"/>
      <c r="DJ677" s="118"/>
      <c r="DK677" s="118"/>
      <c r="DL677" s="118"/>
      <c r="DM677" s="118"/>
      <c r="DN677" s="118"/>
      <c r="DO677" s="118"/>
      <c r="DP677" s="118"/>
      <c r="DQ677" s="118"/>
      <c r="DR677" s="118"/>
      <c r="DS677" s="118"/>
      <c r="DT677" s="118"/>
      <c r="DU677" s="19"/>
      <c r="DV677" s="19"/>
      <c r="DW677" s="19"/>
      <c r="DX677" s="19"/>
      <c r="DY677" s="19"/>
      <c r="DZ677" s="19"/>
    </row>
    <row r="678" spans="1:130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18"/>
      <c r="BX678" s="118"/>
      <c r="BY678" s="118"/>
      <c r="BZ678" s="118"/>
      <c r="CA678" s="118"/>
      <c r="CB678" s="118"/>
      <c r="CC678" s="118"/>
      <c r="CD678" s="118"/>
      <c r="CE678" s="118"/>
      <c r="CF678" s="118"/>
      <c r="CG678" s="118"/>
      <c r="CH678" s="118"/>
      <c r="CI678" s="118"/>
      <c r="CJ678" s="118"/>
      <c r="CK678" s="118"/>
      <c r="CL678" s="118"/>
      <c r="CM678" s="118"/>
      <c r="CN678" s="118"/>
      <c r="CO678" s="118"/>
      <c r="CP678" s="118"/>
      <c r="CQ678" s="118"/>
      <c r="CR678" s="118"/>
      <c r="CS678" s="118"/>
      <c r="CT678" s="118"/>
      <c r="CU678" s="118"/>
      <c r="CV678" s="118"/>
      <c r="CW678" s="118"/>
      <c r="CX678" s="118"/>
      <c r="CY678" s="118"/>
      <c r="CZ678" s="118"/>
      <c r="DA678" s="118"/>
      <c r="DB678" s="118"/>
      <c r="DC678" s="118"/>
      <c r="DD678" s="118"/>
      <c r="DE678" s="118"/>
      <c r="DF678" s="118"/>
      <c r="DG678" s="118"/>
      <c r="DH678" s="118"/>
      <c r="DI678" s="118"/>
      <c r="DJ678" s="118"/>
      <c r="DK678" s="118"/>
      <c r="DL678" s="118"/>
      <c r="DM678" s="118"/>
      <c r="DN678" s="118"/>
      <c r="DO678" s="118"/>
      <c r="DP678" s="118"/>
      <c r="DQ678" s="118"/>
      <c r="DR678" s="118"/>
      <c r="DS678" s="118"/>
      <c r="DT678" s="118"/>
      <c r="DU678" s="19"/>
      <c r="DV678" s="19"/>
      <c r="DW678" s="19"/>
      <c r="DX678" s="19"/>
      <c r="DY678" s="19"/>
      <c r="DZ678" s="19"/>
    </row>
    <row r="679" spans="1:130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18"/>
      <c r="BX679" s="118"/>
      <c r="BY679" s="118"/>
      <c r="BZ679" s="118"/>
      <c r="CA679" s="118"/>
      <c r="CB679" s="118"/>
      <c r="CC679" s="118"/>
      <c r="CD679" s="118"/>
      <c r="CE679" s="118"/>
      <c r="CF679" s="118"/>
      <c r="CG679" s="118"/>
      <c r="CH679" s="118"/>
      <c r="CI679" s="118"/>
      <c r="CJ679" s="118"/>
      <c r="CK679" s="118"/>
      <c r="CL679" s="118"/>
      <c r="CM679" s="118"/>
      <c r="CN679" s="118"/>
      <c r="CO679" s="118"/>
      <c r="CP679" s="118"/>
      <c r="CQ679" s="118"/>
      <c r="CR679" s="118"/>
      <c r="CS679" s="118"/>
      <c r="CT679" s="118"/>
      <c r="CU679" s="118"/>
      <c r="CV679" s="118"/>
      <c r="CW679" s="118"/>
      <c r="CX679" s="118"/>
      <c r="CY679" s="118"/>
      <c r="CZ679" s="118"/>
      <c r="DA679" s="118"/>
      <c r="DB679" s="118"/>
      <c r="DC679" s="118"/>
      <c r="DD679" s="118"/>
      <c r="DE679" s="118"/>
      <c r="DF679" s="118"/>
      <c r="DG679" s="118"/>
      <c r="DH679" s="118"/>
      <c r="DI679" s="118"/>
      <c r="DJ679" s="118"/>
      <c r="DK679" s="118"/>
      <c r="DL679" s="118"/>
      <c r="DM679" s="118"/>
      <c r="DN679" s="118"/>
      <c r="DO679" s="118"/>
      <c r="DP679" s="118"/>
      <c r="DQ679" s="118"/>
      <c r="DR679" s="118"/>
      <c r="DS679" s="118"/>
      <c r="DT679" s="118"/>
      <c r="DU679" s="19"/>
      <c r="DV679" s="19"/>
      <c r="DW679" s="19"/>
      <c r="DX679" s="19"/>
      <c r="DY679" s="19"/>
      <c r="DZ679" s="19"/>
    </row>
    <row r="680" spans="1:130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18"/>
      <c r="BX680" s="118"/>
      <c r="BY680" s="118"/>
      <c r="BZ680" s="118"/>
      <c r="CA680" s="118"/>
      <c r="CB680" s="118"/>
      <c r="CC680" s="118"/>
      <c r="CD680" s="118"/>
      <c r="CE680" s="118"/>
      <c r="CF680" s="118"/>
      <c r="CG680" s="118"/>
      <c r="CH680" s="118"/>
      <c r="CI680" s="118"/>
      <c r="CJ680" s="118"/>
      <c r="CK680" s="118"/>
      <c r="CL680" s="118"/>
      <c r="CM680" s="118"/>
      <c r="CN680" s="118"/>
      <c r="CO680" s="118"/>
      <c r="CP680" s="118"/>
      <c r="CQ680" s="118"/>
      <c r="CR680" s="118"/>
      <c r="CS680" s="118"/>
      <c r="CT680" s="118"/>
      <c r="CU680" s="118"/>
      <c r="CV680" s="118"/>
      <c r="CW680" s="118"/>
      <c r="CX680" s="118"/>
      <c r="CY680" s="118"/>
      <c r="CZ680" s="118"/>
      <c r="DA680" s="118"/>
      <c r="DB680" s="118"/>
      <c r="DC680" s="118"/>
      <c r="DD680" s="118"/>
      <c r="DE680" s="118"/>
      <c r="DF680" s="118"/>
      <c r="DG680" s="118"/>
      <c r="DH680" s="118"/>
      <c r="DI680" s="118"/>
      <c r="DJ680" s="118"/>
      <c r="DK680" s="118"/>
      <c r="DL680" s="118"/>
      <c r="DM680" s="118"/>
      <c r="DN680" s="118"/>
      <c r="DO680" s="118"/>
      <c r="DP680" s="118"/>
      <c r="DQ680" s="118"/>
      <c r="DR680" s="118"/>
      <c r="DS680" s="118"/>
      <c r="DT680" s="118"/>
      <c r="DU680" s="19"/>
      <c r="DV680" s="19"/>
      <c r="DW680" s="19"/>
      <c r="DX680" s="19"/>
      <c r="DY680" s="19"/>
      <c r="DZ680" s="19"/>
    </row>
    <row r="681" spans="1:130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18"/>
      <c r="BX681" s="118"/>
      <c r="BY681" s="118"/>
      <c r="BZ681" s="118"/>
      <c r="CA681" s="118"/>
      <c r="CB681" s="118"/>
      <c r="CC681" s="118"/>
      <c r="CD681" s="118"/>
      <c r="CE681" s="118"/>
      <c r="CF681" s="118"/>
      <c r="CG681" s="118"/>
      <c r="CH681" s="118"/>
      <c r="CI681" s="118"/>
      <c r="CJ681" s="118"/>
      <c r="CK681" s="118"/>
      <c r="CL681" s="118"/>
      <c r="CM681" s="118"/>
      <c r="CN681" s="118"/>
      <c r="CO681" s="118"/>
      <c r="CP681" s="118"/>
      <c r="CQ681" s="118"/>
      <c r="CR681" s="118"/>
      <c r="CS681" s="118"/>
      <c r="CT681" s="118"/>
      <c r="CU681" s="118"/>
      <c r="CV681" s="118"/>
      <c r="CW681" s="118"/>
      <c r="CX681" s="118"/>
      <c r="CY681" s="118"/>
      <c r="CZ681" s="118"/>
      <c r="DA681" s="118"/>
      <c r="DB681" s="118"/>
      <c r="DC681" s="118"/>
      <c r="DD681" s="118"/>
      <c r="DE681" s="118"/>
      <c r="DF681" s="118"/>
      <c r="DG681" s="118"/>
      <c r="DH681" s="118"/>
      <c r="DI681" s="118"/>
      <c r="DJ681" s="118"/>
      <c r="DK681" s="118"/>
      <c r="DL681" s="118"/>
      <c r="DM681" s="118"/>
      <c r="DN681" s="118"/>
      <c r="DO681" s="118"/>
      <c r="DP681" s="118"/>
      <c r="DQ681" s="118"/>
      <c r="DR681" s="118"/>
      <c r="DS681" s="118"/>
      <c r="DT681" s="118"/>
      <c r="DU681" s="19"/>
      <c r="DV681" s="19"/>
      <c r="DW681" s="19"/>
      <c r="DX681" s="19"/>
      <c r="DY681" s="19"/>
      <c r="DZ681" s="19"/>
    </row>
    <row r="682" spans="1:130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18"/>
      <c r="BX682" s="118"/>
      <c r="BY682" s="118"/>
      <c r="BZ682" s="118"/>
      <c r="CA682" s="118"/>
      <c r="CB682" s="118"/>
      <c r="CC682" s="118"/>
      <c r="CD682" s="118"/>
      <c r="CE682" s="118"/>
      <c r="CF682" s="118"/>
      <c r="CG682" s="118"/>
      <c r="CH682" s="118"/>
      <c r="CI682" s="118"/>
      <c r="CJ682" s="118"/>
      <c r="CK682" s="118"/>
      <c r="CL682" s="118"/>
      <c r="CM682" s="118"/>
      <c r="CN682" s="118"/>
      <c r="CO682" s="118"/>
      <c r="CP682" s="118"/>
      <c r="CQ682" s="118"/>
      <c r="CR682" s="118"/>
      <c r="CS682" s="118"/>
      <c r="CT682" s="118"/>
      <c r="CU682" s="118"/>
      <c r="CV682" s="118"/>
      <c r="CW682" s="118"/>
      <c r="CX682" s="118"/>
      <c r="CY682" s="118"/>
      <c r="CZ682" s="118"/>
      <c r="DA682" s="118"/>
      <c r="DB682" s="118"/>
      <c r="DC682" s="118"/>
      <c r="DD682" s="118"/>
      <c r="DE682" s="118"/>
      <c r="DF682" s="118"/>
      <c r="DG682" s="118"/>
      <c r="DH682" s="118"/>
      <c r="DI682" s="118"/>
      <c r="DJ682" s="118"/>
      <c r="DK682" s="118"/>
      <c r="DL682" s="118"/>
      <c r="DM682" s="118"/>
      <c r="DN682" s="118"/>
      <c r="DO682" s="118"/>
      <c r="DP682" s="118"/>
      <c r="DQ682" s="118"/>
      <c r="DR682" s="118"/>
      <c r="DS682" s="118"/>
      <c r="DT682" s="118"/>
      <c r="DU682" s="19"/>
      <c r="DV682" s="19"/>
      <c r="DW682" s="19"/>
      <c r="DX682" s="19"/>
      <c r="DY682" s="19"/>
      <c r="DZ682" s="19"/>
    </row>
    <row r="683" spans="1:130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18"/>
      <c r="BX683" s="118"/>
      <c r="BY683" s="118"/>
      <c r="BZ683" s="118"/>
      <c r="CA683" s="118"/>
      <c r="CB683" s="118"/>
      <c r="CC683" s="118"/>
      <c r="CD683" s="118"/>
      <c r="CE683" s="118"/>
      <c r="CF683" s="118"/>
      <c r="CG683" s="118"/>
      <c r="CH683" s="118"/>
      <c r="CI683" s="118"/>
      <c r="CJ683" s="118"/>
      <c r="CK683" s="118"/>
      <c r="CL683" s="118"/>
      <c r="CM683" s="118"/>
      <c r="CN683" s="118"/>
      <c r="CO683" s="118"/>
      <c r="CP683" s="118"/>
      <c r="CQ683" s="118"/>
      <c r="CR683" s="118"/>
      <c r="CS683" s="118"/>
      <c r="CT683" s="118"/>
      <c r="CU683" s="118"/>
      <c r="CV683" s="118"/>
      <c r="CW683" s="118"/>
      <c r="CX683" s="118"/>
      <c r="CY683" s="118"/>
      <c r="CZ683" s="118"/>
      <c r="DA683" s="118"/>
      <c r="DB683" s="118"/>
      <c r="DC683" s="118"/>
      <c r="DD683" s="118"/>
      <c r="DE683" s="118"/>
      <c r="DF683" s="118"/>
      <c r="DG683" s="118"/>
      <c r="DH683" s="118"/>
      <c r="DI683" s="118"/>
      <c r="DJ683" s="118"/>
      <c r="DK683" s="118"/>
      <c r="DL683" s="118"/>
      <c r="DM683" s="118"/>
      <c r="DN683" s="118"/>
      <c r="DO683" s="118"/>
      <c r="DP683" s="118"/>
      <c r="DQ683" s="118"/>
      <c r="DR683" s="118"/>
      <c r="DS683" s="118"/>
      <c r="DT683" s="118"/>
      <c r="DU683" s="19"/>
      <c r="DV683" s="19"/>
      <c r="DW683" s="19"/>
      <c r="DX683" s="19"/>
      <c r="DY683" s="19"/>
      <c r="DZ683" s="19"/>
    </row>
    <row r="684" spans="1:130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18"/>
      <c r="BX684" s="118"/>
      <c r="BY684" s="118"/>
      <c r="BZ684" s="118"/>
      <c r="CA684" s="118"/>
      <c r="CB684" s="118"/>
      <c r="CC684" s="118"/>
      <c r="CD684" s="118"/>
      <c r="CE684" s="118"/>
      <c r="CF684" s="118"/>
      <c r="CG684" s="118"/>
      <c r="CH684" s="118"/>
      <c r="CI684" s="118"/>
      <c r="CJ684" s="118"/>
      <c r="CK684" s="118"/>
      <c r="CL684" s="118"/>
      <c r="CM684" s="118"/>
      <c r="CN684" s="118"/>
      <c r="CO684" s="118"/>
      <c r="CP684" s="118"/>
      <c r="CQ684" s="118"/>
      <c r="CR684" s="118"/>
      <c r="CS684" s="118"/>
      <c r="CT684" s="118"/>
      <c r="CU684" s="118"/>
      <c r="CV684" s="118"/>
      <c r="CW684" s="118"/>
      <c r="CX684" s="118"/>
      <c r="CY684" s="118"/>
      <c r="CZ684" s="118"/>
      <c r="DA684" s="118"/>
      <c r="DB684" s="118"/>
      <c r="DC684" s="118"/>
      <c r="DD684" s="118"/>
      <c r="DE684" s="118"/>
      <c r="DF684" s="118"/>
      <c r="DG684" s="118"/>
      <c r="DH684" s="118"/>
      <c r="DI684" s="118"/>
      <c r="DJ684" s="118"/>
      <c r="DK684" s="118"/>
      <c r="DL684" s="118"/>
      <c r="DM684" s="118"/>
      <c r="DN684" s="118"/>
      <c r="DO684" s="118"/>
      <c r="DP684" s="118"/>
      <c r="DQ684" s="118"/>
      <c r="DR684" s="118"/>
      <c r="DS684" s="118"/>
      <c r="DT684" s="118"/>
      <c r="DU684" s="19"/>
      <c r="DV684" s="19"/>
      <c r="DW684" s="19"/>
      <c r="DX684" s="19"/>
      <c r="DY684" s="19"/>
      <c r="DZ684" s="19"/>
    </row>
    <row r="685" spans="1:130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18"/>
      <c r="BX685" s="118"/>
      <c r="BY685" s="118"/>
      <c r="BZ685" s="118"/>
      <c r="CA685" s="118"/>
      <c r="CB685" s="118"/>
      <c r="CC685" s="118"/>
      <c r="CD685" s="118"/>
      <c r="CE685" s="118"/>
      <c r="CF685" s="118"/>
      <c r="CG685" s="118"/>
      <c r="CH685" s="118"/>
      <c r="CI685" s="118"/>
      <c r="CJ685" s="118"/>
      <c r="CK685" s="118"/>
      <c r="CL685" s="118"/>
      <c r="CM685" s="118"/>
      <c r="CN685" s="118"/>
      <c r="CO685" s="118"/>
      <c r="CP685" s="118"/>
      <c r="CQ685" s="118"/>
      <c r="CR685" s="118"/>
      <c r="CS685" s="118"/>
      <c r="CT685" s="118"/>
      <c r="CU685" s="118"/>
      <c r="CV685" s="118"/>
      <c r="CW685" s="118"/>
      <c r="CX685" s="118"/>
      <c r="CY685" s="118"/>
      <c r="CZ685" s="118"/>
      <c r="DA685" s="118"/>
      <c r="DB685" s="118"/>
      <c r="DC685" s="118"/>
      <c r="DD685" s="118"/>
      <c r="DE685" s="118"/>
      <c r="DF685" s="118"/>
      <c r="DG685" s="118"/>
      <c r="DH685" s="118"/>
      <c r="DI685" s="118"/>
      <c r="DJ685" s="118"/>
      <c r="DK685" s="118"/>
      <c r="DL685" s="118"/>
      <c r="DM685" s="118"/>
      <c r="DN685" s="118"/>
      <c r="DO685" s="118"/>
      <c r="DP685" s="118"/>
      <c r="DQ685" s="118"/>
      <c r="DR685" s="118"/>
      <c r="DS685" s="118"/>
      <c r="DT685" s="118"/>
      <c r="DU685" s="19"/>
      <c r="DV685" s="19"/>
      <c r="DW685" s="19"/>
      <c r="DX685" s="19"/>
      <c r="DY685" s="19"/>
      <c r="DZ685" s="19"/>
    </row>
    <row r="686" spans="1:130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18"/>
      <c r="BX686" s="118"/>
      <c r="BY686" s="118"/>
      <c r="BZ686" s="118"/>
      <c r="CA686" s="118"/>
      <c r="CB686" s="118"/>
      <c r="CC686" s="118"/>
      <c r="CD686" s="118"/>
      <c r="CE686" s="118"/>
      <c r="CF686" s="118"/>
      <c r="CG686" s="118"/>
      <c r="CH686" s="118"/>
      <c r="CI686" s="118"/>
      <c r="CJ686" s="118"/>
      <c r="CK686" s="118"/>
      <c r="CL686" s="118"/>
      <c r="CM686" s="118"/>
      <c r="CN686" s="118"/>
      <c r="CO686" s="118"/>
      <c r="CP686" s="118"/>
      <c r="CQ686" s="118"/>
      <c r="CR686" s="118"/>
      <c r="CS686" s="118"/>
      <c r="CT686" s="118"/>
      <c r="CU686" s="118"/>
      <c r="CV686" s="118"/>
      <c r="CW686" s="118"/>
      <c r="CX686" s="118"/>
      <c r="CY686" s="118"/>
      <c r="CZ686" s="118"/>
      <c r="DA686" s="118"/>
      <c r="DB686" s="118"/>
      <c r="DC686" s="118"/>
      <c r="DD686" s="118"/>
      <c r="DE686" s="118"/>
      <c r="DF686" s="118"/>
      <c r="DG686" s="118"/>
      <c r="DH686" s="118"/>
      <c r="DI686" s="118"/>
      <c r="DJ686" s="118"/>
      <c r="DK686" s="118"/>
      <c r="DL686" s="118"/>
      <c r="DM686" s="118"/>
      <c r="DN686" s="118"/>
      <c r="DO686" s="118"/>
      <c r="DP686" s="118"/>
      <c r="DQ686" s="118"/>
      <c r="DR686" s="118"/>
      <c r="DS686" s="118"/>
      <c r="DT686" s="118"/>
      <c r="DU686" s="19"/>
      <c r="DV686" s="19"/>
      <c r="DW686" s="19"/>
      <c r="DX686" s="19"/>
      <c r="DY686" s="19"/>
      <c r="DZ686" s="19"/>
    </row>
    <row r="687" spans="1:130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18"/>
      <c r="BX687" s="118"/>
      <c r="BY687" s="118"/>
      <c r="BZ687" s="118"/>
      <c r="CA687" s="118"/>
      <c r="CB687" s="118"/>
      <c r="CC687" s="118"/>
      <c r="CD687" s="118"/>
      <c r="CE687" s="118"/>
      <c r="CF687" s="118"/>
      <c r="CG687" s="118"/>
      <c r="CH687" s="118"/>
      <c r="CI687" s="118"/>
      <c r="CJ687" s="118"/>
      <c r="CK687" s="118"/>
      <c r="CL687" s="118"/>
      <c r="CM687" s="118"/>
      <c r="CN687" s="118"/>
      <c r="CO687" s="118"/>
      <c r="CP687" s="118"/>
      <c r="CQ687" s="118"/>
      <c r="CR687" s="118"/>
      <c r="CS687" s="118"/>
      <c r="CT687" s="118"/>
      <c r="CU687" s="118"/>
      <c r="CV687" s="118"/>
      <c r="CW687" s="118"/>
      <c r="CX687" s="118"/>
      <c r="CY687" s="118"/>
      <c r="CZ687" s="118"/>
      <c r="DA687" s="118"/>
      <c r="DB687" s="118"/>
      <c r="DC687" s="118"/>
      <c r="DD687" s="118"/>
      <c r="DE687" s="118"/>
      <c r="DF687" s="118"/>
      <c r="DG687" s="118"/>
      <c r="DH687" s="118"/>
      <c r="DI687" s="118"/>
      <c r="DJ687" s="118"/>
      <c r="DK687" s="118"/>
      <c r="DL687" s="118"/>
      <c r="DM687" s="118"/>
      <c r="DN687" s="118"/>
      <c r="DO687" s="118"/>
      <c r="DP687" s="118"/>
      <c r="DQ687" s="118"/>
      <c r="DR687" s="118"/>
      <c r="DS687" s="118"/>
      <c r="DT687" s="118"/>
      <c r="DU687" s="19"/>
      <c r="DV687" s="19"/>
      <c r="DW687" s="19"/>
      <c r="DX687" s="19"/>
      <c r="DY687" s="19"/>
      <c r="DZ687" s="19"/>
    </row>
    <row r="688" spans="1:130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18"/>
      <c r="BX688" s="118"/>
      <c r="BY688" s="118"/>
      <c r="BZ688" s="118"/>
      <c r="CA688" s="118"/>
      <c r="CB688" s="118"/>
      <c r="CC688" s="118"/>
      <c r="CD688" s="118"/>
      <c r="CE688" s="118"/>
      <c r="CF688" s="118"/>
      <c r="CG688" s="118"/>
      <c r="CH688" s="118"/>
      <c r="CI688" s="118"/>
      <c r="CJ688" s="118"/>
      <c r="CK688" s="118"/>
      <c r="CL688" s="118"/>
      <c r="CM688" s="118"/>
      <c r="CN688" s="118"/>
      <c r="CO688" s="118"/>
      <c r="CP688" s="118"/>
      <c r="CQ688" s="118"/>
      <c r="CR688" s="118"/>
      <c r="CS688" s="118"/>
      <c r="CT688" s="118"/>
      <c r="CU688" s="118"/>
      <c r="CV688" s="118"/>
      <c r="CW688" s="118"/>
      <c r="CX688" s="118"/>
      <c r="CY688" s="118"/>
      <c r="CZ688" s="118"/>
      <c r="DA688" s="118"/>
      <c r="DB688" s="118"/>
      <c r="DC688" s="118"/>
      <c r="DD688" s="118"/>
      <c r="DE688" s="118"/>
      <c r="DF688" s="118"/>
      <c r="DG688" s="118"/>
      <c r="DH688" s="118"/>
      <c r="DI688" s="118"/>
      <c r="DJ688" s="118"/>
      <c r="DK688" s="118"/>
      <c r="DL688" s="118"/>
      <c r="DM688" s="118"/>
      <c r="DN688" s="118"/>
      <c r="DO688" s="118"/>
      <c r="DP688" s="118"/>
      <c r="DQ688" s="118"/>
      <c r="DR688" s="118"/>
      <c r="DS688" s="118"/>
      <c r="DT688" s="118"/>
      <c r="DU688" s="19"/>
      <c r="DV688" s="19"/>
      <c r="DW688" s="19"/>
      <c r="DX688" s="19"/>
      <c r="DY688" s="19"/>
      <c r="DZ688" s="19"/>
    </row>
    <row r="689" spans="1:130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18"/>
      <c r="BX689" s="118"/>
      <c r="BY689" s="118"/>
      <c r="BZ689" s="118"/>
      <c r="CA689" s="118"/>
      <c r="CB689" s="118"/>
      <c r="CC689" s="118"/>
      <c r="CD689" s="118"/>
      <c r="CE689" s="118"/>
      <c r="CF689" s="118"/>
      <c r="CG689" s="118"/>
      <c r="CH689" s="118"/>
      <c r="CI689" s="118"/>
      <c r="CJ689" s="118"/>
      <c r="CK689" s="118"/>
      <c r="CL689" s="118"/>
      <c r="CM689" s="118"/>
      <c r="CN689" s="118"/>
      <c r="CO689" s="118"/>
      <c r="CP689" s="118"/>
      <c r="CQ689" s="118"/>
      <c r="CR689" s="118"/>
      <c r="CS689" s="118"/>
      <c r="CT689" s="118"/>
      <c r="CU689" s="118"/>
      <c r="CV689" s="118"/>
      <c r="CW689" s="118"/>
      <c r="CX689" s="118"/>
      <c r="CY689" s="118"/>
      <c r="CZ689" s="118"/>
      <c r="DA689" s="118"/>
      <c r="DB689" s="118"/>
      <c r="DC689" s="118"/>
      <c r="DD689" s="118"/>
      <c r="DE689" s="118"/>
      <c r="DF689" s="118"/>
      <c r="DG689" s="118"/>
      <c r="DH689" s="118"/>
      <c r="DI689" s="118"/>
      <c r="DJ689" s="118"/>
      <c r="DK689" s="118"/>
      <c r="DL689" s="118"/>
      <c r="DM689" s="118"/>
      <c r="DN689" s="118"/>
      <c r="DO689" s="118"/>
      <c r="DP689" s="118"/>
      <c r="DQ689" s="118"/>
      <c r="DR689" s="118"/>
      <c r="DS689" s="118"/>
      <c r="DT689" s="118"/>
      <c r="DU689" s="19"/>
      <c r="DV689" s="19"/>
      <c r="DW689" s="19"/>
      <c r="DX689" s="19"/>
      <c r="DY689" s="19"/>
      <c r="DZ689" s="19"/>
    </row>
    <row r="690" spans="1:130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18"/>
      <c r="BX690" s="118"/>
      <c r="BY690" s="118"/>
      <c r="BZ690" s="118"/>
      <c r="CA690" s="118"/>
      <c r="CB690" s="118"/>
      <c r="CC690" s="118"/>
      <c r="CD690" s="118"/>
      <c r="CE690" s="118"/>
      <c r="CF690" s="118"/>
      <c r="CG690" s="118"/>
      <c r="CH690" s="118"/>
      <c r="CI690" s="118"/>
      <c r="CJ690" s="118"/>
      <c r="CK690" s="118"/>
      <c r="CL690" s="118"/>
      <c r="CM690" s="118"/>
      <c r="CN690" s="118"/>
      <c r="CO690" s="118"/>
      <c r="CP690" s="118"/>
      <c r="CQ690" s="118"/>
      <c r="CR690" s="118"/>
      <c r="CS690" s="118"/>
      <c r="CT690" s="118"/>
      <c r="CU690" s="118"/>
      <c r="CV690" s="118"/>
      <c r="CW690" s="118"/>
      <c r="CX690" s="118"/>
      <c r="CY690" s="118"/>
      <c r="CZ690" s="118"/>
      <c r="DA690" s="118"/>
      <c r="DB690" s="118"/>
      <c r="DC690" s="118"/>
      <c r="DD690" s="118"/>
      <c r="DE690" s="118"/>
      <c r="DF690" s="118"/>
      <c r="DG690" s="118"/>
      <c r="DH690" s="118"/>
      <c r="DI690" s="118"/>
      <c r="DJ690" s="118"/>
      <c r="DK690" s="118"/>
      <c r="DL690" s="118"/>
      <c r="DM690" s="118"/>
      <c r="DN690" s="118"/>
      <c r="DO690" s="118"/>
      <c r="DP690" s="118"/>
      <c r="DQ690" s="118"/>
      <c r="DR690" s="118"/>
      <c r="DS690" s="118"/>
      <c r="DT690" s="118"/>
      <c r="DU690" s="19"/>
      <c r="DV690" s="19"/>
      <c r="DW690" s="19"/>
      <c r="DX690" s="19"/>
      <c r="DY690" s="19"/>
      <c r="DZ690" s="19"/>
    </row>
    <row r="691" spans="1:130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18"/>
      <c r="BX691" s="118"/>
      <c r="BY691" s="118"/>
      <c r="BZ691" s="118"/>
      <c r="CA691" s="118"/>
      <c r="CB691" s="118"/>
      <c r="CC691" s="118"/>
      <c r="CD691" s="118"/>
      <c r="CE691" s="118"/>
      <c r="CF691" s="118"/>
      <c r="CG691" s="118"/>
      <c r="CH691" s="118"/>
      <c r="CI691" s="118"/>
      <c r="CJ691" s="118"/>
      <c r="CK691" s="118"/>
      <c r="CL691" s="118"/>
      <c r="CM691" s="118"/>
      <c r="CN691" s="118"/>
      <c r="CO691" s="118"/>
      <c r="CP691" s="118"/>
      <c r="CQ691" s="118"/>
      <c r="CR691" s="118"/>
      <c r="CS691" s="118"/>
      <c r="CT691" s="118"/>
      <c r="CU691" s="118"/>
      <c r="CV691" s="118"/>
      <c r="CW691" s="118"/>
      <c r="CX691" s="118"/>
      <c r="CY691" s="118"/>
      <c r="CZ691" s="118"/>
      <c r="DA691" s="118"/>
      <c r="DB691" s="118"/>
      <c r="DC691" s="118"/>
      <c r="DD691" s="118"/>
      <c r="DE691" s="118"/>
      <c r="DF691" s="118"/>
      <c r="DG691" s="118"/>
      <c r="DH691" s="118"/>
      <c r="DI691" s="118"/>
      <c r="DJ691" s="118"/>
      <c r="DK691" s="118"/>
      <c r="DL691" s="118"/>
      <c r="DM691" s="118"/>
      <c r="DN691" s="118"/>
      <c r="DO691" s="118"/>
      <c r="DP691" s="118"/>
      <c r="DQ691" s="118"/>
      <c r="DR691" s="118"/>
      <c r="DS691" s="118"/>
      <c r="DT691" s="118"/>
      <c r="DU691" s="19"/>
      <c r="DV691" s="19"/>
      <c r="DW691" s="19"/>
      <c r="DX691" s="19"/>
      <c r="DY691" s="19"/>
      <c r="DZ691" s="19"/>
    </row>
    <row r="692" spans="1:130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18"/>
      <c r="BX692" s="118"/>
      <c r="BY692" s="118"/>
      <c r="BZ692" s="118"/>
      <c r="CA692" s="118"/>
      <c r="CB692" s="118"/>
      <c r="CC692" s="118"/>
      <c r="CD692" s="118"/>
      <c r="CE692" s="118"/>
      <c r="CF692" s="118"/>
      <c r="CG692" s="118"/>
      <c r="CH692" s="118"/>
      <c r="CI692" s="118"/>
      <c r="CJ692" s="118"/>
      <c r="CK692" s="118"/>
      <c r="CL692" s="118"/>
      <c r="CM692" s="118"/>
      <c r="CN692" s="118"/>
      <c r="CO692" s="118"/>
      <c r="CP692" s="118"/>
      <c r="CQ692" s="118"/>
      <c r="CR692" s="118"/>
      <c r="CS692" s="118"/>
      <c r="CT692" s="118"/>
      <c r="CU692" s="118"/>
      <c r="CV692" s="118"/>
      <c r="CW692" s="118"/>
      <c r="CX692" s="118"/>
      <c r="CY692" s="118"/>
      <c r="CZ692" s="118"/>
      <c r="DA692" s="118"/>
      <c r="DB692" s="118"/>
      <c r="DC692" s="118"/>
      <c r="DD692" s="118"/>
      <c r="DE692" s="118"/>
      <c r="DF692" s="118"/>
      <c r="DG692" s="118"/>
      <c r="DH692" s="118"/>
      <c r="DI692" s="118"/>
      <c r="DJ692" s="118"/>
      <c r="DK692" s="118"/>
      <c r="DL692" s="118"/>
      <c r="DM692" s="118"/>
      <c r="DN692" s="118"/>
      <c r="DO692" s="118"/>
      <c r="DP692" s="118"/>
      <c r="DQ692" s="118"/>
      <c r="DR692" s="118"/>
      <c r="DS692" s="118"/>
      <c r="DT692" s="118"/>
      <c r="DU692" s="19"/>
      <c r="DV692" s="19"/>
      <c r="DW692" s="19"/>
      <c r="DX692" s="19"/>
      <c r="DY692" s="19"/>
      <c r="DZ692" s="19"/>
    </row>
    <row r="693" spans="1:130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18"/>
      <c r="BX693" s="118"/>
      <c r="BY693" s="118"/>
      <c r="BZ693" s="118"/>
      <c r="CA693" s="118"/>
      <c r="CB693" s="118"/>
      <c r="CC693" s="118"/>
      <c r="CD693" s="118"/>
      <c r="CE693" s="118"/>
      <c r="CF693" s="118"/>
      <c r="CG693" s="118"/>
      <c r="CH693" s="118"/>
      <c r="CI693" s="118"/>
      <c r="CJ693" s="118"/>
      <c r="CK693" s="118"/>
      <c r="CL693" s="118"/>
      <c r="CM693" s="118"/>
      <c r="CN693" s="118"/>
      <c r="CO693" s="118"/>
      <c r="CP693" s="118"/>
      <c r="CQ693" s="118"/>
      <c r="CR693" s="118"/>
      <c r="CS693" s="118"/>
      <c r="CT693" s="118"/>
      <c r="CU693" s="118"/>
      <c r="CV693" s="118"/>
      <c r="CW693" s="118"/>
      <c r="CX693" s="118"/>
      <c r="CY693" s="118"/>
      <c r="CZ693" s="118"/>
      <c r="DA693" s="118"/>
      <c r="DB693" s="118"/>
      <c r="DC693" s="118"/>
      <c r="DD693" s="118"/>
      <c r="DE693" s="118"/>
      <c r="DF693" s="118"/>
      <c r="DG693" s="118"/>
      <c r="DH693" s="118"/>
      <c r="DI693" s="118"/>
      <c r="DJ693" s="118"/>
      <c r="DK693" s="118"/>
      <c r="DL693" s="118"/>
      <c r="DM693" s="118"/>
      <c r="DN693" s="118"/>
      <c r="DO693" s="118"/>
      <c r="DP693" s="118"/>
      <c r="DQ693" s="118"/>
      <c r="DR693" s="118"/>
      <c r="DS693" s="118"/>
      <c r="DT693" s="118"/>
      <c r="DU693" s="19"/>
      <c r="DV693" s="19"/>
      <c r="DW693" s="19"/>
      <c r="DX693" s="19"/>
      <c r="DY693" s="19"/>
      <c r="DZ693" s="19"/>
    </row>
    <row r="694" spans="1:130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18"/>
      <c r="BX694" s="118"/>
      <c r="BY694" s="118"/>
      <c r="BZ694" s="118"/>
      <c r="CA694" s="118"/>
      <c r="CB694" s="118"/>
      <c r="CC694" s="118"/>
      <c r="CD694" s="118"/>
      <c r="CE694" s="118"/>
      <c r="CF694" s="118"/>
      <c r="CG694" s="118"/>
      <c r="CH694" s="118"/>
      <c r="CI694" s="118"/>
      <c r="CJ694" s="118"/>
      <c r="CK694" s="118"/>
      <c r="CL694" s="118"/>
      <c r="CM694" s="118"/>
      <c r="CN694" s="118"/>
      <c r="CO694" s="118"/>
      <c r="CP694" s="118"/>
      <c r="CQ694" s="118"/>
      <c r="CR694" s="118"/>
      <c r="CS694" s="118"/>
      <c r="CT694" s="118"/>
      <c r="CU694" s="118"/>
      <c r="CV694" s="118"/>
      <c r="CW694" s="118"/>
      <c r="CX694" s="118"/>
      <c r="CY694" s="118"/>
      <c r="CZ694" s="118"/>
      <c r="DA694" s="118"/>
      <c r="DB694" s="118"/>
      <c r="DC694" s="118"/>
      <c r="DD694" s="118"/>
      <c r="DE694" s="118"/>
      <c r="DF694" s="118"/>
      <c r="DG694" s="118"/>
      <c r="DH694" s="118"/>
      <c r="DI694" s="118"/>
      <c r="DJ694" s="118"/>
      <c r="DK694" s="118"/>
      <c r="DL694" s="118"/>
      <c r="DM694" s="118"/>
      <c r="DN694" s="118"/>
      <c r="DO694" s="118"/>
      <c r="DP694" s="118"/>
      <c r="DQ694" s="118"/>
      <c r="DR694" s="118"/>
      <c r="DS694" s="118"/>
      <c r="DT694" s="118"/>
      <c r="DU694" s="19"/>
      <c r="DV694" s="19"/>
      <c r="DW694" s="19"/>
      <c r="DX694" s="19"/>
      <c r="DY694" s="19"/>
      <c r="DZ694" s="19"/>
    </row>
    <row r="695" spans="1:130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18"/>
      <c r="BX695" s="118"/>
      <c r="BY695" s="118"/>
      <c r="BZ695" s="118"/>
      <c r="CA695" s="118"/>
      <c r="CB695" s="118"/>
      <c r="CC695" s="118"/>
      <c r="CD695" s="118"/>
      <c r="CE695" s="118"/>
      <c r="CF695" s="118"/>
      <c r="CG695" s="118"/>
      <c r="CH695" s="118"/>
      <c r="CI695" s="118"/>
      <c r="CJ695" s="118"/>
      <c r="CK695" s="118"/>
      <c r="CL695" s="118"/>
      <c r="CM695" s="118"/>
      <c r="CN695" s="118"/>
      <c r="CO695" s="118"/>
      <c r="CP695" s="118"/>
      <c r="CQ695" s="118"/>
      <c r="CR695" s="118"/>
      <c r="CS695" s="118"/>
      <c r="CT695" s="118"/>
      <c r="CU695" s="118"/>
      <c r="CV695" s="118"/>
      <c r="CW695" s="118"/>
      <c r="CX695" s="118"/>
      <c r="CY695" s="118"/>
      <c r="CZ695" s="118"/>
      <c r="DA695" s="118"/>
      <c r="DB695" s="118"/>
      <c r="DC695" s="118"/>
      <c r="DD695" s="118"/>
      <c r="DE695" s="118"/>
      <c r="DF695" s="118"/>
      <c r="DG695" s="118"/>
      <c r="DH695" s="118"/>
      <c r="DI695" s="118"/>
      <c r="DJ695" s="118"/>
      <c r="DK695" s="118"/>
      <c r="DL695" s="118"/>
      <c r="DM695" s="118"/>
      <c r="DN695" s="118"/>
      <c r="DO695" s="118"/>
      <c r="DP695" s="118"/>
      <c r="DQ695" s="118"/>
      <c r="DR695" s="118"/>
      <c r="DS695" s="118"/>
      <c r="DT695" s="118"/>
      <c r="DU695" s="19"/>
      <c r="DV695" s="19"/>
      <c r="DW695" s="19"/>
      <c r="DX695" s="19"/>
      <c r="DY695" s="19"/>
      <c r="DZ695" s="19"/>
    </row>
    <row r="696" spans="1:130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18"/>
      <c r="BX696" s="118"/>
      <c r="BY696" s="118"/>
      <c r="BZ696" s="118"/>
      <c r="CA696" s="118"/>
      <c r="CB696" s="118"/>
      <c r="CC696" s="118"/>
      <c r="CD696" s="118"/>
      <c r="CE696" s="118"/>
      <c r="CF696" s="118"/>
      <c r="CG696" s="118"/>
      <c r="CH696" s="118"/>
      <c r="CI696" s="118"/>
      <c r="CJ696" s="118"/>
      <c r="CK696" s="118"/>
      <c r="CL696" s="118"/>
      <c r="CM696" s="118"/>
      <c r="CN696" s="118"/>
      <c r="CO696" s="118"/>
      <c r="CP696" s="118"/>
      <c r="CQ696" s="118"/>
      <c r="CR696" s="118"/>
      <c r="CS696" s="118"/>
      <c r="CT696" s="118"/>
      <c r="CU696" s="118"/>
      <c r="CV696" s="118"/>
      <c r="CW696" s="118"/>
      <c r="CX696" s="118"/>
      <c r="CY696" s="118"/>
      <c r="CZ696" s="118"/>
      <c r="DA696" s="118"/>
      <c r="DB696" s="118"/>
      <c r="DC696" s="118"/>
      <c r="DD696" s="118"/>
      <c r="DE696" s="118"/>
      <c r="DF696" s="118"/>
      <c r="DG696" s="118"/>
      <c r="DH696" s="118"/>
      <c r="DI696" s="118"/>
      <c r="DJ696" s="118"/>
      <c r="DK696" s="118"/>
      <c r="DL696" s="118"/>
      <c r="DM696" s="118"/>
      <c r="DN696" s="118"/>
      <c r="DO696" s="118"/>
      <c r="DP696" s="118"/>
      <c r="DQ696" s="118"/>
      <c r="DR696" s="118"/>
      <c r="DS696" s="118"/>
      <c r="DT696" s="118"/>
      <c r="DU696" s="19"/>
      <c r="DV696" s="19"/>
      <c r="DW696" s="19"/>
      <c r="DX696" s="19"/>
      <c r="DY696" s="19"/>
      <c r="DZ696" s="19"/>
    </row>
    <row r="697" spans="1:130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18"/>
      <c r="BX697" s="118"/>
      <c r="BY697" s="118"/>
      <c r="BZ697" s="118"/>
      <c r="CA697" s="118"/>
      <c r="CB697" s="118"/>
      <c r="CC697" s="118"/>
      <c r="CD697" s="118"/>
      <c r="CE697" s="118"/>
      <c r="CF697" s="118"/>
      <c r="CG697" s="118"/>
      <c r="CH697" s="118"/>
      <c r="CI697" s="118"/>
      <c r="CJ697" s="118"/>
      <c r="CK697" s="118"/>
      <c r="CL697" s="118"/>
      <c r="CM697" s="118"/>
      <c r="CN697" s="118"/>
      <c r="CO697" s="118"/>
      <c r="CP697" s="118"/>
      <c r="CQ697" s="118"/>
      <c r="CR697" s="118"/>
      <c r="CS697" s="118"/>
      <c r="CT697" s="118"/>
      <c r="CU697" s="118"/>
      <c r="CV697" s="118"/>
      <c r="CW697" s="118"/>
      <c r="CX697" s="118"/>
      <c r="CY697" s="118"/>
      <c r="CZ697" s="118"/>
      <c r="DA697" s="118"/>
      <c r="DB697" s="118"/>
      <c r="DC697" s="118"/>
      <c r="DD697" s="118"/>
      <c r="DE697" s="118"/>
      <c r="DF697" s="118"/>
      <c r="DG697" s="118"/>
      <c r="DH697" s="118"/>
      <c r="DI697" s="118"/>
      <c r="DJ697" s="118"/>
      <c r="DK697" s="118"/>
      <c r="DL697" s="118"/>
      <c r="DM697" s="118"/>
      <c r="DN697" s="118"/>
      <c r="DO697" s="118"/>
      <c r="DP697" s="118"/>
      <c r="DQ697" s="118"/>
      <c r="DR697" s="118"/>
      <c r="DS697" s="118"/>
      <c r="DT697" s="118"/>
      <c r="DU697" s="19"/>
      <c r="DV697" s="19"/>
      <c r="DW697" s="19"/>
      <c r="DX697" s="19"/>
      <c r="DY697" s="19"/>
      <c r="DZ697" s="19"/>
    </row>
    <row r="698" spans="1:130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18"/>
      <c r="BX698" s="118"/>
      <c r="BY698" s="118"/>
      <c r="BZ698" s="118"/>
      <c r="CA698" s="118"/>
      <c r="CB698" s="118"/>
      <c r="CC698" s="118"/>
      <c r="CD698" s="118"/>
      <c r="CE698" s="118"/>
      <c r="CF698" s="118"/>
      <c r="CG698" s="118"/>
      <c r="CH698" s="118"/>
      <c r="CI698" s="118"/>
      <c r="CJ698" s="118"/>
      <c r="CK698" s="118"/>
      <c r="CL698" s="118"/>
      <c r="CM698" s="118"/>
      <c r="CN698" s="118"/>
      <c r="CO698" s="118"/>
      <c r="CP698" s="118"/>
      <c r="CQ698" s="118"/>
      <c r="CR698" s="118"/>
      <c r="CS698" s="118"/>
      <c r="CT698" s="118"/>
      <c r="CU698" s="118"/>
      <c r="CV698" s="118"/>
      <c r="CW698" s="118"/>
      <c r="CX698" s="118"/>
      <c r="CY698" s="118"/>
      <c r="CZ698" s="118"/>
      <c r="DA698" s="118"/>
      <c r="DB698" s="118"/>
      <c r="DC698" s="118"/>
      <c r="DD698" s="118"/>
      <c r="DE698" s="118"/>
      <c r="DF698" s="118"/>
      <c r="DG698" s="118"/>
      <c r="DH698" s="118"/>
      <c r="DI698" s="118"/>
      <c r="DJ698" s="118"/>
      <c r="DK698" s="118"/>
      <c r="DL698" s="118"/>
      <c r="DM698" s="118"/>
      <c r="DN698" s="118"/>
      <c r="DO698" s="118"/>
      <c r="DP698" s="118"/>
      <c r="DQ698" s="118"/>
      <c r="DR698" s="118"/>
      <c r="DS698" s="118"/>
      <c r="DT698" s="118"/>
      <c r="DU698" s="19"/>
      <c r="DV698" s="19"/>
      <c r="DW698" s="19"/>
      <c r="DX698" s="19"/>
      <c r="DY698" s="19"/>
      <c r="DZ698" s="19"/>
    </row>
    <row r="699" spans="1:130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18"/>
      <c r="BX699" s="118"/>
      <c r="BY699" s="118"/>
      <c r="BZ699" s="118"/>
      <c r="CA699" s="118"/>
      <c r="CB699" s="118"/>
      <c r="CC699" s="118"/>
      <c r="CD699" s="118"/>
      <c r="CE699" s="118"/>
      <c r="CF699" s="118"/>
      <c r="CG699" s="118"/>
      <c r="CH699" s="118"/>
      <c r="CI699" s="118"/>
      <c r="CJ699" s="118"/>
      <c r="CK699" s="118"/>
      <c r="CL699" s="118"/>
      <c r="CM699" s="118"/>
      <c r="CN699" s="118"/>
      <c r="CO699" s="118"/>
      <c r="CP699" s="118"/>
      <c r="CQ699" s="118"/>
      <c r="CR699" s="118"/>
      <c r="CS699" s="118"/>
      <c r="CT699" s="118"/>
      <c r="CU699" s="118"/>
      <c r="CV699" s="118"/>
      <c r="CW699" s="118"/>
      <c r="CX699" s="118"/>
      <c r="CY699" s="118"/>
      <c r="CZ699" s="118"/>
      <c r="DA699" s="118"/>
      <c r="DB699" s="118"/>
      <c r="DC699" s="118"/>
      <c r="DD699" s="118"/>
      <c r="DE699" s="118"/>
      <c r="DF699" s="118"/>
      <c r="DG699" s="118"/>
      <c r="DH699" s="118"/>
      <c r="DI699" s="118"/>
      <c r="DJ699" s="118"/>
      <c r="DK699" s="118"/>
      <c r="DL699" s="118"/>
      <c r="DM699" s="118"/>
      <c r="DN699" s="118"/>
      <c r="DO699" s="118"/>
      <c r="DP699" s="118"/>
      <c r="DQ699" s="118"/>
      <c r="DR699" s="118"/>
      <c r="DS699" s="118"/>
      <c r="DT699" s="118"/>
      <c r="DU699" s="19"/>
      <c r="DV699" s="19"/>
      <c r="DW699" s="19"/>
      <c r="DX699" s="19"/>
      <c r="DY699" s="19"/>
      <c r="DZ699" s="19"/>
    </row>
    <row r="700" spans="1:130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18"/>
      <c r="BX700" s="118"/>
      <c r="BY700" s="118"/>
      <c r="BZ700" s="118"/>
      <c r="CA700" s="118"/>
      <c r="CB700" s="118"/>
      <c r="CC700" s="118"/>
      <c r="CD700" s="118"/>
      <c r="CE700" s="118"/>
      <c r="CF700" s="118"/>
      <c r="CG700" s="118"/>
      <c r="CH700" s="118"/>
      <c r="CI700" s="118"/>
      <c r="CJ700" s="118"/>
      <c r="CK700" s="118"/>
      <c r="CL700" s="118"/>
      <c r="CM700" s="118"/>
      <c r="CN700" s="118"/>
      <c r="CO700" s="118"/>
      <c r="CP700" s="118"/>
      <c r="CQ700" s="118"/>
      <c r="CR700" s="118"/>
      <c r="CS700" s="118"/>
      <c r="CT700" s="118"/>
      <c r="CU700" s="118"/>
      <c r="CV700" s="118"/>
      <c r="CW700" s="118"/>
      <c r="CX700" s="118"/>
      <c r="CY700" s="118"/>
      <c r="CZ700" s="118"/>
      <c r="DA700" s="118"/>
      <c r="DB700" s="118"/>
      <c r="DC700" s="118"/>
      <c r="DD700" s="118"/>
      <c r="DE700" s="118"/>
      <c r="DF700" s="118"/>
      <c r="DG700" s="118"/>
      <c r="DH700" s="118"/>
      <c r="DI700" s="118"/>
      <c r="DJ700" s="118"/>
      <c r="DK700" s="118"/>
      <c r="DL700" s="118"/>
      <c r="DM700" s="118"/>
      <c r="DN700" s="118"/>
      <c r="DO700" s="118"/>
      <c r="DP700" s="118"/>
      <c r="DQ700" s="118"/>
      <c r="DR700" s="118"/>
      <c r="DS700" s="118"/>
      <c r="DT700" s="118"/>
      <c r="DU700" s="19"/>
      <c r="DV700" s="19"/>
      <c r="DW700" s="19"/>
      <c r="DX700" s="19"/>
      <c r="DY700" s="19"/>
      <c r="DZ700" s="19"/>
    </row>
    <row r="701" spans="1:130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18"/>
      <c r="BX701" s="118"/>
      <c r="BY701" s="118"/>
      <c r="BZ701" s="118"/>
      <c r="CA701" s="118"/>
      <c r="CB701" s="118"/>
      <c r="CC701" s="118"/>
      <c r="CD701" s="118"/>
      <c r="CE701" s="118"/>
      <c r="CF701" s="118"/>
      <c r="CG701" s="118"/>
      <c r="CH701" s="118"/>
      <c r="CI701" s="118"/>
      <c r="CJ701" s="118"/>
      <c r="CK701" s="118"/>
      <c r="CL701" s="118"/>
      <c r="CM701" s="118"/>
      <c r="CN701" s="118"/>
      <c r="CO701" s="118"/>
      <c r="CP701" s="118"/>
      <c r="CQ701" s="118"/>
      <c r="CR701" s="118"/>
      <c r="CS701" s="118"/>
      <c r="CT701" s="118"/>
      <c r="CU701" s="118"/>
      <c r="CV701" s="118"/>
      <c r="CW701" s="118"/>
      <c r="CX701" s="118"/>
      <c r="CY701" s="118"/>
      <c r="CZ701" s="118"/>
      <c r="DA701" s="118"/>
      <c r="DB701" s="118"/>
      <c r="DC701" s="118"/>
      <c r="DD701" s="118"/>
      <c r="DE701" s="118"/>
      <c r="DF701" s="118"/>
      <c r="DG701" s="118"/>
      <c r="DH701" s="118"/>
      <c r="DI701" s="118"/>
      <c r="DJ701" s="118"/>
      <c r="DK701" s="118"/>
      <c r="DL701" s="118"/>
      <c r="DM701" s="118"/>
      <c r="DN701" s="118"/>
      <c r="DO701" s="118"/>
      <c r="DP701" s="118"/>
      <c r="DQ701" s="118"/>
      <c r="DR701" s="118"/>
      <c r="DS701" s="118"/>
      <c r="DT701" s="118"/>
      <c r="DU701" s="19"/>
      <c r="DV701" s="19"/>
      <c r="DW701" s="19"/>
      <c r="DX701" s="19"/>
      <c r="DY701" s="19"/>
      <c r="DZ701" s="19"/>
    </row>
    <row r="702" spans="1:130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18"/>
      <c r="BX702" s="118"/>
      <c r="BY702" s="118"/>
      <c r="BZ702" s="118"/>
      <c r="CA702" s="118"/>
      <c r="CB702" s="118"/>
      <c r="CC702" s="118"/>
      <c r="CD702" s="118"/>
      <c r="CE702" s="118"/>
      <c r="CF702" s="118"/>
      <c r="CG702" s="118"/>
      <c r="CH702" s="118"/>
      <c r="CI702" s="118"/>
      <c r="CJ702" s="118"/>
      <c r="CK702" s="118"/>
      <c r="CL702" s="118"/>
      <c r="CM702" s="118"/>
      <c r="CN702" s="118"/>
      <c r="CO702" s="118"/>
      <c r="CP702" s="118"/>
      <c r="CQ702" s="118"/>
      <c r="CR702" s="118"/>
      <c r="CS702" s="118"/>
      <c r="CT702" s="118"/>
      <c r="CU702" s="118"/>
      <c r="CV702" s="118"/>
      <c r="CW702" s="118"/>
      <c r="CX702" s="118"/>
      <c r="CY702" s="118"/>
      <c r="CZ702" s="118"/>
      <c r="DA702" s="118"/>
      <c r="DB702" s="118"/>
      <c r="DC702" s="118"/>
      <c r="DD702" s="118"/>
      <c r="DE702" s="118"/>
      <c r="DF702" s="118"/>
      <c r="DG702" s="118"/>
      <c r="DH702" s="118"/>
      <c r="DI702" s="118"/>
      <c r="DJ702" s="118"/>
      <c r="DK702" s="118"/>
      <c r="DL702" s="118"/>
      <c r="DM702" s="118"/>
      <c r="DN702" s="118"/>
      <c r="DO702" s="118"/>
      <c r="DP702" s="118"/>
      <c r="DQ702" s="118"/>
      <c r="DR702" s="118"/>
      <c r="DS702" s="118"/>
      <c r="DT702" s="118"/>
      <c r="DU702" s="19"/>
      <c r="DV702" s="19"/>
      <c r="DW702" s="19"/>
      <c r="DX702" s="19"/>
      <c r="DY702" s="19"/>
      <c r="DZ702" s="19"/>
    </row>
    <row r="703" spans="1:130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18"/>
      <c r="BX703" s="118"/>
      <c r="BY703" s="118"/>
      <c r="BZ703" s="118"/>
      <c r="CA703" s="118"/>
      <c r="CB703" s="118"/>
      <c r="CC703" s="118"/>
      <c r="CD703" s="118"/>
      <c r="CE703" s="118"/>
      <c r="CF703" s="118"/>
      <c r="CG703" s="118"/>
      <c r="CH703" s="118"/>
      <c r="CI703" s="118"/>
      <c r="CJ703" s="118"/>
      <c r="CK703" s="118"/>
      <c r="CL703" s="118"/>
      <c r="CM703" s="118"/>
      <c r="CN703" s="118"/>
      <c r="CO703" s="118"/>
      <c r="CP703" s="118"/>
      <c r="CQ703" s="118"/>
      <c r="CR703" s="118"/>
      <c r="CS703" s="118"/>
      <c r="CT703" s="118"/>
      <c r="CU703" s="118"/>
      <c r="CV703" s="118"/>
      <c r="CW703" s="118"/>
      <c r="CX703" s="118"/>
      <c r="CY703" s="118"/>
      <c r="CZ703" s="118"/>
      <c r="DA703" s="118"/>
      <c r="DB703" s="118"/>
      <c r="DC703" s="118"/>
      <c r="DD703" s="118"/>
      <c r="DE703" s="118"/>
      <c r="DF703" s="118"/>
      <c r="DG703" s="118"/>
      <c r="DH703" s="118"/>
      <c r="DI703" s="118"/>
      <c r="DJ703" s="118"/>
      <c r="DK703" s="118"/>
      <c r="DL703" s="118"/>
      <c r="DM703" s="118"/>
      <c r="DN703" s="118"/>
      <c r="DO703" s="118"/>
      <c r="DP703" s="118"/>
      <c r="DQ703" s="118"/>
      <c r="DR703" s="118"/>
      <c r="DS703" s="118"/>
      <c r="DT703" s="118"/>
      <c r="DU703" s="19"/>
      <c r="DV703" s="19"/>
      <c r="DW703" s="19"/>
      <c r="DX703" s="19"/>
      <c r="DY703" s="19"/>
      <c r="DZ703" s="19"/>
    </row>
    <row r="704" spans="1:130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18"/>
      <c r="BX704" s="118"/>
      <c r="BY704" s="118"/>
      <c r="BZ704" s="118"/>
      <c r="CA704" s="118"/>
      <c r="CB704" s="118"/>
      <c r="CC704" s="118"/>
      <c r="CD704" s="118"/>
      <c r="CE704" s="118"/>
      <c r="CF704" s="118"/>
      <c r="CG704" s="118"/>
      <c r="CH704" s="118"/>
      <c r="CI704" s="118"/>
      <c r="CJ704" s="118"/>
      <c r="CK704" s="118"/>
      <c r="CL704" s="118"/>
      <c r="CM704" s="118"/>
      <c r="CN704" s="118"/>
      <c r="CO704" s="118"/>
      <c r="CP704" s="118"/>
      <c r="CQ704" s="118"/>
      <c r="CR704" s="118"/>
      <c r="CS704" s="118"/>
      <c r="CT704" s="118"/>
      <c r="CU704" s="118"/>
      <c r="CV704" s="118"/>
      <c r="CW704" s="118"/>
      <c r="CX704" s="118"/>
      <c r="CY704" s="118"/>
      <c r="CZ704" s="118"/>
      <c r="DA704" s="118"/>
      <c r="DB704" s="118"/>
      <c r="DC704" s="118"/>
      <c r="DD704" s="118"/>
      <c r="DE704" s="118"/>
      <c r="DF704" s="118"/>
      <c r="DG704" s="118"/>
      <c r="DH704" s="118"/>
      <c r="DI704" s="118"/>
      <c r="DJ704" s="118"/>
      <c r="DK704" s="118"/>
      <c r="DL704" s="118"/>
      <c r="DM704" s="118"/>
      <c r="DN704" s="118"/>
      <c r="DO704" s="118"/>
      <c r="DP704" s="118"/>
      <c r="DQ704" s="118"/>
      <c r="DR704" s="118"/>
      <c r="DS704" s="118"/>
      <c r="DT704" s="118"/>
      <c r="DU704" s="19"/>
      <c r="DV704" s="19"/>
      <c r="DW704" s="19"/>
      <c r="DX704" s="19"/>
      <c r="DY704" s="19"/>
      <c r="DZ704" s="19"/>
    </row>
    <row r="705" spans="1:130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18"/>
      <c r="BX705" s="118"/>
      <c r="BY705" s="118"/>
      <c r="BZ705" s="118"/>
      <c r="CA705" s="118"/>
      <c r="CB705" s="118"/>
      <c r="CC705" s="118"/>
      <c r="CD705" s="118"/>
      <c r="CE705" s="118"/>
      <c r="CF705" s="118"/>
      <c r="CG705" s="118"/>
      <c r="CH705" s="118"/>
      <c r="CI705" s="118"/>
      <c r="CJ705" s="118"/>
      <c r="CK705" s="118"/>
      <c r="CL705" s="118"/>
      <c r="CM705" s="118"/>
      <c r="CN705" s="118"/>
      <c r="CO705" s="118"/>
      <c r="CP705" s="118"/>
      <c r="CQ705" s="118"/>
      <c r="CR705" s="118"/>
      <c r="CS705" s="118"/>
      <c r="CT705" s="118"/>
      <c r="CU705" s="118"/>
      <c r="CV705" s="118"/>
      <c r="CW705" s="118"/>
      <c r="CX705" s="118"/>
      <c r="CY705" s="118"/>
      <c r="CZ705" s="118"/>
      <c r="DA705" s="118"/>
      <c r="DB705" s="118"/>
      <c r="DC705" s="118"/>
      <c r="DD705" s="118"/>
      <c r="DE705" s="118"/>
      <c r="DF705" s="118"/>
      <c r="DG705" s="118"/>
      <c r="DH705" s="118"/>
      <c r="DI705" s="118"/>
      <c r="DJ705" s="118"/>
      <c r="DK705" s="118"/>
      <c r="DL705" s="118"/>
      <c r="DM705" s="118"/>
      <c r="DN705" s="118"/>
      <c r="DO705" s="118"/>
      <c r="DP705" s="118"/>
      <c r="DQ705" s="118"/>
      <c r="DR705" s="118"/>
      <c r="DS705" s="118"/>
      <c r="DT705" s="118"/>
      <c r="DU705" s="19"/>
      <c r="DV705" s="19"/>
      <c r="DW705" s="19"/>
      <c r="DX705" s="19"/>
      <c r="DY705" s="19"/>
      <c r="DZ705" s="19"/>
    </row>
    <row r="706" spans="1:130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18"/>
      <c r="BX706" s="118"/>
      <c r="BY706" s="118"/>
      <c r="BZ706" s="118"/>
      <c r="CA706" s="118"/>
      <c r="CB706" s="118"/>
      <c r="CC706" s="118"/>
      <c r="CD706" s="118"/>
      <c r="CE706" s="118"/>
      <c r="CF706" s="118"/>
      <c r="CG706" s="118"/>
      <c r="CH706" s="118"/>
      <c r="CI706" s="118"/>
      <c r="CJ706" s="118"/>
      <c r="CK706" s="118"/>
      <c r="CL706" s="118"/>
      <c r="CM706" s="118"/>
      <c r="CN706" s="118"/>
      <c r="CO706" s="118"/>
      <c r="CP706" s="118"/>
      <c r="CQ706" s="118"/>
      <c r="CR706" s="118"/>
      <c r="CS706" s="118"/>
      <c r="CT706" s="118"/>
      <c r="CU706" s="118"/>
      <c r="CV706" s="118"/>
      <c r="CW706" s="118"/>
      <c r="CX706" s="118"/>
      <c r="CY706" s="118"/>
      <c r="CZ706" s="118"/>
      <c r="DA706" s="118"/>
      <c r="DB706" s="118"/>
      <c r="DC706" s="118"/>
      <c r="DD706" s="118"/>
      <c r="DE706" s="118"/>
      <c r="DF706" s="118"/>
      <c r="DG706" s="118"/>
      <c r="DH706" s="118"/>
      <c r="DI706" s="118"/>
      <c r="DJ706" s="118"/>
      <c r="DK706" s="118"/>
      <c r="DL706" s="118"/>
      <c r="DM706" s="118"/>
      <c r="DN706" s="118"/>
      <c r="DO706" s="118"/>
      <c r="DP706" s="118"/>
      <c r="DQ706" s="118"/>
      <c r="DR706" s="118"/>
      <c r="DS706" s="118"/>
      <c r="DT706" s="118"/>
      <c r="DU706" s="19"/>
      <c r="DV706" s="19"/>
      <c r="DW706" s="19"/>
      <c r="DX706" s="19"/>
      <c r="DY706" s="19"/>
      <c r="DZ706" s="19"/>
    </row>
    <row r="707" spans="1:130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18"/>
      <c r="BX707" s="118"/>
      <c r="BY707" s="118"/>
      <c r="BZ707" s="118"/>
      <c r="CA707" s="118"/>
      <c r="CB707" s="118"/>
      <c r="CC707" s="118"/>
      <c r="CD707" s="118"/>
      <c r="CE707" s="118"/>
      <c r="CF707" s="118"/>
      <c r="CG707" s="118"/>
      <c r="CH707" s="118"/>
      <c r="CI707" s="118"/>
      <c r="CJ707" s="118"/>
      <c r="CK707" s="118"/>
      <c r="CL707" s="118"/>
      <c r="CM707" s="118"/>
      <c r="CN707" s="118"/>
      <c r="CO707" s="118"/>
      <c r="CP707" s="118"/>
      <c r="CQ707" s="118"/>
      <c r="CR707" s="118"/>
      <c r="CS707" s="118"/>
      <c r="CT707" s="118"/>
      <c r="CU707" s="118"/>
      <c r="CV707" s="118"/>
      <c r="CW707" s="118"/>
      <c r="CX707" s="118"/>
      <c r="CY707" s="118"/>
      <c r="CZ707" s="118"/>
      <c r="DA707" s="118"/>
      <c r="DB707" s="118"/>
      <c r="DC707" s="118"/>
      <c r="DD707" s="118"/>
      <c r="DE707" s="118"/>
      <c r="DF707" s="118"/>
      <c r="DG707" s="118"/>
      <c r="DH707" s="118"/>
      <c r="DI707" s="118"/>
      <c r="DJ707" s="118"/>
      <c r="DK707" s="118"/>
      <c r="DL707" s="118"/>
      <c r="DM707" s="118"/>
      <c r="DN707" s="118"/>
      <c r="DO707" s="118"/>
      <c r="DP707" s="118"/>
      <c r="DQ707" s="118"/>
      <c r="DR707" s="118"/>
      <c r="DS707" s="118"/>
      <c r="DT707" s="118"/>
      <c r="DU707" s="19"/>
      <c r="DV707" s="19"/>
      <c r="DW707" s="19"/>
      <c r="DX707" s="19"/>
      <c r="DY707" s="19"/>
      <c r="DZ707" s="19"/>
    </row>
    <row r="708" spans="1:130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18"/>
      <c r="BX708" s="118"/>
      <c r="BY708" s="118"/>
      <c r="BZ708" s="118"/>
      <c r="CA708" s="118"/>
      <c r="CB708" s="118"/>
      <c r="CC708" s="118"/>
      <c r="CD708" s="118"/>
      <c r="CE708" s="118"/>
      <c r="CF708" s="118"/>
      <c r="CG708" s="118"/>
      <c r="CH708" s="118"/>
      <c r="CI708" s="118"/>
      <c r="CJ708" s="118"/>
      <c r="CK708" s="118"/>
      <c r="CL708" s="118"/>
      <c r="CM708" s="118"/>
      <c r="CN708" s="118"/>
      <c r="CO708" s="118"/>
      <c r="CP708" s="118"/>
      <c r="CQ708" s="118"/>
      <c r="CR708" s="118"/>
      <c r="CS708" s="118"/>
      <c r="CT708" s="118"/>
      <c r="CU708" s="118"/>
      <c r="CV708" s="118"/>
      <c r="CW708" s="118"/>
      <c r="CX708" s="118"/>
      <c r="CY708" s="118"/>
      <c r="CZ708" s="118"/>
      <c r="DA708" s="118"/>
      <c r="DB708" s="118"/>
      <c r="DC708" s="118"/>
      <c r="DD708" s="118"/>
      <c r="DE708" s="118"/>
      <c r="DF708" s="118"/>
      <c r="DG708" s="118"/>
      <c r="DH708" s="118"/>
      <c r="DI708" s="118"/>
      <c r="DJ708" s="118"/>
      <c r="DK708" s="118"/>
      <c r="DL708" s="118"/>
      <c r="DM708" s="118"/>
      <c r="DN708" s="118"/>
      <c r="DO708" s="118"/>
      <c r="DP708" s="118"/>
      <c r="DQ708" s="118"/>
      <c r="DR708" s="118"/>
      <c r="DS708" s="118"/>
      <c r="DT708" s="118"/>
      <c r="DU708" s="19"/>
      <c r="DV708" s="19"/>
      <c r="DW708" s="19"/>
      <c r="DX708" s="19"/>
      <c r="DY708" s="19"/>
      <c r="DZ708" s="19"/>
    </row>
    <row r="709" spans="1:130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18"/>
      <c r="BX709" s="118"/>
      <c r="BY709" s="118"/>
      <c r="BZ709" s="118"/>
      <c r="CA709" s="118"/>
      <c r="CB709" s="118"/>
      <c r="CC709" s="118"/>
      <c r="CD709" s="118"/>
      <c r="CE709" s="118"/>
      <c r="CF709" s="118"/>
      <c r="CG709" s="118"/>
      <c r="CH709" s="118"/>
      <c r="CI709" s="118"/>
      <c r="CJ709" s="118"/>
      <c r="CK709" s="118"/>
      <c r="CL709" s="118"/>
      <c r="CM709" s="118"/>
      <c r="CN709" s="118"/>
      <c r="CO709" s="118"/>
      <c r="CP709" s="118"/>
      <c r="CQ709" s="118"/>
      <c r="CR709" s="118"/>
      <c r="CS709" s="118"/>
      <c r="CT709" s="118"/>
      <c r="CU709" s="118"/>
      <c r="CV709" s="118"/>
      <c r="CW709" s="118"/>
      <c r="CX709" s="118"/>
      <c r="CY709" s="118"/>
      <c r="CZ709" s="118"/>
      <c r="DA709" s="118"/>
      <c r="DB709" s="118"/>
      <c r="DC709" s="118"/>
      <c r="DD709" s="118"/>
      <c r="DE709" s="118"/>
      <c r="DF709" s="118"/>
      <c r="DG709" s="118"/>
      <c r="DH709" s="118"/>
      <c r="DI709" s="118"/>
      <c r="DJ709" s="118"/>
      <c r="DK709" s="118"/>
      <c r="DL709" s="118"/>
      <c r="DM709" s="118"/>
      <c r="DN709" s="118"/>
      <c r="DO709" s="118"/>
      <c r="DP709" s="118"/>
      <c r="DQ709" s="118"/>
      <c r="DR709" s="118"/>
      <c r="DS709" s="118"/>
      <c r="DT709" s="118"/>
      <c r="DU709" s="19"/>
      <c r="DV709" s="19"/>
      <c r="DW709" s="19"/>
      <c r="DX709" s="19"/>
      <c r="DY709" s="19"/>
      <c r="DZ709" s="19"/>
    </row>
    <row r="710" spans="1:130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18"/>
      <c r="BX710" s="118"/>
      <c r="BY710" s="118"/>
      <c r="BZ710" s="118"/>
      <c r="CA710" s="118"/>
      <c r="CB710" s="118"/>
      <c r="CC710" s="118"/>
      <c r="CD710" s="118"/>
      <c r="CE710" s="118"/>
      <c r="CF710" s="118"/>
      <c r="CG710" s="118"/>
      <c r="CH710" s="118"/>
      <c r="CI710" s="118"/>
      <c r="CJ710" s="118"/>
      <c r="CK710" s="118"/>
      <c r="CL710" s="118"/>
      <c r="CM710" s="118"/>
      <c r="CN710" s="118"/>
      <c r="CO710" s="118"/>
      <c r="CP710" s="118"/>
      <c r="CQ710" s="118"/>
      <c r="CR710" s="118"/>
      <c r="CS710" s="118"/>
      <c r="CT710" s="118"/>
      <c r="CU710" s="118"/>
      <c r="CV710" s="118"/>
      <c r="CW710" s="118"/>
      <c r="CX710" s="118"/>
      <c r="CY710" s="118"/>
      <c r="CZ710" s="118"/>
      <c r="DA710" s="118"/>
      <c r="DB710" s="118"/>
      <c r="DC710" s="118"/>
      <c r="DD710" s="118"/>
      <c r="DE710" s="118"/>
      <c r="DF710" s="118"/>
      <c r="DG710" s="118"/>
      <c r="DH710" s="118"/>
      <c r="DI710" s="118"/>
      <c r="DJ710" s="118"/>
      <c r="DK710" s="118"/>
      <c r="DL710" s="118"/>
      <c r="DM710" s="118"/>
      <c r="DN710" s="118"/>
      <c r="DO710" s="118"/>
      <c r="DP710" s="118"/>
      <c r="DQ710" s="118"/>
      <c r="DR710" s="118"/>
      <c r="DS710" s="118"/>
      <c r="DT710" s="118"/>
      <c r="DU710" s="19"/>
      <c r="DV710" s="19"/>
      <c r="DW710" s="19"/>
      <c r="DX710" s="19"/>
      <c r="DY710" s="19"/>
      <c r="DZ710" s="19"/>
    </row>
    <row r="711" spans="1:130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18"/>
      <c r="BX711" s="118"/>
      <c r="BY711" s="118"/>
      <c r="BZ711" s="118"/>
      <c r="CA711" s="118"/>
      <c r="CB711" s="118"/>
      <c r="CC711" s="118"/>
      <c r="CD711" s="118"/>
      <c r="CE711" s="118"/>
      <c r="CF711" s="118"/>
      <c r="CG711" s="118"/>
      <c r="CH711" s="118"/>
      <c r="CI711" s="118"/>
      <c r="CJ711" s="118"/>
      <c r="CK711" s="118"/>
      <c r="CL711" s="118"/>
      <c r="CM711" s="118"/>
      <c r="CN711" s="118"/>
      <c r="CO711" s="118"/>
      <c r="CP711" s="118"/>
      <c r="CQ711" s="118"/>
      <c r="CR711" s="118"/>
      <c r="CS711" s="118"/>
      <c r="CT711" s="118"/>
      <c r="CU711" s="118"/>
      <c r="CV711" s="118"/>
      <c r="CW711" s="118"/>
      <c r="CX711" s="118"/>
      <c r="CY711" s="118"/>
      <c r="CZ711" s="118"/>
      <c r="DA711" s="118"/>
      <c r="DB711" s="118"/>
      <c r="DC711" s="118"/>
      <c r="DD711" s="118"/>
      <c r="DE711" s="118"/>
      <c r="DF711" s="118"/>
      <c r="DG711" s="118"/>
      <c r="DH711" s="118"/>
      <c r="DI711" s="118"/>
      <c r="DJ711" s="118"/>
      <c r="DK711" s="118"/>
      <c r="DL711" s="118"/>
      <c r="DM711" s="118"/>
      <c r="DN711" s="118"/>
      <c r="DO711" s="118"/>
      <c r="DP711" s="118"/>
      <c r="DQ711" s="118"/>
      <c r="DR711" s="118"/>
      <c r="DS711" s="118"/>
      <c r="DT711" s="118"/>
      <c r="DU711" s="19"/>
      <c r="DV711" s="19"/>
      <c r="DW711" s="19"/>
      <c r="DX711" s="19"/>
      <c r="DY711" s="19"/>
      <c r="DZ711" s="19"/>
    </row>
    <row r="712" spans="1:130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18"/>
      <c r="BX712" s="118"/>
      <c r="BY712" s="118"/>
      <c r="BZ712" s="118"/>
      <c r="CA712" s="118"/>
      <c r="CB712" s="118"/>
      <c r="CC712" s="118"/>
      <c r="CD712" s="118"/>
      <c r="CE712" s="118"/>
      <c r="CF712" s="118"/>
      <c r="CG712" s="118"/>
      <c r="CH712" s="118"/>
      <c r="CI712" s="118"/>
      <c r="CJ712" s="118"/>
      <c r="CK712" s="118"/>
      <c r="CL712" s="118"/>
      <c r="CM712" s="118"/>
      <c r="CN712" s="118"/>
      <c r="CO712" s="118"/>
      <c r="CP712" s="118"/>
      <c r="CQ712" s="118"/>
      <c r="CR712" s="118"/>
      <c r="CS712" s="118"/>
      <c r="CT712" s="118"/>
      <c r="CU712" s="118"/>
      <c r="CV712" s="118"/>
      <c r="CW712" s="118"/>
      <c r="CX712" s="118"/>
      <c r="CY712" s="118"/>
      <c r="CZ712" s="118"/>
      <c r="DA712" s="118"/>
      <c r="DB712" s="118"/>
      <c r="DC712" s="118"/>
      <c r="DD712" s="118"/>
      <c r="DE712" s="118"/>
      <c r="DF712" s="118"/>
      <c r="DG712" s="118"/>
      <c r="DH712" s="118"/>
      <c r="DI712" s="118"/>
      <c r="DJ712" s="118"/>
      <c r="DK712" s="118"/>
      <c r="DL712" s="118"/>
      <c r="DM712" s="118"/>
      <c r="DN712" s="118"/>
      <c r="DO712" s="118"/>
      <c r="DP712" s="118"/>
      <c r="DQ712" s="118"/>
      <c r="DR712" s="118"/>
      <c r="DS712" s="118"/>
      <c r="DT712" s="118"/>
      <c r="DU712" s="19"/>
      <c r="DV712" s="19"/>
      <c r="DW712" s="19"/>
      <c r="DX712" s="19"/>
      <c r="DY712" s="19"/>
      <c r="DZ712" s="19"/>
    </row>
    <row r="713" spans="1:130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18"/>
      <c r="BX713" s="118"/>
      <c r="BY713" s="118"/>
      <c r="BZ713" s="118"/>
      <c r="CA713" s="118"/>
      <c r="CB713" s="118"/>
      <c r="CC713" s="118"/>
      <c r="CD713" s="118"/>
      <c r="CE713" s="118"/>
      <c r="CF713" s="118"/>
      <c r="CG713" s="118"/>
      <c r="CH713" s="118"/>
      <c r="CI713" s="118"/>
      <c r="CJ713" s="118"/>
      <c r="CK713" s="118"/>
      <c r="CL713" s="118"/>
      <c r="CM713" s="118"/>
      <c r="CN713" s="118"/>
      <c r="CO713" s="118"/>
      <c r="CP713" s="118"/>
      <c r="CQ713" s="118"/>
      <c r="CR713" s="118"/>
      <c r="CS713" s="118"/>
      <c r="CT713" s="118"/>
      <c r="CU713" s="118"/>
      <c r="CV713" s="118"/>
      <c r="CW713" s="118"/>
      <c r="CX713" s="118"/>
      <c r="CY713" s="118"/>
      <c r="CZ713" s="118"/>
      <c r="DA713" s="118"/>
      <c r="DB713" s="118"/>
      <c r="DC713" s="118"/>
      <c r="DD713" s="118"/>
      <c r="DE713" s="118"/>
      <c r="DF713" s="118"/>
      <c r="DG713" s="118"/>
      <c r="DH713" s="118"/>
      <c r="DI713" s="118"/>
      <c r="DJ713" s="118"/>
      <c r="DK713" s="118"/>
      <c r="DL713" s="118"/>
      <c r="DM713" s="118"/>
      <c r="DN713" s="118"/>
      <c r="DO713" s="118"/>
      <c r="DP713" s="118"/>
      <c r="DQ713" s="118"/>
      <c r="DR713" s="118"/>
      <c r="DS713" s="118"/>
      <c r="DT713" s="118"/>
      <c r="DU713" s="19"/>
      <c r="DV713" s="19"/>
      <c r="DW713" s="19"/>
      <c r="DX713" s="19"/>
      <c r="DY713" s="19"/>
      <c r="DZ713" s="19"/>
    </row>
    <row r="714" spans="1:130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18"/>
      <c r="BX714" s="118"/>
      <c r="BY714" s="118"/>
      <c r="BZ714" s="118"/>
      <c r="CA714" s="118"/>
      <c r="CB714" s="118"/>
      <c r="CC714" s="118"/>
      <c r="CD714" s="118"/>
      <c r="CE714" s="118"/>
      <c r="CF714" s="118"/>
      <c r="CG714" s="118"/>
      <c r="CH714" s="118"/>
      <c r="CI714" s="118"/>
      <c r="CJ714" s="118"/>
      <c r="CK714" s="118"/>
      <c r="CL714" s="118"/>
      <c r="CM714" s="118"/>
      <c r="CN714" s="118"/>
      <c r="CO714" s="118"/>
      <c r="CP714" s="118"/>
      <c r="CQ714" s="118"/>
      <c r="CR714" s="118"/>
      <c r="CS714" s="118"/>
      <c r="CT714" s="118"/>
      <c r="CU714" s="118"/>
      <c r="CV714" s="118"/>
      <c r="CW714" s="118"/>
      <c r="CX714" s="118"/>
      <c r="CY714" s="118"/>
      <c r="CZ714" s="118"/>
      <c r="DA714" s="118"/>
      <c r="DB714" s="118"/>
      <c r="DC714" s="118"/>
      <c r="DD714" s="118"/>
      <c r="DE714" s="118"/>
      <c r="DF714" s="118"/>
      <c r="DG714" s="118"/>
      <c r="DH714" s="118"/>
      <c r="DI714" s="118"/>
      <c r="DJ714" s="118"/>
      <c r="DK714" s="118"/>
      <c r="DL714" s="118"/>
      <c r="DM714" s="118"/>
      <c r="DN714" s="118"/>
      <c r="DO714" s="118"/>
      <c r="DP714" s="118"/>
      <c r="DQ714" s="118"/>
      <c r="DR714" s="118"/>
      <c r="DS714" s="118"/>
      <c r="DT714" s="118"/>
      <c r="DU714" s="19"/>
      <c r="DV714" s="19"/>
      <c r="DW714" s="19"/>
      <c r="DX714" s="19"/>
      <c r="DY714" s="19"/>
      <c r="DZ714" s="19"/>
    </row>
    <row r="715" spans="1:130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18"/>
      <c r="BX715" s="118"/>
      <c r="BY715" s="118"/>
      <c r="BZ715" s="118"/>
      <c r="CA715" s="118"/>
      <c r="CB715" s="118"/>
      <c r="CC715" s="118"/>
      <c r="CD715" s="118"/>
      <c r="CE715" s="118"/>
      <c r="CF715" s="118"/>
      <c r="CG715" s="118"/>
      <c r="CH715" s="118"/>
      <c r="CI715" s="118"/>
      <c r="CJ715" s="118"/>
      <c r="CK715" s="118"/>
      <c r="CL715" s="118"/>
      <c r="CM715" s="118"/>
      <c r="CN715" s="118"/>
      <c r="CO715" s="118"/>
      <c r="CP715" s="118"/>
      <c r="CQ715" s="118"/>
      <c r="CR715" s="118"/>
      <c r="CS715" s="118"/>
      <c r="CT715" s="118"/>
      <c r="CU715" s="118"/>
      <c r="CV715" s="118"/>
      <c r="CW715" s="118"/>
      <c r="CX715" s="118"/>
      <c r="CY715" s="118"/>
      <c r="CZ715" s="118"/>
      <c r="DA715" s="118"/>
      <c r="DB715" s="118"/>
      <c r="DC715" s="118"/>
      <c r="DD715" s="118"/>
      <c r="DE715" s="118"/>
      <c r="DF715" s="118"/>
      <c r="DG715" s="118"/>
      <c r="DH715" s="118"/>
      <c r="DI715" s="118"/>
      <c r="DJ715" s="118"/>
      <c r="DK715" s="118"/>
      <c r="DL715" s="118"/>
      <c r="DM715" s="118"/>
      <c r="DN715" s="118"/>
      <c r="DO715" s="118"/>
      <c r="DP715" s="118"/>
      <c r="DQ715" s="118"/>
      <c r="DR715" s="118"/>
      <c r="DS715" s="118"/>
      <c r="DT715" s="118"/>
      <c r="DU715" s="19"/>
      <c r="DV715" s="19"/>
      <c r="DW715" s="19"/>
      <c r="DX715" s="19"/>
      <c r="DY715" s="19"/>
      <c r="DZ715" s="19"/>
    </row>
    <row r="716" spans="1:130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18"/>
      <c r="BX716" s="118"/>
      <c r="BY716" s="118"/>
      <c r="BZ716" s="118"/>
      <c r="CA716" s="118"/>
      <c r="CB716" s="118"/>
      <c r="CC716" s="118"/>
      <c r="CD716" s="118"/>
      <c r="CE716" s="118"/>
      <c r="CF716" s="118"/>
      <c r="CG716" s="118"/>
      <c r="CH716" s="118"/>
      <c r="CI716" s="118"/>
      <c r="CJ716" s="118"/>
      <c r="CK716" s="118"/>
      <c r="CL716" s="118"/>
      <c r="CM716" s="118"/>
      <c r="CN716" s="118"/>
      <c r="CO716" s="118"/>
      <c r="CP716" s="118"/>
      <c r="CQ716" s="118"/>
      <c r="CR716" s="118"/>
      <c r="CS716" s="118"/>
      <c r="CT716" s="118"/>
      <c r="CU716" s="118"/>
      <c r="CV716" s="118"/>
      <c r="CW716" s="118"/>
      <c r="CX716" s="118"/>
      <c r="CY716" s="118"/>
      <c r="CZ716" s="118"/>
      <c r="DA716" s="118"/>
      <c r="DB716" s="118"/>
      <c r="DC716" s="118"/>
      <c r="DD716" s="118"/>
      <c r="DE716" s="118"/>
      <c r="DF716" s="118"/>
      <c r="DG716" s="118"/>
      <c r="DH716" s="118"/>
      <c r="DI716" s="118"/>
      <c r="DJ716" s="118"/>
      <c r="DK716" s="118"/>
      <c r="DL716" s="118"/>
      <c r="DM716" s="118"/>
      <c r="DN716" s="118"/>
      <c r="DO716" s="118"/>
      <c r="DP716" s="118"/>
      <c r="DQ716" s="118"/>
      <c r="DR716" s="118"/>
      <c r="DS716" s="118"/>
      <c r="DT716" s="118"/>
      <c r="DU716" s="19"/>
      <c r="DV716" s="19"/>
      <c r="DW716" s="19"/>
      <c r="DX716" s="19"/>
      <c r="DY716" s="19"/>
      <c r="DZ716" s="19"/>
    </row>
    <row r="717" spans="1:130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18"/>
      <c r="BX717" s="118"/>
      <c r="BY717" s="118"/>
      <c r="BZ717" s="118"/>
      <c r="CA717" s="118"/>
      <c r="CB717" s="118"/>
      <c r="CC717" s="118"/>
      <c r="CD717" s="118"/>
      <c r="CE717" s="118"/>
      <c r="CF717" s="118"/>
      <c r="CG717" s="118"/>
      <c r="CH717" s="118"/>
      <c r="CI717" s="118"/>
      <c r="CJ717" s="118"/>
      <c r="CK717" s="118"/>
      <c r="CL717" s="118"/>
      <c r="CM717" s="118"/>
      <c r="CN717" s="118"/>
      <c r="CO717" s="118"/>
      <c r="CP717" s="118"/>
      <c r="CQ717" s="118"/>
      <c r="CR717" s="118"/>
      <c r="CS717" s="118"/>
      <c r="CT717" s="118"/>
      <c r="CU717" s="118"/>
      <c r="CV717" s="118"/>
      <c r="CW717" s="118"/>
      <c r="CX717" s="118"/>
      <c r="CY717" s="118"/>
      <c r="CZ717" s="118"/>
      <c r="DA717" s="118"/>
      <c r="DB717" s="118"/>
      <c r="DC717" s="118"/>
      <c r="DD717" s="118"/>
      <c r="DE717" s="118"/>
      <c r="DF717" s="118"/>
      <c r="DG717" s="118"/>
      <c r="DH717" s="118"/>
      <c r="DI717" s="118"/>
      <c r="DJ717" s="118"/>
      <c r="DK717" s="118"/>
      <c r="DL717" s="118"/>
      <c r="DM717" s="118"/>
      <c r="DN717" s="118"/>
      <c r="DO717" s="118"/>
      <c r="DP717" s="118"/>
      <c r="DQ717" s="118"/>
      <c r="DR717" s="118"/>
      <c r="DS717" s="118"/>
      <c r="DT717" s="118"/>
      <c r="DU717" s="19"/>
      <c r="DV717" s="19"/>
      <c r="DW717" s="19"/>
      <c r="DX717" s="19"/>
      <c r="DY717" s="19"/>
      <c r="DZ717" s="19"/>
    </row>
    <row r="718" spans="1:130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18"/>
      <c r="BX718" s="118"/>
      <c r="BY718" s="118"/>
      <c r="BZ718" s="118"/>
      <c r="CA718" s="118"/>
      <c r="CB718" s="118"/>
      <c r="CC718" s="118"/>
      <c r="CD718" s="118"/>
      <c r="CE718" s="118"/>
      <c r="CF718" s="118"/>
      <c r="CG718" s="118"/>
      <c r="CH718" s="118"/>
      <c r="CI718" s="118"/>
      <c r="CJ718" s="118"/>
      <c r="CK718" s="118"/>
      <c r="CL718" s="118"/>
      <c r="CM718" s="118"/>
      <c r="CN718" s="118"/>
      <c r="CO718" s="118"/>
      <c r="CP718" s="118"/>
      <c r="CQ718" s="118"/>
      <c r="CR718" s="118"/>
      <c r="CS718" s="118"/>
      <c r="CT718" s="118"/>
      <c r="CU718" s="118"/>
      <c r="CV718" s="118"/>
      <c r="CW718" s="118"/>
      <c r="CX718" s="118"/>
      <c r="CY718" s="118"/>
      <c r="CZ718" s="118"/>
      <c r="DA718" s="118"/>
      <c r="DB718" s="118"/>
      <c r="DC718" s="118"/>
      <c r="DD718" s="118"/>
      <c r="DE718" s="118"/>
      <c r="DF718" s="118"/>
      <c r="DG718" s="118"/>
      <c r="DH718" s="118"/>
      <c r="DI718" s="118"/>
      <c r="DJ718" s="118"/>
      <c r="DK718" s="118"/>
      <c r="DL718" s="118"/>
      <c r="DM718" s="118"/>
      <c r="DN718" s="118"/>
      <c r="DO718" s="118"/>
      <c r="DP718" s="118"/>
      <c r="DQ718" s="118"/>
      <c r="DR718" s="118"/>
      <c r="DS718" s="118"/>
      <c r="DT718" s="118"/>
      <c r="DU718" s="19"/>
      <c r="DV718" s="19"/>
      <c r="DW718" s="19"/>
      <c r="DX718" s="19"/>
      <c r="DY718" s="19"/>
      <c r="DZ718" s="19"/>
    </row>
    <row r="719" spans="1:130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18"/>
      <c r="BX719" s="118"/>
      <c r="BY719" s="118"/>
      <c r="BZ719" s="118"/>
      <c r="CA719" s="118"/>
      <c r="CB719" s="118"/>
      <c r="CC719" s="118"/>
      <c r="CD719" s="118"/>
      <c r="CE719" s="118"/>
      <c r="CF719" s="118"/>
      <c r="CG719" s="118"/>
      <c r="CH719" s="118"/>
      <c r="CI719" s="118"/>
      <c r="CJ719" s="118"/>
      <c r="CK719" s="118"/>
      <c r="CL719" s="118"/>
      <c r="CM719" s="118"/>
      <c r="CN719" s="118"/>
      <c r="CO719" s="118"/>
      <c r="CP719" s="118"/>
      <c r="CQ719" s="118"/>
      <c r="CR719" s="118"/>
      <c r="CS719" s="118"/>
      <c r="CT719" s="118"/>
      <c r="CU719" s="118"/>
      <c r="CV719" s="118"/>
      <c r="CW719" s="118"/>
      <c r="CX719" s="118"/>
      <c r="CY719" s="118"/>
      <c r="CZ719" s="118"/>
      <c r="DA719" s="118"/>
      <c r="DB719" s="118"/>
      <c r="DC719" s="118"/>
      <c r="DD719" s="118"/>
      <c r="DE719" s="118"/>
      <c r="DF719" s="118"/>
      <c r="DG719" s="118"/>
      <c r="DH719" s="118"/>
      <c r="DI719" s="118"/>
      <c r="DJ719" s="118"/>
      <c r="DK719" s="118"/>
      <c r="DL719" s="118"/>
      <c r="DM719" s="118"/>
      <c r="DN719" s="118"/>
      <c r="DO719" s="118"/>
      <c r="DP719" s="118"/>
      <c r="DQ719" s="118"/>
      <c r="DR719" s="118"/>
      <c r="DS719" s="118"/>
      <c r="DT719" s="118"/>
      <c r="DU719" s="19"/>
      <c r="DV719" s="19"/>
      <c r="DW719" s="19"/>
      <c r="DX719" s="19"/>
      <c r="DY719" s="19"/>
      <c r="DZ719" s="19"/>
    </row>
    <row r="720" spans="1:130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18"/>
      <c r="BX720" s="118"/>
      <c r="BY720" s="118"/>
      <c r="BZ720" s="118"/>
      <c r="CA720" s="118"/>
      <c r="CB720" s="118"/>
      <c r="CC720" s="118"/>
      <c r="CD720" s="118"/>
      <c r="CE720" s="118"/>
      <c r="CF720" s="118"/>
      <c r="CG720" s="118"/>
      <c r="CH720" s="118"/>
      <c r="CI720" s="118"/>
      <c r="CJ720" s="118"/>
      <c r="CK720" s="118"/>
      <c r="CL720" s="118"/>
      <c r="CM720" s="118"/>
      <c r="CN720" s="118"/>
      <c r="CO720" s="118"/>
      <c r="CP720" s="118"/>
      <c r="CQ720" s="118"/>
      <c r="CR720" s="118"/>
      <c r="CS720" s="118"/>
      <c r="CT720" s="118"/>
      <c r="CU720" s="118"/>
      <c r="CV720" s="118"/>
      <c r="CW720" s="118"/>
      <c r="CX720" s="118"/>
      <c r="CY720" s="118"/>
      <c r="CZ720" s="118"/>
      <c r="DA720" s="118"/>
      <c r="DB720" s="118"/>
      <c r="DC720" s="118"/>
      <c r="DD720" s="118"/>
      <c r="DE720" s="118"/>
      <c r="DF720" s="118"/>
      <c r="DG720" s="118"/>
      <c r="DH720" s="118"/>
      <c r="DI720" s="118"/>
      <c r="DJ720" s="118"/>
      <c r="DK720" s="118"/>
      <c r="DL720" s="118"/>
      <c r="DM720" s="118"/>
      <c r="DN720" s="118"/>
      <c r="DO720" s="118"/>
      <c r="DP720" s="118"/>
      <c r="DQ720" s="118"/>
      <c r="DR720" s="118"/>
      <c r="DS720" s="118"/>
      <c r="DT720" s="118"/>
      <c r="DU720" s="19"/>
      <c r="DV720" s="19"/>
      <c r="DW720" s="19"/>
      <c r="DX720" s="19"/>
      <c r="DY720" s="19"/>
      <c r="DZ720" s="19"/>
    </row>
    <row r="721" spans="1:130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18"/>
      <c r="BX721" s="118"/>
      <c r="BY721" s="118"/>
      <c r="BZ721" s="118"/>
      <c r="CA721" s="118"/>
      <c r="CB721" s="118"/>
      <c r="CC721" s="118"/>
      <c r="CD721" s="118"/>
      <c r="CE721" s="118"/>
      <c r="CF721" s="118"/>
      <c r="CG721" s="118"/>
      <c r="CH721" s="118"/>
      <c r="CI721" s="118"/>
      <c r="CJ721" s="118"/>
      <c r="CK721" s="118"/>
      <c r="CL721" s="118"/>
      <c r="CM721" s="118"/>
      <c r="CN721" s="118"/>
      <c r="CO721" s="118"/>
      <c r="CP721" s="118"/>
      <c r="CQ721" s="118"/>
      <c r="CR721" s="118"/>
      <c r="CS721" s="118"/>
      <c r="CT721" s="118"/>
      <c r="CU721" s="118"/>
      <c r="CV721" s="118"/>
      <c r="CW721" s="118"/>
      <c r="CX721" s="118"/>
      <c r="CY721" s="118"/>
      <c r="CZ721" s="118"/>
      <c r="DA721" s="118"/>
      <c r="DB721" s="118"/>
      <c r="DC721" s="118"/>
      <c r="DD721" s="118"/>
      <c r="DE721" s="118"/>
      <c r="DF721" s="118"/>
      <c r="DG721" s="118"/>
      <c r="DH721" s="118"/>
      <c r="DI721" s="118"/>
      <c r="DJ721" s="118"/>
      <c r="DK721" s="118"/>
      <c r="DL721" s="118"/>
      <c r="DM721" s="118"/>
      <c r="DN721" s="118"/>
      <c r="DO721" s="118"/>
      <c r="DP721" s="118"/>
      <c r="DQ721" s="118"/>
      <c r="DR721" s="118"/>
      <c r="DS721" s="118"/>
      <c r="DT721" s="118"/>
      <c r="DU721" s="19"/>
      <c r="DV721" s="19"/>
      <c r="DW721" s="19"/>
      <c r="DX721" s="19"/>
      <c r="DY721" s="19"/>
      <c r="DZ721" s="19"/>
    </row>
    <row r="722" spans="1:130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18"/>
      <c r="BX722" s="118"/>
      <c r="BY722" s="118"/>
      <c r="BZ722" s="118"/>
      <c r="CA722" s="118"/>
      <c r="CB722" s="118"/>
      <c r="CC722" s="118"/>
      <c r="CD722" s="118"/>
      <c r="CE722" s="118"/>
      <c r="CF722" s="118"/>
      <c r="CG722" s="118"/>
      <c r="CH722" s="118"/>
      <c r="CI722" s="118"/>
      <c r="CJ722" s="118"/>
      <c r="CK722" s="118"/>
      <c r="CL722" s="118"/>
      <c r="CM722" s="118"/>
      <c r="CN722" s="118"/>
      <c r="CO722" s="118"/>
      <c r="CP722" s="118"/>
      <c r="CQ722" s="118"/>
      <c r="CR722" s="118"/>
      <c r="CS722" s="118"/>
      <c r="CT722" s="118"/>
      <c r="CU722" s="118"/>
      <c r="CV722" s="118"/>
      <c r="CW722" s="118"/>
      <c r="CX722" s="118"/>
      <c r="CY722" s="118"/>
      <c r="CZ722" s="118"/>
      <c r="DA722" s="118"/>
      <c r="DB722" s="118"/>
      <c r="DC722" s="118"/>
      <c r="DD722" s="118"/>
      <c r="DE722" s="118"/>
      <c r="DF722" s="118"/>
      <c r="DG722" s="118"/>
      <c r="DH722" s="118"/>
      <c r="DI722" s="118"/>
      <c r="DJ722" s="118"/>
      <c r="DK722" s="118"/>
      <c r="DL722" s="118"/>
      <c r="DM722" s="118"/>
      <c r="DN722" s="118"/>
      <c r="DO722" s="118"/>
      <c r="DP722" s="118"/>
      <c r="DQ722" s="118"/>
      <c r="DR722" s="118"/>
      <c r="DS722" s="118"/>
      <c r="DT722" s="118"/>
      <c r="DU722" s="19"/>
      <c r="DV722" s="19"/>
      <c r="DW722" s="19"/>
      <c r="DX722" s="19"/>
      <c r="DY722" s="19"/>
      <c r="DZ722" s="19"/>
    </row>
    <row r="723" spans="1:130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18"/>
      <c r="BX723" s="118"/>
      <c r="BY723" s="118"/>
      <c r="BZ723" s="118"/>
      <c r="CA723" s="118"/>
      <c r="CB723" s="118"/>
      <c r="CC723" s="118"/>
      <c r="CD723" s="118"/>
      <c r="CE723" s="118"/>
      <c r="CF723" s="118"/>
      <c r="CG723" s="118"/>
      <c r="CH723" s="118"/>
      <c r="CI723" s="118"/>
      <c r="CJ723" s="118"/>
      <c r="CK723" s="118"/>
      <c r="CL723" s="118"/>
      <c r="CM723" s="118"/>
      <c r="CN723" s="118"/>
      <c r="CO723" s="118"/>
      <c r="CP723" s="118"/>
      <c r="CQ723" s="118"/>
      <c r="CR723" s="118"/>
      <c r="CS723" s="118"/>
      <c r="CT723" s="118"/>
      <c r="CU723" s="118"/>
      <c r="CV723" s="118"/>
      <c r="CW723" s="118"/>
      <c r="CX723" s="118"/>
      <c r="CY723" s="118"/>
      <c r="CZ723" s="118"/>
      <c r="DA723" s="118"/>
      <c r="DB723" s="118"/>
      <c r="DC723" s="118"/>
      <c r="DD723" s="118"/>
      <c r="DE723" s="118"/>
      <c r="DF723" s="118"/>
      <c r="DG723" s="118"/>
      <c r="DH723" s="118"/>
      <c r="DI723" s="118"/>
      <c r="DJ723" s="118"/>
      <c r="DK723" s="118"/>
      <c r="DL723" s="118"/>
      <c r="DM723" s="118"/>
      <c r="DN723" s="118"/>
      <c r="DO723" s="118"/>
      <c r="DP723" s="118"/>
      <c r="DQ723" s="118"/>
      <c r="DR723" s="118"/>
      <c r="DS723" s="118"/>
      <c r="DT723" s="118"/>
      <c r="DU723" s="19"/>
      <c r="DV723" s="19"/>
      <c r="DW723" s="19"/>
      <c r="DX723" s="19"/>
      <c r="DY723" s="19"/>
      <c r="DZ723" s="19"/>
    </row>
    <row r="724" spans="1:130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18"/>
      <c r="BX724" s="118"/>
      <c r="BY724" s="118"/>
      <c r="BZ724" s="118"/>
      <c r="CA724" s="118"/>
      <c r="CB724" s="118"/>
      <c r="CC724" s="118"/>
      <c r="CD724" s="118"/>
      <c r="CE724" s="118"/>
      <c r="CF724" s="118"/>
      <c r="CG724" s="118"/>
      <c r="CH724" s="118"/>
      <c r="CI724" s="118"/>
      <c r="CJ724" s="118"/>
      <c r="CK724" s="118"/>
      <c r="CL724" s="118"/>
      <c r="CM724" s="118"/>
      <c r="CN724" s="118"/>
      <c r="CO724" s="118"/>
      <c r="CP724" s="118"/>
      <c r="CQ724" s="118"/>
      <c r="CR724" s="118"/>
      <c r="CS724" s="118"/>
      <c r="CT724" s="118"/>
      <c r="CU724" s="118"/>
      <c r="CV724" s="118"/>
      <c r="CW724" s="118"/>
      <c r="CX724" s="118"/>
      <c r="CY724" s="118"/>
      <c r="CZ724" s="118"/>
      <c r="DA724" s="118"/>
      <c r="DB724" s="118"/>
      <c r="DC724" s="118"/>
      <c r="DD724" s="118"/>
      <c r="DE724" s="118"/>
      <c r="DF724" s="118"/>
      <c r="DG724" s="118"/>
      <c r="DH724" s="118"/>
      <c r="DI724" s="118"/>
      <c r="DJ724" s="118"/>
      <c r="DK724" s="118"/>
      <c r="DL724" s="118"/>
      <c r="DM724" s="118"/>
      <c r="DN724" s="118"/>
      <c r="DO724" s="118"/>
      <c r="DP724" s="118"/>
      <c r="DQ724" s="118"/>
      <c r="DR724" s="118"/>
      <c r="DS724" s="118"/>
      <c r="DT724" s="118"/>
      <c r="DU724" s="19"/>
      <c r="DV724" s="19"/>
      <c r="DW724" s="19"/>
      <c r="DX724" s="19"/>
      <c r="DY724" s="19"/>
      <c r="DZ724" s="19"/>
    </row>
    <row r="725" spans="1:130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18"/>
      <c r="BX725" s="118"/>
      <c r="BY725" s="118"/>
      <c r="BZ725" s="118"/>
      <c r="CA725" s="118"/>
      <c r="CB725" s="118"/>
      <c r="CC725" s="118"/>
      <c r="CD725" s="118"/>
      <c r="CE725" s="118"/>
      <c r="CF725" s="118"/>
      <c r="CG725" s="118"/>
      <c r="CH725" s="118"/>
      <c r="CI725" s="118"/>
      <c r="CJ725" s="118"/>
      <c r="CK725" s="118"/>
      <c r="CL725" s="118"/>
      <c r="CM725" s="118"/>
      <c r="CN725" s="118"/>
      <c r="CO725" s="118"/>
      <c r="CP725" s="118"/>
      <c r="CQ725" s="118"/>
      <c r="CR725" s="118"/>
      <c r="CS725" s="118"/>
      <c r="CT725" s="118"/>
      <c r="CU725" s="118"/>
      <c r="CV725" s="118"/>
      <c r="CW725" s="118"/>
      <c r="CX725" s="118"/>
      <c r="CY725" s="118"/>
      <c r="CZ725" s="118"/>
      <c r="DA725" s="118"/>
      <c r="DB725" s="118"/>
      <c r="DC725" s="118"/>
      <c r="DD725" s="118"/>
      <c r="DE725" s="118"/>
      <c r="DF725" s="118"/>
      <c r="DG725" s="118"/>
      <c r="DH725" s="118"/>
      <c r="DI725" s="118"/>
      <c r="DJ725" s="118"/>
      <c r="DK725" s="118"/>
      <c r="DL725" s="118"/>
      <c r="DM725" s="118"/>
      <c r="DN725" s="118"/>
      <c r="DO725" s="118"/>
      <c r="DP725" s="118"/>
      <c r="DQ725" s="118"/>
      <c r="DR725" s="118"/>
      <c r="DS725" s="118"/>
      <c r="DT725" s="118"/>
      <c r="DU725" s="19"/>
      <c r="DV725" s="19"/>
      <c r="DW725" s="19"/>
      <c r="DX725" s="19"/>
      <c r="DY725" s="19"/>
      <c r="DZ725" s="19"/>
    </row>
    <row r="726" spans="1:130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18"/>
      <c r="BX726" s="118"/>
      <c r="BY726" s="118"/>
      <c r="BZ726" s="118"/>
      <c r="CA726" s="118"/>
      <c r="CB726" s="118"/>
      <c r="CC726" s="118"/>
      <c r="CD726" s="118"/>
      <c r="CE726" s="118"/>
      <c r="CF726" s="118"/>
      <c r="CG726" s="118"/>
      <c r="CH726" s="118"/>
      <c r="CI726" s="118"/>
      <c r="CJ726" s="118"/>
      <c r="CK726" s="118"/>
      <c r="CL726" s="118"/>
      <c r="CM726" s="118"/>
      <c r="CN726" s="118"/>
      <c r="CO726" s="118"/>
      <c r="CP726" s="118"/>
      <c r="CQ726" s="118"/>
      <c r="CR726" s="118"/>
      <c r="CS726" s="118"/>
      <c r="CT726" s="118"/>
      <c r="CU726" s="118"/>
      <c r="CV726" s="118"/>
      <c r="CW726" s="118"/>
      <c r="CX726" s="118"/>
      <c r="CY726" s="118"/>
      <c r="CZ726" s="118"/>
      <c r="DA726" s="118"/>
      <c r="DB726" s="118"/>
      <c r="DC726" s="118"/>
      <c r="DD726" s="118"/>
      <c r="DE726" s="118"/>
      <c r="DF726" s="118"/>
      <c r="DG726" s="118"/>
      <c r="DH726" s="118"/>
      <c r="DI726" s="118"/>
      <c r="DJ726" s="118"/>
      <c r="DK726" s="118"/>
      <c r="DL726" s="118"/>
      <c r="DM726" s="118"/>
      <c r="DN726" s="118"/>
      <c r="DO726" s="118"/>
      <c r="DP726" s="118"/>
      <c r="DQ726" s="118"/>
      <c r="DR726" s="118"/>
      <c r="DS726" s="118"/>
      <c r="DT726" s="118"/>
      <c r="DU726" s="19"/>
      <c r="DV726" s="19"/>
      <c r="DW726" s="19"/>
      <c r="DX726" s="19"/>
      <c r="DY726" s="19"/>
      <c r="DZ726" s="19"/>
    </row>
    <row r="727" spans="1:130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18"/>
      <c r="BX727" s="118"/>
      <c r="BY727" s="118"/>
      <c r="BZ727" s="118"/>
      <c r="CA727" s="118"/>
      <c r="CB727" s="118"/>
      <c r="CC727" s="118"/>
      <c r="CD727" s="118"/>
      <c r="CE727" s="118"/>
      <c r="CF727" s="118"/>
      <c r="CG727" s="118"/>
      <c r="CH727" s="118"/>
      <c r="CI727" s="118"/>
      <c r="CJ727" s="118"/>
      <c r="CK727" s="118"/>
      <c r="CL727" s="118"/>
      <c r="CM727" s="118"/>
      <c r="CN727" s="118"/>
      <c r="CO727" s="118"/>
      <c r="CP727" s="118"/>
      <c r="CQ727" s="118"/>
      <c r="CR727" s="118"/>
      <c r="CS727" s="118"/>
      <c r="CT727" s="118"/>
      <c r="CU727" s="118"/>
      <c r="CV727" s="118"/>
      <c r="CW727" s="118"/>
      <c r="CX727" s="118"/>
      <c r="CY727" s="118"/>
      <c r="CZ727" s="118"/>
      <c r="DA727" s="118"/>
      <c r="DB727" s="118"/>
      <c r="DC727" s="118"/>
      <c r="DD727" s="118"/>
      <c r="DE727" s="118"/>
      <c r="DF727" s="118"/>
      <c r="DG727" s="118"/>
      <c r="DH727" s="118"/>
      <c r="DI727" s="118"/>
      <c r="DJ727" s="118"/>
      <c r="DK727" s="118"/>
      <c r="DL727" s="118"/>
      <c r="DM727" s="118"/>
      <c r="DN727" s="118"/>
      <c r="DO727" s="118"/>
      <c r="DP727" s="118"/>
      <c r="DQ727" s="118"/>
      <c r="DR727" s="118"/>
      <c r="DS727" s="118"/>
      <c r="DT727" s="118"/>
      <c r="DU727" s="19"/>
      <c r="DV727" s="19"/>
      <c r="DW727" s="19"/>
      <c r="DX727" s="19"/>
      <c r="DY727" s="19"/>
      <c r="DZ727" s="19"/>
    </row>
    <row r="728" spans="1:130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18"/>
      <c r="BX728" s="118"/>
      <c r="BY728" s="118"/>
      <c r="BZ728" s="118"/>
      <c r="CA728" s="118"/>
      <c r="CB728" s="118"/>
      <c r="CC728" s="118"/>
      <c r="CD728" s="118"/>
      <c r="CE728" s="118"/>
      <c r="CF728" s="118"/>
      <c r="CG728" s="118"/>
      <c r="CH728" s="118"/>
      <c r="CI728" s="118"/>
      <c r="CJ728" s="118"/>
      <c r="CK728" s="118"/>
      <c r="CL728" s="118"/>
      <c r="CM728" s="118"/>
      <c r="CN728" s="118"/>
      <c r="CO728" s="118"/>
      <c r="CP728" s="118"/>
      <c r="CQ728" s="118"/>
      <c r="CR728" s="118"/>
      <c r="CS728" s="118"/>
      <c r="CT728" s="118"/>
      <c r="CU728" s="118"/>
      <c r="CV728" s="118"/>
      <c r="CW728" s="118"/>
      <c r="CX728" s="118"/>
      <c r="CY728" s="118"/>
      <c r="CZ728" s="118"/>
      <c r="DA728" s="118"/>
      <c r="DB728" s="118"/>
      <c r="DC728" s="118"/>
      <c r="DD728" s="118"/>
      <c r="DE728" s="118"/>
      <c r="DF728" s="118"/>
      <c r="DG728" s="118"/>
      <c r="DH728" s="118"/>
      <c r="DI728" s="118"/>
      <c r="DJ728" s="118"/>
      <c r="DK728" s="118"/>
      <c r="DL728" s="118"/>
      <c r="DM728" s="118"/>
      <c r="DN728" s="118"/>
      <c r="DO728" s="118"/>
      <c r="DP728" s="118"/>
      <c r="DQ728" s="118"/>
      <c r="DR728" s="118"/>
      <c r="DS728" s="118"/>
      <c r="DT728" s="118"/>
      <c r="DU728" s="19"/>
      <c r="DV728" s="19"/>
      <c r="DW728" s="19"/>
      <c r="DX728" s="19"/>
      <c r="DY728" s="19"/>
      <c r="DZ728" s="19"/>
    </row>
    <row r="729" spans="1:130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18"/>
      <c r="BX729" s="118"/>
      <c r="BY729" s="118"/>
      <c r="BZ729" s="118"/>
      <c r="CA729" s="118"/>
      <c r="CB729" s="118"/>
      <c r="CC729" s="118"/>
      <c r="CD729" s="118"/>
      <c r="CE729" s="118"/>
      <c r="CF729" s="118"/>
      <c r="CG729" s="118"/>
      <c r="CH729" s="118"/>
      <c r="CI729" s="118"/>
      <c r="CJ729" s="118"/>
      <c r="CK729" s="118"/>
      <c r="CL729" s="118"/>
      <c r="CM729" s="118"/>
      <c r="CN729" s="118"/>
      <c r="CO729" s="118"/>
      <c r="CP729" s="118"/>
      <c r="CQ729" s="118"/>
      <c r="CR729" s="118"/>
      <c r="CS729" s="118"/>
      <c r="CT729" s="118"/>
      <c r="CU729" s="118"/>
      <c r="CV729" s="118"/>
      <c r="CW729" s="118"/>
      <c r="CX729" s="118"/>
      <c r="CY729" s="118"/>
      <c r="CZ729" s="118"/>
      <c r="DA729" s="118"/>
      <c r="DB729" s="118"/>
      <c r="DC729" s="118"/>
      <c r="DD729" s="118"/>
      <c r="DE729" s="118"/>
      <c r="DF729" s="118"/>
      <c r="DG729" s="118"/>
      <c r="DH729" s="118"/>
      <c r="DI729" s="118"/>
      <c r="DJ729" s="118"/>
      <c r="DK729" s="118"/>
      <c r="DL729" s="118"/>
      <c r="DM729" s="118"/>
      <c r="DN729" s="118"/>
      <c r="DO729" s="118"/>
      <c r="DP729" s="118"/>
      <c r="DQ729" s="118"/>
      <c r="DR729" s="118"/>
      <c r="DS729" s="118"/>
      <c r="DT729" s="118"/>
      <c r="DU729" s="19"/>
      <c r="DV729" s="19"/>
      <c r="DW729" s="19"/>
      <c r="DX729" s="19"/>
      <c r="DY729" s="19"/>
      <c r="DZ729" s="19"/>
    </row>
    <row r="730" spans="1:130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18"/>
      <c r="BX730" s="118"/>
      <c r="BY730" s="118"/>
      <c r="BZ730" s="118"/>
      <c r="CA730" s="118"/>
      <c r="CB730" s="118"/>
      <c r="CC730" s="118"/>
      <c r="CD730" s="118"/>
      <c r="CE730" s="118"/>
      <c r="CF730" s="118"/>
      <c r="CG730" s="118"/>
      <c r="CH730" s="118"/>
      <c r="CI730" s="118"/>
      <c r="CJ730" s="118"/>
      <c r="CK730" s="118"/>
      <c r="CL730" s="118"/>
      <c r="CM730" s="118"/>
      <c r="CN730" s="118"/>
      <c r="CO730" s="118"/>
      <c r="CP730" s="118"/>
      <c r="CQ730" s="118"/>
      <c r="CR730" s="118"/>
      <c r="CS730" s="118"/>
      <c r="CT730" s="118"/>
      <c r="CU730" s="118"/>
      <c r="CV730" s="118"/>
      <c r="CW730" s="118"/>
      <c r="CX730" s="118"/>
      <c r="CY730" s="118"/>
      <c r="CZ730" s="118"/>
      <c r="DA730" s="118"/>
      <c r="DB730" s="118"/>
      <c r="DC730" s="118"/>
      <c r="DD730" s="118"/>
      <c r="DE730" s="118"/>
      <c r="DF730" s="118"/>
      <c r="DG730" s="118"/>
      <c r="DH730" s="118"/>
      <c r="DI730" s="118"/>
      <c r="DJ730" s="118"/>
      <c r="DK730" s="118"/>
      <c r="DL730" s="118"/>
      <c r="DM730" s="118"/>
      <c r="DN730" s="118"/>
      <c r="DO730" s="118"/>
      <c r="DP730" s="118"/>
      <c r="DQ730" s="118"/>
      <c r="DR730" s="118"/>
      <c r="DS730" s="118"/>
      <c r="DT730" s="118"/>
      <c r="DU730" s="19"/>
      <c r="DV730" s="19"/>
      <c r="DW730" s="19"/>
      <c r="DX730" s="19"/>
      <c r="DY730" s="19"/>
      <c r="DZ730" s="19"/>
    </row>
    <row r="731" spans="1:130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18"/>
      <c r="BX731" s="118"/>
      <c r="BY731" s="118"/>
      <c r="BZ731" s="118"/>
      <c r="CA731" s="118"/>
      <c r="CB731" s="118"/>
      <c r="CC731" s="118"/>
      <c r="CD731" s="118"/>
      <c r="CE731" s="118"/>
      <c r="CF731" s="118"/>
      <c r="CG731" s="118"/>
      <c r="CH731" s="118"/>
      <c r="CI731" s="118"/>
      <c r="CJ731" s="118"/>
      <c r="CK731" s="118"/>
      <c r="CL731" s="118"/>
      <c r="CM731" s="118"/>
      <c r="CN731" s="118"/>
      <c r="CO731" s="118"/>
      <c r="CP731" s="118"/>
      <c r="CQ731" s="118"/>
      <c r="CR731" s="118"/>
      <c r="CS731" s="118"/>
      <c r="CT731" s="118"/>
      <c r="CU731" s="118"/>
      <c r="CV731" s="118"/>
      <c r="CW731" s="118"/>
      <c r="CX731" s="118"/>
      <c r="CY731" s="118"/>
      <c r="CZ731" s="118"/>
      <c r="DA731" s="118"/>
      <c r="DB731" s="118"/>
      <c r="DC731" s="118"/>
      <c r="DD731" s="118"/>
      <c r="DE731" s="118"/>
      <c r="DF731" s="118"/>
      <c r="DG731" s="118"/>
      <c r="DH731" s="118"/>
      <c r="DI731" s="118"/>
      <c r="DJ731" s="118"/>
      <c r="DK731" s="118"/>
      <c r="DL731" s="118"/>
      <c r="DM731" s="118"/>
      <c r="DN731" s="118"/>
      <c r="DO731" s="118"/>
      <c r="DP731" s="118"/>
      <c r="DQ731" s="118"/>
      <c r="DR731" s="118"/>
      <c r="DS731" s="118"/>
      <c r="DT731" s="118"/>
      <c r="DU731" s="19"/>
      <c r="DV731" s="19"/>
      <c r="DW731" s="19"/>
      <c r="DX731" s="19"/>
      <c r="DY731" s="19"/>
      <c r="DZ731" s="19"/>
    </row>
    <row r="732" spans="1:130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18"/>
      <c r="BX732" s="118"/>
      <c r="BY732" s="118"/>
      <c r="BZ732" s="118"/>
      <c r="CA732" s="118"/>
      <c r="CB732" s="118"/>
      <c r="CC732" s="118"/>
      <c r="CD732" s="118"/>
      <c r="CE732" s="118"/>
      <c r="CF732" s="118"/>
      <c r="CG732" s="118"/>
      <c r="CH732" s="118"/>
      <c r="CI732" s="118"/>
      <c r="CJ732" s="118"/>
      <c r="CK732" s="118"/>
      <c r="CL732" s="118"/>
      <c r="CM732" s="118"/>
      <c r="CN732" s="118"/>
      <c r="CO732" s="118"/>
      <c r="CP732" s="118"/>
      <c r="CQ732" s="118"/>
      <c r="CR732" s="118"/>
      <c r="CS732" s="118"/>
      <c r="CT732" s="118"/>
      <c r="CU732" s="118"/>
      <c r="CV732" s="118"/>
      <c r="CW732" s="118"/>
      <c r="CX732" s="118"/>
      <c r="CY732" s="118"/>
      <c r="CZ732" s="118"/>
      <c r="DA732" s="118"/>
      <c r="DB732" s="118"/>
      <c r="DC732" s="118"/>
      <c r="DD732" s="118"/>
      <c r="DE732" s="118"/>
      <c r="DF732" s="118"/>
      <c r="DG732" s="118"/>
      <c r="DH732" s="118"/>
      <c r="DI732" s="118"/>
      <c r="DJ732" s="118"/>
      <c r="DK732" s="118"/>
      <c r="DL732" s="118"/>
      <c r="DM732" s="118"/>
      <c r="DN732" s="118"/>
      <c r="DO732" s="118"/>
      <c r="DP732" s="118"/>
      <c r="DQ732" s="118"/>
      <c r="DR732" s="118"/>
      <c r="DS732" s="118"/>
      <c r="DT732" s="118"/>
      <c r="DU732" s="19"/>
      <c r="DV732" s="19"/>
      <c r="DW732" s="19"/>
      <c r="DX732" s="19"/>
      <c r="DY732" s="19"/>
      <c r="DZ732" s="19"/>
    </row>
    <row r="733" spans="1:130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18"/>
      <c r="BX733" s="118"/>
      <c r="BY733" s="118"/>
      <c r="BZ733" s="118"/>
      <c r="CA733" s="118"/>
      <c r="CB733" s="118"/>
      <c r="CC733" s="118"/>
      <c r="CD733" s="118"/>
      <c r="CE733" s="118"/>
      <c r="CF733" s="118"/>
      <c r="CG733" s="118"/>
      <c r="CH733" s="118"/>
      <c r="CI733" s="118"/>
      <c r="CJ733" s="118"/>
      <c r="CK733" s="118"/>
      <c r="CL733" s="118"/>
      <c r="CM733" s="118"/>
      <c r="CN733" s="118"/>
      <c r="CO733" s="118"/>
      <c r="CP733" s="118"/>
      <c r="CQ733" s="118"/>
      <c r="CR733" s="118"/>
      <c r="CS733" s="118"/>
      <c r="CT733" s="118"/>
      <c r="CU733" s="118"/>
      <c r="CV733" s="118"/>
      <c r="CW733" s="118"/>
      <c r="CX733" s="118"/>
      <c r="CY733" s="118"/>
      <c r="CZ733" s="118"/>
      <c r="DA733" s="118"/>
      <c r="DB733" s="118"/>
      <c r="DC733" s="118"/>
      <c r="DD733" s="118"/>
      <c r="DE733" s="118"/>
      <c r="DF733" s="118"/>
      <c r="DG733" s="118"/>
      <c r="DH733" s="118"/>
      <c r="DI733" s="118"/>
      <c r="DJ733" s="118"/>
      <c r="DK733" s="118"/>
      <c r="DL733" s="118"/>
      <c r="DM733" s="118"/>
      <c r="DN733" s="118"/>
      <c r="DO733" s="118"/>
      <c r="DP733" s="118"/>
      <c r="DQ733" s="118"/>
      <c r="DR733" s="118"/>
      <c r="DS733" s="118"/>
      <c r="DT733" s="118"/>
      <c r="DU733" s="19"/>
      <c r="DV733" s="19"/>
      <c r="DW733" s="19"/>
      <c r="DX733" s="19"/>
      <c r="DY733" s="19"/>
      <c r="DZ733" s="19"/>
    </row>
    <row r="734" spans="1:130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18"/>
      <c r="BX734" s="118"/>
      <c r="BY734" s="118"/>
      <c r="BZ734" s="118"/>
      <c r="CA734" s="118"/>
      <c r="CB734" s="118"/>
      <c r="CC734" s="118"/>
      <c r="CD734" s="118"/>
      <c r="CE734" s="118"/>
      <c r="CF734" s="118"/>
      <c r="CG734" s="118"/>
      <c r="CH734" s="118"/>
      <c r="CI734" s="118"/>
      <c r="CJ734" s="118"/>
      <c r="CK734" s="118"/>
      <c r="CL734" s="118"/>
      <c r="CM734" s="118"/>
      <c r="CN734" s="118"/>
      <c r="CO734" s="118"/>
      <c r="CP734" s="118"/>
      <c r="CQ734" s="118"/>
      <c r="CR734" s="118"/>
      <c r="CS734" s="118"/>
      <c r="CT734" s="118"/>
      <c r="CU734" s="118"/>
      <c r="CV734" s="118"/>
      <c r="CW734" s="118"/>
      <c r="CX734" s="118"/>
      <c r="CY734" s="118"/>
      <c r="CZ734" s="118"/>
      <c r="DA734" s="118"/>
      <c r="DB734" s="118"/>
      <c r="DC734" s="118"/>
      <c r="DD734" s="118"/>
      <c r="DE734" s="118"/>
      <c r="DF734" s="118"/>
      <c r="DG734" s="118"/>
      <c r="DH734" s="118"/>
      <c r="DI734" s="118"/>
      <c r="DJ734" s="118"/>
      <c r="DK734" s="118"/>
      <c r="DL734" s="118"/>
      <c r="DM734" s="118"/>
      <c r="DN734" s="118"/>
      <c r="DO734" s="118"/>
      <c r="DP734" s="118"/>
      <c r="DQ734" s="118"/>
      <c r="DR734" s="118"/>
      <c r="DS734" s="118"/>
      <c r="DT734" s="118"/>
      <c r="DU734" s="19"/>
      <c r="DV734" s="19"/>
      <c r="DW734" s="19"/>
      <c r="DX734" s="19"/>
      <c r="DY734" s="19"/>
      <c r="DZ734" s="19"/>
    </row>
    <row r="735" spans="1:130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18"/>
      <c r="BX735" s="118"/>
      <c r="BY735" s="118"/>
      <c r="BZ735" s="118"/>
      <c r="CA735" s="118"/>
      <c r="CB735" s="118"/>
      <c r="CC735" s="118"/>
      <c r="CD735" s="118"/>
      <c r="CE735" s="118"/>
      <c r="CF735" s="118"/>
      <c r="CG735" s="118"/>
      <c r="CH735" s="118"/>
      <c r="CI735" s="118"/>
      <c r="CJ735" s="118"/>
      <c r="CK735" s="118"/>
      <c r="CL735" s="118"/>
      <c r="CM735" s="118"/>
      <c r="CN735" s="118"/>
      <c r="CO735" s="118"/>
      <c r="CP735" s="118"/>
      <c r="CQ735" s="118"/>
      <c r="CR735" s="118"/>
      <c r="CS735" s="118"/>
      <c r="CT735" s="118"/>
      <c r="CU735" s="118"/>
      <c r="CV735" s="118"/>
      <c r="CW735" s="118"/>
      <c r="CX735" s="118"/>
      <c r="CY735" s="118"/>
      <c r="CZ735" s="118"/>
      <c r="DA735" s="118"/>
      <c r="DB735" s="118"/>
      <c r="DC735" s="118"/>
      <c r="DD735" s="118"/>
      <c r="DE735" s="118"/>
      <c r="DF735" s="118"/>
      <c r="DG735" s="118"/>
      <c r="DH735" s="118"/>
      <c r="DI735" s="118"/>
      <c r="DJ735" s="118"/>
      <c r="DK735" s="118"/>
      <c r="DL735" s="118"/>
      <c r="DM735" s="118"/>
      <c r="DN735" s="118"/>
      <c r="DO735" s="118"/>
      <c r="DP735" s="118"/>
      <c r="DQ735" s="118"/>
      <c r="DR735" s="118"/>
      <c r="DS735" s="118"/>
      <c r="DT735" s="118"/>
      <c r="DU735" s="19"/>
      <c r="DV735" s="19"/>
      <c r="DW735" s="19"/>
      <c r="DX735" s="19"/>
      <c r="DY735" s="19"/>
      <c r="DZ735" s="19"/>
    </row>
    <row r="736" spans="1:130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18"/>
      <c r="BX736" s="118"/>
      <c r="BY736" s="118"/>
      <c r="BZ736" s="118"/>
      <c r="CA736" s="118"/>
      <c r="CB736" s="118"/>
      <c r="CC736" s="118"/>
      <c r="CD736" s="118"/>
      <c r="CE736" s="118"/>
      <c r="CF736" s="118"/>
      <c r="CG736" s="118"/>
      <c r="CH736" s="118"/>
      <c r="CI736" s="118"/>
      <c r="CJ736" s="118"/>
      <c r="CK736" s="118"/>
      <c r="CL736" s="118"/>
      <c r="CM736" s="118"/>
      <c r="CN736" s="118"/>
      <c r="CO736" s="118"/>
      <c r="CP736" s="118"/>
      <c r="CQ736" s="118"/>
      <c r="CR736" s="118"/>
      <c r="CS736" s="118"/>
      <c r="CT736" s="118"/>
      <c r="CU736" s="118"/>
      <c r="CV736" s="118"/>
      <c r="CW736" s="118"/>
      <c r="CX736" s="118"/>
      <c r="CY736" s="118"/>
      <c r="CZ736" s="118"/>
      <c r="DA736" s="118"/>
      <c r="DB736" s="118"/>
      <c r="DC736" s="118"/>
      <c r="DD736" s="118"/>
      <c r="DE736" s="118"/>
      <c r="DF736" s="118"/>
      <c r="DG736" s="118"/>
      <c r="DH736" s="118"/>
      <c r="DI736" s="118"/>
      <c r="DJ736" s="118"/>
      <c r="DK736" s="118"/>
      <c r="DL736" s="118"/>
      <c r="DM736" s="118"/>
      <c r="DN736" s="118"/>
      <c r="DO736" s="118"/>
      <c r="DP736" s="118"/>
      <c r="DQ736" s="118"/>
      <c r="DR736" s="118"/>
      <c r="DS736" s="118"/>
      <c r="DT736" s="118"/>
      <c r="DU736" s="19"/>
      <c r="DV736" s="19"/>
      <c r="DW736" s="19"/>
      <c r="DX736" s="19"/>
      <c r="DY736" s="19"/>
      <c r="DZ736" s="19"/>
    </row>
    <row r="737" spans="1:130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18"/>
      <c r="BX737" s="118"/>
      <c r="BY737" s="118"/>
      <c r="BZ737" s="118"/>
      <c r="CA737" s="118"/>
      <c r="CB737" s="118"/>
      <c r="CC737" s="118"/>
      <c r="CD737" s="118"/>
      <c r="CE737" s="118"/>
      <c r="CF737" s="118"/>
      <c r="CG737" s="118"/>
      <c r="CH737" s="118"/>
      <c r="CI737" s="118"/>
      <c r="CJ737" s="118"/>
      <c r="CK737" s="118"/>
      <c r="CL737" s="118"/>
      <c r="CM737" s="118"/>
      <c r="CN737" s="118"/>
      <c r="CO737" s="118"/>
      <c r="CP737" s="118"/>
      <c r="CQ737" s="118"/>
      <c r="CR737" s="118"/>
      <c r="CS737" s="118"/>
      <c r="CT737" s="118"/>
      <c r="CU737" s="118"/>
      <c r="CV737" s="118"/>
      <c r="CW737" s="118"/>
      <c r="CX737" s="118"/>
      <c r="CY737" s="118"/>
      <c r="CZ737" s="118"/>
      <c r="DA737" s="118"/>
      <c r="DB737" s="118"/>
      <c r="DC737" s="118"/>
      <c r="DD737" s="118"/>
      <c r="DE737" s="118"/>
      <c r="DF737" s="118"/>
      <c r="DG737" s="118"/>
      <c r="DH737" s="118"/>
      <c r="DI737" s="118"/>
      <c r="DJ737" s="118"/>
      <c r="DK737" s="118"/>
      <c r="DL737" s="118"/>
      <c r="DM737" s="118"/>
      <c r="DN737" s="118"/>
      <c r="DO737" s="118"/>
      <c r="DP737" s="118"/>
      <c r="DQ737" s="118"/>
      <c r="DR737" s="118"/>
      <c r="DS737" s="118"/>
      <c r="DT737" s="118"/>
      <c r="DU737" s="19"/>
      <c r="DV737" s="19"/>
      <c r="DW737" s="19"/>
      <c r="DX737" s="19"/>
      <c r="DY737" s="19"/>
      <c r="DZ737" s="19"/>
    </row>
    <row r="738" spans="1:130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18"/>
      <c r="BX738" s="118"/>
      <c r="BY738" s="118"/>
      <c r="BZ738" s="118"/>
      <c r="CA738" s="118"/>
      <c r="CB738" s="118"/>
      <c r="CC738" s="118"/>
      <c r="CD738" s="118"/>
      <c r="CE738" s="118"/>
      <c r="CF738" s="118"/>
      <c r="CG738" s="118"/>
      <c r="CH738" s="118"/>
      <c r="CI738" s="118"/>
      <c r="CJ738" s="118"/>
      <c r="CK738" s="118"/>
      <c r="CL738" s="118"/>
      <c r="CM738" s="118"/>
      <c r="CN738" s="118"/>
      <c r="CO738" s="118"/>
      <c r="CP738" s="118"/>
      <c r="CQ738" s="118"/>
      <c r="CR738" s="118"/>
      <c r="CS738" s="118"/>
      <c r="CT738" s="118"/>
      <c r="CU738" s="118"/>
      <c r="CV738" s="118"/>
      <c r="CW738" s="118"/>
      <c r="CX738" s="118"/>
      <c r="CY738" s="118"/>
      <c r="CZ738" s="118"/>
      <c r="DA738" s="118"/>
      <c r="DB738" s="118"/>
      <c r="DC738" s="118"/>
      <c r="DD738" s="118"/>
      <c r="DE738" s="118"/>
      <c r="DF738" s="118"/>
      <c r="DG738" s="118"/>
      <c r="DH738" s="118"/>
      <c r="DI738" s="118"/>
      <c r="DJ738" s="118"/>
      <c r="DK738" s="118"/>
      <c r="DL738" s="118"/>
      <c r="DM738" s="118"/>
      <c r="DN738" s="118"/>
      <c r="DO738" s="118"/>
      <c r="DP738" s="118"/>
      <c r="DQ738" s="118"/>
      <c r="DR738" s="118"/>
      <c r="DS738" s="118"/>
      <c r="DT738" s="118"/>
      <c r="DU738" s="19"/>
      <c r="DV738" s="19"/>
      <c r="DW738" s="19"/>
      <c r="DX738" s="19"/>
      <c r="DY738" s="19"/>
      <c r="DZ738" s="19"/>
    </row>
    <row r="739" spans="1:130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18"/>
      <c r="BX739" s="118"/>
      <c r="BY739" s="118"/>
      <c r="BZ739" s="118"/>
      <c r="CA739" s="118"/>
      <c r="CB739" s="118"/>
      <c r="CC739" s="118"/>
      <c r="CD739" s="118"/>
      <c r="CE739" s="118"/>
      <c r="CF739" s="118"/>
      <c r="CG739" s="118"/>
      <c r="CH739" s="118"/>
      <c r="CI739" s="118"/>
      <c r="CJ739" s="118"/>
      <c r="CK739" s="118"/>
      <c r="CL739" s="118"/>
      <c r="CM739" s="118"/>
      <c r="CN739" s="118"/>
      <c r="CO739" s="118"/>
      <c r="CP739" s="118"/>
      <c r="CQ739" s="118"/>
      <c r="CR739" s="118"/>
      <c r="CS739" s="118"/>
      <c r="CT739" s="118"/>
      <c r="CU739" s="118"/>
      <c r="CV739" s="118"/>
      <c r="CW739" s="118"/>
      <c r="CX739" s="118"/>
      <c r="CY739" s="118"/>
      <c r="CZ739" s="118"/>
      <c r="DA739" s="118"/>
      <c r="DB739" s="118"/>
      <c r="DC739" s="118"/>
      <c r="DD739" s="118"/>
      <c r="DE739" s="118"/>
      <c r="DF739" s="118"/>
      <c r="DG739" s="118"/>
      <c r="DH739" s="118"/>
      <c r="DI739" s="118"/>
      <c r="DJ739" s="118"/>
      <c r="DK739" s="118"/>
      <c r="DL739" s="118"/>
      <c r="DM739" s="118"/>
      <c r="DN739" s="118"/>
      <c r="DO739" s="118"/>
      <c r="DP739" s="118"/>
      <c r="DQ739" s="118"/>
      <c r="DR739" s="118"/>
      <c r="DS739" s="118"/>
      <c r="DT739" s="118"/>
      <c r="DU739" s="19"/>
      <c r="DV739" s="19"/>
      <c r="DW739" s="19"/>
      <c r="DX739" s="19"/>
      <c r="DY739" s="19"/>
      <c r="DZ739" s="19"/>
    </row>
    <row r="740" spans="1:130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18"/>
      <c r="BX740" s="118"/>
      <c r="BY740" s="118"/>
      <c r="BZ740" s="118"/>
      <c r="CA740" s="118"/>
      <c r="CB740" s="118"/>
      <c r="CC740" s="118"/>
      <c r="CD740" s="118"/>
      <c r="CE740" s="118"/>
      <c r="CF740" s="118"/>
      <c r="CG740" s="118"/>
      <c r="CH740" s="118"/>
      <c r="CI740" s="118"/>
      <c r="CJ740" s="118"/>
      <c r="CK740" s="118"/>
      <c r="CL740" s="118"/>
      <c r="CM740" s="118"/>
      <c r="CN740" s="118"/>
      <c r="CO740" s="118"/>
      <c r="CP740" s="118"/>
      <c r="CQ740" s="118"/>
      <c r="CR740" s="118"/>
      <c r="CS740" s="118"/>
      <c r="CT740" s="118"/>
      <c r="CU740" s="118"/>
      <c r="CV740" s="118"/>
      <c r="CW740" s="118"/>
      <c r="CX740" s="118"/>
      <c r="CY740" s="118"/>
      <c r="CZ740" s="118"/>
      <c r="DA740" s="118"/>
      <c r="DB740" s="118"/>
      <c r="DC740" s="118"/>
      <c r="DD740" s="118"/>
      <c r="DE740" s="118"/>
      <c r="DF740" s="118"/>
      <c r="DG740" s="118"/>
      <c r="DH740" s="118"/>
      <c r="DI740" s="118"/>
      <c r="DJ740" s="118"/>
      <c r="DK740" s="118"/>
      <c r="DL740" s="118"/>
      <c r="DM740" s="118"/>
      <c r="DN740" s="118"/>
      <c r="DO740" s="118"/>
      <c r="DP740" s="118"/>
      <c r="DQ740" s="118"/>
      <c r="DR740" s="118"/>
      <c r="DS740" s="118"/>
      <c r="DT740" s="118"/>
      <c r="DU740" s="19"/>
      <c r="DV740" s="19"/>
      <c r="DW740" s="19"/>
      <c r="DX740" s="19"/>
      <c r="DY740" s="19"/>
      <c r="DZ740" s="19"/>
    </row>
    <row r="741" spans="1:130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18"/>
      <c r="BX741" s="118"/>
      <c r="BY741" s="118"/>
      <c r="BZ741" s="118"/>
      <c r="CA741" s="118"/>
      <c r="CB741" s="118"/>
      <c r="CC741" s="118"/>
      <c r="CD741" s="118"/>
      <c r="CE741" s="118"/>
      <c r="CF741" s="118"/>
      <c r="CG741" s="118"/>
      <c r="CH741" s="118"/>
      <c r="CI741" s="118"/>
      <c r="CJ741" s="118"/>
      <c r="CK741" s="118"/>
      <c r="CL741" s="118"/>
      <c r="CM741" s="118"/>
      <c r="CN741" s="118"/>
      <c r="CO741" s="118"/>
      <c r="CP741" s="118"/>
      <c r="CQ741" s="118"/>
      <c r="CR741" s="118"/>
      <c r="CS741" s="118"/>
      <c r="CT741" s="118"/>
      <c r="CU741" s="118"/>
      <c r="CV741" s="118"/>
      <c r="CW741" s="118"/>
      <c r="CX741" s="118"/>
      <c r="CY741" s="118"/>
      <c r="CZ741" s="118"/>
      <c r="DA741" s="118"/>
      <c r="DB741" s="118"/>
      <c r="DC741" s="118"/>
      <c r="DD741" s="118"/>
      <c r="DE741" s="118"/>
      <c r="DF741" s="118"/>
      <c r="DG741" s="118"/>
      <c r="DH741" s="118"/>
      <c r="DI741" s="118"/>
      <c r="DJ741" s="118"/>
      <c r="DK741" s="118"/>
      <c r="DL741" s="118"/>
      <c r="DM741" s="118"/>
      <c r="DN741" s="118"/>
      <c r="DO741" s="118"/>
      <c r="DP741" s="118"/>
      <c r="DQ741" s="118"/>
      <c r="DR741" s="118"/>
      <c r="DS741" s="118"/>
      <c r="DT741" s="118"/>
      <c r="DU741" s="19"/>
      <c r="DV741" s="19"/>
      <c r="DW741" s="19"/>
      <c r="DX741" s="19"/>
      <c r="DY741" s="19"/>
      <c r="DZ741" s="19"/>
    </row>
    <row r="742" spans="1:130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18"/>
      <c r="BX742" s="118"/>
      <c r="BY742" s="118"/>
      <c r="BZ742" s="118"/>
      <c r="CA742" s="118"/>
      <c r="CB742" s="118"/>
      <c r="CC742" s="118"/>
      <c r="CD742" s="118"/>
      <c r="CE742" s="118"/>
      <c r="CF742" s="118"/>
      <c r="CG742" s="118"/>
      <c r="CH742" s="118"/>
      <c r="CI742" s="118"/>
      <c r="CJ742" s="118"/>
      <c r="CK742" s="118"/>
      <c r="CL742" s="118"/>
      <c r="CM742" s="118"/>
      <c r="CN742" s="118"/>
      <c r="CO742" s="118"/>
      <c r="CP742" s="118"/>
      <c r="CQ742" s="118"/>
      <c r="CR742" s="118"/>
      <c r="CS742" s="118"/>
      <c r="CT742" s="118"/>
      <c r="CU742" s="118"/>
      <c r="CV742" s="118"/>
      <c r="CW742" s="118"/>
      <c r="CX742" s="118"/>
      <c r="CY742" s="118"/>
      <c r="CZ742" s="118"/>
      <c r="DA742" s="118"/>
      <c r="DB742" s="118"/>
      <c r="DC742" s="118"/>
      <c r="DD742" s="118"/>
      <c r="DE742" s="118"/>
      <c r="DF742" s="118"/>
      <c r="DG742" s="118"/>
      <c r="DH742" s="118"/>
      <c r="DI742" s="118"/>
      <c r="DJ742" s="118"/>
      <c r="DK742" s="118"/>
      <c r="DL742" s="118"/>
      <c r="DM742" s="118"/>
      <c r="DN742" s="118"/>
      <c r="DO742" s="118"/>
      <c r="DP742" s="118"/>
      <c r="DQ742" s="118"/>
      <c r="DR742" s="118"/>
      <c r="DS742" s="118"/>
      <c r="DT742" s="118"/>
      <c r="DU742" s="19"/>
      <c r="DV742" s="19"/>
      <c r="DW742" s="19"/>
      <c r="DX742" s="19"/>
      <c r="DY742" s="19"/>
      <c r="DZ742" s="19"/>
    </row>
    <row r="743" spans="1:130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18"/>
      <c r="BX743" s="118"/>
      <c r="BY743" s="118"/>
      <c r="BZ743" s="118"/>
      <c r="CA743" s="118"/>
      <c r="CB743" s="118"/>
      <c r="CC743" s="118"/>
      <c r="CD743" s="118"/>
      <c r="CE743" s="118"/>
      <c r="CF743" s="118"/>
      <c r="CG743" s="118"/>
      <c r="CH743" s="118"/>
      <c r="CI743" s="118"/>
      <c r="CJ743" s="118"/>
      <c r="CK743" s="118"/>
      <c r="CL743" s="118"/>
      <c r="CM743" s="118"/>
      <c r="CN743" s="118"/>
      <c r="CO743" s="118"/>
      <c r="CP743" s="118"/>
      <c r="CQ743" s="118"/>
      <c r="CR743" s="118"/>
      <c r="CS743" s="118"/>
      <c r="CT743" s="118"/>
      <c r="CU743" s="118"/>
      <c r="CV743" s="118"/>
      <c r="CW743" s="118"/>
      <c r="CX743" s="118"/>
      <c r="CY743" s="118"/>
      <c r="CZ743" s="118"/>
      <c r="DA743" s="118"/>
      <c r="DB743" s="118"/>
      <c r="DC743" s="118"/>
      <c r="DD743" s="118"/>
      <c r="DE743" s="118"/>
      <c r="DF743" s="118"/>
      <c r="DG743" s="118"/>
      <c r="DH743" s="118"/>
      <c r="DI743" s="118"/>
      <c r="DJ743" s="118"/>
      <c r="DK743" s="118"/>
      <c r="DL743" s="118"/>
      <c r="DM743" s="118"/>
      <c r="DN743" s="118"/>
      <c r="DO743" s="118"/>
      <c r="DP743" s="118"/>
      <c r="DQ743" s="118"/>
      <c r="DR743" s="118"/>
      <c r="DS743" s="118"/>
      <c r="DT743" s="118"/>
      <c r="DU743" s="19"/>
      <c r="DV743" s="19"/>
      <c r="DW743" s="19"/>
      <c r="DX743" s="19"/>
      <c r="DY743" s="19"/>
      <c r="DZ743" s="19"/>
    </row>
    <row r="744" spans="1:130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18"/>
      <c r="BX744" s="118"/>
      <c r="BY744" s="118"/>
      <c r="BZ744" s="118"/>
      <c r="CA744" s="118"/>
      <c r="CB744" s="118"/>
      <c r="CC744" s="118"/>
      <c r="CD744" s="118"/>
      <c r="CE744" s="118"/>
      <c r="CF744" s="118"/>
      <c r="CG744" s="118"/>
      <c r="CH744" s="118"/>
      <c r="CI744" s="118"/>
      <c r="CJ744" s="118"/>
      <c r="CK744" s="118"/>
      <c r="CL744" s="118"/>
      <c r="CM744" s="118"/>
      <c r="CN744" s="118"/>
      <c r="CO744" s="118"/>
      <c r="CP744" s="118"/>
      <c r="CQ744" s="118"/>
      <c r="CR744" s="118"/>
      <c r="CS744" s="118"/>
      <c r="CT744" s="118"/>
      <c r="CU744" s="118"/>
      <c r="CV744" s="118"/>
      <c r="CW744" s="118"/>
      <c r="CX744" s="118"/>
      <c r="CY744" s="118"/>
      <c r="CZ744" s="118"/>
      <c r="DA744" s="118"/>
      <c r="DB744" s="118"/>
      <c r="DC744" s="118"/>
      <c r="DD744" s="118"/>
      <c r="DE744" s="118"/>
      <c r="DF744" s="118"/>
      <c r="DG744" s="118"/>
      <c r="DH744" s="118"/>
      <c r="DI744" s="118"/>
      <c r="DJ744" s="118"/>
      <c r="DK744" s="118"/>
      <c r="DL744" s="118"/>
      <c r="DM744" s="118"/>
      <c r="DN744" s="118"/>
      <c r="DO744" s="118"/>
      <c r="DP744" s="118"/>
      <c r="DQ744" s="118"/>
      <c r="DR744" s="118"/>
      <c r="DS744" s="118"/>
      <c r="DT744" s="118"/>
      <c r="DU744" s="19"/>
      <c r="DV744" s="19"/>
      <c r="DW744" s="19"/>
      <c r="DX744" s="19"/>
      <c r="DY744" s="19"/>
      <c r="DZ744" s="19"/>
    </row>
    <row r="745" spans="1:130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18"/>
      <c r="BX745" s="118"/>
      <c r="BY745" s="118"/>
      <c r="BZ745" s="118"/>
      <c r="CA745" s="118"/>
      <c r="CB745" s="118"/>
      <c r="CC745" s="118"/>
      <c r="CD745" s="118"/>
      <c r="CE745" s="118"/>
      <c r="CF745" s="118"/>
      <c r="CG745" s="118"/>
      <c r="CH745" s="118"/>
      <c r="CI745" s="118"/>
      <c r="CJ745" s="118"/>
      <c r="CK745" s="118"/>
      <c r="CL745" s="118"/>
      <c r="CM745" s="118"/>
      <c r="CN745" s="118"/>
      <c r="CO745" s="118"/>
      <c r="CP745" s="118"/>
      <c r="CQ745" s="118"/>
      <c r="CR745" s="118"/>
      <c r="CS745" s="118"/>
      <c r="CT745" s="118"/>
      <c r="CU745" s="118"/>
      <c r="CV745" s="118"/>
      <c r="CW745" s="118"/>
      <c r="CX745" s="118"/>
      <c r="CY745" s="118"/>
      <c r="CZ745" s="118"/>
      <c r="DA745" s="118"/>
      <c r="DB745" s="118"/>
      <c r="DC745" s="118"/>
      <c r="DD745" s="118"/>
      <c r="DE745" s="118"/>
      <c r="DF745" s="118"/>
      <c r="DG745" s="118"/>
      <c r="DH745" s="118"/>
      <c r="DI745" s="118"/>
      <c r="DJ745" s="118"/>
      <c r="DK745" s="118"/>
      <c r="DL745" s="118"/>
      <c r="DM745" s="118"/>
      <c r="DN745" s="118"/>
      <c r="DO745" s="118"/>
      <c r="DP745" s="118"/>
      <c r="DQ745" s="118"/>
      <c r="DR745" s="118"/>
      <c r="DS745" s="118"/>
      <c r="DT745" s="118"/>
      <c r="DU745" s="19"/>
      <c r="DV745" s="19"/>
      <c r="DW745" s="19"/>
      <c r="DX745" s="19"/>
      <c r="DY745" s="19"/>
      <c r="DZ745" s="19"/>
    </row>
    <row r="746" spans="1:130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18"/>
      <c r="BX746" s="118"/>
      <c r="BY746" s="118"/>
      <c r="BZ746" s="118"/>
      <c r="CA746" s="118"/>
      <c r="CB746" s="118"/>
      <c r="CC746" s="118"/>
      <c r="CD746" s="118"/>
      <c r="CE746" s="118"/>
      <c r="CF746" s="118"/>
      <c r="CG746" s="118"/>
      <c r="CH746" s="118"/>
      <c r="CI746" s="118"/>
      <c r="CJ746" s="118"/>
      <c r="CK746" s="118"/>
      <c r="CL746" s="118"/>
      <c r="CM746" s="118"/>
      <c r="CN746" s="118"/>
      <c r="CO746" s="118"/>
      <c r="CP746" s="118"/>
      <c r="CQ746" s="118"/>
      <c r="CR746" s="118"/>
      <c r="CS746" s="118"/>
      <c r="CT746" s="118"/>
      <c r="CU746" s="118"/>
      <c r="CV746" s="118"/>
      <c r="CW746" s="118"/>
      <c r="CX746" s="118"/>
      <c r="CY746" s="118"/>
      <c r="CZ746" s="118"/>
      <c r="DA746" s="118"/>
      <c r="DB746" s="118"/>
      <c r="DC746" s="118"/>
      <c r="DD746" s="118"/>
      <c r="DE746" s="118"/>
      <c r="DF746" s="118"/>
      <c r="DG746" s="118"/>
      <c r="DH746" s="118"/>
      <c r="DI746" s="118"/>
      <c r="DJ746" s="118"/>
      <c r="DK746" s="118"/>
      <c r="DL746" s="118"/>
      <c r="DM746" s="118"/>
      <c r="DN746" s="118"/>
      <c r="DO746" s="118"/>
      <c r="DP746" s="118"/>
      <c r="DQ746" s="118"/>
      <c r="DR746" s="118"/>
      <c r="DS746" s="118"/>
      <c r="DT746" s="118"/>
      <c r="DU746" s="19"/>
      <c r="DV746" s="19"/>
      <c r="DW746" s="19"/>
      <c r="DX746" s="19"/>
      <c r="DY746" s="19"/>
      <c r="DZ746" s="19"/>
    </row>
    <row r="747" spans="1:130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18"/>
      <c r="BX747" s="118"/>
      <c r="BY747" s="118"/>
      <c r="BZ747" s="118"/>
      <c r="CA747" s="118"/>
      <c r="CB747" s="118"/>
      <c r="CC747" s="118"/>
      <c r="CD747" s="118"/>
      <c r="CE747" s="118"/>
      <c r="CF747" s="118"/>
      <c r="CG747" s="118"/>
      <c r="CH747" s="118"/>
      <c r="CI747" s="118"/>
      <c r="CJ747" s="118"/>
      <c r="CK747" s="118"/>
      <c r="CL747" s="118"/>
      <c r="CM747" s="118"/>
      <c r="CN747" s="118"/>
      <c r="CO747" s="118"/>
      <c r="CP747" s="118"/>
      <c r="CQ747" s="118"/>
      <c r="CR747" s="118"/>
      <c r="CS747" s="118"/>
      <c r="CT747" s="118"/>
      <c r="CU747" s="118"/>
      <c r="CV747" s="118"/>
      <c r="CW747" s="118"/>
      <c r="CX747" s="118"/>
      <c r="CY747" s="118"/>
      <c r="CZ747" s="118"/>
      <c r="DA747" s="118"/>
      <c r="DB747" s="118"/>
      <c r="DC747" s="118"/>
      <c r="DD747" s="118"/>
      <c r="DE747" s="118"/>
      <c r="DF747" s="118"/>
      <c r="DG747" s="118"/>
      <c r="DH747" s="118"/>
      <c r="DI747" s="118"/>
      <c r="DJ747" s="118"/>
      <c r="DK747" s="118"/>
      <c r="DL747" s="118"/>
      <c r="DM747" s="118"/>
      <c r="DN747" s="118"/>
      <c r="DO747" s="118"/>
      <c r="DP747" s="118"/>
      <c r="DQ747" s="118"/>
      <c r="DR747" s="118"/>
      <c r="DS747" s="118"/>
      <c r="DT747" s="118"/>
      <c r="DU747" s="19"/>
      <c r="DV747" s="19"/>
      <c r="DW747" s="19"/>
      <c r="DX747" s="19"/>
      <c r="DY747" s="19"/>
      <c r="DZ747" s="19"/>
    </row>
    <row r="748" spans="1:130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18"/>
      <c r="BX748" s="118"/>
      <c r="BY748" s="118"/>
      <c r="BZ748" s="118"/>
      <c r="CA748" s="118"/>
      <c r="CB748" s="118"/>
      <c r="CC748" s="118"/>
      <c r="CD748" s="118"/>
      <c r="CE748" s="118"/>
      <c r="CF748" s="118"/>
      <c r="CG748" s="118"/>
      <c r="CH748" s="118"/>
      <c r="CI748" s="118"/>
      <c r="CJ748" s="118"/>
      <c r="CK748" s="118"/>
      <c r="CL748" s="118"/>
      <c r="CM748" s="118"/>
      <c r="CN748" s="118"/>
      <c r="CO748" s="118"/>
      <c r="CP748" s="118"/>
      <c r="CQ748" s="118"/>
      <c r="CR748" s="118"/>
      <c r="CS748" s="118"/>
      <c r="CT748" s="118"/>
      <c r="CU748" s="118"/>
      <c r="CV748" s="118"/>
      <c r="CW748" s="118"/>
      <c r="CX748" s="118"/>
      <c r="CY748" s="118"/>
      <c r="CZ748" s="118"/>
      <c r="DA748" s="118"/>
      <c r="DB748" s="118"/>
      <c r="DC748" s="118"/>
      <c r="DD748" s="118"/>
      <c r="DE748" s="118"/>
      <c r="DF748" s="118"/>
      <c r="DG748" s="118"/>
      <c r="DH748" s="118"/>
      <c r="DI748" s="118"/>
      <c r="DJ748" s="118"/>
      <c r="DK748" s="118"/>
      <c r="DL748" s="118"/>
      <c r="DM748" s="118"/>
      <c r="DN748" s="118"/>
      <c r="DO748" s="118"/>
      <c r="DP748" s="118"/>
      <c r="DQ748" s="118"/>
      <c r="DR748" s="118"/>
      <c r="DS748" s="118"/>
      <c r="DT748" s="118"/>
      <c r="DU748" s="19"/>
      <c r="DV748" s="19"/>
      <c r="DW748" s="19"/>
      <c r="DX748" s="19"/>
      <c r="DY748" s="19"/>
      <c r="DZ748" s="19"/>
    </row>
    <row r="749" spans="1:130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18"/>
      <c r="BX749" s="118"/>
      <c r="BY749" s="118"/>
      <c r="BZ749" s="118"/>
      <c r="CA749" s="118"/>
      <c r="CB749" s="118"/>
      <c r="CC749" s="118"/>
      <c r="CD749" s="118"/>
      <c r="CE749" s="118"/>
      <c r="CF749" s="118"/>
      <c r="CG749" s="118"/>
      <c r="CH749" s="118"/>
      <c r="CI749" s="118"/>
      <c r="CJ749" s="118"/>
      <c r="CK749" s="118"/>
      <c r="CL749" s="118"/>
      <c r="CM749" s="118"/>
      <c r="CN749" s="118"/>
      <c r="CO749" s="118"/>
      <c r="CP749" s="118"/>
      <c r="CQ749" s="118"/>
      <c r="CR749" s="118"/>
      <c r="CS749" s="118"/>
      <c r="CT749" s="118"/>
      <c r="CU749" s="118"/>
      <c r="CV749" s="118"/>
      <c r="CW749" s="118"/>
      <c r="CX749" s="118"/>
      <c r="CY749" s="118"/>
      <c r="CZ749" s="118"/>
      <c r="DA749" s="118"/>
      <c r="DB749" s="118"/>
      <c r="DC749" s="118"/>
      <c r="DD749" s="118"/>
      <c r="DE749" s="118"/>
      <c r="DF749" s="118"/>
      <c r="DG749" s="118"/>
      <c r="DH749" s="118"/>
      <c r="DI749" s="118"/>
      <c r="DJ749" s="118"/>
      <c r="DK749" s="118"/>
      <c r="DL749" s="118"/>
      <c r="DM749" s="118"/>
      <c r="DN749" s="118"/>
      <c r="DO749" s="118"/>
      <c r="DP749" s="118"/>
      <c r="DQ749" s="118"/>
      <c r="DR749" s="118"/>
      <c r="DS749" s="118"/>
      <c r="DT749" s="118"/>
      <c r="DU749" s="19"/>
      <c r="DV749" s="19"/>
      <c r="DW749" s="19"/>
      <c r="DX749" s="19"/>
      <c r="DY749" s="19"/>
      <c r="DZ749" s="19"/>
    </row>
    <row r="750" spans="1:130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18"/>
      <c r="BX750" s="118"/>
      <c r="BY750" s="118"/>
      <c r="BZ750" s="118"/>
      <c r="CA750" s="118"/>
      <c r="CB750" s="118"/>
      <c r="CC750" s="118"/>
      <c r="CD750" s="118"/>
      <c r="CE750" s="118"/>
      <c r="CF750" s="118"/>
      <c r="CG750" s="118"/>
      <c r="CH750" s="118"/>
      <c r="CI750" s="118"/>
      <c r="CJ750" s="118"/>
      <c r="CK750" s="118"/>
      <c r="CL750" s="118"/>
      <c r="CM750" s="118"/>
      <c r="CN750" s="118"/>
      <c r="CO750" s="118"/>
      <c r="CP750" s="118"/>
      <c r="CQ750" s="118"/>
      <c r="CR750" s="118"/>
      <c r="CS750" s="118"/>
      <c r="CT750" s="118"/>
      <c r="CU750" s="118"/>
      <c r="CV750" s="118"/>
      <c r="CW750" s="118"/>
      <c r="CX750" s="118"/>
      <c r="CY750" s="118"/>
      <c r="CZ750" s="118"/>
      <c r="DA750" s="118"/>
      <c r="DB750" s="118"/>
      <c r="DC750" s="118"/>
      <c r="DD750" s="118"/>
      <c r="DE750" s="118"/>
      <c r="DF750" s="118"/>
      <c r="DG750" s="118"/>
      <c r="DH750" s="118"/>
      <c r="DI750" s="118"/>
      <c r="DJ750" s="118"/>
      <c r="DK750" s="118"/>
      <c r="DL750" s="118"/>
      <c r="DM750" s="118"/>
      <c r="DN750" s="118"/>
      <c r="DO750" s="118"/>
      <c r="DP750" s="118"/>
      <c r="DQ750" s="118"/>
      <c r="DR750" s="118"/>
      <c r="DS750" s="118"/>
      <c r="DT750" s="118"/>
      <c r="DU750" s="19"/>
      <c r="DV750" s="19"/>
      <c r="DW750" s="19"/>
      <c r="DX750" s="19"/>
      <c r="DY750" s="19"/>
      <c r="DZ750" s="19"/>
    </row>
    <row r="751" spans="1:130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18"/>
      <c r="BX751" s="118"/>
      <c r="BY751" s="118"/>
      <c r="BZ751" s="118"/>
      <c r="CA751" s="118"/>
      <c r="CB751" s="118"/>
      <c r="CC751" s="118"/>
      <c r="CD751" s="118"/>
      <c r="CE751" s="118"/>
      <c r="CF751" s="118"/>
      <c r="CG751" s="118"/>
      <c r="CH751" s="118"/>
      <c r="CI751" s="118"/>
      <c r="CJ751" s="118"/>
      <c r="CK751" s="118"/>
      <c r="CL751" s="118"/>
      <c r="CM751" s="118"/>
      <c r="CN751" s="118"/>
      <c r="CO751" s="118"/>
      <c r="CP751" s="118"/>
      <c r="CQ751" s="118"/>
      <c r="CR751" s="118"/>
      <c r="CS751" s="118"/>
      <c r="CT751" s="118"/>
      <c r="CU751" s="118"/>
      <c r="CV751" s="118"/>
      <c r="CW751" s="118"/>
      <c r="CX751" s="118"/>
      <c r="CY751" s="118"/>
      <c r="CZ751" s="118"/>
      <c r="DA751" s="118"/>
      <c r="DB751" s="118"/>
      <c r="DC751" s="118"/>
      <c r="DD751" s="118"/>
      <c r="DE751" s="118"/>
      <c r="DF751" s="118"/>
      <c r="DG751" s="118"/>
      <c r="DH751" s="118"/>
      <c r="DI751" s="118"/>
      <c r="DJ751" s="118"/>
      <c r="DK751" s="118"/>
      <c r="DL751" s="118"/>
      <c r="DM751" s="118"/>
      <c r="DN751" s="118"/>
      <c r="DO751" s="118"/>
      <c r="DP751" s="118"/>
      <c r="DQ751" s="118"/>
      <c r="DR751" s="118"/>
      <c r="DS751" s="118"/>
      <c r="DT751" s="118"/>
      <c r="DU751" s="19"/>
      <c r="DV751" s="19"/>
      <c r="DW751" s="19"/>
      <c r="DX751" s="19"/>
      <c r="DY751" s="19"/>
      <c r="DZ751" s="19"/>
    </row>
    <row r="752" spans="1:130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18"/>
      <c r="BX752" s="118"/>
      <c r="BY752" s="118"/>
      <c r="BZ752" s="118"/>
      <c r="CA752" s="118"/>
      <c r="CB752" s="118"/>
      <c r="CC752" s="118"/>
      <c r="CD752" s="118"/>
      <c r="CE752" s="118"/>
      <c r="CF752" s="118"/>
      <c r="CG752" s="118"/>
      <c r="CH752" s="118"/>
      <c r="CI752" s="118"/>
      <c r="CJ752" s="118"/>
      <c r="CK752" s="118"/>
      <c r="CL752" s="118"/>
      <c r="CM752" s="118"/>
      <c r="CN752" s="118"/>
      <c r="CO752" s="118"/>
      <c r="CP752" s="118"/>
      <c r="CQ752" s="118"/>
      <c r="CR752" s="118"/>
      <c r="CS752" s="118"/>
      <c r="CT752" s="118"/>
      <c r="CU752" s="118"/>
      <c r="CV752" s="118"/>
      <c r="CW752" s="118"/>
      <c r="CX752" s="118"/>
      <c r="CY752" s="118"/>
      <c r="CZ752" s="118"/>
      <c r="DA752" s="118"/>
      <c r="DB752" s="118"/>
      <c r="DC752" s="118"/>
      <c r="DD752" s="118"/>
      <c r="DE752" s="118"/>
      <c r="DF752" s="118"/>
      <c r="DG752" s="118"/>
      <c r="DH752" s="118"/>
      <c r="DI752" s="118"/>
      <c r="DJ752" s="118"/>
      <c r="DK752" s="118"/>
      <c r="DL752" s="118"/>
      <c r="DM752" s="118"/>
      <c r="DN752" s="118"/>
      <c r="DO752" s="118"/>
      <c r="DP752" s="118"/>
      <c r="DQ752" s="118"/>
      <c r="DR752" s="118"/>
      <c r="DS752" s="118"/>
      <c r="DT752" s="118"/>
      <c r="DU752" s="19"/>
      <c r="DV752" s="19"/>
      <c r="DW752" s="19"/>
      <c r="DX752" s="19"/>
      <c r="DY752" s="19"/>
      <c r="DZ752" s="19"/>
    </row>
    <row r="753" spans="1:130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18"/>
      <c r="BX753" s="118"/>
      <c r="BY753" s="118"/>
      <c r="BZ753" s="118"/>
      <c r="CA753" s="118"/>
      <c r="CB753" s="118"/>
      <c r="CC753" s="118"/>
      <c r="CD753" s="118"/>
      <c r="CE753" s="118"/>
      <c r="CF753" s="118"/>
      <c r="CG753" s="118"/>
      <c r="CH753" s="118"/>
      <c r="CI753" s="118"/>
      <c r="CJ753" s="118"/>
      <c r="CK753" s="118"/>
      <c r="CL753" s="118"/>
      <c r="CM753" s="118"/>
      <c r="CN753" s="118"/>
      <c r="CO753" s="118"/>
      <c r="CP753" s="118"/>
      <c r="CQ753" s="118"/>
      <c r="CR753" s="118"/>
      <c r="CS753" s="118"/>
      <c r="CT753" s="118"/>
      <c r="CU753" s="118"/>
      <c r="CV753" s="118"/>
      <c r="CW753" s="118"/>
      <c r="CX753" s="118"/>
      <c r="CY753" s="118"/>
      <c r="CZ753" s="118"/>
      <c r="DA753" s="118"/>
      <c r="DB753" s="118"/>
      <c r="DC753" s="118"/>
      <c r="DD753" s="118"/>
      <c r="DE753" s="118"/>
      <c r="DF753" s="118"/>
      <c r="DG753" s="118"/>
      <c r="DH753" s="118"/>
      <c r="DI753" s="118"/>
      <c r="DJ753" s="118"/>
      <c r="DK753" s="118"/>
      <c r="DL753" s="118"/>
      <c r="DM753" s="118"/>
      <c r="DN753" s="118"/>
      <c r="DO753" s="118"/>
      <c r="DP753" s="118"/>
      <c r="DQ753" s="118"/>
      <c r="DR753" s="118"/>
      <c r="DS753" s="118"/>
      <c r="DT753" s="118"/>
      <c r="DU753" s="19"/>
      <c r="DV753" s="19"/>
      <c r="DW753" s="19"/>
      <c r="DX753" s="19"/>
      <c r="DY753" s="19"/>
      <c r="DZ753" s="19"/>
    </row>
    <row r="754" spans="1:130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18"/>
      <c r="BX754" s="118"/>
      <c r="BY754" s="118"/>
      <c r="BZ754" s="118"/>
      <c r="CA754" s="118"/>
      <c r="CB754" s="118"/>
      <c r="CC754" s="118"/>
      <c r="CD754" s="118"/>
      <c r="CE754" s="118"/>
      <c r="CF754" s="118"/>
      <c r="CG754" s="118"/>
      <c r="CH754" s="118"/>
      <c r="CI754" s="118"/>
      <c r="CJ754" s="118"/>
      <c r="CK754" s="118"/>
      <c r="CL754" s="118"/>
      <c r="CM754" s="118"/>
      <c r="CN754" s="118"/>
      <c r="CO754" s="118"/>
      <c r="CP754" s="118"/>
      <c r="CQ754" s="118"/>
      <c r="CR754" s="118"/>
      <c r="CS754" s="118"/>
      <c r="CT754" s="118"/>
      <c r="CU754" s="118"/>
      <c r="CV754" s="118"/>
      <c r="CW754" s="118"/>
      <c r="CX754" s="118"/>
      <c r="CY754" s="118"/>
      <c r="CZ754" s="118"/>
      <c r="DA754" s="118"/>
      <c r="DB754" s="118"/>
      <c r="DC754" s="118"/>
      <c r="DD754" s="118"/>
      <c r="DE754" s="118"/>
      <c r="DF754" s="118"/>
      <c r="DG754" s="118"/>
      <c r="DH754" s="118"/>
      <c r="DI754" s="118"/>
      <c r="DJ754" s="118"/>
      <c r="DK754" s="118"/>
      <c r="DL754" s="118"/>
      <c r="DM754" s="118"/>
      <c r="DN754" s="118"/>
      <c r="DO754" s="118"/>
      <c r="DP754" s="118"/>
      <c r="DQ754" s="118"/>
      <c r="DR754" s="118"/>
      <c r="DS754" s="118"/>
      <c r="DT754" s="118"/>
      <c r="DU754" s="19"/>
      <c r="DV754" s="19"/>
      <c r="DW754" s="19"/>
      <c r="DX754" s="19"/>
      <c r="DY754" s="19"/>
      <c r="DZ754" s="19"/>
    </row>
    <row r="755" spans="1:130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18"/>
      <c r="BX755" s="118"/>
      <c r="BY755" s="118"/>
      <c r="BZ755" s="118"/>
      <c r="CA755" s="118"/>
      <c r="CB755" s="118"/>
      <c r="CC755" s="118"/>
      <c r="CD755" s="118"/>
      <c r="CE755" s="118"/>
      <c r="CF755" s="118"/>
      <c r="CG755" s="118"/>
      <c r="CH755" s="118"/>
      <c r="CI755" s="118"/>
      <c r="CJ755" s="118"/>
      <c r="CK755" s="118"/>
      <c r="CL755" s="118"/>
      <c r="CM755" s="118"/>
      <c r="CN755" s="118"/>
      <c r="CO755" s="118"/>
      <c r="CP755" s="118"/>
      <c r="CQ755" s="118"/>
      <c r="CR755" s="118"/>
      <c r="CS755" s="118"/>
      <c r="CT755" s="118"/>
      <c r="CU755" s="118"/>
      <c r="CV755" s="118"/>
      <c r="CW755" s="118"/>
      <c r="CX755" s="118"/>
      <c r="CY755" s="118"/>
      <c r="CZ755" s="118"/>
      <c r="DA755" s="118"/>
      <c r="DB755" s="118"/>
      <c r="DC755" s="118"/>
      <c r="DD755" s="118"/>
      <c r="DE755" s="118"/>
      <c r="DF755" s="118"/>
      <c r="DG755" s="118"/>
      <c r="DH755" s="118"/>
      <c r="DI755" s="118"/>
      <c r="DJ755" s="118"/>
      <c r="DK755" s="118"/>
      <c r="DL755" s="118"/>
      <c r="DM755" s="118"/>
      <c r="DN755" s="118"/>
      <c r="DO755" s="118"/>
      <c r="DP755" s="118"/>
      <c r="DQ755" s="118"/>
      <c r="DR755" s="118"/>
      <c r="DS755" s="118"/>
      <c r="DT755" s="118"/>
      <c r="DU755" s="19"/>
      <c r="DV755" s="19"/>
      <c r="DW755" s="19"/>
      <c r="DX755" s="19"/>
      <c r="DY755" s="19"/>
      <c r="DZ755" s="19"/>
    </row>
    <row r="756" spans="1:130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18"/>
      <c r="BX756" s="118"/>
      <c r="BY756" s="118"/>
      <c r="BZ756" s="118"/>
      <c r="CA756" s="118"/>
      <c r="CB756" s="118"/>
      <c r="CC756" s="118"/>
      <c r="CD756" s="118"/>
      <c r="CE756" s="118"/>
      <c r="CF756" s="118"/>
      <c r="CG756" s="118"/>
      <c r="CH756" s="118"/>
      <c r="CI756" s="118"/>
      <c r="CJ756" s="118"/>
      <c r="CK756" s="118"/>
      <c r="CL756" s="118"/>
      <c r="CM756" s="118"/>
      <c r="CN756" s="118"/>
      <c r="CO756" s="118"/>
      <c r="CP756" s="118"/>
      <c r="CQ756" s="118"/>
      <c r="CR756" s="118"/>
      <c r="CS756" s="118"/>
      <c r="CT756" s="118"/>
      <c r="CU756" s="118"/>
      <c r="CV756" s="118"/>
      <c r="CW756" s="118"/>
      <c r="CX756" s="118"/>
      <c r="CY756" s="118"/>
      <c r="CZ756" s="118"/>
      <c r="DA756" s="118"/>
      <c r="DB756" s="118"/>
      <c r="DC756" s="118"/>
      <c r="DD756" s="118"/>
      <c r="DE756" s="118"/>
      <c r="DF756" s="118"/>
      <c r="DG756" s="118"/>
      <c r="DH756" s="118"/>
      <c r="DI756" s="118"/>
      <c r="DJ756" s="118"/>
      <c r="DK756" s="118"/>
      <c r="DL756" s="118"/>
      <c r="DM756" s="118"/>
      <c r="DN756" s="118"/>
      <c r="DO756" s="118"/>
      <c r="DP756" s="118"/>
      <c r="DQ756" s="118"/>
      <c r="DR756" s="118"/>
      <c r="DS756" s="118"/>
      <c r="DT756" s="118"/>
      <c r="DU756" s="19"/>
      <c r="DV756" s="19"/>
      <c r="DW756" s="19"/>
      <c r="DX756" s="19"/>
      <c r="DY756" s="19"/>
      <c r="DZ756" s="19"/>
    </row>
    <row r="757" spans="1:130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18"/>
      <c r="BX757" s="118"/>
      <c r="BY757" s="118"/>
      <c r="BZ757" s="118"/>
      <c r="CA757" s="118"/>
      <c r="CB757" s="118"/>
      <c r="CC757" s="118"/>
      <c r="CD757" s="118"/>
      <c r="CE757" s="118"/>
      <c r="CF757" s="118"/>
      <c r="CG757" s="118"/>
      <c r="CH757" s="118"/>
      <c r="CI757" s="118"/>
      <c r="CJ757" s="118"/>
      <c r="CK757" s="118"/>
      <c r="CL757" s="118"/>
      <c r="CM757" s="118"/>
      <c r="CN757" s="118"/>
      <c r="CO757" s="118"/>
      <c r="CP757" s="118"/>
      <c r="CQ757" s="118"/>
      <c r="CR757" s="118"/>
      <c r="CS757" s="118"/>
      <c r="CT757" s="118"/>
      <c r="CU757" s="118"/>
      <c r="CV757" s="118"/>
      <c r="CW757" s="118"/>
      <c r="CX757" s="118"/>
      <c r="CY757" s="118"/>
      <c r="CZ757" s="118"/>
      <c r="DA757" s="118"/>
      <c r="DB757" s="118"/>
      <c r="DC757" s="118"/>
      <c r="DD757" s="118"/>
      <c r="DE757" s="118"/>
      <c r="DF757" s="118"/>
      <c r="DG757" s="118"/>
      <c r="DH757" s="118"/>
      <c r="DI757" s="118"/>
      <c r="DJ757" s="118"/>
      <c r="DK757" s="118"/>
      <c r="DL757" s="118"/>
      <c r="DM757" s="118"/>
      <c r="DN757" s="118"/>
      <c r="DO757" s="118"/>
      <c r="DP757" s="118"/>
      <c r="DQ757" s="118"/>
      <c r="DR757" s="118"/>
      <c r="DS757" s="118"/>
      <c r="DT757" s="118"/>
      <c r="DU757" s="19"/>
      <c r="DV757" s="19"/>
      <c r="DW757" s="19"/>
      <c r="DX757" s="19"/>
      <c r="DY757" s="19"/>
      <c r="DZ757" s="19"/>
    </row>
    <row r="758" spans="1:130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18"/>
      <c r="BX758" s="118"/>
      <c r="BY758" s="118"/>
      <c r="BZ758" s="118"/>
      <c r="CA758" s="118"/>
      <c r="CB758" s="118"/>
      <c r="CC758" s="118"/>
      <c r="CD758" s="118"/>
      <c r="CE758" s="118"/>
      <c r="CF758" s="118"/>
      <c r="CG758" s="118"/>
      <c r="CH758" s="118"/>
      <c r="CI758" s="118"/>
      <c r="CJ758" s="118"/>
      <c r="CK758" s="118"/>
      <c r="CL758" s="118"/>
      <c r="CM758" s="118"/>
      <c r="CN758" s="118"/>
      <c r="CO758" s="118"/>
      <c r="CP758" s="118"/>
      <c r="CQ758" s="118"/>
      <c r="CR758" s="118"/>
      <c r="CS758" s="118"/>
      <c r="CT758" s="118"/>
      <c r="CU758" s="118"/>
      <c r="CV758" s="118"/>
      <c r="CW758" s="118"/>
      <c r="CX758" s="118"/>
      <c r="CY758" s="118"/>
      <c r="CZ758" s="118"/>
      <c r="DA758" s="118"/>
      <c r="DB758" s="118"/>
      <c r="DC758" s="118"/>
      <c r="DD758" s="118"/>
      <c r="DE758" s="118"/>
      <c r="DF758" s="118"/>
      <c r="DG758" s="118"/>
      <c r="DH758" s="118"/>
      <c r="DI758" s="118"/>
      <c r="DJ758" s="118"/>
      <c r="DK758" s="118"/>
      <c r="DL758" s="118"/>
      <c r="DM758" s="118"/>
      <c r="DN758" s="118"/>
      <c r="DO758" s="118"/>
      <c r="DP758" s="118"/>
      <c r="DQ758" s="118"/>
      <c r="DR758" s="118"/>
      <c r="DS758" s="118"/>
      <c r="DT758" s="118"/>
      <c r="DU758" s="19"/>
      <c r="DV758" s="19"/>
      <c r="DW758" s="19"/>
      <c r="DX758" s="19"/>
      <c r="DY758" s="19"/>
      <c r="DZ758" s="19"/>
    </row>
    <row r="759" spans="1:130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18"/>
      <c r="BX759" s="118"/>
      <c r="BY759" s="118"/>
      <c r="BZ759" s="118"/>
      <c r="CA759" s="118"/>
      <c r="CB759" s="118"/>
      <c r="CC759" s="118"/>
      <c r="CD759" s="118"/>
      <c r="CE759" s="118"/>
      <c r="CF759" s="118"/>
      <c r="CG759" s="118"/>
      <c r="CH759" s="118"/>
      <c r="CI759" s="118"/>
      <c r="CJ759" s="118"/>
      <c r="CK759" s="118"/>
      <c r="CL759" s="118"/>
      <c r="CM759" s="118"/>
      <c r="CN759" s="118"/>
      <c r="CO759" s="118"/>
      <c r="CP759" s="118"/>
      <c r="CQ759" s="118"/>
      <c r="CR759" s="118"/>
      <c r="CS759" s="118"/>
      <c r="CT759" s="118"/>
      <c r="CU759" s="118"/>
      <c r="CV759" s="118"/>
      <c r="CW759" s="118"/>
      <c r="CX759" s="118"/>
      <c r="CY759" s="118"/>
      <c r="CZ759" s="118"/>
      <c r="DA759" s="118"/>
      <c r="DB759" s="118"/>
      <c r="DC759" s="118"/>
      <c r="DD759" s="118"/>
      <c r="DE759" s="118"/>
      <c r="DF759" s="118"/>
      <c r="DG759" s="118"/>
      <c r="DH759" s="118"/>
      <c r="DI759" s="118"/>
      <c r="DJ759" s="118"/>
      <c r="DK759" s="118"/>
      <c r="DL759" s="118"/>
      <c r="DM759" s="118"/>
      <c r="DN759" s="118"/>
      <c r="DO759" s="118"/>
      <c r="DP759" s="118"/>
      <c r="DQ759" s="118"/>
      <c r="DR759" s="118"/>
      <c r="DS759" s="118"/>
      <c r="DT759" s="118"/>
      <c r="DU759" s="19"/>
      <c r="DV759" s="19"/>
      <c r="DW759" s="19"/>
      <c r="DX759" s="19"/>
      <c r="DY759" s="19"/>
      <c r="DZ759" s="19"/>
    </row>
    <row r="760" spans="1:130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18"/>
      <c r="BX760" s="118"/>
      <c r="BY760" s="118"/>
      <c r="BZ760" s="118"/>
      <c r="CA760" s="118"/>
      <c r="CB760" s="118"/>
      <c r="CC760" s="118"/>
      <c r="CD760" s="118"/>
      <c r="CE760" s="118"/>
      <c r="CF760" s="118"/>
      <c r="CG760" s="118"/>
      <c r="CH760" s="118"/>
      <c r="CI760" s="118"/>
      <c r="CJ760" s="118"/>
      <c r="CK760" s="118"/>
      <c r="CL760" s="118"/>
      <c r="CM760" s="118"/>
      <c r="CN760" s="118"/>
      <c r="CO760" s="118"/>
      <c r="CP760" s="118"/>
      <c r="CQ760" s="118"/>
      <c r="CR760" s="118"/>
      <c r="CS760" s="118"/>
      <c r="CT760" s="118"/>
      <c r="CU760" s="118"/>
      <c r="CV760" s="118"/>
      <c r="CW760" s="118"/>
      <c r="CX760" s="118"/>
      <c r="CY760" s="118"/>
      <c r="CZ760" s="118"/>
      <c r="DA760" s="118"/>
      <c r="DB760" s="118"/>
      <c r="DC760" s="118"/>
      <c r="DD760" s="118"/>
      <c r="DE760" s="118"/>
      <c r="DF760" s="118"/>
      <c r="DG760" s="118"/>
      <c r="DH760" s="118"/>
      <c r="DI760" s="118"/>
      <c r="DJ760" s="118"/>
      <c r="DK760" s="118"/>
      <c r="DL760" s="118"/>
      <c r="DM760" s="118"/>
      <c r="DN760" s="118"/>
      <c r="DO760" s="118"/>
      <c r="DP760" s="118"/>
      <c r="DQ760" s="118"/>
      <c r="DR760" s="118"/>
      <c r="DS760" s="118"/>
      <c r="DT760" s="118"/>
      <c r="DU760" s="19"/>
      <c r="DV760" s="19"/>
      <c r="DW760" s="19"/>
      <c r="DX760" s="19"/>
      <c r="DY760" s="19"/>
      <c r="DZ760" s="19"/>
    </row>
    <row r="761" spans="1:130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18"/>
      <c r="BX761" s="118"/>
      <c r="BY761" s="118"/>
      <c r="BZ761" s="118"/>
      <c r="CA761" s="118"/>
      <c r="CB761" s="118"/>
      <c r="CC761" s="118"/>
      <c r="CD761" s="118"/>
      <c r="CE761" s="118"/>
      <c r="CF761" s="118"/>
      <c r="CG761" s="118"/>
      <c r="CH761" s="118"/>
      <c r="CI761" s="118"/>
      <c r="CJ761" s="118"/>
      <c r="CK761" s="118"/>
      <c r="CL761" s="118"/>
      <c r="CM761" s="118"/>
      <c r="CN761" s="118"/>
      <c r="CO761" s="118"/>
      <c r="CP761" s="118"/>
      <c r="CQ761" s="118"/>
      <c r="CR761" s="118"/>
      <c r="CS761" s="118"/>
      <c r="CT761" s="118"/>
      <c r="CU761" s="118"/>
      <c r="CV761" s="118"/>
      <c r="CW761" s="118"/>
      <c r="CX761" s="118"/>
      <c r="CY761" s="118"/>
      <c r="CZ761" s="118"/>
      <c r="DA761" s="118"/>
      <c r="DB761" s="118"/>
      <c r="DC761" s="118"/>
      <c r="DD761" s="118"/>
      <c r="DE761" s="118"/>
      <c r="DF761" s="118"/>
      <c r="DG761" s="118"/>
      <c r="DH761" s="118"/>
      <c r="DI761" s="118"/>
      <c r="DJ761" s="118"/>
      <c r="DK761" s="118"/>
      <c r="DL761" s="118"/>
      <c r="DM761" s="118"/>
      <c r="DN761" s="118"/>
      <c r="DO761" s="118"/>
      <c r="DP761" s="118"/>
      <c r="DQ761" s="118"/>
      <c r="DR761" s="118"/>
      <c r="DS761" s="118"/>
      <c r="DT761" s="118"/>
      <c r="DU761" s="19"/>
      <c r="DV761" s="19"/>
      <c r="DW761" s="19"/>
      <c r="DX761" s="19"/>
      <c r="DY761" s="19"/>
      <c r="DZ761" s="19"/>
    </row>
    <row r="762" spans="1:130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18"/>
      <c r="BX762" s="118"/>
      <c r="BY762" s="118"/>
      <c r="BZ762" s="118"/>
      <c r="CA762" s="118"/>
      <c r="CB762" s="118"/>
      <c r="CC762" s="118"/>
      <c r="CD762" s="118"/>
      <c r="CE762" s="118"/>
      <c r="CF762" s="118"/>
      <c r="CG762" s="118"/>
      <c r="CH762" s="118"/>
      <c r="CI762" s="118"/>
      <c r="CJ762" s="118"/>
      <c r="CK762" s="118"/>
      <c r="CL762" s="118"/>
      <c r="CM762" s="118"/>
      <c r="CN762" s="118"/>
      <c r="CO762" s="118"/>
      <c r="CP762" s="118"/>
      <c r="CQ762" s="118"/>
      <c r="CR762" s="118"/>
      <c r="CS762" s="118"/>
      <c r="CT762" s="118"/>
      <c r="CU762" s="118"/>
      <c r="CV762" s="118"/>
      <c r="CW762" s="118"/>
      <c r="CX762" s="118"/>
      <c r="CY762" s="118"/>
      <c r="CZ762" s="118"/>
      <c r="DA762" s="118"/>
      <c r="DB762" s="118"/>
      <c r="DC762" s="118"/>
      <c r="DD762" s="118"/>
      <c r="DE762" s="118"/>
      <c r="DF762" s="118"/>
      <c r="DG762" s="118"/>
      <c r="DH762" s="118"/>
      <c r="DI762" s="118"/>
      <c r="DJ762" s="118"/>
      <c r="DK762" s="118"/>
      <c r="DL762" s="118"/>
      <c r="DM762" s="118"/>
      <c r="DN762" s="118"/>
      <c r="DO762" s="118"/>
      <c r="DP762" s="118"/>
      <c r="DQ762" s="118"/>
      <c r="DR762" s="118"/>
      <c r="DS762" s="118"/>
      <c r="DT762" s="118"/>
      <c r="DU762" s="19"/>
      <c r="DV762" s="19"/>
      <c r="DW762" s="19"/>
      <c r="DX762" s="19"/>
      <c r="DY762" s="19"/>
      <c r="DZ762" s="19"/>
    </row>
    <row r="763" spans="1:130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18"/>
      <c r="BX763" s="118"/>
      <c r="BY763" s="118"/>
      <c r="BZ763" s="118"/>
      <c r="CA763" s="118"/>
      <c r="CB763" s="118"/>
      <c r="CC763" s="118"/>
      <c r="CD763" s="118"/>
      <c r="CE763" s="118"/>
      <c r="CF763" s="118"/>
      <c r="CG763" s="118"/>
      <c r="CH763" s="118"/>
      <c r="CI763" s="118"/>
      <c r="CJ763" s="118"/>
      <c r="CK763" s="118"/>
      <c r="CL763" s="118"/>
      <c r="CM763" s="118"/>
      <c r="CN763" s="118"/>
      <c r="CO763" s="118"/>
      <c r="CP763" s="118"/>
      <c r="CQ763" s="118"/>
      <c r="CR763" s="118"/>
      <c r="CS763" s="118"/>
      <c r="CT763" s="118"/>
      <c r="CU763" s="118"/>
      <c r="CV763" s="118"/>
      <c r="CW763" s="118"/>
      <c r="CX763" s="118"/>
      <c r="CY763" s="118"/>
      <c r="CZ763" s="118"/>
      <c r="DA763" s="118"/>
      <c r="DB763" s="118"/>
      <c r="DC763" s="118"/>
      <c r="DD763" s="118"/>
      <c r="DE763" s="118"/>
      <c r="DF763" s="118"/>
      <c r="DG763" s="118"/>
      <c r="DH763" s="118"/>
      <c r="DI763" s="118"/>
      <c r="DJ763" s="118"/>
      <c r="DK763" s="118"/>
      <c r="DL763" s="118"/>
      <c r="DM763" s="118"/>
      <c r="DN763" s="118"/>
      <c r="DO763" s="118"/>
      <c r="DP763" s="118"/>
      <c r="DQ763" s="118"/>
      <c r="DR763" s="118"/>
      <c r="DS763" s="118"/>
      <c r="DT763" s="118"/>
      <c r="DU763" s="19"/>
      <c r="DV763" s="19"/>
      <c r="DW763" s="19"/>
      <c r="DX763" s="19"/>
      <c r="DY763" s="19"/>
      <c r="DZ763" s="19"/>
    </row>
    <row r="764" spans="1:130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18"/>
      <c r="BX764" s="118"/>
      <c r="BY764" s="118"/>
      <c r="BZ764" s="118"/>
      <c r="CA764" s="118"/>
      <c r="CB764" s="118"/>
      <c r="CC764" s="118"/>
      <c r="CD764" s="118"/>
      <c r="CE764" s="118"/>
      <c r="CF764" s="118"/>
      <c r="CG764" s="118"/>
      <c r="CH764" s="118"/>
      <c r="CI764" s="118"/>
      <c r="CJ764" s="118"/>
      <c r="CK764" s="118"/>
      <c r="CL764" s="118"/>
      <c r="CM764" s="118"/>
      <c r="CN764" s="118"/>
      <c r="CO764" s="118"/>
      <c r="CP764" s="118"/>
      <c r="CQ764" s="118"/>
      <c r="CR764" s="118"/>
      <c r="CS764" s="118"/>
      <c r="CT764" s="118"/>
      <c r="CU764" s="118"/>
      <c r="CV764" s="118"/>
      <c r="CW764" s="118"/>
      <c r="CX764" s="118"/>
      <c r="CY764" s="118"/>
      <c r="CZ764" s="118"/>
      <c r="DA764" s="118"/>
      <c r="DB764" s="118"/>
      <c r="DC764" s="118"/>
      <c r="DD764" s="118"/>
      <c r="DE764" s="118"/>
      <c r="DF764" s="118"/>
      <c r="DG764" s="118"/>
      <c r="DH764" s="118"/>
      <c r="DI764" s="118"/>
      <c r="DJ764" s="118"/>
      <c r="DK764" s="118"/>
      <c r="DL764" s="118"/>
      <c r="DM764" s="118"/>
      <c r="DN764" s="118"/>
      <c r="DO764" s="118"/>
      <c r="DP764" s="118"/>
      <c r="DQ764" s="118"/>
      <c r="DR764" s="118"/>
      <c r="DS764" s="118"/>
      <c r="DT764" s="118"/>
      <c r="DU764" s="19"/>
      <c r="DV764" s="19"/>
      <c r="DW764" s="19"/>
      <c r="DX764" s="19"/>
      <c r="DY764" s="19"/>
      <c r="DZ764" s="19"/>
    </row>
    <row r="765" spans="1:130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18"/>
      <c r="BX765" s="118"/>
      <c r="BY765" s="118"/>
      <c r="BZ765" s="118"/>
      <c r="CA765" s="118"/>
      <c r="CB765" s="118"/>
      <c r="CC765" s="118"/>
      <c r="CD765" s="118"/>
      <c r="CE765" s="118"/>
      <c r="CF765" s="118"/>
      <c r="CG765" s="118"/>
      <c r="CH765" s="118"/>
      <c r="CI765" s="118"/>
      <c r="CJ765" s="118"/>
      <c r="CK765" s="118"/>
      <c r="CL765" s="118"/>
      <c r="CM765" s="118"/>
      <c r="CN765" s="118"/>
      <c r="CO765" s="118"/>
      <c r="CP765" s="118"/>
      <c r="CQ765" s="118"/>
      <c r="CR765" s="118"/>
      <c r="CS765" s="118"/>
      <c r="CT765" s="118"/>
      <c r="CU765" s="118"/>
      <c r="CV765" s="118"/>
      <c r="CW765" s="118"/>
      <c r="CX765" s="118"/>
      <c r="CY765" s="118"/>
      <c r="CZ765" s="118"/>
      <c r="DA765" s="118"/>
      <c r="DB765" s="118"/>
      <c r="DC765" s="118"/>
      <c r="DD765" s="118"/>
      <c r="DE765" s="118"/>
      <c r="DF765" s="118"/>
      <c r="DG765" s="118"/>
      <c r="DH765" s="118"/>
      <c r="DI765" s="118"/>
      <c r="DJ765" s="118"/>
      <c r="DK765" s="118"/>
      <c r="DL765" s="118"/>
      <c r="DM765" s="118"/>
      <c r="DN765" s="118"/>
      <c r="DO765" s="118"/>
      <c r="DP765" s="118"/>
      <c r="DQ765" s="118"/>
      <c r="DR765" s="118"/>
      <c r="DS765" s="118"/>
      <c r="DT765" s="118"/>
      <c r="DU765" s="19"/>
      <c r="DV765" s="19"/>
      <c r="DW765" s="19"/>
      <c r="DX765" s="19"/>
      <c r="DY765" s="19"/>
      <c r="DZ765" s="19"/>
    </row>
    <row r="766" spans="1:130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18"/>
      <c r="BX766" s="118"/>
      <c r="BY766" s="118"/>
      <c r="BZ766" s="118"/>
      <c r="CA766" s="118"/>
      <c r="CB766" s="118"/>
      <c r="CC766" s="118"/>
      <c r="CD766" s="118"/>
      <c r="CE766" s="118"/>
      <c r="CF766" s="118"/>
      <c r="CG766" s="118"/>
      <c r="CH766" s="118"/>
      <c r="CI766" s="118"/>
      <c r="CJ766" s="118"/>
      <c r="CK766" s="118"/>
      <c r="CL766" s="118"/>
      <c r="CM766" s="118"/>
      <c r="CN766" s="118"/>
      <c r="CO766" s="118"/>
      <c r="CP766" s="118"/>
      <c r="CQ766" s="118"/>
      <c r="CR766" s="118"/>
      <c r="CS766" s="118"/>
      <c r="CT766" s="118"/>
      <c r="CU766" s="118"/>
      <c r="CV766" s="118"/>
      <c r="CW766" s="118"/>
      <c r="CX766" s="118"/>
      <c r="CY766" s="118"/>
      <c r="CZ766" s="118"/>
      <c r="DA766" s="118"/>
      <c r="DB766" s="118"/>
      <c r="DC766" s="118"/>
      <c r="DD766" s="118"/>
      <c r="DE766" s="118"/>
      <c r="DF766" s="118"/>
      <c r="DG766" s="118"/>
      <c r="DH766" s="118"/>
      <c r="DI766" s="118"/>
      <c r="DJ766" s="118"/>
      <c r="DK766" s="118"/>
      <c r="DL766" s="118"/>
      <c r="DM766" s="118"/>
      <c r="DN766" s="118"/>
      <c r="DO766" s="118"/>
      <c r="DP766" s="118"/>
      <c r="DQ766" s="118"/>
      <c r="DR766" s="118"/>
      <c r="DS766" s="118"/>
      <c r="DT766" s="118"/>
      <c r="DU766" s="19"/>
      <c r="DV766" s="19"/>
      <c r="DW766" s="19"/>
      <c r="DX766" s="19"/>
      <c r="DY766" s="19"/>
      <c r="DZ766" s="19"/>
    </row>
    <row r="767" spans="1:130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18"/>
      <c r="BX767" s="118"/>
      <c r="BY767" s="118"/>
      <c r="BZ767" s="118"/>
      <c r="CA767" s="118"/>
      <c r="CB767" s="118"/>
      <c r="CC767" s="118"/>
      <c r="CD767" s="118"/>
      <c r="CE767" s="118"/>
      <c r="CF767" s="118"/>
      <c r="CG767" s="118"/>
      <c r="CH767" s="118"/>
      <c r="CI767" s="118"/>
      <c r="CJ767" s="118"/>
      <c r="CK767" s="118"/>
      <c r="CL767" s="118"/>
      <c r="CM767" s="118"/>
      <c r="CN767" s="118"/>
      <c r="CO767" s="118"/>
      <c r="CP767" s="118"/>
      <c r="CQ767" s="118"/>
      <c r="CR767" s="118"/>
      <c r="CS767" s="118"/>
      <c r="CT767" s="118"/>
      <c r="CU767" s="118"/>
      <c r="CV767" s="118"/>
      <c r="CW767" s="118"/>
      <c r="CX767" s="118"/>
      <c r="CY767" s="118"/>
      <c r="CZ767" s="118"/>
      <c r="DA767" s="118"/>
      <c r="DB767" s="118"/>
      <c r="DC767" s="118"/>
      <c r="DD767" s="118"/>
      <c r="DE767" s="118"/>
      <c r="DF767" s="118"/>
      <c r="DG767" s="118"/>
      <c r="DH767" s="118"/>
      <c r="DI767" s="118"/>
      <c r="DJ767" s="118"/>
      <c r="DK767" s="118"/>
      <c r="DL767" s="118"/>
      <c r="DM767" s="118"/>
      <c r="DN767" s="118"/>
      <c r="DO767" s="118"/>
      <c r="DP767" s="118"/>
      <c r="DQ767" s="118"/>
      <c r="DR767" s="118"/>
      <c r="DS767" s="118"/>
      <c r="DT767" s="118"/>
      <c r="DU767" s="19"/>
      <c r="DV767" s="19"/>
      <c r="DW767" s="19"/>
      <c r="DX767" s="19"/>
      <c r="DY767" s="19"/>
      <c r="DZ767" s="19"/>
    </row>
    <row r="768" spans="1:130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18"/>
      <c r="BX768" s="118"/>
      <c r="BY768" s="118"/>
      <c r="BZ768" s="118"/>
      <c r="CA768" s="118"/>
      <c r="CB768" s="118"/>
      <c r="CC768" s="118"/>
      <c r="CD768" s="118"/>
      <c r="CE768" s="118"/>
      <c r="CF768" s="118"/>
      <c r="CG768" s="118"/>
      <c r="CH768" s="118"/>
      <c r="CI768" s="118"/>
      <c r="CJ768" s="118"/>
      <c r="CK768" s="118"/>
      <c r="CL768" s="118"/>
      <c r="CM768" s="118"/>
      <c r="CN768" s="118"/>
      <c r="CO768" s="118"/>
      <c r="CP768" s="118"/>
      <c r="CQ768" s="118"/>
      <c r="CR768" s="118"/>
      <c r="CS768" s="118"/>
      <c r="CT768" s="118"/>
      <c r="CU768" s="118"/>
      <c r="CV768" s="118"/>
      <c r="CW768" s="118"/>
      <c r="CX768" s="118"/>
      <c r="CY768" s="118"/>
      <c r="CZ768" s="118"/>
      <c r="DA768" s="118"/>
      <c r="DB768" s="118"/>
      <c r="DC768" s="118"/>
      <c r="DD768" s="118"/>
      <c r="DE768" s="118"/>
      <c r="DF768" s="118"/>
      <c r="DG768" s="118"/>
      <c r="DH768" s="118"/>
      <c r="DI768" s="118"/>
      <c r="DJ768" s="118"/>
      <c r="DK768" s="118"/>
      <c r="DL768" s="118"/>
      <c r="DM768" s="118"/>
      <c r="DN768" s="118"/>
      <c r="DO768" s="118"/>
      <c r="DP768" s="118"/>
      <c r="DQ768" s="118"/>
      <c r="DR768" s="118"/>
      <c r="DS768" s="118"/>
      <c r="DT768" s="118"/>
      <c r="DU768" s="19"/>
      <c r="DV768" s="19"/>
      <c r="DW768" s="19"/>
      <c r="DX768" s="19"/>
      <c r="DY768" s="19"/>
      <c r="DZ768" s="19"/>
    </row>
    <row r="769" spans="1:130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18"/>
      <c r="BX769" s="118"/>
      <c r="BY769" s="118"/>
      <c r="BZ769" s="118"/>
      <c r="CA769" s="118"/>
      <c r="CB769" s="118"/>
      <c r="CC769" s="118"/>
      <c r="CD769" s="118"/>
      <c r="CE769" s="118"/>
      <c r="CF769" s="118"/>
      <c r="CG769" s="118"/>
      <c r="CH769" s="118"/>
      <c r="CI769" s="118"/>
      <c r="CJ769" s="118"/>
      <c r="CK769" s="118"/>
      <c r="CL769" s="118"/>
      <c r="CM769" s="118"/>
      <c r="CN769" s="118"/>
      <c r="CO769" s="118"/>
      <c r="CP769" s="118"/>
      <c r="CQ769" s="118"/>
      <c r="CR769" s="118"/>
      <c r="CS769" s="118"/>
      <c r="CT769" s="118"/>
      <c r="CU769" s="118"/>
      <c r="CV769" s="118"/>
      <c r="CW769" s="118"/>
      <c r="CX769" s="118"/>
      <c r="CY769" s="118"/>
      <c r="CZ769" s="118"/>
      <c r="DA769" s="118"/>
      <c r="DB769" s="118"/>
      <c r="DC769" s="118"/>
      <c r="DD769" s="118"/>
      <c r="DE769" s="118"/>
      <c r="DF769" s="118"/>
      <c r="DG769" s="118"/>
      <c r="DH769" s="118"/>
      <c r="DI769" s="118"/>
      <c r="DJ769" s="118"/>
      <c r="DK769" s="118"/>
      <c r="DL769" s="118"/>
      <c r="DM769" s="118"/>
      <c r="DN769" s="118"/>
      <c r="DO769" s="118"/>
      <c r="DP769" s="118"/>
      <c r="DQ769" s="118"/>
      <c r="DR769" s="118"/>
      <c r="DS769" s="118"/>
      <c r="DT769" s="118"/>
      <c r="DU769" s="19"/>
      <c r="DV769" s="19"/>
      <c r="DW769" s="19"/>
      <c r="DX769" s="19"/>
      <c r="DY769" s="19"/>
      <c r="DZ769" s="19"/>
    </row>
    <row r="770" spans="1:130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18"/>
      <c r="BX770" s="118"/>
      <c r="BY770" s="118"/>
      <c r="BZ770" s="118"/>
      <c r="CA770" s="118"/>
      <c r="CB770" s="118"/>
      <c r="CC770" s="118"/>
      <c r="CD770" s="118"/>
      <c r="CE770" s="118"/>
      <c r="CF770" s="118"/>
      <c r="CG770" s="118"/>
      <c r="CH770" s="118"/>
      <c r="CI770" s="118"/>
      <c r="CJ770" s="118"/>
      <c r="CK770" s="118"/>
      <c r="CL770" s="118"/>
      <c r="CM770" s="118"/>
      <c r="CN770" s="118"/>
      <c r="CO770" s="118"/>
      <c r="CP770" s="118"/>
      <c r="CQ770" s="118"/>
      <c r="CR770" s="118"/>
      <c r="CS770" s="118"/>
      <c r="CT770" s="118"/>
      <c r="CU770" s="118"/>
      <c r="CV770" s="118"/>
      <c r="CW770" s="118"/>
      <c r="CX770" s="118"/>
      <c r="CY770" s="118"/>
      <c r="CZ770" s="118"/>
      <c r="DA770" s="118"/>
      <c r="DB770" s="118"/>
      <c r="DC770" s="118"/>
      <c r="DD770" s="118"/>
      <c r="DE770" s="118"/>
      <c r="DF770" s="118"/>
      <c r="DG770" s="118"/>
      <c r="DH770" s="118"/>
      <c r="DI770" s="118"/>
      <c r="DJ770" s="118"/>
      <c r="DK770" s="118"/>
      <c r="DL770" s="118"/>
      <c r="DM770" s="118"/>
      <c r="DN770" s="118"/>
      <c r="DO770" s="118"/>
      <c r="DP770" s="118"/>
      <c r="DQ770" s="118"/>
      <c r="DR770" s="118"/>
      <c r="DS770" s="118"/>
      <c r="DT770" s="118"/>
      <c r="DU770" s="19"/>
      <c r="DV770" s="19"/>
      <c r="DW770" s="19"/>
      <c r="DX770" s="19"/>
      <c r="DY770" s="19"/>
      <c r="DZ770" s="19"/>
    </row>
    <row r="771" spans="1:130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18"/>
      <c r="BX771" s="118"/>
      <c r="BY771" s="118"/>
      <c r="BZ771" s="118"/>
      <c r="CA771" s="118"/>
      <c r="CB771" s="118"/>
      <c r="CC771" s="118"/>
      <c r="CD771" s="118"/>
      <c r="CE771" s="118"/>
      <c r="CF771" s="118"/>
      <c r="CG771" s="118"/>
      <c r="CH771" s="118"/>
      <c r="CI771" s="118"/>
      <c r="CJ771" s="118"/>
      <c r="CK771" s="118"/>
      <c r="CL771" s="118"/>
      <c r="CM771" s="118"/>
      <c r="CN771" s="118"/>
      <c r="CO771" s="118"/>
      <c r="CP771" s="118"/>
      <c r="CQ771" s="118"/>
      <c r="CR771" s="118"/>
      <c r="CS771" s="118"/>
      <c r="CT771" s="118"/>
      <c r="CU771" s="118"/>
      <c r="CV771" s="118"/>
      <c r="CW771" s="118"/>
      <c r="CX771" s="118"/>
      <c r="CY771" s="118"/>
      <c r="CZ771" s="118"/>
      <c r="DA771" s="118"/>
      <c r="DB771" s="118"/>
      <c r="DC771" s="118"/>
      <c r="DD771" s="118"/>
      <c r="DE771" s="118"/>
      <c r="DF771" s="118"/>
      <c r="DG771" s="118"/>
      <c r="DH771" s="118"/>
      <c r="DI771" s="118"/>
      <c r="DJ771" s="118"/>
      <c r="DK771" s="118"/>
      <c r="DL771" s="118"/>
      <c r="DM771" s="118"/>
      <c r="DN771" s="118"/>
      <c r="DO771" s="118"/>
      <c r="DP771" s="118"/>
      <c r="DQ771" s="118"/>
      <c r="DR771" s="118"/>
      <c r="DS771" s="118"/>
      <c r="DT771" s="118"/>
      <c r="DU771" s="19"/>
      <c r="DV771" s="19"/>
      <c r="DW771" s="19"/>
      <c r="DX771" s="19"/>
      <c r="DY771" s="19"/>
      <c r="DZ771" s="19"/>
    </row>
    <row r="772" spans="1:130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18"/>
      <c r="BX772" s="118"/>
      <c r="BY772" s="118"/>
      <c r="BZ772" s="118"/>
      <c r="CA772" s="118"/>
      <c r="CB772" s="118"/>
      <c r="CC772" s="118"/>
      <c r="CD772" s="118"/>
      <c r="CE772" s="118"/>
      <c r="CF772" s="118"/>
      <c r="CG772" s="118"/>
      <c r="CH772" s="118"/>
      <c r="CI772" s="118"/>
      <c r="CJ772" s="118"/>
      <c r="CK772" s="118"/>
      <c r="CL772" s="118"/>
      <c r="CM772" s="118"/>
      <c r="CN772" s="118"/>
      <c r="CO772" s="118"/>
      <c r="CP772" s="118"/>
      <c r="CQ772" s="118"/>
      <c r="CR772" s="118"/>
      <c r="CS772" s="118"/>
      <c r="CT772" s="118"/>
      <c r="CU772" s="118"/>
      <c r="CV772" s="118"/>
      <c r="CW772" s="118"/>
      <c r="CX772" s="118"/>
      <c r="CY772" s="118"/>
      <c r="CZ772" s="118"/>
      <c r="DA772" s="118"/>
      <c r="DB772" s="118"/>
      <c r="DC772" s="118"/>
      <c r="DD772" s="118"/>
      <c r="DE772" s="118"/>
      <c r="DF772" s="118"/>
      <c r="DG772" s="118"/>
      <c r="DH772" s="118"/>
      <c r="DI772" s="118"/>
      <c r="DJ772" s="118"/>
      <c r="DK772" s="118"/>
      <c r="DL772" s="118"/>
      <c r="DM772" s="118"/>
      <c r="DN772" s="118"/>
      <c r="DO772" s="118"/>
      <c r="DP772" s="118"/>
      <c r="DQ772" s="118"/>
      <c r="DR772" s="118"/>
      <c r="DS772" s="118"/>
      <c r="DT772" s="118"/>
      <c r="DU772" s="19"/>
      <c r="DV772" s="19"/>
      <c r="DW772" s="19"/>
      <c r="DX772" s="19"/>
      <c r="DY772" s="19"/>
      <c r="DZ772" s="19"/>
    </row>
    <row r="773" spans="1:130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18"/>
      <c r="BX773" s="118"/>
      <c r="BY773" s="118"/>
      <c r="BZ773" s="118"/>
      <c r="CA773" s="118"/>
      <c r="CB773" s="118"/>
      <c r="CC773" s="118"/>
      <c r="CD773" s="118"/>
      <c r="CE773" s="118"/>
      <c r="CF773" s="118"/>
      <c r="CG773" s="118"/>
      <c r="CH773" s="118"/>
      <c r="CI773" s="118"/>
      <c r="CJ773" s="118"/>
      <c r="CK773" s="118"/>
      <c r="CL773" s="118"/>
      <c r="CM773" s="118"/>
      <c r="CN773" s="118"/>
      <c r="CO773" s="118"/>
      <c r="CP773" s="118"/>
      <c r="CQ773" s="118"/>
      <c r="CR773" s="118"/>
      <c r="CS773" s="118"/>
      <c r="CT773" s="118"/>
      <c r="CU773" s="118"/>
      <c r="CV773" s="118"/>
      <c r="CW773" s="118"/>
      <c r="CX773" s="118"/>
      <c r="CY773" s="118"/>
      <c r="CZ773" s="118"/>
      <c r="DA773" s="118"/>
      <c r="DB773" s="118"/>
      <c r="DC773" s="118"/>
      <c r="DD773" s="118"/>
      <c r="DE773" s="118"/>
      <c r="DF773" s="118"/>
      <c r="DG773" s="118"/>
      <c r="DH773" s="118"/>
      <c r="DI773" s="118"/>
      <c r="DJ773" s="118"/>
      <c r="DK773" s="118"/>
      <c r="DL773" s="118"/>
      <c r="DM773" s="118"/>
      <c r="DN773" s="118"/>
      <c r="DO773" s="118"/>
      <c r="DP773" s="118"/>
      <c r="DQ773" s="118"/>
      <c r="DR773" s="118"/>
      <c r="DS773" s="118"/>
      <c r="DT773" s="118"/>
      <c r="DU773" s="19"/>
      <c r="DV773" s="19"/>
      <c r="DW773" s="19"/>
      <c r="DX773" s="19"/>
      <c r="DY773" s="19"/>
      <c r="DZ773" s="19"/>
    </row>
    <row r="774" spans="1:130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18"/>
      <c r="BX774" s="118"/>
      <c r="BY774" s="118"/>
      <c r="BZ774" s="118"/>
      <c r="CA774" s="118"/>
      <c r="CB774" s="118"/>
      <c r="CC774" s="118"/>
      <c r="CD774" s="118"/>
      <c r="CE774" s="118"/>
      <c r="CF774" s="118"/>
      <c r="CG774" s="118"/>
      <c r="CH774" s="118"/>
      <c r="CI774" s="118"/>
      <c r="CJ774" s="118"/>
      <c r="CK774" s="118"/>
      <c r="CL774" s="118"/>
      <c r="CM774" s="118"/>
      <c r="CN774" s="118"/>
      <c r="CO774" s="118"/>
      <c r="CP774" s="118"/>
      <c r="CQ774" s="118"/>
      <c r="CR774" s="118"/>
      <c r="CS774" s="118"/>
      <c r="CT774" s="118"/>
      <c r="CU774" s="118"/>
      <c r="CV774" s="118"/>
      <c r="CW774" s="118"/>
      <c r="CX774" s="118"/>
      <c r="CY774" s="118"/>
      <c r="CZ774" s="118"/>
      <c r="DA774" s="118"/>
      <c r="DB774" s="118"/>
      <c r="DC774" s="118"/>
      <c r="DD774" s="118"/>
      <c r="DE774" s="118"/>
      <c r="DF774" s="118"/>
      <c r="DG774" s="118"/>
      <c r="DH774" s="118"/>
      <c r="DI774" s="118"/>
      <c r="DJ774" s="118"/>
      <c r="DK774" s="118"/>
      <c r="DL774" s="118"/>
      <c r="DM774" s="118"/>
      <c r="DN774" s="118"/>
      <c r="DO774" s="118"/>
      <c r="DP774" s="118"/>
      <c r="DQ774" s="118"/>
      <c r="DR774" s="118"/>
      <c r="DS774" s="118"/>
      <c r="DT774" s="118"/>
      <c r="DU774" s="19"/>
      <c r="DV774" s="19"/>
      <c r="DW774" s="19"/>
      <c r="DX774" s="19"/>
      <c r="DY774" s="19"/>
      <c r="DZ774" s="19"/>
    </row>
    <row r="775" spans="1:130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18"/>
      <c r="BX775" s="118"/>
      <c r="BY775" s="118"/>
      <c r="BZ775" s="118"/>
      <c r="CA775" s="118"/>
      <c r="CB775" s="118"/>
      <c r="CC775" s="118"/>
      <c r="CD775" s="118"/>
      <c r="CE775" s="118"/>
      <c r="CF775" s="118"/>
      <c r="CG775" s="118"/>
      <c r="CH775" s="118"/>
      <c r="CI775" s="118"/>
      <c r="CJ775" s="118"/>
      <c r="CK775" s="118"/>
      <c r="CL775" s="118"/>
      <c r="CM775" s="118"/>
      <c r="CN775" s="118"/>
      <c r="CO775" s="118"/>
      <c r="CP775" s="118"/>
      <c r="CQ775" s="118"/>
      <c r="CR775" s="118"/>
      <c r="CS775" s="118"/>
      <c r="CT775" s="118"/>
      <c r="CU775" s="118"/>
      <c r="CV775" s="118"/>
      <c r="CW775" s="118"/>
      <c r="CX775" s="118"/>
      <c r="CY775" s="118"/>
      <c r="CZ775" s="118"/>
      <c r="DA775" s="118"/>
      <c r="DB775" s="118"/>
      <c r="DC775" s="118"/>
      <c r="DD775" s="118"/>
      <c r="DE775" s="118"/>
      <c r="DF775" s="118"/>
      <c r="DG775" s="118"/>
      <c r="DH775" s="118"/>
      <c r="DI775" s="118"/>
      <c r="DJ775" s="118"/>
      <c r="DK775" s="118"/>
      <c r="DL775" s="118"/>
      <c r="DM775" s="118"/>
      <c r="DN775" s="118"/>
      <c r="DO775" s="118"/>
      <c r="DP775" s="118"/>
      <c r="DQ775" s="118"/>
      <c r="DR775" s="118"/>
      <c r="DS775" s="118"/>
      <c r="DT775" s="118"/>
      <c r="DU775" s="19"/>
      <c r="DV775" s="19"/>
      <c r="DW775" s="19"/>
      <c r="DX775" s="19"/>
      <c r="DY775" s="19"/>
      <c r="DZ775" s="19"/>
    </row>
    <row r="776" spans="1:130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18"/>
      <c r="BX776" s="118"/>
      <c r="BY776" s="118"/>
      <c r="BZ776" s="118"/>
      <c r="CA776" s="118"/>
      <c r="CB776" s="118"/>
      <c r="CC776" s="118"/>
      <c r="CD776" s="118"/>
      <c r="CE776" s="118"/>
      <c r="CF776" s="118"/>
      <c r="CG776" s="118"/>
      <c r="CH776" s="118"/>
      <c r="CI776" s="118"/>
      <c r="CJ776" s="118"/>
      <c r="CK776" s="118"/>
      <c r="CL776" s="118"/>
      <c r="CM776" s="118"/>
      <c r="CN776" s="118"/>
      <c r="CO776" s="118"/>
      <c r="CP776" s="118"/>
      <c r="CQ776" s="118"/>
      <c r="CR776" s="118"/>
      <c r="CS776" s="118"/>
      <c r="CT776" s="118"/>
      <c r="CU776" s="118"/>
      <c r="CV776" s="118"/>
      <c r="CW776" s="118"/>
      <c r="CX776" s="118"/>
      <c r="CY776" s="118"/>
      <c r="CZ776" s="118"/>
      <c r="DA776" s="118"/>
      <c r="DB776" s="118"/>
      <c r="DC776" s="118"/>
      <c r="DD776" s="118"/>
      <c r="DE776" s="118"/>
      <c r="DF776" s="118"/>
      <c r="DG776" s="118"/>
      <c r="DH776" s="118"/>
      <c r="DI776" s="118"/>
      <c r="DJ776" s="118"/>
      <c r="DK776" s="118"/>
      <c r="DL776" s="118"/>
      <c r="DM776" s="118"/>
      <c r="DN776" s="118"/>
      <c r="DO776" s="118"/>
      <c r="DP776" s="118"/>
      <c r="DQ776" s="118"/>
      <c r="DR776" s="118"/>
      <c r="DS776" s="118"/>
      <c r="DT776" s="118"/>
      <c r="DU776" s="19"/>
      <c r="DV776" s="19"/>
      <c r="DW776" s="19"/>
      <c r="DX776" s="19"/>
      <c r="DY776" s="19"/>
      <c r="DZ776" s="19"/>
    </row>
    <row r="777" spans="1:130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18"/>
      <c r="BX777" s="118"/>
      <c r="BY777" s="118"/>
      <c r="BZ777" s="118"/>
      <c r="CA777" s="118"/>
      <c r="CB777" s="118"/>
      <c r="CC777" s="118"/>
      <c r="CD777" s="118"/>
      <c r="CE777" s="118"/>
      <c r="CF777" s="118"/>
      <c r="CG777" s="118"/>
      <c r="CH777" s="118"/>
      <c r="CI777" s="118"/>
      <c r="CJ777" s="118"/>
      <c r="CK777" s="118"/>
      <c r="CL777" s="118"/>
      <c r="CM777" s="118"/>
      <c r="CN777" s="118"/>
      <c r="CO777" s="118"/>
      <c r="CP777" s="118"/>
      <c r="CQ777" s="118"/>
      <c r="CR777" s="118"/>
      <c r="CS777" s="118"/>
      <c r="CT777" s="118"/>
      <c r="CU777" s="118"/>
      <c r="CV777" s="118"/>
      <c r="CW777" s="118"/>
      <c r="CX777" s="118"/>
      <c r="CY777" s="118"/>
      <c r="CZ777" s="118"/>
      <c r="DA777" s="118"/>
      <c r="DB777" s="118"/>
      <c r="DC777" s="118"/>
      <c r="DD777" s="118"/>
      <c r="DE777" s="118"/>
      <c r="DF777" s="118"/>
      <c r="DG777" s="118"/>
      <c r="DH777" s="118"/>
      <c r="DI777" s="118"/>
      <c r="DJ777" s="118"/>
      <c r="DK777" s="118"/>
      <c r="DL777" s="118"/>
      <c r="DM777" s="118"/>
      <c r="DN777" s="118"/>
      <c r="DO777" s="118"/>
      <c r="DP777" s="118"/>
      <c r="DQ777" s="118"/>
      <c r="DR777" s="118"/>
      <c r="DS777" s="118"/>
      <c r="DT777" s="118"/>
      <c r="DU777" s="19"/>
      <c r="DV777" s="19"/>
      <c r="DW777" s="19"/>
      <c r="DX777" s="19"/>
      <c r="DY777" s="19"/>
      <c r="DZ777" s="19"/>
    </row>
    <row r="778" spans="1:130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18"/>
      <c r="BX778" s="118"/>
      <c r="BY778" s="118"/>
      <c r="BZ778" s="118"/>
      <c r="CA778" s="118"/>
      <c r="CB778" s="118"/>
      <c r="CC778" s="118"/>
      <c r="CD778" s="118"/>
      <c r="CE778" s="118"/>
      <c r="CF778" s="118"/>
      <c r="CG778" s="118"/>
      <c r="CH778" s="118"/>
      <c r="CI778" s="118"/>
      <c r="CJ778" s="118"/>
      <c r="CK778" s="118"/>
      <c r="CL778" s="118"/>
      <c r="CM778" s="118"/>
      <c r="CN778" s="118"/>
      <c r="CO778" s="118"/>
      <c r="CP778" s="118"/>
      <c r="CQ778" s="118"/>
      <c r="CR778" s="118"/>
      <c r="CS778" s="118"/>
      <c r="CT778" s="118"/>
      <c r="CU778" s="118"/>
      <c r="CV778" s="118"/>
      <c r="CW778" s="118"/>
      <c r="CX778" s="118"/>
      <c r="CY778" s="118"/>
      <c r="CZ778" s="118"/>
      <c r="DA778" s="118"/>
      <c r="DB778" s="118"/>
      <c r="DC778" s="118"/>
      <c r="DD778" s="118"/>
      <c r="DE778" s="118"/>
      <c r="DF778" s="118"/>
      <c r="DG778" s="118"/>
      <c r="DH778" s="118"/>
      <c r="DI778" s="118"/>
      <c r="DJ778" s="118"/>
      <c r="DK778" s="118"/>
      <c r="DL778" s="118"/>
      <c r="DM778" s="118"/>
      <c r="DN778" s="118"/>
      <c r="DO778" s="118"/>
      <c r="DP778" s="118"/>
      <c r="DQ778" s="118"/>
      <c r="DR778" s="118"/>
      <c r="DS778" s="118"/>
      <c r="DT778" s="118"/>
      <c r="DU778" s="19"/>
      <c r="DV778" s="19"/>
      <c r="DW778" s="19"/>
      <c r="DX778" s="19"/>
      <c r="DY778" s="19"/>
      <c r="DZ778" s="19"/>
    </row>
    <row r="779" spans="1:130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18"/>
      <c r="BX779" s="118"/>
      <c r="BY779" s="118"/>
      <c r="BZ779" s="118"/>
      <c r="CA779" s="118"/>
      <c r="CB779" s="118"/>
      <c r="CC779" s="118"/>
      <c r="CD779" s="118"/>
      <c r="CE779" s="118"/>
      <c r="CF779" s="118"/>
      <c r="CG779" s="118"/>
      <c r="CH779" s="118"/>
      <c r="CI779" s="118"/>
      <c r="CJ779" s="118"/>
      <c r="CK779" s="118"/>
      <c r="CL779" s="118"/>
      <c r="CM779" s="118"/>
      <c r="CN779" s="118"/>
      <c r="CO779" s="118"/>
      <c r="CP779" s="118"/>
      <c r="CQ779" s="118"/>
      <c r="CR779" s="118"/>
      <c r="CS779" s="118"/>
      <c r="CT779" s="118"/>
      <c r="CU779" s="118"/>
      <c r="CV779" s="118"/>
      <c r="CW779" s="118"/>
      <c r="CX779" s="118"/>
      <c r="CY779" s="118"/>
      <c r="CZ779" s="118"/>
      <c r="DA779" s="118"/>
      <c r="DB779" s="118"/>
      <c r="DC779" s="118"/>
      <c r="DD779" s="118"/>
      <c r="DE779" s="118"/>
      <c r="DF779" s="118"/>
      <c r="DG779" s="118"/>
      <c r="DH779" s="118"/>
      <c r="DI779" s="118"/>
      <c r="DJ779" s="118"/>
      <c r="DK779" s="118"/>
      <c r="DL779" s="118"/>
      <c r="DM779" s="118"/>
      <c r="DN779" s="118"/>
      <c r="DO779" s="118"/>
      <c r="DP779" s="118"/>
      <c r="DQ779" s="118"/>
      <c r="DR779" s="118"/>
      <c r="DS779" s="118"/>
      <c r="DT779" s="118"/>
      <c r="DU779" s="19"/>
      <c r="DV779" s="19"/>
      <c r="DW779" s="19"/>
      <c r="DX779" s="19"/>
      <c r="DY779" s="19"/>
      <c r="DZ779" s="19"/>
    </row>
    <row r="780" spans="1:130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18"/>
      <c r="BX780" s="118"/>
      <c r="BY780" s="118"/>
      <c r="BZ780" s="118"/>
      <c r="CA780" s="118"/>
      <c r="CB780" s="118"/>
      <c r="CC780" s="118"/>
      <c r="CD780" s="118"/>
      <c r="CE780" s="118"/>
      <c r="CF780" s="118"/>
      <c r="CG780" s="118"/>
      <c r="CH780" s="118"/>
      <c r="CI780" s="118"/>
      <c r="CJ780" s="118"/>
      <c r="CK780" s="118"/>
      <c r="CL780" s="118"/>
      <c r="CM780" s="118"/>
      <c r="CN780" s="118"/>
      <c r="CO780" s="118"/>
      <c r="CP780" s="118"/>
      <c r="CQ780" s="118"/>
      <c r="CR780" s="118"/>
      <c r="CS780" s="118"/>
      <c r="CT780" s="118"/>
      <c r="CU780" s="118"/>
      <c r="CV780" s="118"/>
      <c r="CW780" s="118"/>
      <c r="CX780" s="118"/>
      <c r="CY780" s="118"/>
      <c r="CZ780" s="118"/>
      <c r="DA780" s="118"/>
      <c r="DB780" s="118"/>
      <c r="DC780" s="118"/>
      <c r="DD780" s="118"/>
      <c r="DE780" s="118"/>
      <c r="DF780" s="118"/>
      <c r="DG780" s="118"/>
      <c r="DH780" s="118"/>
      <c r="DI780" s="118"/>
      <c r="DJ780" s="118"/>
      <c r="DK780" s="118"/>
      <c r="DL780" s="118"/>
      <c r="DM780" s="118"/>
      <c r="DN780" s="118"/>
      <c r="DO780" s="118"/>
      <c r="DP780" s="118"/>
      <c r="DQ780" s="118"/>
      <c r="DR780" s="118"/>
      <c r="DS780" s="118"/>
      <c r="DT780" s="118"/>
      <c r="DU780" s="19"/>
      <c r="DV780" s="19"/>
      <c r="DW780" s="19"/>
      <c r="DX780" s="19"/>
      <c r="DY780" s="19"/>
      <c r="DZ780" s="19"/>
    </row>
    <row r="781" spans="1:130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18"/>
      <c r="BX781" s="118"/>
      <c r="BY781" s="118"/>
      <c r="BZ781" s="118"/>
      <c r="CA781" s="118"/>
      <c r="CB781" s="118"/>
      <c r="CC781" s="118"/>
      <c r="CD781" s="118"/>
      <c r="CE781" s="118"/>
      <c r="CF781" s="118"/>
      <c r="CG781" s="118"/>
      <c r="CH781" s="118"/>
      <c r="CI781" s="118"/>
      <c r="CJ781" s="118"/>
      <c r="CK781" s="118"/>
      <c r="CL781" s="118"/>
      <c r="CM781" s="118"/>
      <c r="CN781" s="118"/>
      <c r="CO781" s="118"/>
      <c r="CP781" s="118"/>
      <c r="CQ781" s="118"/>
      <c r="CR781" s="118"/>
      <c r="CS781" s="118"/>
      <c r="CT781" s="118"/>
      <c r="CU781" s="118"/>
      <c r="CV781" s="118"/>
      <c r="CW781" s="118"/>
      <c r="CX781" s="118"/>
      <c r="CY781" s="118"/>
      <c r="CZ781" s="118"/>
      <c r="DA781" s="118"/>
      <c r="DB781" s="118"/>
      <c r="DC781" s="118"/>
      <c r="DD781" s="118"/>
      <c r="DE781" s="118"/>
      <c r="DF781" s="118"/>
      <c r="DG781" s="118"/>
      <c r="DH781" s="118"/>
      <c r="DI781" s="118"/>
      <c r="DJ781" s="118"/>
      <c r="DK781" s="118"/>
      <c r="DL781" s="118"/>
      <c r="DM781" s="118"/>
      <c r="DN781" s="118"/>
      <c r="DO781" s="118"/>
      <c r="DP781" s="118"/>
      <c r="DQ781" s="118"/>
      <c r="DR781" s="118"/>
      <c r="DS781" s="118"/>
      <c r="DT781" s="118"/>
      <c r="DU781" s="19"/>
      <c r="DV781" s="19"/>
      <c r="DW781" s="19"/>
      <c r="DX781" s="19"/>
      <c r="DY781" s="19"/>
      <c r="DZ781" s="19"/>
    </row>
    <row r="782" spans="1:130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18"/>
      <c r="BX782" s="118"/>
      <c r="BY782" s="118"/>
      <c r="BZ782" s="118"/>
      <c r="CA782" s="118"/>
      <c r="CB782" s="118"/>
      <c r="CC782" s="118"/>
      <c r="CD782" s="118"/>
      <c r="CE782" s="118"/>
      <c r="CF782" s="118"/>
      <c r="CG782" s="118"/>
      <c r="CH782" s="118"/>
      <c r="CI782" s="118"/>
      <c r="CJ782" s="118"/>
      <c r="CK782" s="118"/>
      <c r="CL782" s="118"/>
      <c r="CM782" s="118"/>
      <c r="CN782" s="118"/>
      <c r="CO782" s="118"/>
      <c r="CP782" s="118"/>
      <c r="CQ782" s="118"/>
      <c r="CR782" s="118"/>
      <c r="CS782" s="118"/>
      <c r="CT782" s="118"/>
      <c r="CU782" s="118"/>
      <c r="CV782" s="118"/>
      <c r="CW782" s="118"/>
      <c r="CX782" s="118"/>
      <c r="CY782" s="118"/>
      <c r="CZ782" s="118"/>
      <c r="DA782" s="118"/>
      <c r="DB782" s="118"/>
      <c r="DC782" s="118"/>
      <c r="DD782" s="118"/>
      <c r="DE782" s="118"/>
      <c r="DF782" s="118"/>
      <c r="DG782" s="118"/>
      <c r="DH782" s="118"/>
      <c r="DI782" s="118"/>
      <c r="DJ782" s="118"/>
      <c r="DK782" s="118"/>
      <c r="DL782" s="118"/>
      <c r="DM782" s="118"/>
      <c r="DN782" s="118"/>
      <c r="DO782" s="118"/>
      <c r="DP782" s="118"/>
      <c r="DQ782" s="118"/>
      <c r="DR782" s="118"/>
      <c r="DS782" s="118"/>
      <c r="DT782" s="118"/>
      <c r="DU782" s="19"/>
      <c r="DV782" s="19"/>
      <c r="DW782" s="19"/>
      <c r="DX782" s="19"/>
      <c r="DY782" s="19"/>
      <c r="DZ782" s="19"/>
    </row>
    <row r="783" spans="1:130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18"/>
      <c r="BX783" s="118"/>
      <c r="BY783" s="118"/>
      <c r="BZ783" s="118"/>
      <c r="CA783" s="118"/>
      <c r="CB783" s="118"/>
      <c r="CC783" s="118"/>
      <c r="CD783" s="118"/>
      <c r="CE783" s="118"/>
      <c r="CF783" s="118"/>
      <c r="CG783" s="118"/>
      <c r="CH783" s="118"/>
      <c r="CI783" s="118"/>
      <c r="CJ783" s="118"/>
      <c r="CK783" s="118"/>
      <c r="CL783" s="118"/>
      <c r="CM783" s="118"/>
      <c r="CN783" s="118"/>
      <c r="CO783" s="118"/>
      <c r="CP783" s="118"/>
      <c r="CQ783" s="118"/>
      <c r="CR783" s="118"/>
      <c r="CS783" s="118"/>
      <c r="CT783" s="118"/>
      <c r="CU783" s="118"/>
      <c r="CV783" s="118"/>
      <c r="CW783" s="118"/>
      <c r="CX783" s="118"/>
      <c r="CY783" s="118"/>
      <c r="CZ783" s="118"/>
      <c r="DA783" s="118"/>
      <c r="DB783" s="118"/>
      <c r="DC783" s="118"/>
      <c r="DD783" s="118"/>
      <c r="DE783" s="118"/>
      <c r="DF783" s="118"/>
      <c r="DG783" s="118"/>
      <c r="DH783" s="118"/>
      <c r="DI783" s="118"/>
      <c r="DJ783" s="118"/>
      <c r="DK783" s="118"/>
      <c r="DL783" s="118"/>
      <c r="DM783" s="118"/>
      <c r="DN783" s="118"/>
      <c r="DO783" s="118"/>
      <c r="DP783" s="118"/>
      <c r="DQ783" s="118"/>
      <c r="DR783" s="118"/>
      <c r="DS783" s="118"/>
      <c r="DT783" s="118"/>
      <c r="DU783" s="19"/>
      <c r="DV783" s="19"/>
      <c r="DW783" s="19"/>
      <c r="DX783" s="19"/>
      <c r="DY783" s="19"/>
      <c r="DZ783" s="19"/>
    </row>
    <row r="784" spans="1:130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18"/>
      <c r="BX784" s="118"/>
      <c r="BY784" s="118"/>
      <c r="BZ784" s="118"/>
      <c r="CA784" s="118"/>
      <c r="CB784" s="118"/>
      <c r="CC784" s="118"/>
      <c r="CD784" s="118"/>
      <c r="CE784" s="118"/>
      <c r="CF784" s="118"/>
      <c r="CG784" s="118"/>
      <c r="CH784" s="118"/>
      <c r="CI784" s="118"/>
      <c r="CJ784" s="118"/>
      <c r="CK784" s="118"/>
      <c r="CL784" s="118"/>
      <c r="CM784" s="118"/>
      <c r="CN784" s="118"/>
      <c r="CO784" s="118"/>
      <c r="CP784" s="118"/>
      <c r="CQ784" s="118"/>
      <c r="CR784" s="118"/>
      <c r="CS784" s="118"/>
      <c r="CT784" s="118"/>
      <c r="CU784" s="118"/>
      <c r="CV784" s="118"/>
      <c r="CW784" s="118"/>
      <c r="CX784" s="118"/>
      <c r="CY784" s="118"/>
      <c r="CZ784" s="118"/>
      <c r="DA784" s="118"/>
      <c r="DB784" s="118"/>
      <c r="DC784" s="118"/>
      <c r="DD784" s="118"/>
      <c r="DE784" s="118"/>
      <c r="DF784" s="118"/>
      <c r="DG784" s="118"/>
      <c r="DH784" s="118"/>
      <c r="DI784" s="118"/>
      <c r="DJ784" s="118"/>
      <c r="DK784" s="118"/>
      <c r="DL784" s="118"/>
      <c r="DM784" s="118"/>
      <c r="DN784" s="118"/>
      <c r="DO784" s="118"/>
      <c r="DP784" s="118"/>
      <c r="DQ784" s="118"/>
      <c r="DR784" s="118"/>
      <c r="DS784" s="118"/>
      <c r="DT784" s="118"/>
      <c r="DU784" s="19"/>
      <c r="DV784" s="19"/>
      <c r="DW784" s="19"/>
      <c r="DX784" s="19"/>
      <c r="DY784" s="19"/>
      <c r="DZ784" s="19"/>
    </row>
    <row r="785" spans="1:130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18"/>
      <c r="BX785" s="118"/>
      <c r="BY785" s="118"/>
      <c r="BZ785" s="118"/>
      <c r="CA785" s="118"/>
      <c r="CB785" s="118"/>
      <c r="CC785" s="118"/>
      <c r="CD785" s="118"/>
      <c r="CE785" s="118"/>
      <c r="CF785" s="118"/>
      <c r="CG785" s="118"/>
      <c r="CH785" s="118"/>
      <c r="CI785" s="118"/>
      <c r="CJ785" s="118"/>
      <c r="CK785" s="118"/>
      <c r="CL785" s="118"/>
      <c r="CM785" s="118"/>
      <c r="CN785" s="118"/>
      <c r="CO785" s="118"/>
      <c r="CP785" s="118"/>
      <c r="CQ785" s="118"/>
      <c r="CR785" s="118"/>
      <c r="CS785" s="118"/>
      <c r="CT785" s="118"/>
      <c r="CU785" s="118"/>
      <c r="CV785" s="118"/>
      <c r="CW785" s="118"/>
      <c r="CX785" s="118"/>
      <c r="CY785" s="118"/>
      <c r="CZ785" s="118"/>
      <c r="DA785" s="118"/>
      <c r="DB785" s="118"/>
      <c r="DC785" s="118"/>
      <c r="DD785" s="118"/>
      <c r="DE785" s="118"/>
      <c r="DF785" s="118"/>
      <c r="DG785" s="118"/>
      <c r="DH785" s="118"/>
      <c r="DI785" s="118"/>
      <c r="DJ785" s="118"/>
      <c r="DK785" s="118"/>
      <c r="DL785" s="118"/>
      <c r="DM785" s="118"/>
      <c r="DN785" s="118"/>
      <c r="DO785" s="118"/>
      <c r="DP785" s="118"/>
      <c r="DQ785" s="118"/>
      <c r="DR785" s="118"/>
      <c r="DS785" s="118"/>
      <c r="DT785" s="118"/>
      <c r="DU785" s="19"/>
      <c r="DV785" s="19"/>
      <c r="DW785" s="19"/>
      <c r="DX785" s="19"/>
      <c r="DY785" s="19"/>
      <c r="DZ785" s="19"/>
    </row>
    <row r="786" spans="1:130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18"/>
      <c r="BX786" s="118"/>
      <c r="BY786" s="118"/>
      <c r="BZ786" s="118"/>
      <c r="CA786" s="118"/>
      <c r="CB786" s="118"/>
      <c r="CC786" s="118"/>
      <c r="CD786" s="118"/>
      <c r="CE786" s="118"/>
      <c r="CF786" s="118"/>
      <c r="CG786" s="118"/>
      <c r="CH786" s="118"/>
      <c r="CI786" s="118"/>
      <c r="CJ786" s="118"/>
      <c r="CK786" s="118"/>
      <c r="CL786" s="118"/>
      <c r="CM786" s="118"/>
      <c r="CN786" s="118"/>
      <c r="CO786" s="118"/>
      <c r="CP786" s="118"/>
      <c r="CQ786" s="118"/>
      <c r="CR786" s="118"/>
      <c r="CS786" s="118"/>
      <c r="CT786" s="118"/>
      <c r="CU786" s="118"/>
      <c r="CV786" s="118"/>
      <c r="CW786" s="118"/>
      <c r="CX786" s="118"/>
      <c r="CY786" s="118"/>
      <c r="CZ786" s="118"/>
      <c r="DA786" s="118"/>
      <c r="DB786" s="118"/>
      <c r="DC786" s="118"/>
      <c r="DD786" s="118"/>
      <c r="DE786" s="118"/>
      <c r="DF786" s="118"/>
      <c r="DG786" s="118"/>
      <c r="DH786" s="118"/>
      <c r="DI786" s="118"/>
      <c r="DJ786" s="118"/>
      <c r="DK786" s="118"/>
      <c r="DL786" s="118"/>
      <c r="DM786" s="118"/>
      <c r="DN786" s="118"/>
      <c r="DO786" s="118"/>
      <c r="DP786" s="118"/>
      <c r="DQ786" s="118"/>
      <c r="DR786" s="118"/>
      <c r="DS786" s="118"/>
      <c r="DT786" s="118"/>
      <c r="DU786" s="19"/>
      <c r="DV786" s="19"/>
      <c r="DW786" s="19"/>
      <c r="DX786" s="19"/>
      <c r="DY786" s="19"/>
      <c r="DZ786" s="19"/>
    </row>
    <row r="787" spans="1:130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18"/>
      <c r="BX787" s="118"/>
      <c r="BY787" s="118"/>
      <c r="BZ787" s="118"/>
      <c r="CA787" s="118"/>
      <c r="CB787" s="118"/>
      <c r="CC787" s="118"/>
      <c r="CD787" s="118"/>
      <c r="CE787" s="118"/>
      <c r="CF787" s="118"/>
      <c r="CG787" s="118"/>
      <c r="CH787" s="118"/>
      <c r="CI787" s="118"/>
      <c r="CJ787" s="118"/>
      <c r="CK787" s="118"/>
      <c r="CL787" s="118"/>
      <c r="CM787" s="118"/>
      <c r="CN787" s="118"/>
      <c r="CO787" s="118"/>
      <c r="CP787" s="118"/>
      <c r="CQ787" s="118"/>
      <c r="CR787" s="118"/>
      <c r="CS787" s="118"/>
      <c r="CT787" s="118"/>
      <c r="CU787" s="118"/>
      <c r="CV787" s="118"/>
      <c r="CW787" s="118"/>
      <c r="CX787" s="118"/>
      <c r="CY787" s="118"/>
      <c r="CZ787" s="118"/>
      <c r="DA787" s="118"/>
      <c r="DB787" s="118"/>
      <c r="DC787" s="118"/>
      <c r="DD787" s="118"/>
      <c r="DE787" s="118"/>
      <c r="DF787" s="118"/>
      <c r="DG787" s="118"/>
      <c r="DH787" s="118"/>
      <c r="DI787" s="118"/>
      <c r="DJ787" s="118"/>
      <c r="DK787" s="118"/>
      <c r="DL787" s="118"/>
      <c r="DM787" s="118"/>
      <c r="DN787" s="118"/>
      <c r="DO787" s="118"/>
      <c r="DP787" s="118"/>
      <c r="DQ787" s="118"/>
      <c r="DR787" s="118"/>
      <c r="DS787" s="118"/>
      <c r="DT787" s="118"/>
      <c r="DU787" s="19"/>
      <c r="DV787" s="19"/>
      <c r="DW787" s="19"/>
      <c r="DX787" s="19"/>
      <c r="DY787" s="19"/>
      <c r="DZ787" s="19"/>
    </row>
    <row r="788" spans="1:130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18"/>
      <c r="BX788" s="118"/>
      <c r="BY788" s="118"/>
      <c r="BZ788" s="118"/>
      <c r="CA788" s="118"/>
      <c r="CB788" s="118"/>
      <c r="CC788" s="118"/>
      <c r="CD788" s="118"/>
      <c r="CE788" s="118"/>
      <c r="CF788" s="118"/>
      <c r="CG788" s="118"/>
      <c r="CH788" s="118"/>
      <c r="CI788" s="118"/>
      <c r="CJ788" s="118"/>
      <c r="CK788" s="118"/>
      <c r="CL788" s="118"/>
      <c r="CM788" s="118"/>
      <c r="CN788" s="118"/>
      <c r="CO788" s="118"/>
      <c r="CP788" s="118"/>
      <c r="CQ788" s="118"/>
      <c r="CR788" s="118"/>
      <c r="CS788" s="118"/>
      <c r="CT788" s="118"/>
      <c r="CU788" s="118"/>
      <c r="CV788" s="118"/>
      <c r="CW788" s="118"/>
      <c r="CX788" s="118"/>
      <c r="CY788" s="118"/>
      <c r="CZ788" s="118"/>
      <c r="DA788" s="118"/>
      <c r="DB788" s="118"/>
      <c r="DC788" s="118"/>
      <c r="DD788" s="118"/>
      <c r="DE788" s="118"/>
      <c r="DF788" s="118"/>
      <c r="DG788" s="118"/>
      <c r="DH788" s="118"/>
      <c r="DI788" s="118"/>
      <c r="DJ788" s="118"/>
      <c r="DK788" s="118"/>
      <c r="DL788" s="118"/>
      <c r="DM788" s="118"/>
      <c r="DN788" s="118"/>
      <c r="DO788" s="118"/>
      <c r="DP788" s="118"/>
      <c r="DQ788" s="118"/>
      <c r="DR788" s="118"/>
      <c r="DS788" s="118"/>
      <c r="DT788" s="118"/>
      <c r="DU788" s="19"/>
      <c r="DV788" s="19"/>
      <c r="DW788" s="19"/>
      <c r="DX788" s="19"/>
      <c r="DY788" s="19"/>
      <c r="DZ788" s="19"/>
    </row>
    <row r="789" spans="1:130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18"/>
      <c r="BX789" s="118"/>
      <c r="BY789" s="118"/>
      <c r="BZ789" s="118"/>
      <c r="CA789" s="118"/>
      <c r="CB789" s="118"/>
      <c r="CC789" s="118"/>
      <c r="CD789" s="118"/>
      <c r="CE789" s="118"/>
      <c r="CF789" s="118"/>
      <c r="CG789" s="118"/>
      <c r="CH789" s="118"/>
      <c r="CI789" s="118"/>
      <c r="CJ789" s="118"/>
      <c r="CK789" s="118"/>
      <c r="CL789" s="118"/>
      <c r="CM789" s="118"/>
      <c r="CN789" s="118"/>
      <c r="CO789" s="118"/>
      <c r="CP789" s="118"/>
      <c r="CQ789" s="118"/>
      <c r="CR789" s="118"/>
      <c r="CS789" s="118"/>
      <c r="CT789" s="118"/>
      <c r="CU789" s="118"/>
      <c r="CV789" s="118"/>
      <c r="CW789" s="118"/>
      <c r="CX789" s="118"/>
      <c r="CY789" s="118"/>
      <c r="CZ789" s="118"/>
      <c r="DA789" s="118"/>
      <c r="DB789" s="118"/>
      <c r="DC789" s="118"/>
      <c r="DD789" s="118"/>
      <c r="DE789" s="118"/>
      <c r="DF789" s="118"/>
      <c r="DG789" s="118"/>
      <c r="DH789" s="118"/>
      <c r="DI789" s="118"/>
      <c r="DJ789" s="118"/>
      <c r="DK789" s="118"/>
      <c r="DL789" s="118"/>
      <c r="DM789" s="118"/>
      <c r="DN789" s="118"/>
      <c r="DO789" s="118"/>
      <c r="DP789" s="118"/>
      <c r="DQ789" s="118"/>
      <c r="DR789" s="118"/>
      <c r="DS789" s="118"/>
      <c r="DT789" s="118"/>
      <c r="DU789" s="19"/>
      <c r="DV789" s="19"/>
      <c r="DW789" s="19"/>
      <c r="DX789" s="19"/>
      <c r="DY789" s="19"/>
      <c r="DZ789" s="19"/>
    </row>
    <row r="790" spans="1:130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18"/>
      <c r="BX790" s="118"/>
      <c r="BY790" s="118"/>
      <c r="BZ790" s="118"/>
      <c r="CA790" s="118"/>
      <c r="CB790" s="118"/>
      <c r="CC790" s="118"/>
      <c r="CD790" s="118"/>
      <c r="CE790" s="118"/>
      <c r="CF790" s="118"/>
      <c r="CG790" s="118"/>
      <c r="CH790" s="118"/>
      <c r="CI790" s="118"/>
      <c r="CJ790" s="118"/>
      <c r="CK790" s="118"/>
      <c r="CL790" s="118"/>
      <c r="CM790" s="118"/>
      <c r="CN790" s="118"/>
      <c r="CO790" s="118"/>
      <c r="CP790" s="118"/>
      <c r="CQ790" s="118"/>
      <c r="CR790" s="118"/>
      <c r="CS790" s="118"/>
      <c r="CT790" s="118"/>
      <c r="CU790" s="118"/>
      <c r="CV790" s="118"/>
      <c r="CW790" s="118"/>
      <c r="CX790" s="118"/>
      <c r="CY790" s="118"/>
      <c r="CZ790" s="118"/>
      <c r="DA790" s="118"/>
      <c r="DB790" s="118"/>
      <c r="DC790" s="118"/>
      <c r="DD790" s="118"/>
      <c r="DE790" s="118"/>
      <c r="DF790" s="118"/>
      <c r="DG790" s="118"/>
      <c r="DH790" s="118"/>
      <c r="DI790" s="118"/>
      <c r="DJ790" s="118"/>
      <c r="DK790" s="118"/>
      <c r="DL790" s="118"/>
      <c r="DM790" s="118"/>
      <c r="DN790" s="118"/>
      <c r="DO790" s="118"/>
      <c r="DP790" s="118"/>
      <c r="DQ790" s="118"/>
      <c r="DR790" s="118"/>
      <c r="DS790" s="118"/>
      <c r="DT790" s="118"/>
      <c r="DU790" s="19"/>
      <c r="DV790" s="19"/>
      <c r="DW790" s="19"/>
      <c r="DX790" s="19"/>
      <c r="DY790" s="19"/>
      <c r="DZ790" s="19"/>
    </row>
    <row r="791" spans="1:130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18"/>
      <c r="BX791" s="118"/>
      <c r="BY791" s="118"/>
      <c r="BZ791" s="118"/>
      <c r="CA791" s="118"/>
      <c r="CB791" s="118"/>
      <c r="CC791" s="118"/>
      <c r="CD791" s="118"/>
      <c r="CE791" s="118"/>
      <c r="CF791" s="118"/>
      <c r="CG791" s="118"/>
      <c r="CH791" s="118"/>
      <c r="CI791" s="118"/>
      <c r="CJ791" s="118"/>
      <c r="CK791" s="118"/>
      <c r="CL791" s="118"/>
      <c r="CM791" s="118"/>
      <c r="CN791" s="118"/>
      <c r="CO791" s="118"/>
      <c r="CP791" s="118"/>
      <c r="CQ791" s="118"/>
      <c r="CR791" s="118"/>
      <c r="CS791" s="118"/>
      <c r="CT791" s="118"/>
      <c r="CU791" s="118"/>
      <c r="CV791" s="118"/>
      <c r="CW791" s="118"/>
      <c r="CX791" s="118"/>
      <c r="CY791" s="118"/>
      <c r="CZ791" s="118"/>
      <c r="DA791" s="118"/>
      <c r="DB791" s="118"/>
      <c r="DC791" s="118"/>
      <c r="DD791" s="118"/>
      <c r="DE791" s="118"/>
      <c r="DF791" s="118"/>
      <c r="DG791" s="118"/>
      <c r="DH791" s="118"/>
      <c r="DI791" s="118"/>
      <c r="DJ791" s="118"/>
      <c r="DK791" s="118"/>
      <c r="DL791" s="118"/>
      <c r="DM791" s="118"/>
      <c r="DN791" s="118"/>
      <c r="DO791" s="118"/>
      <c r="DP791" s="118"/>
      <c r="DQ791" s="118"/>
      <c r="DR791" s="118"/>
      <c r="DS791" s="118"/>
      <c r="DT791" s="118"/>
      <c r="DU791" s="19"/>
      <c r="DV791" s="19"/>
      <c r="DW791" s="19"/>
      <c r="DX791" s="19"/>
      <c r="DY791" s="19"/>
      <c r="DZ791" s="19"/>
    </row>
    <row r="792" spans="1:130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18"/>
      <c r="BX792" s="118"/>
      <c r="BY792" s="118"/>
      <c r="BZ792" s="118"/>
      <c r="CA792" s="118"/>
      <c r="CB792" s="118"/>
      <c r="CC792" s="118"/>
      <c r="CD792" s="118"/>
      <c r="CE792" s="118"/>
      <c r="CF792" s="118"/>
      <c r="CG792" s="118"/>
      <c r="CH792" s="118"/>
      <c r="CI792" s="118"/>
      <c r="CJ792" s="118"/>
      <c r="CK792" s="118"/>
      <c r="CL792" s="118"/>
      <c r="CM792" s="118"/>
      <c r="CN792" s="118"/>
      <c r="CO792" s="118"/>
      <c r="CP792" s="118"/>
      <c r="CQ792" s="118"/>
      <c r="CR792" s="118"/>
      <c r="CS792" s="118"/>
      <c r="CT792" s="118"/>
      <c r="CU792" s="118"/>
      <c r="CV792" s="118"/>
      <c r="CW792" s="118"/>
      <c r="CX792" s="118"/>
      <c r="CY792" s="118"/>
      <c r="CZ792" s="118"/>
      <c r="DA792" s="118"/>
      <c r="DB792" s="118"/>
      <c r="DC792" s="118"/>
      <c r="DD792" s="118"/>
      <c r="DE792" s="118"/>
      <c r="DF792" s="118"/>
      <c r="DG792" s="118"/>
      <c r="DH792" s="118"/>
      <c r="DI792" s="118"/>
      <c r="DJ792" s="118"/>
      <c r="DK792" s="118"/>
      <c r="DL792" s="118"/>
      <c r="DM792" s="118"/>
      <c r="DN792" s="118"/>
      <c r="DO792" s="118"/>
      <c r="DP792" s="118"/>
      <c r="DQ792" s="118"/>
      <c r="DR792" s="118"/>
      <c r="DS792" s="118"/>
      <c r="DT792" s="118"/>
      <c r="DU792" s="19"/>
      <c r="DV792" s="19"/>
      <c r="DW792" s="19"/>
      <c r="DX792" s="19"/>
      <c r="DY792" s="19"/>
      <c r="DZ792" s="19"/>
    </row>
    <row r="793" spans="1:130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18"/>
      <c r="BX793" s="118"/>
      <c r="BY793" s="118"/>
      <c r="BZ793" s="118"/>
      <c r="CA793" s="118"/>
      <c r="CB793" s="118"/>
      <c r="CC793" s="118"/>
      <c r="CD793" s="118"/>
      <c r="CE793" s="118"/>
      <c r="CF793" s="118"/>
      <c r="CG793" s="118"/>
      <c r="CH793" s="118"/>
      <c r="CI793" s="118"/>
      <c r="CJ793" s="118"/>
      <c r="CK793" s="118"/>
      <c r="CL793" s="118"/>
      <c r="CM793" s="118"/>
      <c r="CN793" s="118"/>
      <c r="CO793" s="118"/>
      <c r="CP793" s="118"/>
      <c r="CQ793" s="118"/>
      <c r="CR793" s="118"/>
      <c r="CS793" s="118"/>
      <c r="CT793" s="118"/>
      <c r="CU793" s="118"/>
      <c r="CV793" s="118"/>
      <c r="CW793" s="118"/>
      <c r="CX793" s="118"/>
      <c r="CY793" s="118"/>
      <c r="CZ793" s="118"/>
      <c r="DA793" s="118"/>
      <c r="DB793" s="118"/>
      <c r="DC793" s="118"/>
      <c r="DD793" s="118"/>
      <c r="DE793" s="118"/>
      <c r="DF793" s="118"/>
      <c r="DG793" s="118"/>
      <c r="DH793" s="118"/>
      <c r="DI793" s="118"/>
      <c r="DJ793" s="118"/>
      <c r="DK793" s="118"/>
      <c r="DL793" s="118"/>
      <c r="DM793" s="118"/>
      <c r="DN793" s="118"/>
      <c r="DO793" s="118"/>
      <c r="DP793" s="118"/>
      <c r="DQ793" s="118"/>
      <c r="DR793" s="118"/>
      <c r="DS793" s="118"/>
      <c r="DT793" s="118"/>
      <c r="DU793" s="19"/>
      <c r="DV793" s="19"/>
      <c r="DW793" s="19"/>
      <c r="DX793" s="19"/>
      <c r="DY793" s="19"/>
      <c r="DZ793" s="19"/>
    </row>
    <row r="794" spans="1:130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18"/>
      <c r="BX794" s="118"/>
      <c r="BY794" s="118"/>
      <c r="BZ794" s="118"/>
      <c r="CA794" s="118"/>
      <c r="CB794" s="118"/>
      <c r="CC794" s="118"/>
      <c r="CD794" s="118"/>
      <c r="CE794" s="118"/>
      <c r="CF794" s="118"/>
      <c r="CG794" s="118"/>
      <c r="CH794" s="118"/>
      <c r="CI794" s="118"/>
      <c r="CJ794" s="118"/>
      <c r="CK794" s="118"/>
      <c r="CL794" s="118"/>
      <c r="CM794" s="118"/>
      <c r="CN794" s="118"/>
      <c r="CO794" s="118"/>
      <c r="CP794" s="118"/>
      <c r="CQ794" s="118"/>
      <c r="CR794" s="118"/>
      <c r="CS794" s="118"/>
      <c r="CT794" s="118"/>
      <c r="CU794" s="118"/>
      <c r="CV794" s="118"/>
      <c r="CW794" s="118"/>
      <c r="CX794" s="118"/>
      <c r="CY794" s="118"/>
      <c r="CZ794" s="118"/>
      <c r="DA794" s="118"/>
      <c r="DB794" s="118"/>
      <c r="DC794" s="118"/>
      <c r="DD794" s="118"/>
      <c r="DE794" s="118"/>
      <c r="DF794" s="118"/>
      <c r="DG794" s="118"/>
      <c r="DH794" s="118"/>
      <c r="DI794" s="118"/>
      <c r="DJ794" s="118"/>
      <c r="DK794" s="118"/>
      <c r="DL794" s="118"/>
      <c r="DM794" s="118"/>
      <c r="DN794" s="118"/>
      <c r="DO794" s="118"/>
      <c r="DP794" s="118"/>
      <c r="DQ794" s="118"/>
      <c r="DR794" s="118"/>
      <c r="DS794" s="118"/>
      <c r="DT794" s="118"/>
      <c r="DU794" s="19"/>
      <c r="DV794" s="19"/>
      <c r="DW794" s="19"/>
      <c r="DX794" s="19"/>
      <c r="DY794" s="19"/>
      <c r="DZ794" s="19"/>
    </row>
    <row r="795" spans="1:130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18"/>
      <c r="BX795" s="118"/>
      <c r="BY795" s="118"/>
      <c r="BZ795" s="118"/>
      <c r="CA795" s="118"/>
      <c r="CB795" s="118"/>
      <c r="CC795" s="118"/>
      <c r="CD795" s="118"/>
      <c r="CE795" s="118"/>
      <c r="CF795" s="118"/>
      <c r="CG795" s="118"/>
      <c r="CH795" s="118"/>
      <c r="CI795" s="118"/>
      <c r="CJ795" s="118"/>
      <c r="CK795" s="118"/>
      <c r="CL795" s="118"/>
      <c r="CM795" s="118"/>
      <c r="CN795" s="118"/>
      <c r="CO795" s="118"/>
      <c r="CP795" s="118"/>
      <c r="CQ795" s="118"/>
      <c r="CR795" s="118"/>
      <c r="CS795" s="118"/>
      <c r="CT795" s="118"/>
      <c r="CU795" s="118"/>
      <c r="CV795" s="118"/>
      <c r="CW795" s="118"/>
      <c r="CX795" s="118"/>
      <c r="CY795" s="118"/>
      <c r="CZ795" s="118"/>
      <c r="DA795" s="118"/>
      <c r="DB795" s="118"/>
      <c r="DC795" s="118"/>
      <c r="DD795" s="118"/>
      <c r="DE795" s="118"/>
      <c r="DF795" s="118"/>
      <c r="DG795" s="118"/>
      <c r="DH795" s="118"/>
      <c r="DI795" s="118"/>
      <c r="DJ795" s="118"/>
      <c r="DK795" s="118"/>
      <c r="DL795" s="118"/>
      <c r="DM795" s="118"/>
      <c r="DN795" s="118"/>
      <c r="DO795" s="118"/>
      <c r="DP795" s="118"/>
      <c r="DQ795" s="118"/>
      <c r="DR795" s="118"/>
      <c r="DS795" s="118"/>
      <c r="DT795" s="118"/>
      <c r="DU795" s="19"/>
      <c r="DV795" s="19"/>
      <c r="DW795" s="19"/>
      <c r="DX795" s="19"/>
      <c r="DY795" s="19"/>
      <c r="DZ795" s="19"/>
    </row>
    <row r="796" spans="1:130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18"/>
      <c r="BX796" s="118"/>
      <c r="BY796" s="118"/>
      <c r="BZ796" s="118"/>
      <c r="CA796" s="118"/>
      <c r="CB796" s="118"/>
      <c r="CC796" s="118"/>
      <c r="CD796" s="118"/>
      <c r="CE796" s="118"/>
      <c r="CF796" s="118"/>
      <c r="CG796" s="118"/>
      <c r="CH796" s="118"/>
      <c r="CI796" s="118"/>
      <c r="CJ796" s="118"/>
      <c r="CK796" s="118"/>
      <c r="CL796" s="118"/>
      <c r="CM796" s="118"/>
      <c r="CN796" s="118"/>
      <c r="CO796" s="118"/>
      <c r="CP796" s="118"/>
      <c r="CQ796" s="118"/>
      <c r="CR796" s="118"/>
      <c r="CS796" s="118"/>
      <c r="CT796" s="118"/>
      <c r="CU796" s="118"/>
      <c r="CV796" s="118"/>
      <c r="CW796" s="118"/>
      <c r="CX796" s="118"/>
      <c r="CY796" s="118"/>
      <c r="CZ796" s="118"/>
      <c r="DA796" s="118"/>
      <c r="DB796" s="118"/>
      <c r="DC796" s="118"/>
      <c r="DD796" s="118"/>
      <c r="DE796" s="118"/>
      <c r="DF796" s="118"/>
      <c r="DG796" s="118"/>
      <c r="DH796" s="118"/>
      <c r="DI796" s="118"/>
      <c r="DJ796" s="118"/>
      <c r="DK796" s="118"/>
      <c r="DL796" s="118"/>
      <c r="DM796" s="118"/>
      <c r="DN796" s="118"/>
      <c r="DO796" s="118"/>
      <c r="DP796" s="118"/>
      <c r="DQ796" s="118"/>
      <c r="DR796" s="118"/>
      <c r="DS796" s="118"/>
      <c r="DT796" s="118"/>
      <c r="DU796" s="19"/>
      <c r="DV796" s="19"/>
      <c r="DW796" s="19"/>
      <c r="DX796" s="19"/>
      <c r="DY796" s="19"/>
      <c r="DZ796" s="19"/>
    </row>
    <row r="797" spans="1:130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18"/>
      <c r="BX797" s="118"/>
      <c r="BY797" s="118"/>
      <c r="BZ797" s="118"/>
      <c r="CA797" s="118"/>
      <c r="CB797" s="118"/>
      <c r="CC797" s="118"/>
      <c r="CD797" s="118"/>
      <c r="CE797" s="118"/>
      <c r="CF797" s="118"/>
      <c r="CG797" s="118"/>
      <c r="CH797" s="118"/>
      <c r="CI797" s="118"/>
      <c r="CJ797" s="118"/>
      <c r="CK797" s="118"/>
      <c r="CL797" s="118"/>
      <c r="CM797" s="118"/>
      <c r="CN797" s="118"/>
      <c r="CO797" s="118"/>
      <c r="CP797" s="118"/>
      <c r="CQ797" s="118"/>
      <c r="CR797" s="118"/>
      <c r="CS797" s="118"/>
      <c r="CT797" s="118"/>
      <c r="CU797" s="118"/>
      <c r="CV797" s="118"/>
      <c r="CW797" s="118"/>
      <c r="CX797" s="118"/>
      <c r="CY797" s="118"/>
      <c r="CZ797" s="118"/>
      <c r="DA797" s="118"/>
      <c r="DB797" s="118"/>
      <c r="DC797" s="118"/>
      <c r="DD797" s="118"/>
      <c r="DE797" s="118"/>
      <c r="DF797" s="118"/>
      <c r="DG797" s="118"/>
      <c r="DH797" s="118"/>
      <c r="DI797" s="118"/>
      <c r="DJ797" s="118"/>
      <c r="DK797" s="118"/>
      <c r="DL797" s="118"/>
      <c r="DM797" s="118"/>
      <c r="DN797" s="118"/>
      <c r="DO797" s="118"/>
      <c r="DP797" s="118"/>
      <c r="DQ797" s="118"/>
      <c r="DR797" s="118"/>
      <c r="DS797" s="118"/>
      <c r="DT797" s="118"/>
      <c r="DU797" s="19"/>
      <c r="DV797" s="19"/>
      <c r="DW797" s="19"/>
      <c r="DX797" s="19"/>
      <c r="DY797" s="19"/>
      <c r="DZ797" s="19"/>
    </row>
    <row r="798" spans="1:130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18"/>
      <c r="BX798" s="118"/>
      <c r="BY798" s="118"/>
      <c r="BZ798" s="118"/>
      <c r="CA798" s="118"/>
      <c r="CB798" s="118"/>
      <c r="CC798" s="118"/>
      <c r="CD798" s="118"/>
      <c r="CE798" s="118"/>
      <c r="CF798" s="118"/>
      <c r="CG798" s="118"/>
      <c r="CH798" s="118"/>
      <c r="CI798" s="118"/>
      <c r="CJ798" s="118"/>
      <c r="CK798" s="118"/>
      <c r="CL798" s="118"/>
      <c r="CM798" s="118"/>
      <c r="CN798" s="118"/>
      <c r="CO798" s="118"/>
      <c r="CP798" s="118"/>
      <c r="CQ798" s="118"/>
      <c r="CR798" s="118"/>
      <c r="CS798" s="118"/>
      <c r="CT798" s="118"/>
      <c r="CU798" s="118"/>
      <c r="CV798" s="118"/>
      <c r="CW798" s="118"/>
      <c r="CX798" s="118"/>
      <c r="CY798" s="118"/>
      <c r="CZ798" s="118"/>
      <c r="DA798" s="118"/>
      <c r="DB798" s="118"/>
      <c r="DC798" s="118"/>
      <c r="DD798" s="118"/>
      <c r="DE798" s="118"/>
      <c r="DF798" s="118"/>
      <c r="DG798" s="118"/>
      <c r="DH798" s="118"/>
      <c r="DI798" s="118"/>
      <c r="DJ798" s="118"/>
      <c r="DK798" s="118"/>
      <c r="DL798" s="118"/>
      <c r="DM798" s="118"/>
      <c r="DN798" s="118"/>
      <c r="DO798" s="118"/>
      <c r="DP798" s="118"/>
      <c r="DQ798" s="118"/>
      <c r="DR798" s="118"/>
      <c r="DS798" s="118"/>
      <c r="DT798" s="118"/>
      <c r="DU798" s="19"/>
      <c r="DV798" s="19"/>
      <c r="DW798" s="19"/>
      <c r="DX798" s="19"/>
      <c r="DY798" s="19"/>
      <c r="DZ798" s="19"/>
    </row>
    <row r="799" spans="1:130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18"/>
      <c r="BX799" s="118"/>
      <c r="BY799" s="118"/>
      <c r="BZ799" s="118"/>
      <c r="CA799" s="118"/>
      <c r="CB799" s="118"/>
      <c r="CC799" s="118"/>
      <c r="CD799" s="118"/>
      <c r="CE799" s="118"/>
      <c r="CF799" s="118"/>
      <c r="CG799" s="118"/>
      <c r="CH799" s="118"/>
      <c r="CI799" s="118"/>
      <c r="CJ799" s="118"/>
      <c r="CK799" s="118"/>
      <c r="CL799" s="118"/>
      <c r="CM799" s="118"/>
      <c r="CN799" s="118"/>
      <c r="CO799" s="118"/>
      <c r="CP799" s="118"/>
      <c r="CQ799" s="118"/>
      <c r="CR799" s="118"/>
      <c r="CS799" s="118"/>
      <c r="CT799" s="118"/>
      <c r="CU799" s="118"/>
      <c r="CV799" s="118"/>
      <c r="CW799" s="118"/>
      <c r="CX799" s="118"/>
      <c r="CY799" s="118"/>
      <c r="CZ799" s="118"/>
      <c r="DA799" s="118"/>
      <c r="DB799" s="118"/>
      <c r="DC799" s="118"/>
      <c r="DD799" s="118"/>
      <c r="DE799" s="118"/>
      <c r="DF799" s="118"/>
      <c r="DG799" s="118"/>
      <c r="DH799" s="118"/>
      <c r="DI799" s="118"/>
      <c r="DJ799" s="118"/>
      <c r="DK799" s="118"/>
      <c r="DL799" s="118"/>
      <c r="DM799" s="118"/>
      <c r="DN799" s="118"/>
      <c r="DO799" s="118"/>
      <c r="DP799" s="118"/>
      <c r="DQ799" s="118"/>
      <c r="DR799" s="118"/>
      <c r="DS799" s="118"/>
      <c r="DT799" s="118"/>
      <c r="DU799" s="19"/>
      <c r="DV799" s="19"/>
      <c r="DW799" s="19"/>
      <c r="DX799" s="19"/>
      <c r="DY799" s="19"/>
      <c r="DZ799" s="19"/>
    </row>
    <row r="800" spans="1:130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18"/>
      <c r="BX800" s="118"/>
      <c r="BY800" s="118"/>
      <c r="BZ800" s="118"/>
      <c r="CA800" s="118"/>
      <c r="CB800" s="118"/>
      <c r="CC800" s="118"/>
      <c r="CD800" s="118"/>
      <c r="CE800" s="118"/>
      <c r="CF800" s="118"/>
      <c r="CG800" s="118"/>
      <c r="CH800" s="118"/>
      <c r="CI800" s="118"/>
      <c r="CJ800" s="118"/>
      <c r="CK800" s="118"/>
      <c r="CL800" s="118"/>
      <c r="CM800" s="118"/>
      <c r="CN800" s="118"/>
      <c r="CO800" s="118"/>
      <c r="CP800" s="118"/>
      <c r="CQ800" s="118"/>
      <c r="CR800" s="118"/>
      <c r="CS800" s="118"/>
      <c r="CT800" s="118"/>
      <c r="CU800" s="118"/>
      <c r="CV800" s="118"/>
      <c r="CW800" s="118"/>
      <c r="CX800" s="118"/>
      <c r="CY800" s="118"/>
      <c r="CZ800" s="118"/>
      <c r="DA800" s="118"/>
      <c r="DB800" s="118"/>
      <c r="DC800" s="118"/>
      <c r="DD800" s="118"/>
      <c r="DE800" s="118"/>
      <c r="DF800" s="118"/>
      <c r="DG800" s="118"/>
      <c r="DH800" s="118"/>
      <c r="DI800" s="118"/>
      <c r="DJ800" s="118"/>
      <c r="DK800" s="118"/>
      <c r="DL800" s="118"/>
      <c r="DM800" s="118"/>
      <c r="DN800" s="118"/>
      <c r="DO800" s="118"/>
      <c r="DP800" s="118"/>
      <c r="DQ800" s="118"/>
      <c r="DR800" s="118"/>
      <c r="DS800" s="118"/>
      <c r="DT800" s="118"/>
      <c r="DU800" s="19"/>
      <c r="DV800" s="19"/>
      <c r="DW800" s="19"/>
      <c r="DX800" s="19"/>
      <c r="DY800" s="19"/>
      <c r="DZ800" s="19"/>
    </row>
    <row r="801" spans="1:130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18"/>
      <c r="BX801" s="118"/>
      <c r="BY801" s="118"/>
      <c r="BZ801" s="118"/>
      <c r="CA801" s="118"/>
      <c r="CB801" s="118"/>
      <c r="CC801" s="118"/>
      <c r="CD801" s="118"/>
      <c r="CE801" s="118"/>
      <c r="CF801" s="118"/>
      <c r="CG801" s="118"/>
      <c r="CH801" s="118"/>
      <c r="CI801" s="118"/>
      <c r="CJ801" s="118"/>
      <c r="CK801" s="118"/>
      <c r="CL801" s="118"/>
      <c r="CM801" s="118"/>
      <c r="CN801" s="118"/>
      <c r="CO801" s="118"/>
      <c r="CP801" s="118"/>
      <c r="CQ801" s="118"/>
      <c r="CR801" s="118"/>
      <c r="CS801" s="118"/>
      <c r="CT801" s="118"/>
      <c r="CU801" s="118"/>
      <c r="CV801" s="118"/>
      <c r="CW801" s="118"/>
      <c r="CX801" s="118"/>
      <c r="CY801" s="118"/>
      <c r="CZ801" s="118"/>
      <c r="DA801" s="118"/>
      <c r="DB801" s="118"/>
      <c r="DC801" s="118"/>
      <c r="DD801" s="118"/>
      <c r="DE801" s="118"/>
      <c r="DF801" s="118"/>
      <c r="DG801" s="118"/>
      <c r="DH801" s="118"/>
      <c r="DI801" s="118"/>
      <c r="DJ801" s="118"/>
      <c r="DK801" s="118"/>
      <c r="DL801" s="118"/>
      <c r="DM801" s="118"/>
      <c r="DN801" s="118"/>
      <c r="DO801" s="118"/>
      <c r="DP801" s="118"/>
      <c r="DQ801" s="118"/>
      <c r="DR801" s="118"/>
      <c r="DS801" s="118"/>
      <c r="DT801" s="118"/>
      <c r="DU801" s="19"/>
      <c r="DV801" s="19"/>
      <c r="DW801" s="19"/>
      <c r="DX801" s="19"/>
      <c r="DY801" s="19"/>
      <c r="DZ801" s="19"/>
    </row>
    <row r="802" spans="1:130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18"/>
      <c r="BX802" s="118"/>
      <c r="BY802" s="118"/>
      <c r="BZ802" s="118"/>
      <c r="CA802" s="118"/>
      <c r="CB802" s="118"/>
      <c r="CC802" s="118"/>
      <c r="CD802" s="118"/>
      <c r="CE802" s="118"/>
      <c r="CF802" s="118"/>
      <c r="CG802" s="118"/>
      <c r="CH802" s="118"/>
      <c r="CI802" s="118"/>
      <c r="CJ802" s="118"/>
      <c r="CK802" s="118"/>
      <c r="CL802" s="118"/>
      <c r="CM802" s="118"/>
      <c r="CN802" s="118"/>
      <c r="CO802" s="118"/>
      <c r="CP802" s="118"/>
      <c r="CQ802" s="118"/>
      <c r="CR802" s="118"/>
      <c r="CS802" s="118"/>
      <c r="CT802" s="118"/>
      <c r="CU802" s="118"/>
      <c r="CV802" s="118"/>
      <c r="CW802" s="118"/>
      <c r="CX802" s="118"/>
      <c r="CY802" s="118"/>
      <c r="CZ802" s="118"/>
      <c r="DA802" s="118"/>
      <c r="DB802" s="118"/>
      <c r="DC802" s="118"/>
      <c r="DD802" s="118"/>
      <c r="DE802" s="118"/>
      <c r="DF802" s="118"/>
      <c r="DG802" s="118"/>
      <c r="DH802" s="118"/>
      <c r="DI802" s="118"/>
      <c r="DJ802" s="118"/>
      <c r="DK802" s="118"/>
      <c r="DL802" s="118"/>
      <c r="DM802" s="118"/>
      <c r="DN802" s="118"/>
      <c r="DO802" s="118"/>
      <c r="DP802" s="118"/>
      <c r="DQ802" s="118"/>
      <c r="DR802" s="118"/>
      <c r="DS802" s="118"/>
      <c r="DT802" s="118"/>
      <c r="DU802" s="19"/>
      <c r="DV802" s="19"/>
      <c r="DW802" s="19"/>
      <c r="DX802" s="19"/>
      <c r="DY802" s="19"/>
      <c r="DZ802" s="19"/>
    </row>
    <row r="803" spans="1:130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18"/>
      <c r="BX803" s="118"/>
      <c r="BY803" s="118"/>
      <c r="BZ803" s="118"/>
      <c r="CA803" s="118"/>
      <c r="CB803" s="118"/>
      <c r="CC803" s="118"/>
      <c r="CD803" s="118"/>
      <c r="CE803" s="118"/>
      <c r="CF803" s="118"/>
      <c r="CG803" s="118"/>
      <c r="CH803" s="118"/>
      <c r="CI803" s="118"/>
      <c r="CJ803" s="118"/>
      <c r="CK803" s="118"/>
      <c r="CL803" s="118"/>
      <c r="CM803" s="118"/>
      <c r="CN803" s="118"/>
      <c r="CO803" s="118"/>
      <c r="CP803" s="118"/>
      <c r="CQ803" s="118"/>
      <c r="CR803" s="118"/>
      <c r="CS803" s="118"/>
      <c r="CT803" s="118"/>
      <c r="CU803" s="118"/>
      <c r="CV803" s="118"/>
      <c r="CW803" s="118"/>
      <c r="CX803" s="118"/>
      <c r="CY803" s="118"/>
      <c r="CZ803" s="118"/>
      <c r="DA803" s="118"/>
      <c r="DB803" s="118"/>
      <c r="DC803" s="118"/>
      <c r="DD803" s="118"/>
      <c r="DE803" s="118"/>
      <c r="DF803" s="118"/>
      <c r="DG803" s="118"/>
      <c r="DH803" s="118"/>
      <c r="DI803" s="118"/>
      <c r="DJ803" s="118"/>
      <c r="DK803" s="118"/>
      <c r="DL803" s="118"/>
      <c r="DM803" s="118"/>
      <c r="DN803" s="118"/>
      <c r="DO803" s="118"/>
      <c r="DP803" s="118"/>
      <c r="DQ803" s="118"/>
      <c r="DR803" s="118"/>
      <c r="DS803" s="118"/>
      <c r="DT803" s="118"/>
      <c r="DU803" s="19"/>
      <c r="DV803" s="19"/>
      <c r="DW803" s="19"/>
      <c r="DX803" s="19"/>
      <c r="DY803" s="19"/>
      <c r="DZ803" s="19"/>
    </row>
    <row r="804" spans="1:130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18"/>
      <c r="BX804" s="118"/>
      <c r="BY804" s="118"/>
      <c r="BZ804" s="118"/>
      <c r="CA804" s="118"/>
      <c r="CB804" s="118"/>
      <c r="CC804" s="118"/>
      <c r="CD804" s="118"/>
      <c r="CE804" s="118"/>
      <c r="CF804" s="118"/>
      <c r="CG804" s="118"/>
      <c r="CH804" s="118"/>
      <c r="CI804" s="118"/>
      <c r="CJ804" s="118"/>
      <c r="CK804" s="118"/>
      <c r="CL804" s="118"/>
      <c r="CM804" s="118"/>
      <c r="CN804" s="118"/>
      <c r="CO804" s="118"/>
      <c r="CP804" s="118"/>
      <c r="CQ804" s="118"/>
      <c r="CR804" s="118"/>
      <c r="CS804" s="118"/>
      <c r="CT804" s="118"/>
      <c r="CU804" s="118"/>
      <c r="CV804" s="118"/>
      <c r="CW804" s="118"/>
      <c r="CX804" s="118"/>
      <c r="CY804" s="118"/>
      <c r="CZ804" s="118"/>
      <c r="DA804" s="118"/>
      <c r="DB804" s="118"/>
      <c r="DC804" s="118"/>
      <c r="DD804" s="118"/>
      <c r="DE804" s="118"/>
      <c r="DF804" s="118"/>
      <c r="DG804" s="118"/>
      <c r="DH804" s="118"/>
      <c r="DI804" s="118"/>
      <c r="DJ804" s="118"/>
      <c r="DK804" s="118"/>
      <c r="DL804" s="118"/>
      <c r="DM804" s="118"/>
      <c r="DN804" s="118"/>
      <c r="DO804" s="118"/>
      <c r="DP804" s="118"/>
      <c r="DQ804" s="118"/>
      <c r="DR804" s="118"/>
      <c r="DS804" s="118"/>
      <c r="DT804" s="118"/>
      <c r="DU804" s="19"/>
      <c r="DV804" s="19"/>
      <c r="DW804" s="19"/>
      <c r="DX804" s="19"/>
      <c r="DY804" s="19"/>
      <c r="DZ804" s="19"/>
    </row>
    <row r="805" spans="1:130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18"/>
      <c r="BX805" s="118"/>
      <c r="BY805" s="118"/>
      <c r="BZ805" s="118"/>
      <c r="CA805" s="118"/>
      <c r="CB805" s="118"/>
      <c r="CC805" s="118"/>
      <c r="CD805" s="118"/>
      <c r="CE805" s="118"/>
      <c r="CF805" s="118"/>
      <c r="CG805" s="118"/>
      <c r="CH805" s="118"/>
      <c r="CI805" s="118"/>
      <c r="CJ805" s="118"/>
      <c r="CK805" s="118"/>
      <c r="CL805" s="118"/>
      <c r="CM805" s="118"/>
      <c r="CN805" s="118"/>
      <c r="CO805" s="118"/>
      <c r="CP805" s="118"/>
      <c r="CQ805" s="118"/>
      <c r="CR805" s="118"/>
      <c r="CS805" s="118"/>
      <c r="CT805" s="118"/>
      <c r="CU805" s="118"/>
      <c r="CV805" s="118"/>
      <c r="CW805" s="118"/>
      <c r="CX805" s="118"/>
      <c r="CY805" s="118"/>
      <c r="CZ805" s="118"/>
      <c r="DA805" s="118"/>
      <c r="DB805" s="118"/>
      <c r="DC805" s="118"/>
      <c r="DD805" s="118"/>
      <c r="DE805" s="118"/>
      <c r="DF805" s="118"/>
      <c r="DG805" s="118"/>
      <c r="DH805" s="118"/>
      <c r="DI805" s="118"/>
      <c r="DJ805" s="118"/>
      <c r="DK805" s="118"/>
      <c r="DL805" s="118"/>
      <c r="DM805" s="118"/>
      <c r="DN805" s="118"/>
      <c r="DO805" s="118"/>
      <c r="DP805" s="118"/>
      <c r="DQ805" s="118"/>
      <c r="DR805" s="118"/>
      <c r="DS805" s="118"/>
      <c r="DT805" s="118"/>
      <c r="DU805" s="19"/>
      <c r="DV805" s="19"/>
      <c r="DW805" s="19"/>
      <c r="DX805" s="19"/>
      <c r="DY805" s="19"/>
      <c r="DZ805" s="19"/>
    </row>
    <row r="806" spans="1:130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18"/>
      <c r="BX806" s="118"/>
      <c r="BY806" s="118"/>
      <c r="BZ806" s="118"/>
      <c r="CA806" s="118"/>
      <c r="CB806" s="118"/>
      <c r="CC806" s="118"/>
      <c r="CD806" s="118"/>
      <c r="CE806" s="118"/>
      <c r="CF806" s="118"/>
      <c r="CG806" s="118"/>
      <c r="CH806" s="118"/>
      <c r="CI806" s="118"/>
      <c r="CJ806" s="118"/>
      <c r="CK806" s="118"/>
      <c r="CL806" s="118"/>
      <c r="CM806" s="118"/>
      <c r="CN806" s="118"/>
      <c r="CO806" s="118"/>
      <c r="CP806" s="118"/>
      <c r="CQ806" s="118"/>
      <c r="CR806" s="118"/>
      <c r="CS806" s="118"/>
      <c r="CT806" s="118"/>
      <c r="CU806" s="118"/>
      <c r="CV806" s="118"/>
      <c r="CW806" s="118"/>
      <c r="CX806" s="118"/>
      <c r="CY806" s="118"/>
      <c r="CZ806" s="118"/>
      <c r="DA806" s="118"/>
      <c r="DB806" s="118"/>
      <c r="DC806" s="118"/>
      <c r="DD806" s="118"/>
      <c r="DE806" s="118"/>
      <c r="DF806" s="118"/>
      <c r="DG806" s="118"/>
      <c r="DH806" s="118"/>
      <c r="DI806" s="118"/>
      <c r="DJ806" s="118"/>
      <c r="DK806" s="118"/>
      <c r="DL806" s="118"/>
      <c r="DM806" s="118"/>
      <c r="DN806" s="118"/>
      <c r="DO806" s="118"/>
      <c r="DP806" s="118"/>
      <c r="DQ806" s="118"/>
      <c r="DR806" s="118"/>
      <c r="DS806" s="118"/>
      <c r="DT806" s="118"/>
      <c r="DU806" s="19"/>
      <c r="DV806" s="19"/>
      <c r="DW806" s="19"/>
      <c r="DX806" s="19"/>
      <c r="DY806" s="19"/>
      <c r="DZ806" s="19"/>
    </row>
    <row r="807" spans="1:130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18"/>
      <c r="BX807" s="118"/>
      <c r="BY807" s="118"/>
      <c r="BZ807" s="118"/>
      <c r="CA807" s="118"/>
      <c r="CB807" s="118"/>
      <c r="CC807" s="118"/>
      <c r="CD807" s="118"/>
      <c r="CE807" s="118"/>
      <c r="CF807" s="118"/>
      <c r="CG807" s="118"/>
      <c r="CH807" s="118"/>
      <c r="CI807" s="118"/>
      <c r="CJ807" s="118"/>
      <c r="CK807" s="118"/>
      <c r="CL807" s="118"/>
      <c r="CM807" s="118"/>
      <c r="CN807" s="118"/>
      <c r="CO807" s="118"/>
      <c r="CP807" s="118"/>
      <c r="CQ807" s="118"/>
      <c r="CR807" s="118"/>
      <c r="CS807" s="118"/>
      <c r="CT807" s="118"/>
      <c r="CU807" s="118"/>
      <c r="CV807" s="118"/>
      <c r="CW807" s="118"/>
      <c r="CX807" s="118"/>
      <c r="CY807" s="118"/>
      <c r="CZ807" s="118"/>
      <c r="DA807" s="118"/>
      <c r="DB807" s="118"/>
      <c r="DC807" s="118"/>
      <c r="DD807" s="118"/>
      <c r="DE807" s="118"/>
      <c r="DF807" s="118"/>
      <c r="DG807" s="118"/>
      <c r="DH807" s="118"/>
      <c r="DI807" s="118"/>
      <c r="DJ807" s="118"/>
      <c r="DK807" s="118"/>
      <c r="DL807" s="118"/>
      <c r="DM807" s="118"/>
      <c r="DN807" s="118"/>
      <c r="DO807" s="118"/>
      <c r="DP807" s="118"/>
      <c r="DQ807" s="118"/>
      <c r="DR807" s="118"/>
      <c r="DS807" s="118"/>
      <c r="DT807" s="118"/>
      <c r="DU807" s="19"/>
      <c r="DV807" s="19"/>
      <c r="DW807" s="19"/>
      <c r="DX807" s="19"/>
      <c r="DY807" s="19"/>
      <c r="DZ807" s="19"/>
    </row>
    <row r="808" spans="1:130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18"/>
      <c r="BX808" s="118"/>
      <c r="BY808" s="118"/>
      <c r="BZ808" s="118"/>
      <c r="CA808" s="118"/>
      <c r="CB808" s="118"/>
      <c r="CC808" s="118"/>
      <c r="CD808" s="118"/>
      <c r="CE808" s="118"/>
      <c r="CF808" s="118"/>
      <c r="CG808" s="118"/>
      <c r="CH808" s="118"/>
      <c r="CI808" s="118"/>
      <c r="CJ808" s="118"/>
      <c r="CK808" s="118"/>
      <c r="CL808" s="118"/>
      <c r="CM808" s="118"/>
      <c r="CN808" s="118"/>
      <c r="CO808" s="118"/>
      <c r="CP808" s="118"/>
      <c r="CQ808" s="118"/>
      <c r="CR808" s="118"/>
      <c r="CS808" s="118"/>
      <c r="CT808" s="118"/>
      <c r="CU808" s="118"/>
      <c r="CV808" s="118"/>
      <c r="CW808" s="118"/>
      <c r="CX808" s="118"/>
      <c r="CY808" s="118"/>
      <c r="CZ808" s="118"/>
      <c r="DA808" s="118"/>
      <c r="DB808" s="118"/>
      <c r="DC808" s="118"/>
      <c r="DD808" s="118"/>
      <c r="DE808" s="118"/>
      <c r="DF808" s="118"/>
      <c r="DG808" s="118"/>
      <c r="DH808" s="118"/>
      <c r="DI808" s="118"/>
      <c r="DJ808" s="118"/>
      <c r="DK808" s="118"/>
      <c r="DL808" s="118"/>
      <c r="DM808" s="118"/>
      <c r="DN808" s="118"/>
      <c r="DO808" s="118"/>
      <c r="DP808" s="118"/>
      <c r="DQ808" s="118"/>
      <c r="DR808" s="118"/>
      <c r="DS808" s="118"/>
      <c r="DT808" s="118"/>
      <c r="DU808" s="19"/>
      <c r="DV808" s="19"/>
      <c r="DW808" s="19"/>
      <c r="DX808" s="19"/>
      <c r="DY808" s="19"/>
      <c r="DZ808" s="19"/>
    </row>
    <row r="809" spans="1:130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18"/>
      <c r="BX809" s="118"/>
      <c r="BY809" s="118"/>
      <c r="BZ809" s="118"/>
      <c r="CA809" s="118"/>
      <c r="CB809" s="118"/>
      <c r="CC809" s="118"/>
      <c r="CD809" s="118"/>
      <c r="CE809" s="118"/>
      <c r="CF809" s="118"/>
      <c r="CG809" s="118"/>
      <c r="CH809" s="118"/>
      <c r="CI809" s="118"/>
      <c r="CJ809" s="118"/>
      <c r="CK809" s="118"/>
      <c r="CL809" s="118"/>
      <c r="CM809" s="118"/>
      <c r="CN809" s="118"/>
      <c r="CO809" s="118"/>
      <c r="CP809" s="118"/>
      <c r="CQ809" s="118"/>
      <c r="CR809" s="118"/>
      <c r="CS809" s="118"/>
      <c r="CT809" s="118"/>
      <c r="CU809" s="118"/>
      <c r="CV809" s="118"/>
      <c r="CW809" s="118"/>
      <c r="CX809" s="118"/>
      <c r="CY809" s="118"/>
      <c r="CZ809" s="118"/>
      <c r="DA809" s="118"/>
      <c r="DB809" s="118"/>
      <c r="DC809" s="118"/>
      <c r="DD809" s="118"/>
      <c r="DE809" s="118"/>
      <c r="DF809" s="118"/>
      <c r="DG809" s="118"/>
      <c r="DH809" s="118"/>
      <c r="DI809" s="118"/>
      <c r="DJ809" s="118"/>
      <c r="DK809" s="118"/>
      <c r="DL809" s="118"/>
      <c r="DM809" s="118"/>
      <c r="DN809" s="118"/>
      <c r="DO809" s="118"/>
      <c r="DP809" s="118"/>
      <c r="DQ809" s="118"/>
      <c r="DR809" s="118"/>
      <c r="DS809" s="118"/>
      <c r="DT809" s="118"/>
      <c r="DU809" s="19"/>
      <c r="DV809" s="19"/>
      <c r="DW809" s="19"/>
      <c r="DX809" s="19"/>
      <c r="DY809" s="19"/>
      <c r="DZ809" s="19"/>
    </row>
    <row r="810" spans="1:130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18"/>
      <c r="BX810" s="118"/>
      <c r="BY810" s="118"/>
      <c r="BZ810" s="118"/>
      <c r="CA810" s="118"/>
      <c r="CB810" s="118"/>
      <c r="CC810" s="118"/>
      <c r="CD810" s="118"/>
      <c r="CE810" s="118"/>
      <c r="CF810" s="118"/>
      <c r="CG810" s="118"/>
      <c r="CH810" s="118"/>
      <c r="CI810" s="118"/>
      <c r="CJ810" s="118"/>
      <c r="CK810" s="118"/>
      <c r="CL810" s="118"/>
      <c r="CM810" s="118"/>
      <c r="CN810" s="118"/>
      <c r="CO810" s="118"/>
      <c r="CP810" s="118"/>
      <c r="CQ810" s="118"/>
      <c r="CR810" s="118"/>
      <c r="CS810" s="118"/>
      <c r="CT810" s="118"/>
      <c r="CU810" s="118"/>
      <c r="CV810" s="118"/>
      <c r="CW810" s="118"/>
      <c r="CX810" s="118"/>
      <c r="CY810" s="118"/>
      <c r="CZ810" s="118"/>
      <c r="DA810" s="118"/>
      <c r="DB810" s="118"/>
      <c r="DC810" s="118"/>
      <c r="DD810" s="118"/>
      <c r="DE810" s="118"/>
      <c r="DF810" s="118"/>
      <c r="DG810" s="118"/>
      <c r="DH810" s="118"/>
      <c r="DI810" s="118"/>
      <c r="DJ810" s="118"/>
      <c r="DK810" s="118"/>
      <c r="DL810" s="118"/>
      <c r="DM810" s="118"/>
      <c r="DN810" s="118"/>
      <c r="DO810" s="118"/>
      <c r="DP810" s="118"/>
      <c r="DQ810" s="118"/>
      <c r="DR810" s="118"/>
      <c r="DS810" s="118"/>
      <c r="DT810" s="118"/>
      <c r="DU810" s="19"/>
      <c r="DV810" s="19"/>
      <c r="DW810" s="19"/>
      <c r="DX810" s="19"/>
      <c r="DY810" s="19"/>
      <c r="DZ810" s="19"/>
    </row>
    <row r="811" spans="1:130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18"/>
      <c r="BX811" s="118"/>
      <c r="BY811" s="118"/>
      <c r="BZ811" s="118"/>
      <c r="CA811" s="118"/>
      <c r="CB811" s="118"/>
      <c r="CC811" s="118"/>
      <c r="CD811" s="118"/>
      <c r="CE811" s="118"/>
      <c r="CF811" s="118"/>
      <c r="CG811" s="118"/>
      <c r="CH811" s="118"/>
      <c r="CI811" s="118"/>
      <c r="CJ811" s="118"/>
      <c r="CK811" s="118"/>
      <c r="CL811" s="118"/>
      <c r="CM811" s="118"/>
      <c r="CN811" s="118"/>
      <c r="CO811" s="118"/>
      <c r="CP811" s="118"/>
      <c r="CQ811" s="118"/>
      <c r="CR811" s="118"/>
      <c r="CS811" s="118"/>
      <c r="CT811" s="118"/>
      <c r="CU811" s="118"/>
      <c r="CV811" s="118"/>
      <c r="CW811" s="118"/>
      <c r="CX811" s="118"/>
      <c r="CY811" s="118"/>
      <c r="CZ811" s="118"/>
      <c r="DA811" s="118"/>
      <c r="DB811" s="118"/>
      <c r="DC811" s="118"/>
      <c r="DD811" s="118"/>
      <c r="DE811" s="118"/>
      <c r="DF811" s="118"/>
      <c r="DG811" s="118"/>
      <c r="DH811" s="118"/>
      <c r="DI811" s="118"/>
      <c r="DJ811" s="118"/>
      <c r="DK811" s="118"/>
      <c r="DL811" s="118"/>
      <c r="DM811" s="118"/>
      <c r="DN811" s="118"/>
      <c r="DO811" s="118"/>
      <c r="DP811" s="118"/>
      <c r="DQ811" s="118"/>
      <c r="DR811" s="118"/>
      <c r="DS811" s="118"/>
      <c r="DT811" s="118"/>
      <c r="DU811" s="19"/>
      <c r="DV811" s="19"/>
      <c r="DW811" s="19"/>
      <c r="DX811" s="19"/>
      <c r="DY811" s="19"/>
      <c r="DZ811" s="19"/>
    </row>
    <row r="812" spans="1:130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18"/>
      <c r="BX812" s="118"/>
      <c r="BY812" s="118"/>
      <c r="BZ812" s="118"/>
      <c r="CA812" s="118"/>
      <c r="CB812" s="118"/>
      <c r="CC812" s="118"/>
      <c r="CD812" s="118"/>
      <c r="CE812" s="118"/>
      <c r="CF812" s="118"/>
      <c r="CG812" s="118"/>
      <c r="CH812" s="118"/>
      <c r="CI812" s="118"/>
      <c r="CJ812" s="118"/>
      <c r="CK812" s="118"/>
      <c r="CL812" s="118"/>
      <c r="CM812" s="118"/>
      <c r="CN812" s="118"/>
      <c r="CO812" s="118"/>
      <c r="CP812" s="118"/>
      <c r="CQ812" s="118"/>
      <c r="CR812" s="118"/>
      <c r="CS812" s="118"/>
      <c r="CT812" s="118"/>
      <c r="CU812" s="118"/>
      <c r="CV812" s="118"/>
      <c r="CW812" s="118"/>
      <c r="CX812" s="118"/>
      <c r="CY812" s="118"/>
      <c r="CZ812" s="118"/>
      <c r="DA812" s="118"/>
      <c r="DB812" s="118"/>
      <c r="DC812" s="118"/>
      <c r="DD812" s="118"/>
      <c r="DE812" s="118"/>
      <c r="DF812" s="118"/>
      <c r="DG812" s="118"/>
      <c r="DH812" s="118"/>
      <c r="DI812" s="118"/>
      <c r="DJ812" s="118"/>
      <c r="DK812" s="118"/>
      <c r="DL812" s="118"/>
      <c r="DM812" s="118"/>
      <c r="DN812" s="118"/>
      <c r="DO812" s="118"/>
      <c r="DP812" s="118"/>
      <c r="DQ812" s="118"/>
      <c r="DR812" s="118"/>
      <c r="DS812" s="118"/>
      <c r="DT812" s="118"/>
      <c r="DU812" s="19"/>
      <c r="DV812" s="19"/>
      <c r="DW812" s="19"/>
      <c r="DX812" s="19"/>
      <c r="DY812" s="19"/>
      <c r="DZ812" s="19"/>
    </row>
    <row r="813" spans="1:130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18"/>
      <c r="BX813" s="118"/>
      <c r="BY813" s="118"/>
      <c r="BZ813" s="118"/>
      <c r="CA813" s="118"/>
      <c r="CB813" s="118"/>
      <c r="CC813" s="118"/>
      <c r="CD813" s="118"/>
      <c r="CE813" s="118"/>
      <c r="CF813" s="118"/>
      <c r="CG813" s="118"/>
      <c r="CH813" s="118"/>
      <c r="CI813" s="118"/>
      <c r="CJ813" s="118"/>
      <c r="CK813" s="118"/>
      <c r="CL813" s="118"/>
      <c r="CM813" s="118"/>
      <c r="CN813" s="118"/>
      <c r="CO813" s="118"/>
      <c r="CP813" s="118"/>
      <c r="CQ813" s="118"/>
      <c r="CR813" s="118"/>
      <c r="CS813" s="118"/>
      <c r="CT813" s="118"/>
      <c r="CU813" s="118"/>
      <c r="CV813" s="118"/>
      <c r="CW813" s="118"/>
      <c r="CX813" s="118"/>
      <c r="CY813" s="118"/>
      <c r="CZ813" s="118"/>
      <c r="DA813" s="118"/>
      <c r="DB813" s="118"/>
      <c r="DC813" s="118"/>
      <c r="DD813" s="118"/>
      <c r="DE813" s="118"/>
      <c r="DF813" s="118"/>
      <c r="DG813" s="118"/>
      <c r="DH813" s="118"/>
      <c r="DI813" s="118"/>
      <c r="DJ813" s="118"/>
      <c r="DK813" s="118"/>
      <c r="DL813" s="118"/>
      <c r="DM813" s="118"/>
      <c r="DN813" s="118"/>
      <c r="DO813" s="118"/>
      <c r="DP813" s="118"/>
      <c r="DQ813" s="118"/>
      <c r="DR813" s="118"/>
      <c r="DS813" s="118"/>
      <c r="DT813" s="118"/>
      <c r="DU813" s="19"/>
      <c r="DV813" s="19"/>
      <c r="DW813" s="19"/>
      <c r="DX813" s="19"/>
      <c r="DY813" s="19"/>
      <c r="DZ813" s="19"/>
    </row>
    <row r="814" spans="1:130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18"/>
      <c r="BX814" s="118"/>
      <c r="BY814" s="118"/>
      <c r="BZ814" s="118"/>
      <c r="CA814" s="118"/>
      <c r="CB814" s="118"/>
      <c r="CC814" s="118"/>
      <c r="CD814" s="118"/>
      <c r="CE814" s="118"/>
      <c r="CF814" s="118"/>
      <c r="CG814" s="118"/>
      <c r="CH814" s="118"/>
      <c r="CI814" s="118"/>
      <c r="CJ814" s="118"/>
      <c r="CK814" s="118"/>
      <c r="CL814" s="118"/>
      <c r="CM814" s="118"/>
      <c r="CN814" s="118"/>
      <c r="CO814" s="118"/>
      <c r="CP814" s="118"/>
      <c r="CQ814" s="118"/>
      <c r="CR814" s="118"/>
      <c r="CS814" s="118"/>
      <c r="CT814" s="118"/>
      <c r="CU814" s="118"/>
      <c r="CV814" s="118"/>
      <c r="CW814" s="118"/>
      <c r="CX814" s="118"/>
      <c r="CY814" s="118"/>
      <c r="CZ814" s="118"/>
      <c r="DA814" s="118"/>
      <c r="DB814" s="118"/>
      <c r="DC814" s="118"/>
      <c r="DD814" s="118"/>
      <c r="DE814" s="118"/>
      <c r="DF814" s="118"/>
      <c r="DG814" s="118"/>
      <c r="DH814" s="118"/>
      <c r="DI814" s="118"/>
      <c r="DJ814" s="118"/>
      <c r="DK814" s="118"/>
      <c r="DL814" s="118"/>
      <c r="DM814" s="118"/>
      <c r="DN814" s="118"/>
      <c r="DO814" s="118"/>
      <c r="DP814" s="118"/>
      <c r="DQ814" s="118"/>
      <c r="DR814" s="118"/>
      <c r="DS814" s="118"/>
      <c r="DT814" s="118"/>
      <c r="DU814" s="19"/>
      <c r="DV814" s="19"/>
      <c r="DW814" s="19"/>
      <c r="DX814" s="19"/>
      <c r="DY814" s="19"/>
      <c r="DZ814" s="19"/>
    </row>
    <row r="815" spans="1:130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18"/>
      <c r="BX815" s="118"/>
      <c r="BY815" s="118"/>
      <c r="BZ815" s="118"/>
      <c r="CA815" s="118"/>
      <c r="CB815" s="118"/>
      <c r="CC815" s="118"/>
      <c r="CD815" s="118"/>
      <c r="CE815" s="118"/>
      <c r="CF815" s="118"/>
      <c r="CG815" s="118"/>
      <c r="CH815" s="118"/>
      <c r="CI815" s="118"/>
      <c r="CJ815" s="118"/>
      <c r="CK815" s="118"/>
      <c r="CL815" s="118"/>
      <c r="CM815" s="118"/>
      <c r="CN815" s="118"/>
      <c r="CO815" s="118"/>
      <c r="CP815" s="118"/>
      <c r="CQ815" s="118"/>
      <c r="CR815" s="118"/>
      <c r="CS815" s="118"/>
      <c r="CT815" s="118"/>
      <c r="CU815" s="118"/>
      <c r="CV815" s="118"/>
      <c r="CW815" s="118"/>
      <c r="CX815" s="118"/>
      <c r="CY815" s="118"/>
      <c r="CZ815" s="118"/>
      <c r="DA815" s="118"/>
      <c r="DB815" s="118"/>
      <c r="DC815" s="118"/>
      <c r="DD815" s="118"/>
      <c r="DE815" s="118"/>
      <c r="DF815" s="118"/>
      <c r="DG815" s="118"/>
      <c r="DH815" s="118"/>
      <c r="DI815" s="118"/>
      <c r="DJ815" s="118"/>
      <c r="DK815" s="118"/>
      <c r="DL815" s="118"/>
      <c r="DM815" s="118"/>
      <c r="DN815" s="118"/>
      <c r="DO815" s="118"/>
      <c r="DP815" s="118"/>
      <c r="DQ815" s="118"/>
      <c r="DR815" s="118"/>
      <c r="DS815" s="118"/>
      <c r="DT815" s="118"/>
      <c r="DU815" s="19"/>
      <c r="DV815" s="19"/>
      <c r="DW815" s="19"/>
      <c r="DX815" s="19"/>
      <c r="DY815" s="19"/>
      <c r="DZ815" s="19"/>
    </row>
    <row r="816" spans="1:130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18"/>
      <c r="BX816" s="118"/>
      <c r="BY816" s="118"/>
      <c r="BZ816" s="118"/>
      <c r="CA816" s="118"/>
      <c r="CB816" s="118"/>
      <c r="CC816" s="118"/>
      <c r="CD816" s="118"/>
      <c r="CE816" s="118"/>
      <c r="CF816" s="118"/>
      <c r="CG816" s="118"/>
      <c r="CH816" s="118"/>
      <c r="CI816" s="118"/>
      <c r="CJ816" s="118"/>
      <c r="CK816" s="118"/>
      <c r="CL816" s="118"/>
      <c r="CM816" s="118"/>
      <c r="CN816" s="118"/>
      <c r="CO816" s="118"/>
      <c r="CP816" s="118"/>
      <c r="CQ816" s="118"/>
      <c r="CR816" s="118"/>
      <c r="CS816" s="118"/>
      <c r="CT816" s="118"/>
      <c r="CU816" s="118"/>
      <c r="CV816" s="118"/>
      <c r="CW816" s="118"/>
      <c r="CX816" s="118"/>
      <c r="CY816" s="118"/>
      <c r="CZ816" s="118"/>
      <c r="DA816" s="118"/>
      <c r="DB816" s="118"/>
      <c r="DC816" s="118"/>
      <c r="DD816" s="118"/>
      <c r="DE816" s="118"/>
      <c r="DF816" s="118"/>
      <c r="DG816" s="118"/>
      <c r="DH816" s="118"/>
      <c r="DI816" s="118"/>
      <c r="DJ816" s="118"/>
      <c r="DK816" s="118"/>
      <c r="DL816" s="118"/>
      <c r="DM816" s="118"/>
      <c r="DN816" s="118"/>
      <c r="DO816" s="118"/>
      <c r="DP816" s="118"/>
      <c r="DQ816" s="118"/>
      <c r="DR816" s="118"/>
      <c r="DS816" s="118"/>
      <c r="DT816" s="118"/>
      <c r="DU816" s="19"/>
      <c r="DV816" s="19"/>
      <c r="DW816" s="19"/>
      <c r="DX816" s="19"/>
      <c r="DY816" s="19"/>
      <c r="DZ816" s="19"/>
    </row>
    <row r="817" spans="1:130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18"/>
      <c r="BX817" s="118"/>
      <c r="BY817" s="118"/>
      <c r="BZ817" s="118"/>
      <c r="CA817" s="118"/>
      <c r="CB817" s="118"/>
      <c r="CC817" s="118"/>
      <c r="CD817" s="118"/>
      <c r="CE817" s="118"/>
      <c r="CF817" s="118"/>
      <c r="CG817" s="118"/>
      <c r="CH817" s="118"/>
      <c r="CI817" s="118"/>
      <c r="CJ817" s="118"/>
      <c r="CK817" s="118"/>
      <c r="CL817" s="118"/>
      <c r="CM817" s="118"/>
      <c r="CN817" s="118"/>
      <c r="CO817" s="118"/>
      <c r="CP817" s="118"/>
      <c r="CQ817" s="118"/>
      <c r="CR817" s="118"/>
      <c r="CS817" s="118"/>
      <c r="CT817" s="118"/>
      <c r="CU817" s="118"/>
      <c r="CV817" s="118"/>
      <c r="CW817" s="118"/>
      <c r="CX817" s="118"/>
      <c r="CY817" s="118"/>
      <c r="CZ817" s="118"/>
      <c r="DA817" s="118"/>
      <c r="DB817" s="118"/>
      <c r="DC817" s="118"/>
      <c r="DD817" s="118"/>
      <c r="DE817" s="118"/>
      <c r="DF817" s="118"/>
      <c r="DG817" s="118"/>
      <c r="DH817" s="118"/>
      <c r="DI817" s="118"/>
      <c r="DJ817" s="118"/>
      <c r="DK817" s="118"/>
      <c r="DL817" s="118"/>
      <c r="DM817" s="118"/>
      <c r="DN817" s="118"/>
      <c r="DO817" s="118"/>
      <c r="DP817" s="118"/>
      <c r="DQ817" s="118"/>
      <c r="DR817" s="118"/>
      <c r="DS817" s="118"/>
      <c r="DT817" s="118"/>
      <c r="DU817" s="19"/>
      <c r="DV817" s="19"/>
      <c r="DW817" s="19"/>
      <c r="DX817" s="19"/>
      <c r="DY817" s="19"/>
      <c r="DZ817" s="19"/>
    </row>
    <row r="818" spans="1:130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18"/>
      <c r="BX818" s="118"/>
      <c r="BY818" s="118"/>
      <c r="BZ818" s="118"/>
      <c r="CA818" s="118"/>
      <c r="CB818" s="118"/>
      <c r="CC818" s="118"/>
      <c r="CD818" s="118"/>
      <c r="CE818" s="118"/>
      <c r="CF818" s="118"/>
      <c r="CG818" s="118"/>
      <c r="CH818" s="118"/>
      <c r="CI818" s="118"/>
      <c r="CJ818" s="118"/>
      <c r="CK818" s="118"/>
      <c r="CL818" s="118"/>
      <c r="CM818" s="118"/>
      <c r="CN818" s="118"/>
      <c r="CO818" s="118"/>
      <c r="CP818" s="118"/>
      <c r="CQ818" s="118"/>
      <c r="CR818" s="118"/>
      <c r="CS818" s="118"/>
      <c r="CT818" s="118"/>
      <c r="CU818" s="118"/>
      <c r="CV818" s="118"/>
      <c r="CW818" s="118"/>
      <c r="CX818" s="118"/>
      <c r="CY818" s="118"/>
      <c r="CZ818" s="118"/>
      <c r="DA818" s="118"/>
      <c r="DB818" s="118"/>
      <c r="DC818" s="118"/>
      <c r="DD818" s="118"/>
      <c r="DE818" s="118"/>
      <c r="DF818" s="118"/>
      <c r="DG818" s="118"/>
      <c r="DH818" s="118"/>
      <c r="DI818" s="118"/>
      <c r="DJ818" s="118"/>
      <c r="DK818" s="118"/>
      <c r="DL818" s="118"/>
      <c r="DM818" s="118"/>
      <c r="DN818" s="118"/>
      <c r="DO818" s="118"/>
      <c r="DP818" s="118"/>
      <c r="DQ818" s="118"/>
      <c r="DR818" s="118"/>
      <c r="DS818" s="118"/>
      <c r="DT818" s="118"/>
      <c r="DU818" s="19"/>
      <c r="DV818" s="19"/>
      <c r="DW818" s="19"/>
      <c r="DX818" s="19"/>
      <c r="DY818" s="19"/>
      <c r="DZ818" s="19"/>
    </row>
    <row r="819" spans="1:130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18"/>
      <c r="BX819" s="118"/>
      <c r="BY819" s="118"/>
      <c r="BZ819" s="118"/>
      <c r="CA819" s="118"/>
      <c r="CB819" s="118"/>
      <c r="CC819" s="118"/>
      <c r="CD819" s="118"/>
      <c r="CE819" s="118"/>
      <c r="CF819" s="118"/>
      <c r="CG819" s="118"/>
      <c r="CH819" s="118"/>
      <c r="CI819" s="118"/>
      <c r="CJ819" s="118"/>
      <c r="CK819" s="118"/>
      <c r="CL819" s="118"/>
      <c r="CM819" s="118"/>
      <c r="CN819" s="118"/>
      <c r="CO819" s="118"/>
      <c r="CP819" s="118"/>
      <c r="CQ819" s="118"/>
      <c r="CR819" s="118"/>
      <c r="CS819" s="118"/>
      <c r="CT819" s="118"/>
      <c r="CU819" s="118"/>
      <c r="CV819" s="118"/>
      <c r="CW819" s="118"/>
      <c r="CX819" s="118"/>
      <c r="CY819" s="118"/>
      <c r="CZ819" s="118"/>
      <c r="DA819" s="118"/>
      <c r="DB819" s="118"/>
      <c r="DC819" s="118"/>
      <c r="DD819" s="118"/>
      <c r="DE819" s="118"/>
      <c r="DF819" s="118"/>
      <c r="DG819" s="118"/>
      <c r="DH819" s="118"/>
      <c r="DI819" s="118"/>
      <c r="DJ819" s="118"/>
      <c r="DK819" s="118"/>
      <c r="DL819" s="118"/>
      <c r="DM819" s="118"/>
      <c r="DN819" s="118"/>
      <c r="DO819" s="118"/>
      <c r="DP819" s="118"/>
      <c r="DQ819" s="118"/>
      <c r="DR819" s="118"/>
      <c r="DS819" s="118"/>
      <c r="DT819" s="118"/>
      <c r="DU819" s="19"/>
      <c r="DV819" s="19"/>
      <c r="DW819" s="19"/>
      <c r="DX819" s="19"/>
      <c r="DY819" s="19"/>
      <c r="DZ819" s="19"/>
    </row>
    <row r="820" spans="1:130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18"/>
      <c r="BX820" s="118"/>
      <c r="BY820" s="118"/>
      <c r="BZ820" s="118"/>
      <c r="CA820" s="118"/>
      <c r="CB820" s="118"/>
      <c r="CC820" s="118"/>
      <c r="CD820" s="118"/>
      <c r="CE820" s="118"/>
      <c r="CF820" s="118"/>
      <c r="CG820" s="118"/>
      <c r="CH820" s="118"/>
      <c r="CI820" s="118"/>
      <c r="CJ820" s="118"/>
      <c r="CK820" s="118"/>
      <c r="CL820" s="118"/>
      <c r="CM820" s="118"/>
      <c r="CN820" s="118"/>
      <c r="CO820" s="118"/>
      <c r="CP820" s="118"/>
      <c r="CQ820" s="118"/>
      <c r="CR820" s="118"/>
      <c r="CS820" s="118"/>
      <c r="CT820" s="118"/>
      <c r="CU820" s="118"/>
      <c r="CV820" s="118"/>
      <c r="CW820" s="118"/>
      <c r="CX820" s="118"/>
      <c r="CY820" s="118"/>
      <c r="CZ820" s="118"/>
      <c r="DA820" s="118"/>
      <c r="DB820" s="118"/>
      <c r="DC820" s="118"/>
      <c r="DD820" s="118"/>
      <c r="DE820" s="118"/>
      <c r="DF820" s="118"/>
      <c r="DG820" s="118"/>
      <c r="DH820" s="118"/>
      <c r="DI820" s="118"/>
      <c r="DJ820" s="118"/>
      <c r="DK820" s="118"/>
      <c r="DL820" s="118"/>
      <c r="DM820" s="118"/>
      <c r="DN820" s="118"/>
      <c r="DO820" s="118"/>
      <c r="DP820" s="118"/>
      <c r="DQ820" s="118"/>
      <c r="DR820" s="118"/>
      <c r="DS820" s="118"/>
      <c r="DT820" s="118"/>
      <c r="DU820" s="19"/>
      <c r="DV820" s="19"/>
      <c r="DW820" s="19"/>
      <c r="DX820" s="19"/>
      <c r="DY820" s="19"/>
      <c r="DZ820" s="19"/>
    </row>
    <row r="821" spans="1:130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18"/>
      <c r="BX821" s="118"/>
      <c r="BY821" s="118"/>
      <c r="BZ821" s="118"/>
      <c r="CA821" s="118"/>
      <c r="CB821" s="118"/>
      <c r="CC821" s="118"/>
      <c r="CD821" s="118"/>
      <c r="CE821" s="118"/>
      <c r="CF821" s="118"/>
      <c r="CG821" s="118"/>
      <c r="CH821" s="118"/>
      <c r="CI821" s="118"/>
      <c r="CJ821" s="118"/>
      <c r="CK821" s="118"/>
      <c r="CL821" s="118"/>
      <c r="CM821" s="118"/>
      <c r="CN821" s="118"/>
      <c r="CO821" s="118"/>
      <c r="CP821" s="118"/>
      <c r="CQ821" s="118"/>
      <c r="CR821" s="118"/>
      <c r="CS821" s="118"/>
      <c r="CT821" s="118"/>
      <c r="CU821" s="118"/>
      <c r="CV821" s="118"/>
      <c r="CW821" s="118"/>
      <c r="CX821" s="118"/>
      <c r="CY821" s="118"/>
      <c r="CZ821" s="118"/>
      <c r="DA821" s="118"/>
      <c r="DB821" s="118"/>
      <c r="DC821" s="118"/>
      <c r="DD821" s="118"/>
      <c r="DE821" s="118"/>
      <c r="DF821" s="118"/>
      <c r="DG821" s="118"/>
      <c r="DH821" s="118"/>
      <c r="DI821" s="118"/>
      <c r="DJ821" s="118"/>
      <c r="DK821" s="118"/>
      <c r="DL821" s="118"/>
      <c r="DM821" s="118"/>
      <c r="DN821" s="118"/>
      <c r="DO821" s="118"/>
      <c r="DP821" s="118"/>
      <c r="DQ821" s="118"/>
      <c r="DR821" s="118"/>
      <c r="DS821" s="118"/>
      <c r="DT821" s="118"/>
      <c r="DU821" s="19"/>
      <c r="DV821" s="19"/>
      <c r="DW821" s="19"/>
      <c r="DX821" s="19"/>
      <c r="DY821" s="19"/>
      <c r="DZ821" s="19"/>
    </row>
    <row r="822" spans="1:130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18"/>
      <c r="BX822" s="118"/>
      <c r="BY822" s="118"/>
      <c r="BZ822" s="118"/>
      <c r="CA822" s="118"/>
      <c r="CB822" s="118"/>
      <c r="CC822" s="118"/>
      <c r="CD822" s="118"/>
      <c r="CE822" s="118"/>
      <c r="CF822" s="118"/>
      <c r="CG822" s="118"/>
      <c r="CH822" s="118"/>
      <c r="CI822" s="118"/>
      <c r="CJ822" s="118"/>
      <c r="CK822" s="118"/>
      <c r="CL822" s="118"/>
      <c r="CM822" s="118"/>
      <c r="CN822" s="118"/>
      <c r="CO822" s="118"/>
      <c r="CP822" s="118"/>
      <c r="CQ822" s="118"/>
      <c r="CR822" s="118"/>
      <c r="CS822" s="118"/>
      <c r="CT822" s="118"/>
      <c r="CU822" s="118"/>
      <c r="CV822" s="118"/>
      <c r="CW822" s="118"/>
      <c r="CX822" s="118"/>
      <c r="CY822" s="118"/>
      <c r="CZ822" s="118"/>
      <c r="DA822" s="118"/>
      <c r="DB822" s="118"/>
      <c r="DC822" s="118"/>
      <c r="DD822" s="118"/>
      <c r="DE822" s="118"/>
      <c r="DF822" s="118"/>
      <c r="DG822" s="118"/>
      <c r="DH822" s="118"/>
      <c r="DI822" s="118"/>
      <c r="DJ822" s="118"/>
      <c r="DK822" s="118"/>
      <c r="DL822" s="118"/>
      <c r="DM822" s="118"/>
      <c r="DN822" s="118"/>
      <c r="DO822" s="118"/>
      <c r="DP822" s="118"/>
      <c r="DQ822" s="118"/>
      <c r="DR822" s="118"/>
      <c r="DS822" s="118"/>
      <c r="DT822" s="118"/>
      <c r="DU822" s="19"/>
      <c r="DV822" s="19"/>
      <c r="DW822" s="19"/>
      <c r="DX822" s="19"/>
      <c r="DY822" s="19"/>
      <c r="DZ822" s="19"/>
    </row>
    <row r="823" spans="1:130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18"/>
      <c r="BX823" s="118"/>
      <c r="BY823" s="118"/>
      <c r="BZ823" s="118"/>
      <c r="CA823" s="118"/>
      <c r="CB823" s="118"/>
      <c r="CC823" s="118"/>
      <c r="CD823" s="118"/>
      <c r="CE823" s="118"/>
      <c r="CF823" s="118"/>
      <c r="CG823" s="118"/>
      <c r="CH823" s="118"/>
      <c r="CI823" s="118"/>
      <c r="CJ823" s="118"/>
      <c r="CK823" s="118"/>
      <c r="CL823" s="118"/>
      <c r="CM823" s="118"/>
      <c r="CN823" s="118"/>
      <c r="CO823" s="118"/>
      <c r="CP823" s="118"/>
      <c r="CQ823" s="118"/>
      <c r="CR823" s="118"/>
      <c r="CS823" s="118"/>
      <c r="CT823" s="118"/>
      <c r="CU823" s="118"/>
      <c r="CV823" s="118"/>
      <c r="CW823" s="118"/>
      <c r="CX823" s="118"/>
      <c r="CY823" s="118"/>
      <c r="CZ823" s="118"/>
      <c r="DA823" s="118"/>
      <c r="DB823" s="118"/>
      <c r="DC823" s="118"/>
      <c r="DD823" s="118"/>
      <c r="DE823" s="118"/>
      <c r="DF823" s="118"/>
      <c r="DG823" s="118"/>
      <c r="DH823" s="118"/>
      <c r="DI823" s="118"/>
      <c r="DJ823" s="118"/>
      <c r="DK823" s="118"/>
      <c r="DL823" s="118"/>
      <c r="DM823" s="118"/>
      <c r="DN823" s="118"/>
      <c r="DO823" s="118"/>
      <c r="DP823" s="118"/>
      <c r="DQ823" s="118"/>
      <c r="DR823" s="118"/>
      <c r="DS823" s="118"/>
      <c r="DT823" s="118"/>
      <c r="DU823" s="19"/>
      <c r="DV823" s="19"/>
      <c r="DW823" s="19"/>
      <c r="DX823" s="19"/>
      <c r="DY823" s="19"/>
      <c r="DZ823" s="19"/>
    </row>
    <row r="824" spans="1:130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18"/>
      <c r="BX824" s="118"/>
      <c r="BY824" s="118"/>
      <c r="BZ824" s="118"/>
      <c r="CA824" s="118"/>
      <c r="CB824" s="118"/>
      <c r="CC824" s="118"/>
      <c r="CD824" s="118"/>
      <c r="CE824" s="118"/>
      <c r="CF824" s="118"/>
      <c r="CG824" s="118"/>
      <c r="CH824" s="118"/>
      <c r="CI824" s="118"/>
      <c r="CJ824" s="118"/>
      <c r="CK824" s="118"/>
      <c r="CL824" s="118"/>
      <c r="CM824" s="118"/>
      <c r="CN824" s="118"/>
      <c r="CO824" s="118"/>
      <c r="CP824" s="118"/>
      <c r="CQ824" s="118"/>
      <c r="CR824" s="118"/>
      <c r="CS824" s="118"/>
      <c r="CT824" s="118"/>
      <c r="CU824" s="118"/>
      <c r="CV824" s="118"/>
      <c r="CW824" s="118"/>
      <c r="CX824" s="118"/>
      <c r="CY824" s="118"/>
      <c r="CZ824" s="118"/>
      <c r="DA824" s="118"/>
      <c r="DB824" s="118"/>
      <c r="DC824" s="118"/>
      <c r="DD824" s="118"/>
      <c r="DE824" s="118"/>
      <c r="DF824" s="118"/>
      <c r="DG824" s="118"/>
      <c r="DH824" s="118"/>
      <c r="DI824" s="118"/>
      <c r="DJ824" s="118"/>
      <c r="DK824" s="118"/>
      <c r="DL824" s="118"/>
      <c r="DM824" s="118"/>
      <c r="DN824" s="118"/>
      <c r="DO824" s="118"/>
      <c r="DP824" s="118"/>
      <c r="DQ824" s="118"/>
      <c r="DR824" s="118"/>
      <c r="DS824" s="118"/>
      <c r="DT824" s="118"/>
      <c r="DU824" s="19"/>
      <c r="DV824" s="19"/>
      <c r="DW824" s="19"/>
      <c r="DX824" s="19"/>
      <c r="DY824" s="19"/>
      <c r="DZ824" s="19"/>
    </row>
    <row r="825" spans="1:130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18"/>
      <c r="BX825" s="118"/>
      <c r="BY825" s="118"/>
      <c r="BZ825" s="118"/>
      <c r="CA825" s="118"/>
      <c r="CB825" s="118"/>
      <c r="CC825" s="118"/>
      <c r="CD825" s="118"/>
      <c r="CE825" s="118"/>
      <c r="CF825" s="118"/>
      <c r="CG825" s="118"/>
      <c r="CH825" s="118"/>
      <c r="CI825" s="118"/>
      <c r="CJ825" s="118"/>
      <c r="CK825" s="118"/>
      <c r="CL825" s="118"/>
      <c r="CM825" s="118"/>
      <c r="CN825" s="118"/>
      <c r="CO825" s="118"/>
      <c r="CP825" s="118"/>
      <c r="CQ825" s="118"/>
      <c r="CR825" s="118"/>
      <c r="CS825" s="118"/>
      <c r="CT825" s="118"/>
      <c r="CU825" s="118"/>
      <c r="CV825" s="118"/>
      <c r="CW825" s="118"/>
      <c r="CX825" s="118"/>
      <c r="CY825" s="118"/>
      <c r="CZ825" s="118"/>
      <c r="DA825" s="118"/>
      <c r="DB825" s="118"/>
      <c r="DC825" s="118"/>
      <c r="DD825" s="118"/>
      <c r="DE825" s="118"/>
      <c r="DF825" s="118"/>
      <c r="DG825" s="118"/>
      <c r="DH825" s="118"/>
      <c r="DI825" s="118"/>
      <c r="DJ825" s="118"/>
      <c r="DK825" s="118"/>
      <c r="DL825" s="118"/>
      <c r="DM825" s="118"/>
      <c r="DN825" s="118"/>
      <c r="DO825" s="118"/>
      <c r="DP825" s="118"/>
      <c r="DQ825" s="118"/>
      <c r="DR825" s="118"/>
      <c r="DS825" s="118"/>
      <c r="DT825" s="118"/>
      <c r="DU825" s="19"/>
      <c r="DV825" s="19"/>
      <c r="DW825" s="19"/>
      <c r="DX825" s="19"/>
      <c r="DY825" s="19"/>
      <c r="DZ825" s="19"/>
    </row>
    <row r="826" spans="1:130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18"/>
      <c r="BX826" s="118"/>
      <c r="BY826" s="118"/>
      <c r="BZ826" s="118"/>
      <c r="CA826" s="118"/>
      <c r="CB826" s="118"/>
      <c r="CC826" s="118"/>
      <c r="CD826" s="118"/>
      <c r="CE826" s="118"/>
      <c r="CF826" s="118"/>
      <c r="CG826" s="118"/>
      <c r="CH826" s="118"/>
      <c r="CI826" s="118"/>
      <c r="CJ826" s="118"/>
      <c r="CK826" s="118"/>
      <c r="CL826" s="118"/>
      <c r="CM826" s="118"/>
      <c r="CN826" s="118"/>
      <c r="CO826" s="118"/>
      <c r="CP826" s="118"/>
      <c r="CQ826" s="118"/>
      <c r="CR826" s="118"/>
      <c r="CS826" s="118"/>
      <c r="CT826" s="118"/>
      <c r="CU826" s="118"/>
      <c r="CV826" s="118"/>
      <c r="CW826" s="118"/>
      <c r="CX826" s="118"/>
      <c r="CY826" s="118"/>
      <c r="CZ826" s="118"/>
      <c r="DA826" s="118"/>
      <c r="DB826" s="118"/>
      <c r="DC826" s="118"/>
      <c r="DD826" s="118"/>
      <c r="DE826" s="118"/>
      <c r="DF826" s="118"/>
      <c r="DG826" s="118"/>
      <c r="DH826" s="118"/>
      <c r="DI826" s="118"/>
      <c r="DJ826" s="118"/>
      <c r="DK826" s="118"/>
      <c r="DL826" s="118"/>
      <c r="DM826" s="118"/>
      <c r="DN826" s="118"/>
      <c r="DO826" s="118"/>
      <c r="DP826" s="118"/>
      <c r="DQ826" s="118"/>
      <c r="DR826" s="118"/>
      <c r="DS826" s="118"/>
      <c r="DT826" s="118"/>
      <c r="DU826" s="19"/>
      <c r="DV826" s="19"/>
      <c r="DW826" s="19"/>
      <c r="DX826" s="19"/>
      <c r="DY826" s="19"/>
      <c r="DZ826" s="19"/>
    </row>
    <row r="827" spans="1:130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18"/>
      <c r="BX827" s="118"/>
      <c r="BY827" s="118"/>
      <c r="BZ827" s="118"/>
      <c r="CA827" s="118"/>
      <c r="CB827" s="118"/>
      <c r="CC827" s="118"/>
      <c r="CD827" s="118"/>
      <c r="CE827" s="118"/>
      <c r="CF827" s="118"/>
      <c r="CG827" s="118"/>
      <c r="CH827" s="118"/>
      <c r="CI827" s="118"/>
      <c r="CJ827" s="118"/>
      <c r="CK827" s="118"/>
      <c r="CL827" s="118"/>
      <c r="CM827" s="118"/>
      <c r="CN827" s="118"/>
      <c r="CO827" s="118"/>
      <c r="CP827" s="118"/>
      <c r="CQ827" s="118"/>
      <c r="CR827" s="118"/>
      <c r="CS827" s="118"/>
      <c r="CT827" s="118"/>
      <c r="CU827" s="118"/>
      <c r="CV827" s="118"/>
      <c r="CW827" s="118"/>
      <c r="CX827" s="118"/>
      <c r="CY827" s="118"/>
      <c r="CZ827" s="118"/>
      <c r="DA827" s="118"/>
      <c r="DB827" s="118"/>
      <c r="DC827" s="118"/>
      <c r="DD827" s="118"/>
      <c r="DE827" s="118"/>
      <c r="DF827" s="118"/>
      <c r="DG827" s="118"/>
      <c r="DH827" s="118"/>
      <c r="DI827" s="118"/>
      <c r="DJ827" s="118"/>
      <c r="DK827" s="118"/>
      <c r="DL827" s="118"/>
      <c r="DM827" s="118"/>
      <c r="DN827" s="118"/>
      <c r="DO827" s="118"/>
      <c r="DP827" s="118"/>
      <c r="DQ827" s="118"/>
      <c r="DR827" s="118"/>
      <c r="DS827" s="118"/>
      <c r="DT827" s="118"/>
      <c r="DU827" s="19"/>
      <c r="DV827" s="19"/>
      <c r="DW827" s="19"/>
      <c r="DX827" s="19"/>
      <c r="DY827" s="19"/>
      <c r="DZ827" s="19"/>
    </row>
    <row r="828" spans="1:130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18"/>
      <c r="BX828" s="118"/>
      <c r="BY828" s="118"/>
      <c r="BZ828" s="118"/>
      <c r="CA828" s="118"/>
      <c r="CB828" s="118"/>
      <c r="CC828" s="118"/>
      <c r="CD828" s="118"/>
      <c r="CE828" s="118"/>
      <c r="CF828" s="118"/>
      <c r="CG828" s="118"/>
      <c r="CH828" s="118"/>
      <c r="CI828" s="118"/>
      <c r="CJ828" s="118"/>
      <c r="CK828" s="118"/>
      <c r="CL828" s="118"/>
      <c r="CM828" s="118"/>
      <c r="CN828" s="118"/>
      <c r="CO828" s="118"/>
      <c r="CP828" s="118"/>
      <c r="CQ828" s="118"/>
      <c r="CR828" s="118"/>
      <c r="CS828" s="118"/>
      <c r="CT828" s="118"/>
      <c r="CU828" s="118"/>
      <c r="CV828" s="118"/>
      <c r="CW828" s="118"/>
      <c r="CX828" s="118"/>
      <c r="CY828" s="118"/>
      <c r="CZ828" s="118"/>
      <c r="DA828" s="118"/>
      <c r="DB828" s="118"/>
      <c r="DC828" s="118"/>
      <c r="DD828" s="118"/>
      <c r="DE828" s="118"/>
      <c r="DF828" s="118"/>
      <c r="DG828" s="118"/>
      <c r="DH828" s="118"/>
      <c r="DI828" s="118"/>
      <c r="DJ828" s="118"/>
      <c r="DK828" s="118"/>
      <c r="DL828" s="118"/>
      <c r="DM828" s="118"/>
      <c r="DN828" s="118"/>
      <c r="DO828" s="118"/>
      <c r="DP828" s="118"/>
      <c r="DQ828" s="118"/>
      <c r="DR828" s="118"/>
      <c r="DS828" s="118"/>
      <c r="DT828" s="118"/>
      <c r="DU828" s="19"/>
      <c r="DV828" s="19"/>
      <c r="DW828" s="19"/>
      <c r="DX828" s="19"/>
      <c r="DY828" s="19"/>
      <c r="DZ828" s="19"/>
    </row>
    <row r="829" spans="1:130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18"/>
      <c r="BX829" s="118"/>
      <c r="BY829" s="118"/>
      <c r="BZ829" s="118"/>
      <c r="CA829" s="118"/>
      <c r="CB829" s="118"/>
      <c r="CC829" s="118"/>
      <c r="CD829" s="118"/>
      <c r="CE829" s="118"/>
      <c r="CF829" s="118"/>
      <c r="CG829" s="118"/>
      <c r="CH829" s="118"/>
      <c r="CI829" s="118"/>
      <c r="CJ829" s="118"/>
      <c r="CK829" s="118"/>
      <c r="CL829" s="118"/>
      <c r="CM829" s="118"/>
      <c r="CN829" s="118"/>
      <c r="CO829" s="118"/>
      <c r="CP829" s="118"/>
      <c r="CQ829" s="118"/>
      <c r="CR829" s="118"/>
      <c r="CS829" s="118"/>
      <c r="CT829" s="118"/>
      <c r="CU829" s="118"/>
      <c r="CV829" s="118"/>
      <c r="CW829" s="118"/>
      <c r="CX829" s="118"/>
      <c r="CY829" s="118"/>
      <c r="CZ829" s="118"/>
      <c r="DA829" s="118"/>
      <c r="DB829" s="118"/>
      <c r="DC829" s="118"/>
      <c r="DD829" s="118"/>
      <c r="DE829" s="118"/>
      <c r="DF829" s="118"/>
      <c r="DG829" s="118"/>
      <c r="DH829" s="118"/>
      <c r="DI829" s="118"/>
      <c r="DJ829" s="118"/>
      <c r="DK829" s="118"/>
      <c r="DL829" s="118"/>
      <c r="DM829" s="118"/>
      <c r="DN829" s="118"/>
      <c r="DO829" s="118"/>
      <c r="DP829" s="118"/>
      <c r="DQ829" s="118"/>
      <c r="DR829" s="118"/>
      <c r="DS829" s="118"/>
      <c r="DT829" s="118"/>
      <c r="DU829" s="19"/>
      <c r="DV829" s="19"/>
      <c r="DW829" s="19"/>
      <c r="DX829" s="19"/>
      <c r="DY829" s="19"/>
      <c r="DZ829" s="19"/>
    </row>
    <row r="830" spans="1:130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18"/>
      <c r="BX830" s="118"/>
      <c r="BY830" s="118"/>
      <c r="BZ830" s="118"/>
      <c r="CA830" s="118"/>
      <c r="CB830" s="118"/>
      <c r="CC830" s="118"/>
      <c r="CD830" s="118"/>
      <c r="CE830" s="118"/>
      <c r="CF830" s="118"/>
      <c r="CG830" s="118"/>
      <c r="CH830" s="118"/>
      <c r="CI830" s="118"/>
      <c r="CJ830" s="118"/>
      <c r="CK830" s="118"/>
      <c r="CL830" s="118"/>
      <c r="CM830" s="118"/>
      <c r="CN830" s="118"/>
      <c r="CO830" s="118"/>
      <c r="CP830" s="118"/>
      <c r="CQ830" s="118"/>
      <c r="CR830" s="118"/>
      <c r="CS830" s="118"/>
      <c r="CT830" s="118"/>
      <c r="CU830" s="118"/>
      <c r="CV830" s="118"/>
      <c r="CW830" s="118"/>
      <c r="CX830" s="118"/>
      <c r="CY830" s="118"/>
      <c r="CZ830" s="118"/>
      <c r="DA830" s="118"/>
      <c r="DB830" s="118"/>
      <c r="DC830" s="118"/>
      <c r="DD830" s="118"/>
      <c r="DE830" s="118"/>
      <c r="DF830" s="118"/>
      <c r="DG830" s="118"/>
      <c r="DH830" s="118"/>
      <c r="DI830" s="118"/>
      <c r="DJ830" s="118"/>
      <c r="DK830" s="118"/>
      <c r="DL830" s="118"/>
      <c r="DM830" s="118"/>
      <c r="DN830" s="118"/>
      <c r="DO830" s="118"/>
      <c r="DP830" s="118"/>
      <c r="DQ830" s="118"/>
      <c r="DR830" s="118"/>
      <c r="DS830" s="118"/>
      <c r="DT830" s="118"/>
      <c r="DU830" s="19"/>
      <c r="DV830" s="19"/>
      <c r="DW830" s="19"/>
      <c r="DX830" s="19"/>
      <c r="DY830" s="19"/>
      <c r="DZ830" s="19"/>
    </row>
    <row r="831" spans="1:130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18"/>
      <c r="BX831" s="118"/>
      <c r="BY831" s="118"/>
      <c r="BZ831" s="118"/>
      <c r="CA831" s="118"/>
      <c r="CB831" s="118"/>
      <c r="CC831" s="118"/>
      <c r="CD831" s="118"/>
      <c r="CE831" s="118"/>
      <c r="CF831" s="118"/>
      <c r="CG831" s="118"/>
      <c r="CH831" s="118"/>
      <c r="CI831" s="118"/>
      <c r="CJ831" s="118"/>
      <c r="CK831" s="118"/>
      <c r="CL831" s="118"/>
      <c r="CM831" s="118"/>
      <c r="CN831" s="118"/>
      <c r="CO831" s="118"/>
      <c r="CP831" s="118"/>
      <c r="CQ831" s="118"/>
      <c r="CR831" s="118"/>
      <c r="CS831" s="118"/>
      <c r="CT831" s="118"/>
      <c r="CU831" s="118"/>
      <c r="CV831" s="118"/>
      <c r="CW831" s="118"/>
      <c r="CX831" s="118"/>
      <c r="CY831" s="118"/>
      <c r="CZ831" s="118"/>
      <c r="DA831" s="118"/>
      <c r="DB831" s="118"/>
      <c r="DC831" s="118"/>
      <c r="DD831" s="118"/>
      <c r="DE831" s="118"/>
      <c r="DF831" s="118"/>
      <c r="DG831" s="118"/>
      <c r="DH831" s="118"/>
      <c r="DI831" s="118"/>
      <c r="DJ831" s="118"/>
      <c r="DK831" s="118"/>
      <c r="DL831" s="118"/>
      <c r="DM831" s="118"/>
      <c r="DN831" s="118"/>
      <c r="DO831" s="118"/>
      <c r="DP831" s="118"/>
      <c r="DQ831" s="118"/>
      <c r="DR831" s="118"/>
      <c r="DS831" s="118"/>
      <c r="DT831" s="118"/>
      <c r="DU831" s="19"/>
      <c r="DV831" s="19"/>
      <c r="DW831" s="19"/>
      <c r="DX831" s="19"/>
      <c r="DY831" s="19"/>
      <c r="DZ831" s="19"/>
    </row>
    <row r="832" spans="1:130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18"/>
      <c r="BX832" s="118"/>
      <c r="BY832" s="118"/>
      <c r="BZ832" s="118"/>
      <c r="CA832" s="118"/>
      <c r="CB832" s="118"/>
      <c r="CC832" s="118"/>
      <c r="CD832" s="118"/>
      <c r="CE832" s="118"/>
      <c r="CF832" s="118"/>
      <c r="CG832" s="118"/>
      <c r="CH832" s="118"/>
      <c r="CI832" s="118"/>
      <c r="CJ832" s="118"/>
      <c r="CK832" s="118"/>
      <c r="CL832" s="118"/>
      <c r="CM832" s="118"/>
      <c r="CN832" s="118"/>
      <c r="CO832" s="118"/>
      <c r="CP832" s="118"/>
      <c r="CQ832" s="118"/>
      <c r="CR832" s="118"/>
      <c r="CS832" s="118"/>
      <c r="CT832" s="118"/>
      <c r="CU832" s="118"/>
      <c r="CV832" s="118"/>
      <c r="CW832" s="118"/>
      <c r="CX832" s="118"/>
      <c r="CY832" s="118"/>
      <c r="CZ832" s="118"/>
      <c r="DA832" s="118"/>
      <c r="DB832" s="118"/>
      <c r="DC832" s="118"/>
      <c r="DD832" s="118"/>
      <c r="DE832" s="118"/>
      <c r="DF832" s="118"/>
      <c r="DG832" s="118"/>
      <c r="DH832" s="118"/>
      <c r="DI832" s="118"/>
      <c r="DJ832" s="118"/>
      <c r="DK832" s="118"/>
      <c r="DL832" s="118"/>
      <c r="DM832" s="118"/>
      <c r="DN832" s="118"/>
      <c r="DO832" s="118"/>
      <c r="DP832" s="118"/>
      <c r="DQ832" s="118"/>
      <c r="DR832" s="118"/>
      <c r="DS832" s="118"/>
      <c r="DT832" s="118"/>
      <c r="DU832" s="19"/>
      <c r="DV832" s="19"/>
      <c r="DW832" s="19"/>
      <c r="DX832" s="19"/>
      <c r="DY832" s="19"/>
      <c r="DZ832" s="19"/>
    </row>
    <row r="833" spans="1:130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18"/>
      <c r="BX833" s="118"/>
      <c r="BY833" s="118"/>
      <c r="BZ833" s="118"/>
      <c r="CA833" s="118"/>
      <c r="CB833" s="118"/>
      <c r="CC833" s="118"/>
      <c r="CD833" s="118"/>
      <c r="CE833" s="118"/>
      <c r="CF833" s="118"/>
      <c r="CG833" s="118"/>
      <c r="CH833" s="118"/>
      <c r="CI833" s="118"/>
      <c r="CJ833" s="118"/>
      <c r="CK833" s="118"/>
      <c r="CL833" s="118"/>
      <c r="CM833" s="118"/>
      <c r="CN833" s="118"/>
      <c r="CO833" s="118"/>
      <c r="CP833" s="118"/>
      <c r="CQ833" s="118"/>
      <c r="CR833" s="118"/>
      <c r="CS833" s="118"/>
      <c r="CT833" s="118"/>
      <c r="CU833" s="118"/>
      <c r="CV833" s="118"/>
      <c r="CW833" s="118"/>
      <c r="CX833" s="118"/>
      <c r="CY833" s="118"/>
      <c r="CZ833" s="118"/>
      <c r="DA833" s="118"/>
      <c r="DB833" s="118"/>
      <c r="DC833" s="118"/>
      <c r="DD833" s="118"/>
      <c r="DE833" s="118"/>
      <c r="DF833" s="118"/>
      <c r="DG833" s="118"/>
      <c r="DH833" s="118"/>
      <c r="DI833" s="118"/>
      <c r="DJ833" s="118"/>
      <c r="DK833" s="118"/>
      <c r="DL833" s="118"/>
      <c r="DM833" s="118"/>
      <c r="DN833" s="118"/>
      <c r="DO833" s="118"/>
      <c r="DP833" s="118"/>
      <c r="DQ833" s="118"/>
      <c r="DR833" s="118"/>
      <c r="DS833" s="118"/>
      <c r="DT833" s="118"/>
      <c r="DU833" s="19"/>
      <c r="DV833" s="19"/>
      <c r="DW833" s="19"/>
      <c r="DX833" s="19"/>
      <c r="DY833" s="19"/>
      <c r="DZ833" s="19"/>
    </row>
    <row r="834" spans="1:130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18"/>
      <c r="BX834" s="118"/>
      <c r="BY834" s="118"/>
      <c r="BZ834" s="118"/>
      <c r="CA834" s="118"/>
      <c r="CB834" s="118"/>
      <c r="CC834" s="118"/>
      <c r="CD834" s="118"/>
      <c r="CE834" s="118"/>
      <c r="CF834" s="118"/>
      <c r="CG834" s="118"/>
      <c r="CH834" s="118"/>
      <c r="CI834" s="118"/>
      <c r="CJ834" s="118"/>
      <c r="CK834" s="118"/>
      <c r="CL834" s="118"/>
      <c r="CM834" s="118"/>
      <c r="CN834" s="118"/>
      <c r="CO834" s="118"/>
      <c r="CP834" s="118"/>
      <c r="CQ834" s="118"/>
      <c r="CR834" s="118"/>
      <c r="CS834" s="118"/>
      <c r="CT834" s="118"/>
      <c r="CU834" s="118"/>
      <c r="CV834" s="118"/>
      <c r="CW834" s="118"/>
      <c r="CX834" s="118"/>
      <c r="CY834" s="118"/>
      <c r="CZ834" s="118"/>
      <c r="DA834" s="118"/>
      <c r="DB834" s="118"/>
      <c r="DC834" s="118"/>
      <c r="DD834" s="118"/>
      <c r="DE834" s="118"/>
      <c r="DF834" s="118"/>
      <c r="DG834" s="118"/>
      <c r="DH834" s="118"/>
      <c r="DI834" s="118"/>
      <c r="DJ834" s="118"/>
      <c r="DK834" s="118"/>
      <c r="DL834" s="118"/>
      <c r="DM834" s="118"/>
      <c r="DN834" s="118"/>
      <c r="DO834" s="118"/>
      <c r="DP834" s="118"/>
      <c r="DQ834" s="118"/>
      <c r="DR834" s="118"/>
      <c r="DS834" s="118"/>
      <c r="DT834" s="118"/>
      <c r="DU834" s="19"/>
      <c r="DV834" s="19"/>
      <c r="DW834" s="19"/>
      <c r="DX834" s="19"/>
      <c r="DY834" s="19"/>
      <c r="DZ834" s="19"/>
    </row>
    <row r="835" spans="1:130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18"/>
      <c r="BX835" s="118"/>
      <c r="BY835" s="118"/>
      <c r="BZ835" s="118"/>
      <c r="CA835" s="118"/>
      <c r="CB835" s="118"/>
      <c r="CC835" s="118"/>
      <c r="CD835" s="118"/>
      <c r="CE835" s="118"/>
      <c r="CF835" s="118"/>
      <c r="CG835" s="118"/>
      <c r="CH835" s="118"/>
      <c r="CI835" s="118"/>
      <c r="CJ835" s="118"/>
      <c r="CK835" s="118"/>
      <c r="CL835" s="118"/>
      <c r="CM835" s="118"/>
      <c r="CN835" s="118"/>
      <c r="CO835" s="118"/>
      <c r="CP835" s="118"/>
      <c r="CQ835" s="118"/>
      <c r="CR835" s="118"/>
      <c r="CS835" s="118"/>
      <c r="CT835" s="118"/>
      <c r="CU835" s="118"/>
      <c r="CV835" s="118"/>
      <c r="CW835" s="118"/>
      <c r="CX835" s="118"/>
      <c r="CY835" s="118"/>
      <c r="CZ835" s="118"/>
      <c r="DA835" s="118"/>
      <c r="DB835" s="118"/>
      <c r="DC835" s="118"/>
      <c r="DD835" s="118"/>
      <c r="DE835" s="118"/>
      <c r="DF835" s="118"/>
      <c r="DG835" s="118"/>
      <c r="DH835" s="118"/>
      <c r="DI835" s="118"/>
      <c r="DJ835" s="118"/>
      <c r="DK835" s="118"/>
      <c r="DL835" s="118"/>
      <c r="DM835" s="118"/>
      <c r="DN835" s="118"/>
      <c r="DO835" s="118"/>
      <c r="DP835" s="118"/>
      <c r="DQ835" s="118"/>
      <c r="DR835" s="118"/>
      <c r="DS835" s="118"/>
      <c r="DT835" s="118"/>
      <c r="DU835" s="19"/>
      <c r="DV835" s="19"/>
      <c r="DW835" s="19"/>
      <c r="DX835" s="19"/>
      <c r="DY835" s="19"/>
      <c r="DZ835" s="19"/>
    </row>
    <row r="836" spans="1:130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18"/>
      <c r="BX836" s="118"/>
      <c r="BY836" s="118"/>
      <c r="BZ836" s="118"/>
      <c r="CA836" s="118"/>
      <c r="CB836" s="118"/>
      <c r="CC836" s="118"/>
      <c r="CD836" s="118"/>
      <c r="CE836" s="118"/>
      <c r="CF836" s="118"/>
      <c r="CG836" s="118"/>
      <c r="CH836" s="118"/>
      <c r="CI836" s="118"/>
      <c r="CJ836" s="118"/>
      <c r="CK836" s="118"/>
      <c r="CL836" s="118"/>
      <c r="CM836" s="118"/>
      <c r="CN836" s="118"/>
      <c r="CO836" s="118"/>
      <c r="CP836" s="118"/>
      <c r="CQ836" s="118"/>
      <c r="CR836" s="118"/>
      <c r="CS836" s="118"/>
      <c r="CT836" s="118"/>
      <c r="CU836" s="118"/>
      <c r="CV836" s="118"/>
      <c r="CW836" s="118"/>
      <c r="CX836" s="118"/>
      <c r="CY836" s="118"/>
      <c r="CZ836" s="118"/>
      <c r="DA836" s="118"/>
      <c r="DB836" s="118"/>
      <c r="DC836" s="118"/>
      <c r="DD836" s="118"/>
      <c r="DE836" s="118"/>
      <c r="DF836" s="118"/>
      <c r="DG836" s="118"/>
      <c r="DH836" s="118"/>
      <c r="DI836" s="118"/>
      <c r="DJ836" s="118"/>
      <c r="DK836" s="118"/>
      <c r="DL836" s="118"/>
      <c r="DM836" s="118"/>
      <c r="DN836" s="118"/>
      <c r="DO836" s="118"/>
      <c r="DP836" s="118"/>
      <c r="DQ836" s="118"/>
      <c r="DR836" s="118"/>
      <c r="DS836" s="118"/>
      <c r="DT836" s="118"/>
      <c r="DU836" s="19"/>
      <c r="DV836" s="19"/>
      <c r="DW836" s="19"/>
      <c r="DX836" s="19"/>
      <c r="DY836" s="19"/>
      <c r="DZ836" s="19"/>
    </row>
    <row r="837" spans="1:130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18"/>
      <c r="BX837" s="118"/>
      <c r="BY837" s="118"/>
      <c r="BZ837" s="118"/>
      <c r="CA837" s="118"/>
      <c r="CB837" s="118"/>
      <c r="CC837" s="118"/>
      <c r="CD837" s="118"/>
      <c r="CE837" s="118"/>
      <c r="CF837" s="118"/>
      <c r="CG837" s="118"/>
      <c r="CH837" s="118"/>
      <c r="CI837" s="118"/>
      <c r="CJ837" s="118"/>
      <c r="CK837" s="118"/>
      <c r="CL837" s="118"/>
      <c r="CM837" s="118"/>
      <c r="CN837" s="118"/>
      <c r="CO837" s="118"/>
      <c r="CP837" s="118"/>
      <c r="CQ837" s="118"/>
      <c r="CR837" s="118"/>
      <c r="CS837" s="118"/>
      <c r="CT837" s="118"/>
      <c r="CU837" s="118"/>
      <c r="CV837" s="118"/>
      <c r="CW837" s="118"/>
      <c r="CX837" s="118"/>
      <c r="CY837" s="118"/>
      <c r="CZ837" s="118"/>
      <c r="DA837" s="118"/>
      <c r="DB837" s="118"/>
      <c r="DC837" s="118"/>
      <c r="DD837" s="118"/>
      <c r="DE837" s="118"/>
      <c r="DF837" s="118"/>
      <c r="DG837" s="118"/>
      <c r="DH837" s="118"/>
      <c r="DI837" s="118"/>
      <c r="DJ837" s="118"/>
      <c r="DK837" s="118"/>
      <c r="DL837" s="118"/>
      <c r="DM837" s="118"/>
      <c r="DN837" s="118"/>
      <c r="DO837" s="118"/>
      <c r="DP837" s="118"/>
      <c r="DQ837" s="118"/>
      <c r="DR837" s="118"/>
      <c r="DS837" s="118"/>
      <c r="DT837" s="118"/>
      <c r="DU837" s="19"/>
      <c r="DV837" s="19"/>
      <c r="DW837" s="19"/>
      <c r="DX837" s="19"/>
      <c r="DY837" s="19"/>
      <c r="DZ837" s="19"/>
    </row>
    <row r="838" spans="1:130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18"/>
      <c r="BX838" s="118"/>
      <c r="BY838" s="118"/>
      <c r="BZ838" s="118"/>
      <c r="CA838" s="118"/>
      <c r="CB838" s="118"/>
      <c r="CC838" s="118"/>
      <c r="CD838" s="118"/>
      <c r="CE838" s="118"/>
      <c r="CF838" s="118"/>
      <c r="CG838" s="118"/>
      <c r="CH838" s="118"/>
      <c r="CI838" s="118"/>
      <c r="CJ838" s="118"/>
      <c r="CK838" s="118"/>
      <c r="CL838" s="118"/>
      <c r="CM838" s="118"/>
      <c r="CN838" s="118"/>
      <c r="CO838" s="118"/>
      <c r="CP838" s="118"/>
      <c r="CQ838" s="118"/>
      <c r="CR838" s="118"/>
      <c r="CS838" s="118"/>
      <c r="CT838" s="118"/>
      <c r="CU838" s="118"/>
      <c r="CV838" s="118"/>
      <c r="CW838" s="118"/>
      <c r="CX838" s="118"/>
      <c r="CY838" s="118"/>
      <c r="CZ838" s="118"/>
      <c r="DA838" s="118"/>
      <c r="DB838" s="118"/>
      <c r="DC838" s="118"/>
      <c r="DD838" s="118"/>
      <c r="DE838" s="118"/>
      <c r="DF838" s="118"/>
      <c r="DG838" s="118"/>
      <c r="DH838" s="118"/>
      <c r="DI838" s="118"/>
      <c r="DJ838" s="118"/>
      <c r="DK838" s="118"/>
      <c r="DL838" s="118"/>
      <c r="DM838" s="118"/>
      <c r="DN838" s="118"/>
      <c r="DO838" s="118"/>
      <c r="DP838" s="118"/>
      <c r="DQ838" s="118"/>
      <c r="DR838" s="118"/>
      <c r="DS838" s="118"/>
      <c r="DT838" s="118"/>
      <c r="DU838" s="19"/>
      <c r="DV838" s="19"/>
      <c r="DW838" s="19"/>
      <c r="DX838" s="19"/>
      <c r="DY838" s="19"/>
      <c r="DZ838" s="19"/>
    </row>
    <row r="839" spans="1:130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18"/>
      <c r="BX839" s="118"/>
      <c r="BY839" s="118"/>
      <c r="BZ839" s="118"/>
      <c r="CA839" s="118"/>
      <c r="CB839" s="118"/>
      <c r="CC839" s="118"/>
      <c r="CD839" s="118"/>
      <c r="CE839" s="118"/>
      <c r="CF839" s="118"/>
      <c r="CG839" s="118"/>
      <c r="CH839" s="118"/>
      <c r="CI839" s="118"/>
      <c r="CJ839" s="118"/>
      <c r="CK839" s="118"/>
      <c r="CL839" s="118"/>
      <c r="CM839" s="118"/>
      <c r="CN839" s="118"/>
      <c r="CO839" s="118"/>
      <c r="CP839" s="118"/>
      <c r="CQ839" s="118"/>
      <c r="CR839" s="118"/>
      <c r="CS839" s="118"/>
      <c r="CT839" s="118"/>
      <c r="CU839" s="118"/>
      <c r="CV839" s="118"/>
      <c r="CW839" s="118"/>
      <c r="CX839" s="118"/>
      <c r="CY839" s="118"/>
      <c r="CZ839" s="118"/>
      <c r="DA839" s="118"/>
      <c r="DB839" s="118"/>
      <c r="DC839" s="118"/>
      <c r="DD839" s="118"/>
      <c r="DE839" s="118"/>
      <c r="DF839" s="118"/>
      <c r="DG839" s="118"/>
      <c r="DH839" s="118"/>
      <c r="DI839" s="118"/>
      <c r="DJ839" s="118"/>
      <c r="DK839" s="118"/>
      <c r="DL839" s="118"/>
      <c r="DM839" s="118"/>
      <c r="DN839" s="118"/>
      <c r="DO839" s="118"/>
      <c r="DP839" s="118"/>
      <c r="DQ839" s="118"/>
      <c r="DR839" s="118"/>
      <c r="DS839" s="118"/>
      <c r="DT839" s="118"/>
      <c r="DU839" s="19"/>
      <c r="DV839" s="19"/>
      <c r="DW839" s="19"/>
      <c r="DX839" s="19"/>
      <c r="DY839" s="19"/>
      <c r="DZ839" s="19"/>
    </row>
    <row r="840" spans="1:130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18"/>
      <c r="BX840" s="118"/>
      <c r="BY840" s="118"/>
      <c r="BZ840" s="118"/>
      <c r="CA840" s="118"/>
      <c r="CB840" s="118"/>
      <c r="CC840" s="118"/>
      <c r="CD840" s="118"/>
      <c r="CE840" s="118"/>
      <c r="CF840" s="118"/>
      <c r="CG840" s="118"/>
      <c r="CH840" s="118"/>
      <c r="CI840" s="118"/>
      <c r="CJ840" s="118"/>
      <c r="CK840" s="118"/>
      <c r="CL840" s="118"/>
      <c r="CM840" s="118"/>
      <c r="CN840" s="118"/>
      <c r="CO840" s="118"/>
      <c r="CP840" s="118"/>
      <c r="CQ840" s="118"/>
      <c r="CR840" s="118"/>
      <c r="CS840" s="118"/>
      <c r="CT840" s="118"/>
      <c r="CU840" s="118"/>
      <c r="CV840" s="118"/>
      <c r="CW840" s="118"/>
      <c r="CX840" s="118"/>
      <c r="CY840" s="118"/>
      <c r="CZ840" s="118"/>
      <c r="DA840" s="118"/>
      <c r="DB840" s="118"/>
      <c r="DC840" s="118"/>
      <c r="DD840" s="118"/>
      <c r="DE840" s="118"/>
      <c r="DF840" s="118"/>
      <c r="DG840" s="118"/>
      <c r="DH840" s="118"/>
      <c r="DI840" s="118"/>
      <c r="DJ840" s="118"/>
      <c r="DK840" s="118"/>
      <c r="DL840" s="118"/>
      <c r="DM840" s="118"/>
      <c r="DN840" s="118"/>
      <c r="DO840" s="118"/>
      <c r="DP840" s="118"/>
      <c r="DQ840" s="118"/>
      <c r="DR840" s="118"/>
      <c r="DS840" s="118"/>
      <c r="DT840" s="118"/>
      <c r="DU840" s="19"/>
      <c r="DV840" s="19"/>
      <c r="DW840" s="19"/>
      <c r="DX840" s="19"/>
      <c r="DY840" s="19"/>
      <c r="DZ840" s="19"/>
    </row>
    <row r="841" spans="1:130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18"/>
      <c r="BX841" s="118"/>
      <c r="BY841" s="118"/>
      <c r="BZ841" s="118"/>
      <c r="CA841" s="118"/>
      <c r="CB841" s="118"/>
      <c r="CC841" s="118"/>
      <c r="CD841" s="118"/>
      <c r="CE841" s="118"/>
      <c r="CF841" s="118"/>
      <c r="CG841" s="118"/>
      <c r="CH841" s="118"/>
      <c r="CI841" s="118"/>
      <c r="CJ841" s="118"/>
      <c r="CK841" s="118"/>
      <c r="CL841" s="118"/>
      <c r="CM841" s="118"/>
      <c r="CN841" s="118"/>
      <c r="CO841" s="118"/>
      <c r="CP841" s="118"/>
      <c r="CQ841" s="118"/>
      <c r="CR841" s="118"/>
      <c r="CS841" s="118"/>
      <c r="CT841" s="118"/>
      <c r="CU841" s="118"/>
      <c r="CV841" s="118"/>
      <c r="CW841" s="118"/>
      <c r="CX841" s="118"/>
      <c r="CY841" s="118"/>
      <c r="CZ841" s="118"/>
      <c r="DA841" s="118"/>
      <c r="DB841" s="118"/>
      <c r="DC841" s="118"/>
      <c r="DD841" s="118"/>
      <c r="DE841" s="118"/>
      <c r="DF841" s="118"/>
      <c r="DG841" s="118"/>
      <c r="DH841" s="118"/>
      <c r="DI841" s="118"/>
      <c r="DJ841" s="118"/>
      <c r="DK841" s="118"/>
      <c r="DL841" s="118"/>
      <c r="DM841" s="118"/>
      <c r="DN841" s="118"/>
      <c r="DO841" s="118"/>
      <c r="DP841" s="118"/>
      <c r="DQ841" s="118"/>
      <c r="DR841" s="118"/>
      <c r="DS841" s="118"/>
      <c r="DT841" s="118"/>
      <c r="DU841" s="19"/>
      <c r="DV841" s="19"/>
      <c r="DW841" s="19"/>
      <c r="DX841" s="19"/>
      <c r="DY841" s="19"/>
      <c r="DZ841" s="19"/>
    </row>
    <row r="842" spans="1:130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18"/>
      <c r="BX842" s="118"/>
      <c r="BY842" s="118"/>
      <c r="BZ842" s="118"/>
      <c r="CA842" s="118"/>
      <c r="CB842" s="118"/>
      <c r="CC842" s="118"/>
      <c r="CD842" s="118"/>
      <c r="CE842" s="118"/>
      <c r="CF842" s="118"/>
      <c r="CG842" s="118"/>
      <c r="CH842" s="118"/>
      <c r="CI842" s="118"/>
      <c r="CJ842" s="118"/>
      <c r="CK842" s="118"/>
      <c r="CL842" s="118"/>
      <c r="CM842" s="118"/>
      <c r="CN842" s="118"/>
      <c r="CO842" s="118"/>
      <c r="CP842" s="118"/>
      <c r="CQ842" s="118"/>
      <c r="CR842" s="118"/>
      <c r="CS842" s="118"/>
      <c r="CT842" s="118"/>
      <c r="CU842" s="118"/>
      <c r="CV842" s="118"/>
      <c r="CW842" s="118"/>
      <c r="CX842" s="118"/>
      <c r="CY842" s="118"/>
      <c r="CZ842" s="118"/>
      <c r="DA842" s="118"/>
      <c r="DB842" s="118"/>
      <c r="DC842" s="118"/>
      <c r="DD842" s="118"/>
      <c r="DE842" s="118"/>
      <c r="DF842" s="118"/>
      <c r="DG842" s="118"/>
      <c r="DH842" s="118"/>
      <c r="DI842" s="118"/>
      <c r="DJ842" s="118"/>
      <c r="DK842" s="118"/>
      <c r="DL842" s="118"/>
      <c r="DM842" s="118"/>
      <c r="DN842" s="118"/>
      <c r="DO842" s="118"/>
      <c r="DP842" s="118"/>
      <c r="DQ842" s="118"/>
      <c r="DR842" s="118"/>
      <c r="DS842" s="118"/>
      <c r="DT842" s="118"/>
      <c r="DU842" s="19"/>
      <c r="DV842" s="19"/>
      <c r="DW842" s="19"/>
      <c r="DX842" s="19"/>
      <c r="DY842" s="19"/>
      <c r="DZ842" s="19"/>
    </row>
    <row r="843" spans="1:130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18"/>
      <c r="BX843" s="118"/>
      <c r="BY843" s="118"/>
      <c r="BZ843" s="118"/>
      <c r="CA843" s="118"/>
      <c r="CB843" s="118"/>
      <c r="CC843" s="118"/>
      <c r="CD843" s="118"/>
      <c r="CE843" s="118"/>
      <c r="CF843" s="118"/>
      <c r="CG843" s="118"/>
      <c r="CH843" s="118"/>
      <c r="CI843" s="118"/>
      <c r="CJ843" s="118"/>
      <c r="CK843" s="118"/>
      <c r="CL843" s="118"/>
      <c r="CM843" s="118"/>
      <c r="CN843" s="118"/>
      <c r="CO843" s="118"/>
      <c r="CP843" s="118"/>
      <c r="CQ843" s="118"/>
      <c r="CR843" s="118"/>
      <c r="CS843" s="118"/>
      <c r="CT843" s="118"/>
      <c r="CU843" s="118"/>
      <c r="CV843" s="118"/>
      <c r="CW843" s="118"/>
      <c r="CX843" s="118"/>
      <c r="CY843" s="118"/>
      <c r="CZ843" s="118"/>
      <c r="DA843" s="118"/>
      <c r="DB843" s="118"/>
      <c r="DC843" s="118"/>
      <c r="DD843" s="118"/>
      <c r="DE843" s="118"/>
      <c r="DF843" s="118"/>
      <c r="DG843" s="118"/>
      <c r="DH843" s="118"/>
      <c r="DI843" s="118"/>
      <c r="DJ843" s="118"/>
      <c r="DK843" s="118"/>
      <c r="DL843" s="118"/>
      <c r="DM843" s="118"/>
      <c r="DN843" s="118"/>
      <c r="DO843" s="118"/>
      <c r="DP843" s="118"/>
      <c r="DQ843" s="118"/>
      <c r="DR843" s="118"/>
      <c r="DS843" s="118"/>
      <c r="DT843" s="118"/>
      <c r="DU843" s="19"/>
      <c r="DV843" s="19"/>
      <c r="DW843" s="19"/>
      <c r="DX843" s="19"/>
      <c r="DY843" s="19"/>
      <c r="DZ843" s="19"/>
    </row>
    <row r="844" spans="1:130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18"/>
      <c r="BX844" s="118"/>
      <c r="BY844" s="118"/>
      <c r="BZ844" s="118"/>
      <c r="CA844" s="118"/>
      <c r="CB844" s="118"/>
      <c r="CC844" s="118"/>
      <c r="CD844" s="118"/>
      <c r="CE844" s="118"/>
      <c r="CF844" s="118"/>
      <c r="CG844" s="118"/>
      <c r="CH844" s="118"/>
      <c r="CI844" s="118"/>
      <c r="CJ844" s="118"/>
      <c r="CK844" s="118"/>
      <c r="CL844" s="118"/>
      <c r="CM844" s="118"/>
      <c r="CN844" s="118"/>
      <c r="CO844" s="118"/>
      <c r="CP844" s="118"/>
      <c r="CQ844" s="118"/>
      <c r="CR844" s="118"/>
      <c r="CS844" s="118"/>
      <c r="CT844" s="118"/>
      <c r="CU844" s="118"/>
      <c r="CV844" s="118"/>
      <c r="CW844" s="118"/>
      <c r="CX844" s="118"/>
      <c r="CY844" s="118"/>
      <c r="CZ844" s="118"/>
      <c r="DA844" s="118"/>
      <c r="DB844" s="118"/>
      <c r="DC844" s="118"/>
      <c r="DD844" s="118"/>
      <c r="DE844" s="118"/>
      <c r="DF844" s="118"/>
      <c r="DG844" s="118"/>
      <c r="DH844" s="118"/>
      <c r="DI844" s="118"/>
      <c r="DJ844" s="118"/>
      <c r="DK844" s="118"/>
      <c r="DL844" s="118"/>
      <c r="DM844" s="118"/>
      <c r="DN844" s="118"/>
      <c r="DO844" s="118"/>
      <c r="DP844" s="118"/>
      <c r="DQ844" s="118"/>
      <c r="DR844" s="118"/>
      <c r="DS844" s="118"/>
      <c r="DT844" s="118"/>
      <c r="DU844" s="19"/>
      <c r="DV844" s="19"/>
      <c r="DW844" s="19"/>
      <c r="DX844" s="19"/>
      <c r="DY844" s="19"/>
      <c r="DZ844" s="19"/>
    </row>
    <row r="845" spans="1:130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18"/>
      <c r="BX845" s="118"/>
      <c r="BY845" s="118"/>
      <c r="BZ845" s="118"/>
      <c r="CA845" s="118"/>
      <c r="CB845" s="118"/>
      <c r="CC845" s="118"/>
      <c r="CD845" s="118"/>
      <c r="CE845" s="118"/>
      <c r="CF845" s="118"/>
      <c r="CG845" s="118"/>
      <c r="CH845" s="118"/>
      <c r="CI845" s="118"/>
      <c r="CJ845" s="118"/>
      <c r="CK845" s="118"/>
      <c r="CL845" s="118"/>
      <c r="CM845" s="118"/>
      <c r="CN845" s="118"/>
      <c r="CO845" s="118"/>
      <c r="CP845" s="118"/>
      <c r="CQ845" s="118"/>
      <c r="CR845" s="118"/>
      <c r="CS845" s="118"/>
      <c r="CT845" s="118"/>
      <c r="CU845" s="118"/>
      <c r="CV845" s="118"/>
      <c r="CW845" s="118"/>
      <c r="CX845" s="118"/>
      <c r="CY845" s="118"/>
      <c r="CZ845" s="118"/>
      <c r="DA845" s="118"/>
      <c r="DB845" s="118"/>
      <c r="DC845" s="118"/>
      <c r="DD845" s="118"/>
      <c r="DE845" s="118"/>
      <c r="DF845" s="118"/>
      <c r="DG845" s="118"/>
      <c r="DH845" s="118"/>
      <c r="DI845" s="118"/>
      <c r="DJ845" s="118"/>
      <c r="DK845" s="118"/>
      <c r="DL845" s="118"/>
      <c r="DM845" s="118"/>
      <c r="DN845" s="118"/>
      <c r="DO845" s="118"/>
      <c r="DP845" s="118"/>
      <c r="DQ845" s="118"/>
      <c r="DR845" s="118"/>
      <c r="DS845" s="118"/>
      <c r="DT845" s="118"/>
      <c r="DU845" s="19"/>
      <c r="DV845" s="19"/>
      <c r="DW845" s="19"/>
      <c r="DX845" s="19"/>
      <c r="DY845" s="19"/>
      <c r="DZ845" s="19"/>
    </row>
    <row r="846" spans="1:130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18"/>
      <c r="BX846" s="118"/>
      <c r="BY846" s="118"/>
      <c r="BZ846" s="118"/>
      <c r="CA846" s="118"/>
      <c r="CB846" s="118"/>
      <c r="CC846" s="118"/>
      <c r="CD846" s="118"/>
      <c r="CE846" s="118"/>
      <c r="CF846" s="118"/>
      <c r="CG846" s="118"/>
      <c r="CH846" s="118"/>
      <c r="CI846" s="118"/>
      <c r="CJ846" s="118"/>
      <c r="CK846" s="118"/>
      <c r="CL846" s="118"/>
      <c r="CM846" s="118"/>
      <c r="CN846" s="118"/>
      <c r="CO846" s="118"/>
      <c r="CP846" s="118"/>
      <c r="CQ846" s="118"/>
      <c r="CR846" s="118"/>
      <c r="CS846" s="118"/>
      <c r="CT846" s="118"/>
      <c r="CU846" s="118"/>
      <c r="CV846" s="118"/>
      <c r="CW846" s="118"/>
      <c r="CX846" s="118"/>
      <c r="CY846" s="118"/>
      <c r="CZ846" s="118"/>
      <c r="DA846" s="118"/>
      <c r="DB846" s="118"/>
      <c r="DC846" s="118"/>
      <c r="DD846" s="118"/>
      <c r="DE846" s="118"/>
      <c r="DF846" s="118"/>
      <c r="DG846" s="118"/>
      <c r="DH846" s="118"/>
      <c r="DI846" s="118"/>
      <c r="DJ846" s="118"/>
      <c r="DK846" s="118"/>
      <c r="DL846" s="118"/>
      <c r="DM846" s="118"/>
      <c r="DN846" s="118"/>
      <c r="DO846" s="118"/>
      <c r="DP846" s="118"/>
      <c r="DQ846" s="118"/>
      <c r="DR846" s="118"/>
      <c r="DS846" s="118"/>
      <c r="DT846" s="118"/>
      <c r="DU846" s="19"/>
      <c r="DV846" s="19"/>
      <c r="DW846" s="19"/>
      <c r="DX846" s="19"/>
      <c r="DY846" s="19"/>
      <c r="DZ846" s="19"/>
    </row>
    <row r="847" spans="1:130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18"/>
      <c r="BX847" s="118"/>
      <c r="BY847" s="118"/>
      <c r="BZ847" s="118"/>
      <c r="CA847" s="118"/>
      <c r="CB847" s="118"/>
      <c r="CC847" s="118"/>
      <c r="CD847" s="118"/>
      <c r="CE847" s="118"/>
      <c r="CF847" s="118"/>
      <c r="CG847" s="118"/>
      <c r="CH847" s="118"/>
      <c r="CI847" s="118"/>
      <c r="CJ847" s="118"/>
      <c r="CK847" s="118"/>
      <c r="CL847" s="118"/>
      <c r="CM847" s="118"/>
      <c r="CN847" s="118"/>
      <c r="CO847" s="118"/>
      <c r="CP847" s="118"/>
      <c r="CQ847" s="118"/>
      <c r="CR847" s="118"/>
      <c r="CS847" s="118"/>
      <c r="CT847" s="118"/>
      <c r="CU847" s="118"/>
      <c r="CV847" s="118"/>
      <c r="CW847" s="118"/>
      <c r="CX847" s="118"/>
      <c r="CY847" s="118"/>
      <c r="CZ847" s="118"/>
      <c r="DA847" s="118"/>
      <c r="DB847" s="118"/>
      <c r="DC847" s="118"/>
      <c r="DD847" s="118"/>
      <c r="DE847" s="118"/>
      <c r="DF847" s="118"/>
      <c r="DG847" s="118"/>
      <c r="DH847" s="118"/>
      <c r="DI847" s="118"/>
      <c r="DJ847" s="118"/>
      <c r="DK847" s="118"/>
      <c r="DL847" s="118"/>
      <c r="DM847" s="118"/>
      <c r="DN847" s="118"/>
      <c r="DO847" s="118"/>
      <c r="DP847" s="118"/>
      <c r="DQ847" s="118"/>
      <c r="DR847" s="118"/>
      <c r="DS847" s="118"/>
      <c r="DT847" s="118"/>
      <c r="DU847" s="19"/>
      <c r="DV847" s="19"/>
      <c r="DW847" s="19"/>
      <c r="DX847" s="19"/>
      <c r="DY847" s="19"/>
      <c r="DZ847" s="19"/>
    </row>
    <row r="848" spans="1:130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18"/>
      <c r="BX848" s="118"/>
      <c r="BY848" s="118"/>
      <c r="BZ848" s="118"/>
      <c r="CA848" s="118"/>
      <c r="CB848" s="118"/>
      <c r="CC848" s="118"/>
      <c r="CD848" s="118"/>
      <c r="CE848" s="118"/>
      <c r="CF848" s="118"/>
      <c r="CG848" s="118"/>
      <c r="CH848" s="118"/>
      <c r="CI848" s="118"/>
      <c r="CJ848" s="118"/>
      <c r="CK848" s="118"/>
      <c r="CL848" s="118"/>
      <c r="CM848" s="118"/>
      <c r="CN848" s="118"/>
      <c r="CO848" s="118"/>
      <c r="CP848" s="118"/>
      <c r="CQ848" s="118"/>
      <c r="CR848" s="118"/>
      <c r="CS848" s="118"/>
      <c r="CT848" s="118"/>
      <c r="CU848" s="118"/>
      <c r="CV848" s="118"/>
      <c r="CW848" s="118"/>
      <c r="CX848" s="118"/>
      <c r="CY848" s="118"/>
      <c r="CZ848" s="118"/>
      <c r="DA848" s="118"/>
      <c r="DB848" s="118"/>
      <c r="DC848" s="118"/>
      <c r="DD848" s="118"/>
      <c r="DE848" s="118"/>
      <c r="DF848" s="118"/>
      <c r="DG848" s="118"/>
      <c r="DH848" s="118"/>
      <c r="DI848" s="118"/>
      <c r="DJ848" s="118"/>
      <c r="DK848" s="118"/>
      <c r="DL848" s="118"/>
      <c r="DM848" s="118"/>
      <c r="DN848" s="118"/>
      <c r="DO848" s="118"/>
      <c r="DP848" s="118"/>
      <c r="DQ848" s="118"/>
      <c r="DR848" s="118"/>
      <c r="DS848" s="118"/>
      <c r="DT848" s="118"/>
      <c r="DU848" s="19"/>
      <c r="DV848" s="19"/>
      <c r="DW848" s="19"/>
      <c r="DX848" s="19"/>
      <c r="DY848" s="19"/>
      <c r="DZ848" s="19"/>
    </row>
    <row r="849" spans="1:130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18"/>
      <c r="BX849" s="118"/>
      <c r="BY849" s="118"/>
      <c r="BZ849" s="118"/>
      <c r="CA849" s="118"/>
      <c r="CB849" s="118"/>
      <c r="CC849" s="118"/>
      <c r="CD849" s="118"/>
      <c r="CE849" s="118"/>
      <c r="CF849" s="118"/>
      <c r="CG849" s="118"/>
      <c r="CH849" s="118"/>
      <c r="CI849" s="118"/>
      <c r="CJ849" s="118"/>
      <c r="CK849" s="118"/>
      <c r="CL849" s="118"/>
      <c r="CM849" s="118"/>
      <c r="CN849" s="118"/>
      <c r="CO849" s="118"/>
      <c r="CP849" s="118"/>
      <c r="CQ849" s="118"/>
      <c r="CR849" s="118"/>
      <c r="CS849" s="118"/>
      <c r="CT849" s="118"/>
      <c r="CU849" s="118"/>
      <c r="CV849" s="118"/>
      <c r="CW849" s="118"/>
      <c r="CX849" s="118"/>
      <c r="CY849" s="118"/>
      <c r="CZ849" s="118"/>
      <c r="DA849" s="118"/>
      <c r="DB849" s="118"/>
      <c r="DC849" s="118"/>
      <c r="DD849" s="118"/>
      <c r="DE849" s="118"/>
      <c r="DF849" s="118"/>
      <c r="DG849" s="118"/>
      <c r="DH849" s="118"/>
      <c r="DI849" s="118"/>
      <c r="DJ849" s="118"/>
      <c r="DK849" s="118"/>
      <c r="DL849" s="118"/>
      <c r="DM849" s="118"/>
      <c r="DN849" s="118"/>
      <c r="DO849" s="118"/>
      <c r="DP849" s="118"/>
      <c r="DQ849" s="118"/>
      <c r="DR849" s="118"/>
      <c r="DS849" s="118"/>
      <c r="DT849" s="118"/>
      <c r="DU849" s="19"/>
      <c r="DV849" s="19"/>
      <c r="DW849" s="19"/>
      <c r="DX849" s="19"/>
      <c r="DY849" s="19"/>
      <c r="DZ849" s="19"/>
    </row>
    <row r="850" spans="1:130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18"/>
      <c r="BX850" s="118"/>
      <c r="BY850" s="118"/>
      <c r="BZ850" s="118"/>
      <c r="CA850" s="118"/>
      <c r="CB850" s="118"/>
      <c r="CC850" s="118"/>
      <c r="CD850" s="118"/>
      <c r="CE850" s="118"/>
      <c r="CF850" s="118"/>
      <c r="CG850" s="118"/>
      <c r="CH850" s="118"/>
      <c r="CI850" s="118"/>
      <c r="CJ850" s="118"/>
      <c r="CK850" s="118"/>
      <c r="CL850" s="118"/>
      <c r="CM850" s="118"/>
      <c r="CN850" s="118"/>
      <c r="CO850" s="118"/>
      <c r="CP850" s="118"/>
      <c r="CQ850" s="118"/>
      <c r="CR850" s="118"/>
      <c r="CS850" s="118"/>
      <c r="CT850" s="118"/>
      <c r="CU850" s="118"/>
      <c r="CV850" s="118"/>
      <c r="CW850" s="118"/>
      <c r="CX850" s="118"/>
      <c r="CY850" s="118"/>
      <c r="CZ850" s="118"/>
      <c r="DA850" s="118"/>
      <c r="DB850" s="118"/>
      <c r="DC850" s="118"/>
      <c r="DD850" s="118"/>
      <c r="DE850" s="118"/>
      <c r="DF850" s="118"/>
      <c r="DG850" s="118"/>
      <c r="DH850" s="118"/>
      <c r="DI850" s="118"/>
      <c r="DJ850" s="118"/>
      <c r="DK850" s="118"/>
      <c r="DL850" s="118"/>
      <c r="DM850" s="118"/>
      <c r="DN850" s="118"/>
      <c r="DO850" s="118"/>
      <c r="DP850" s="118"/>
      <c r="DQ850" s="118"/>
      <c r="DR850" s="118"/>
      <c r="DS850" s="118"/>
      <c r="DT850" s="118"/>
      <c r="DU850" s="19"/>
      <c r="DV850" s="19"/>
      <c r="DW850" s="19"/>
      <c r="DX850" s="19"/>
      <c r="DY850" s="19"/>
      <c r="DZ850" s="19"/>
    </row>
    <row r="851" spans="1:130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18"/>
      <c r="BX851" s="118"/>
      <c r="BY851" s="118"/>
      <c r="BZ851" s="118"/>
      <c r="CA851" s="118"/>
      <c r="CB851" s="118"/>
      <c r="CC851" s="118"/>
      <c r="CD851" s="118"/>
      <c r="CE851" s="118"/>
      <c r="CF851" s="118"/>
      <c r="CG851" s="118"/>
      <c r="CH851" s="118"/>
      <c r="CI851" s="118"/>
      <c r="CJ851" s="118"/>
      <c r="CK851" s="118"/>
      <c r="CL851" s="118"/>
      <c r="CM851" s="118"/>
      <c r="CN851" s="118"/>
      <c r="CO851" s="118"/>
      <c r="CP851" s="118"/>
      <c r="CQ851" s="118"/>
      <c r="CR851" s="118"/>
      <c r="CS851" s="118"/>
      <c r="CT851" s="118"/>
      <c r="CU851" s="118"/>
      <c r="CV851" s="118"/>
      <c r="CW851" s="118"/>
      <c r="CX851" s="118"/>
      <c r="CY851" s="118"/>
      <c r="CZ851" s="118"/>
      <c r="DA851" s="118"/>
      <c r="DB851" s="118"/>
      <c r="DC851" s="118"/>
      <c r="DD851" s="118"/>
      <c r="DE851" s="118"/>
      <c r="DF851" s="118"/>
      <c r="DG851" s="118"/>
      <c r="DH851" s="118"/>
      <c r="DI851" s="118"/>
      <c r="DJ851" s="118"/>
      <c r="DK851" s="118"/>
      <c r="DL851" s="118"/>
      <c r="DM851" s="118"/>
      <c r="DN851" s="118"/>
      <c r="DO851" s="118"/>
      <c r="DP851" s="118"/>
      <c r="DQ851" s="118"/>
      <c r="DR851" s="118"/>
      <c r="DS851" s="118"/>
      <c r="DT851" s="118"/>
      <c r="DU851" s="19"/>
      <c r="DV851" s="19"/>
      <c r="DW851" s="19"/>
      <c r="DX851" s="19"/>
      <c r="DY851" s="19"/>
      <c r="DZ851" s="19"/>
    </row>
    <row r="852" spans="1:130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18"/>
      <c r="BX852" s="118"/>
      <c r="BY852" s="118"/>
      <c r="BZ852" s="118"/>
      <c r="CA852" s="118"/>
      <c r="CB852" s="118"/>
      <c r="CC852" s="118"/>
      <c r="CD852" s="118"/>
      <c r="CE852" s="118"/>
      <c r="CF852" s="118"/>
      <c r="CG852" s="118"/>
      <c r="CH852" s="118"/>
      <c r="CI852" s="118"/>
      <c r="CJ852" s="118"/>
      <c r="CK852" s="118"/>
      <c r="CL852" s="118"/>
      <c r="CM852" s="118"/>
      <c r="CN852" s="118"/>
      <c r="CO852" s="118"/>
      <c r="CP852" s="118"/>
      <c r="CQ852" s="118"/>
      <c r="CR852" s="118"/>
      <c r="CS852" s="118"/>
      <c r="CT852" s="118"/>
      <c r="CU852" s="118"/>
      <c r="CV852" s="118"/>
      <c r="CW852" s="118"/>
      <c r="CX852" s="118"/>
      <c r="CY852" s="118"/>
      <c r="CZ852" s="118"/>
      <c r="DA852" s="118"/>
      <c r="DB852" s="118"/>
      <c r="DC852" s="118"/>
      <c r="DD852" s="118"/>
      <c r="DE852" s="118"/>
      <c r="DF852" s="118"/>
      <c r="DG852" s="118"/>
      <c r="DH852" s="118"/>
      <c r="DI852" s="118"/>
      <c r="DJ852" s="118"/>
      <c r="DK852" s="118"/>
      <c r="DL852" s="118"/>
      <c r="DM852" s="118"/>
      <c r="DN852" s="118"/>
      <c r="DO852" s="118"/>
      <c r="DP852" s="118"/>
      <c r="DQ852" s="118"/>
      <c r="DR852" s="118"/>
      <c r="DS852" s="118"/>
      <c r="DT852" s="118"/>
      <c r="DU852" s="19"/>
      <c r="DV852" s="19"/>
      <c r="DW852" s="19"/>
      <c r="DX852" s="19"/>
      <c r="DY852" s="19"/>
      <c r="DZ852" s="19"/>
    </row>
    <row r="853" spans="1:130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18"/>
      <c r="BX853" s="118"/>
      <c r="BY853" s="118"/>
      <c r="BZ853" s="118"/>
      <c r="CA853" s="118"/>
      <c r="CB853" s="118"/>
      <c r="CC853" s="118"/>
      <c r="CD853" s="118"/>
      <c r="CE853" s="118"/>
      <c r="CF853" s="118"/>
      <c r="CG853" s="118"/>
      <c r="CH853" s="118"/>
      <c r="CI853" s="118"/>
      <c r="CJ853" s="118"/>
      <c r="CK853" s="118"/>
      <c r="CL853" s="118"/>
      <c r="CM853" s="118"/>
      <c r="CN853" s="118"/>
      <c r="CO853" s="118"/>
      <c r="CP853" s="118"/>
      <c r="CQ853" s="118"/>
      <c r="CR853" s="118"/>
      <c r="CS853" s="118"/>
      <c r="CT853" s="118"/>
      <c r="CU853" s="118"/>
      <c r="CV853" s="118"/>
      <c r="CW853" s="118"/>
      <c r="CX853" s="118"/>
      <c r="CY853" s="118"/>
      <c r="CZ853" s="118"/>
      <c r="DA853" s="118"/>
      <c r="DB853" s="118"/>
      <c r="DC853" s="118"/>
      <c r="DD853" s="118"/>
      <c r="DE853" s="118"/>
      <c r="DF853" s="118"/>
      <c r="DG853" s="118"/>
      <c r="DH853" s="118"/>
      <c r="DI853" s="118"/>
      <c r="DJ853" s="118"/>
      <c r="DK853" s="118"/>
      <c r="DL853" s="118"/>
      <c r="DM853" s="118"/>
      <c r="DN853" s="118"/>
      <c r="DO853" s="118"/>
      <c r="DP853" s="118"/>
      <c r="DQ853" s="118"/>
      <c r="DR853" s="118"/>
      <c r="DS853" s="118"/>
      <c r="DT853" s="118"/>
      <c r="DU853" s="19"/>
      <c r="DV853" s="19"/>
      <c r="DW853" s="19"/>
      <c r="DX853" s="19"/>
      <c r="DY853" s="19"/>
      <c r="DZ853" s="19"/>
    </row>
    <row r="854" spans="1:130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18"/>
      <c r="BX854" s="118"/>
      <c r="BY854" s="118"/>
      <c r="BZ854" s="118"/>
      <c r="CA854" s="118"/>
      <c r="CB854" s="118"/>
      <c r="CC854" s="118"/>
      <c r="CD854" s="118"/>
      <c r="CE854" s="118"/>
      <c r="CF854" s="118"/>
      <c r="CG854" s="118"/>
      <c r="CH854" s="118"/>
      <c r="CI854" s="118"/>
      <c r="CJ854" s="118"/>
      <c r="CK854" s="118"/>
      <c r="CL854" s="118"/>
      <c r="CM854" s="118"/>
      <c r="CN854" s="118"/>
      <c r="CO854" s="118"/>
      <c r="CP854" s="118"/>
      <c r="CQ854" s="118"/>
      <c r="CR854" s="118"/>
      <c r="CS854" s="118"/>
      <c r="CT854" s="118"/>
      <c r="CU854" s="118"/>
      <c r="CV854" s="118"/>
      <c r="CW854" s="118"/>
      <c r="CX854" s="118"/>
      <c r="CY854" s="118"/>
      <c r="CZ854" s="118"/>
      <c r="DA854" s="118"/>
      <c r="DB854" s="118"/>
      <c r="DC854" s="118"/>
      <c r="DD854" s="118"/>
      <c r="DE854" s="118"/>
      <c r="DF854" s="118"/>
      <c r="DG854" s="118"/>
      <c r="DH854" s="118"/>
      <c r="DI854" s="118"/>
      <c r="DJ854" s="118"/>
      <c r="DK854" s="118"/>
      <c r="DL854" s="118"/>
      <c r="DM854" s="118"/>
      <c r="DN854" s="118"/>
      <c r="DO854" s="118"/>
      <c r="DP854" s="118"/>
      <c r="DQ854" s="118"/>
      <c r="DR854" s="118"/>
      <c r="DS854" s="118"/>
      <c r="DT854" s="118"/>
      <c r="DU854" s="19"/>
      <c r="DV854" s="19"/>
      <c r="DW854" s="19"/>
      <c r="DX854" s="19"/>
      <c r="DY854" s="19"/>
      <c r="DZ854" s="19"/>
    </row>
    <row r="855" spans="1:130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18"/>
      <c r="BX855" s="118"/>
      <c r="BY855" s="118"/>
      <c r="BZ855" s="118"/>
      <c r="CA855" s="118"/>
      <c r="CB855" s="118"/>
      <c r="CC855" s="118"/>
      <c r="CD855" s="118"/>
      <c r="CE855" s="118"/>
      <c r="CF855" s="118"/>
      <c r="CG855" s="118"/>
      <c r="CH855" s="118"/>
      <c r="CI855" s="118"/>
      <c r="CJ855" s="118"/>
      <c r="CK855" s="118"/>
      <c r="CL855" s="118"/>
      <c r="CM855" s="118"/>
      <c r="CN855" s="118"/>
      <c r="CO855" s="118"/>
      <c r="CP855" s="118"/>
      <c r="CQ855" s="118"/>
      <c r="CR855" s="118"/>
      <c r="CS855" s="118"/>
      <c r="CT855" s="118"/>
      <c r="CU855" s="118"/>
      <c r="CV855" s="118"/>
      <c r="CW855" s="118"/>
      <c r="CX855" s="118"/>
      <c r="CY855" s="118"/>
      <c r="CZ855" s="118"/>
      <c r="DA855" s="118"/>
      <c r="DB855" s="118"/>
      <c r="DC855" s="118"/>
      <c r="DD855" s="118"/>
      <c r="DE855" s="118"/>
      <c r="DF855" s="118"/>
      <c r="DG855" s="118"/>
      <c r="DH855" s="118"/>
      <c r="DI855" s="118"/>
      <c r="DJ855" s="118"/>
      <c r="DK855" s="118"/>
      <c r="DL855" s="118"/>
      <c r="DM855" s="118"/>
      <c r="DN855" s="118"/>
      <c r="DO855" s="118"/>
      <c r="DP855" s="118"/>
      <c r="DQ855" s="118"/>
      <c r="DR855" s="118"/>
      <c r="DS855" s="118"/>
      <c r="DT855" s="118"/>
      <c r="DU855" s="19"/>
      <c r="DV855" s="19"/>
      <c r="DW855" s="19"/>
      <c r="DX855" s="19"/>
      <c r="DY855" s="19"/>
      <c r="DZ855" s="19"/>
    </row>
    <row r="856" spans="1:130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18"/>
      <c r="BX856" s="118"/>
      <c r="BY856" s="118"/>
      <c r="BZ856" s="118"/>
      <c r="CA856" s="118"/>
      <c r="CB856" s="118"/>
      <c r="CC856" s="118"/>
      <c r="CD856" s="118"/>
      <c r="CE856" s="118"/>
      <c r="CF856" s="118"/>
      <c r="CG856" s="118"/>
      <c r="CH856" s="118"/>
      <c r="CI856" s="118"/>
      <c r="CJ856" s="118"/>
      <c r="CK856" s="118"/>
      <c r="CL856" s="118"/>
      <c r="CM856" s="118"/>
      <c r="CN856" s="118"/>
      <c r="CO856" s="118"/>
      <c r="CP856" s="118"/>
      <c r="CQ856" s="118"/>
      <c r="CR856" s="118"/>
      <c r="CS856" s="118"/>
      <c r="CT856" s="118"/>
      <c r="CU856" s="118"/>
      <c r="CV856" s="118"/>
      <c r="CW856" s="118"/>
      <c r="CX856" s="118"/>
      <c r="CY856" s="118"/>
      <c r="CZ856" s="118"/>
      <c r="DA856" s="118"/>
      <c r="DB856" s="118"/>
      <c r="DC856" s="118"/>
      <c r="DD856" s="118"/>
      <c r="DE856" s="118"/>
      <c r="DF856" s="118"/>
      <c r="DG856" s="118"/>
      <c r="DH856" s="118"/>
      <c r="DI856" s="118"/>
      <c r="DJ856" s="118"/>
      <c r="DK856" s="118"/>
      <c r="DL856" s="118"/>
      <c r="DM856" s="118"/>
      <c r="DN856" s="118"/>
      <c r="DO856" s="118"/>
      <c r="DP856" s="118"/>
      <c r="DQ856" s="118"/>
      <c r="DR856" s="118"/>
      <c r="DS856" s="118"/>
      <c r="DT856" s="118"/>
      <c r="DU856" s="19"/>
      <c r="DV856" s="19"/>
      <c r="DW856" s="19"/>
      <c r="DX856" s="19"/>
      <c r="DY856" s="19"/>
      <c r="DZ856" s="19"/>
    </row>
    <row r="857" spans="1:130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18"/>
      <c r="BX857" s="118"/>
      <c r="BY857" s="118"/>
      <c r="BZ857" s="118"/>
      <c r="CA857" s="118"/>
      <c r="CB857" s="118"/>
      <c r="CC857" s="118"/>
      <c r="CD857" s="118"/>
      <c r="CE857" s="118"/>
      <c r="CF857" s="118"/>
      <c r="CG857" s="118"/>
      <c r="CH857" s="118"/>
      <c r="CI857" s="118"/>
      <c r="CJ857" s="118"/>
      <c r="CK857" s="118"/>
      <c r="CL857" s="118"/>
      <c r="CM857" s="118"/>
      <c r="CN857" s="118"/>
      <c r="CO857" s="118"/>
      <c r="CP857" s="118"/>
      <c r="CQ857" s="118"/>
      <c r="CR857" s="118"/>
      <c r="CS857" s="118"/>
      <c r="CT857" s="118"/>
      <c r="CU857" s="118"/>
      <c r="CV857" s="118"/>
      <c r="CW857" s="118"/>
      <c r="CX857" s="118"/>
      <c r="CY857" s="118"/>
      <c r="CZ857" s="118"/>
      <c r="DA857" s="118"/>
      <c r="DB857" s="118"/>
      <c r="DC857" s="118"/>
      <c r="DD857" s="118"/>
      <c r="DE857" s="118"/>
      <c r="DF857" s="118"/>
      <c r="DG857" s="118"/>
      <c r="DH857" s="118"/>
      <c r="DI857" s="118"/>
      <c r="DJ857" s="118"/>
      <c r="DK857" s="118"/>
      <c r="DL857" s="118"/>
      <c r="DM857" s="118"/>
      <c r="DN857" s="118"/>
      <c r="DO857" s="118"/>
      <c r="DP857" s="118"/>
      <c r="DQ857" s="118"/>
      <c r="DR857" s="118"/>
      <c r="DS857" s="118"/>
      <c r="DT857" s="118"/>
      <c r="DU857" s="19"/>
      <c r="DV857" s="19"/>
      <c r="DW857" s="19"/>
      <c r="DX857" s="19"/>
      <c r="DY857" s="19"/>
      <c r="DZ857" s="19"/>
    </row>
    <row r="858" spans="1:130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18"/>
      <c r="BX858" s="118"/>
      <c r="BY858" s="118"/>
      <c r="BZ858" s="118"/>
      <c r="CA858" s="118"/>
      <c r="CB858" s="118"/>
      <c r="CC858" s="118"/>
      <c r="CD858" s="118"/>
      <c r="CE858" s="118"/>
      <c r="CF858" s="118"/>
      <c r="CG858" s="118"/>
      <c r="CH858" s="118"/>
      <c r="CI858" s="118"/>
      <c r="CJ858" s="118"/>
      <c r="CK858" s="118"/>
      <c r="CL858" s="118"/>
      <c r="CM858" s="118"/>
      <c r="CN858" s="118"/>
      <c r="CO858" s="118"/>
      <c r="CP858" s="118"/>
      <c r="CQ858" s="118"/>
      <c r="CR858" s="118"/>
      <c r="CS858" s="118"/>
      <c r="CT858" s="118"/>
      <c r="CU858" s="118"/>
      <c r="CV858" s="118"/>
      <c r="CW858" s="118"/>
      <c r="CX858" s="118"/>
      <c r="CY858" s="118"/>
      <c r="CZ858" s="118"/>
      <c r="DA858" s="118"/>
      <c r="DB858" s="118"/>
      <c r="DC858" s="118"/>
      <c r="DD858" s="118"/>
      <c r="DE858" s="118"/>
      <c r="DF858" s="118"/>
      <c r="DG858" s="118"/>
      <c r="DH858" s="118"/>
      <c r="DI858" s="118"/>
      <c r="DJ858" s="118"/>
      <c r="DK858" s="118"/>
      <c r="DL858" s="118"/>
      <c r="DM858" s="118"/>
      <c r="DN858" s="118"/>
      <c r="DO858" s="118"/>
      <c r="DP858" s="118"/>
      <c r="DQ858" s="118"/>
      <c r="DR858" s="118"/>
      <c r="DS858" s="118"/>
      <c r="DT858" s="118"/>
      <c r="DU858" s="19"/>
      <c r="DV858" s="19"/>
      <c r="DW858" s="19"/>
      <c r="DX858" s="19"/>
      <c r="DY858" s="19"/>
      <c r="DZ858" s="19"/>
    </row>
    <row r="859" spans="1:130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18"/>
      <c r="BX859" s="118"/>
      <c r="BY859" s="118"/>
      <c r="BZ859" s="118"/>
      <c r="CA859" s="118"/>
      <c r="CB859" s="118"/>
      <c r="CC859" s="118"/>
      <c r="CD859" s="118"/>
      <c r="CE859" s="118"/>
      <c r="CF859" s="118"/>
      <c r="CG859" s="118"/>
      <c r="CH859" s="118"/>
      <c r="CI859" s="118"/>
      <c r="CJ859" s="118"/>
      <c r="CK859" s="118"/>
      <c r="CL859" s="118"/>
      <c r="CM859" s="118"/>
      <c r="CN859" s="118"/>
      <c r="CO859" s="118"/>
      <c r="CP859" s="118"/>
      <c r="CQ859" s="118"/>
      <c r="CR859" s="118"/>
      <c r="CS859" s="118"/>
      <c r="CT859" s="118"/>
      <c r="CU859" s="118"/>
      <c r="CV859" s="118"/>
      <c r="CW859" s="118"/>
      <c r="CX859" s="118"/>
      <c r="CY859" s="118"/>
      <c r="CZ859" s="118"/>
      <c r="DA859" s="118"/>
      <c r="DB859" s="118"/>
      <c r="DC859" s="118"/>
      <c r="DD859" s="118"/>
      <c r="DE859" s="118"/>
      <c r="DF859" s="118"/>
      <c r="DG859" s="118"/>
      <c r="DH859" s="118"/>
      <c r="DI859" s="118"/>
      <c r="DJ859" s="118"/>
      <c r="DK859" s="118"/>
      <c r="DL859" s="118"/>
      <c r="DM859" s="118"/>
      <c r="DN859" s="118"/>
      <c r="DO859" s="118"/>
      <c r="DP859" s="118"/>
      <c r="DQ859" s="118"/>
      <c r="DR859" s="118"/>
      <c r="DS859" s="118"/>
      <c r="DT859" s="118"/>
      <c r="DU859" s="19"/>
      <c r="DV859" s="19"/>
      <c r="DW859" s="19"/>
      <c r="DX859" s="19"/>
      <c r="DY859" s="19"/>
      <c r="DZ859" s="19"/>
    </row>
    <row r="860" spans="1:130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18"/>
      <c r="BX860" s="118"/>
      <c r="BY860" s="118"/>
      <c r="BZ860" s="118"/>
      <c r="CA860" s="118"/>
      <c r="CB860" s="118"/>
      <c r="CC860" s="118"/>
      <c r="CD860" s="118"/>
      <c r="CE860" s="118"/>
      <c r="CF860" s="118"/>
      <c r="CG860" s="118"/>
      <c r="CH860" s="118"/>
      <c r="CI860" s="118"/>
      <c r="CJ860" s="118"/>
      <c r="CK860" s="118"/>
      <c r="CL860" s="118"/>
      <c r="CM860" s="118"/>
      <c r="CN860" s="118"/>
      <c r="CO860" s="118"/>
      <c r="CP860" s="118"/>
      <c r="CQ860" s="118"/>
      <c r="CR860" s="118"/>
      <c r="CS860" s="118"/>
      <c r="CT860" s="118"/>
      <c r="CU860" s="118"/>
      <c r="CV860" s="118"/>
      <c r="CW860" s="118"/>
      <c r="CX860" s="118"/>
      <c r="CY860" s="118"/>
      <c r="CZ860" s="118"/>
      <c r="DA860" s="118"/>
      <c r="DB860" s="118"/>
      <c r="DC860" s="118"/>
      <c r="DD860" s="118"/>
      <c r="DE860" s="118"/>
      <c r="DF860" s="118"/>
      <c r="DG860" s="118"/>
      <c r="DH860" s="118"/>
      <c r="DI860" s="118"/>
      <c r="DJ860" s="118"/>
      <c r="DK860" s="118"/>
      <c r="DL860" s="118"/>
      <c r="DM860" s="118"/>
      <c r="DN860" s="118"/>
      <c r="DO860" s="118"/>
      <c r="DP860" s="118"/>
      <c r="DQ860" s="118"/>
      <c r="DR860" s="118"/>
      <c r="DS860" s="118"/>
      <c r="DT860" s="118"/>
      <c r="DU860" s="19"/>
      <c r="DV860" s="19"/>
      <c r="DW860" s="19"/>
      <c r="DX860" s="19"/>
      <c r="DY860" s="19"/>
      <c r="DZ860" s="19"/>
    </row>
    <row r="861" spans="1:130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18"/>
      <c r="BX861" s="118"/>
      <c r="BY861" s="118"/>
      <c r="BZ861" s="118"/>
      <c r="CA861" s="118"/>
      <c r="CB861" s="118"/>
      <c r="CC861" s="118"/>
      <c r="CD861" s="118"/>
      <c r="CE861" s="118"/>
      <c r="CF861" s="118"/>
      <c r="CG861" s="118"/>
      <c r="CH861" s="118"/>
      <c r="CI861" s="118"/>
      <c r="CJ861" s="118"/>
      <c r="CK861" s="118"/>
      <c r="CL861" s="118"/>
      <c r="CM861" s="118"/>
      <c r="CN861" s="118"/>
      <c r="CO861" s="118"/>
      <c r="CP861" s="118"/>
      <c r="CQ861" s="118"/>
      <c r="CR861" s="118"/>
      <c r="CS861" s="118"/>
      <c r="CT861" s="118"/>
      <c r="CU861" s="118"/>
      <c r="CV861" s="118"/>
      <c r="CW861" s="118"/>
      <c r="CX861" s="118"/>
      <c r="CY861" s="118"/>
      <c r="CZ861" s="118"/>
      <c r="DA861" s="118"/>
      <c r="DB861" s="118"/>
      <c r="DC861" s="118"/>
      <c r="DD861" s="118"/>
      <c r="DE861" s="118"/>
      <c r="DF861" s="118"/>
      <c r="DG861" s="118"/>
      <c r="DH861" s="118"/>
      <c r="DI861" s="118"/>
      <c r="DJ861" s="118"/>
      <c r="DK861" s="118"/>
      <c r="DL861" s="118"/>
      <c r="DM861" s="118"/>
      <c r="DN861" s="118"/>
      <c r="DO861" s="118"/>
      <c r="DP861" s="118"/>
      <c r="DQ861" s="118"/>
      <c r="DR861" s="118"/>
      <c r="DS861" s="118"/>
      <c r="DT861" s="118"/>
      <c r="DU861" s="19"/>
      <c r="DV861" s="19"/>
      <c r="DW861" s="19"/>
      <c r="DX861" s="19"/>
      <c r="DY861" s="19"/>
      <c r="DZ861" s="19"/>
    </row>
    <row r="862" spans="1:130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18"/>
      <c r="BX862" s="118"/>
      <c r="BY862" s="118"/>
      <c r="BZ862" s="118"/>
      <c r="CA862" s="118"/>
      <c r="CB862" s="118"/>
      <c r="CC862" s="118"/>
      <c r="CD862" s="118"/>
      <c r="CE862" s="118"/>
      <c r="CF862" s="118"/>
      <c r="CG862" s="118"/>
      <c r="CH862" s="118"/>
      <c r="CI862" s="118"/>
      <c r="CJ862" s="118"/>
      <c r="CK862" s="118"/>
      <c r="CL862" s="118"/>
      <c r="CM862" s="118"/>
      <c r="CN862" s="118"/>
      <c r="CO862" s="118"/>
      <c r="CP862" s="118"/>
      <c r="CQ862" s="118"/>
      <c r="CR862" s="118"/>
      <c r="CS862" s="118"/>
      <c r="CT862" s="118"/>
      <c r="CU862" s="118"/>
      <c r="CV862" s="118"/>
      <c r="CW862" s="118"/>
      <c r="CX862" s="118"/>
      <c r="CY862" s="118"/>
      <c r="CZ862" s="118"/>
      <c r="DA862" s="118"/>
      <c r="DB862" s="118"/>
      <c r="DC862" s="118"/>
      <c r="DD862" s="118"/>
      <c r="DE862" s="118"/>
      <c r="DF862" s="118"/>
      <c r="DG862" s="118"/>
      <c r="DH862" s="118"/>
      <c r="DI862" s="118"/>
      <c r="DJ862" s="118"/>
      <c r="DK862" s="118"/>
      <c r="DL862" s="118"/>
      <c r="DM862" s="118"/>
      <c r="DN862" s="118"/>
      <c r="DO862" s="118"/>
      <c r="DP862" s="118"/>
      <c r="DQ862" s="118"/>
      <c r="DR862" s="118"/>
      <c r="DS862" s="118"/>
      <c r="DT862" s="118"/>
      <c r="DU862" s="19"/>
      <c r="DV862" s="19"/>
      <c r="DW862" s="19"/>
      <c r="DX862" s="19"/>
      <c r="DY862" s="19"/>
      <c r="DZ862" s="19"/>
    </row>
    <row r="863" spans="1:130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18"/>
      <c r="BX863" s="118"/>
      <c r="BY863" s="118"/>
      <c r="BZ863" s="118"/>
      <c r="CA863" s="118"/>
      <c r="CB863" s="118"/>
      <c r="CC863" s="118"/>
      <c r="CD863" s="118"/>
      <c r="CE863" s="118"/>
      <c r="CF863" s="118"/>
      <c r="CG863" s="118"/>
      <c r="CH863" s="118"/>
      <c r="CI863" s="118"/>
      <c r="CJ863" s="118"/>
      <c r="CK863" s="118"/>
      <c r="CL863" s="118"/>
      <c r="CM863" s="118"/>
      <c r="CN863" s="118"/>
      <c r="CO863" s="118"/>
      <c r="CP863" s="118"/>
      <c r="CQ863" s="118"/>
      <c r="CR863" s="118"/>
      <c r="CS863" s="118"/>
      <c r="CT863" s="118"/>
      <c r="CU863" s="118"/>
      <c r="CV863" s="118"/>
      <c r="CW863" s="118"/>
      <c r="CX863" s="118"/>
      <c r="CY863" s="118"/>
      <c r="CZ863" s="118"/>
      <c r="DA863" s="118"/>
      <c r="DB863" s="118"/>
      <c r="DC863" s="118"/>
      <c r="DD863" s="118"/>
      <c r="DE863" s="118"/>
      <c r="DF863" s="118"/>
      <c r="DG863" s="118"/>
      <c r="DH863" s="118"/>
      <c r="DI863" s="118"/>
      <c r="DJ863" s="118"/>
      <c r="DK863" s="118"/>
      <c r="DL863" s="118"/>
      <c r="DM863" s="118"/>
      <c r="DN863" s="118"/>
      <c r="DO863" s="118"/>
      <c r="DP863" s="118"/>
      <c r="DQ863" s="118"/>
      <c r="DR863" s="118"/>
      <c r="DS863" s="118"/>
      <c r="DT863" s="118"/>
      <c r="DU863" s="19"/>
      <c r="DV863" s="19"/>
      <c r="DW863" s="19"/>
      <c r="DX863" s="19"/>
      <c r="DY863" s="19"/>
      <c r="DZ863" s="19"/>
    </row>
    <row r="864" spans="1:130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18"/>
      <c r="BX864" s="118"/>
      <c r="BY864" s="118"/>
      <c r="BZ864" s="118"/>
      <c r="CA864" s="118"/>
      <c r="CB864" s="118"/>
      <c r="CC864" s="118"/>
      <c r="CD864" s="118"/>
      <c r="CE864" s="118"/>
      <c r="CF864" s="118"/>
      <c r="CG864" s="118"/>
      <c r="CH864" s="118"/>
      <c r="CI864" s="118"/>
      <c r="CJ864" s="118"/>
      <c r="CK864" s="118"/>
      <c r="CL864" s="118"/>
      <c r="CM864" s="118"/>
      <c r="CN864" s="118"/>
      <c r="CO864" s="118"/>
      <c r="CP864" s="118"/>
      <c r="CQ864" s="118"/>
      <c r="CR864" s="118"/>
      <c r="CS864" s="118"/>
      <c r="CT864" s="118"/>
      <c r="CU864" s="118"/>
      <c r="CV864" s="118"/>
      <c r="CW864" s="118"/>
      <c r="CX864" s="118"/>
      <c r="CY864" s="118"/>
      <c r="CZ864" s="118"/>
      <c r="DA864" s="118"/>
      <c r="DB864" s="118"/>
      <c r="DC864" s="118"/>
      <c r="DD864" s="118"/>
      <c r="DE864" s="118"/>
      <c r="DF864" s="118"/>
      <c r="DG864" s="118"/>
      <c r="DH864" s="118"/>
      <c r="DI864" s="118"/>
      <c r="DJ864" s="118"/>
      <c r="DK864" s="118"/>
      <c r="DL864" s="118"/>
      <c r="DM864" s="118"/>
      <c r="DN864" s="118"/>
      <c r="DO864" s="118"/>
      <c r="DP864" s="118"/>
      <c r="DQ864" s="118"/>
      <c r="DR864" s="118"/>
      <c r="DS864" s="118"/>
      <c r="DT864" s="118"/>
      <c r="DU864" s="19"/>
      <c r="DV864" s="19"/>
      <c r="DW864" s="19"/>
      <c r="DX864" s="19"/>
      <c r="DY864" s="19"/>
      <c r="DZ864" s="19"/>
    </row>
    <row r="865" spans="1:130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18"/>
      <c r="BX865" s="118"/>
      <c r="BY865" s="118"/>
      <c r="BZ865" s="118"/>
      <c r="CA865" s="118"/>
      <c r="CB865" s="118"/>
      <c r="CC865" s="118"/>
      <c r="CD865" s="118"/>
      <c r="CE865" s="118"/>
      <c r="CF865" s="118"/>
      <c r="CG865" s="118"/>
      <c r="CH865" s="118"/>
      <c r="CI865" s="118"/>
      <c r="CJ865" s="118"/>
      <c r="CK865" s="118"/>
      <c r="CL865" s="118"/>
      <c r="CM865" s="118"/>
      <c r="CN865" s="118"/>
      <c r="CO865" s="118"/>
      <c r="CP865" s="118"/>
      <c r="CQ865" s="118"/>
      <c r="CR865" s="118"/>
      <c r="CS865" s="118"/>
      <c r="CT865" s="118"/>
      <c r="CU865" s="118"/>
      <c r="CV865" s="118"/>
      <c r="CW865" s="118"/>
      <c r="CX865" s="118"/>
      <c r="CY865" s="118"/>
      <c r="CZ865" s="118"/>
      <c r="DA865" s="118"/>
      <c r="DB865" s="118"/>
      <c r="DC865" s="118"/>
      <c r="DD865" s="118"/>
      <c r="DE865" s="118"/>
      <c r="DF865" s="118"/>
      <c r="DG865" s="118"/>
      <c r="DH865" s="118"/>
      <c r="DI865" s="118"/>
      <c r="DJ865" s="118"/>
      <c r="DK865" s="118"/>
      <c r="DL865" s="118"/>
      <c r="DM865" s="118"/>
      <c r="DN865" s="118"/>
      <c r="DO865" s="118"/>
      <c r="DP865" s="118"/>
      <c r="DQ865" s="118"/>
      <c r="DR865" s="118"/>
      <c r="DS865" s="118"/>
      <c r="DT865" s="118"/>
      <c r="DU865" s="19"/>
      <c r="DV865" s="19"/>
      <c r="DW865" s="19"/>
      <c r="DX865" s="19"/>
      <c r="DY865" s="19"/>
      <c r="DZ865" s="19"/>
    </row>
    <row r="866" spans="1:130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18"/>
      <c r="BX866" s="118"/>
      <c r="BY866" s="118"/>
      <c r="BZ866" s="118"/>
      <c r="CA866" s="118"/>
      <c r="CB866" s="118"/>
      <c r="CC866" s="118"/>
      <c r="CD866" s="118"/>
      <c r="CE866" s="118"/>
      <c r="CF866" s="118"/>
      <c r="CG866" s="118"/>
      <c r="CH866" s="118"/>
      <c r="CI866" s="118"/>
      <c r="CJ866" s="118"/>
      <c r="CK866" s="118"/>
      <c r="CL866" s="118"/>
      <c r="CM866" s="118"/>
      <c r="CN866" s="118"/>
      <c r="CO866" s="118"/>
      <c r="CP866" s="118"/>
      <c r="CQ866" s="118"/>
      <c r="CR866" s="118"/>
      <c r="CS866" s="118"/>
      <c r="CT866" s="118"/>
      <c r="CU866" s="118"/>
      <c r="CV866" s="118"/>
      <c r="CW866" s="118"/>
      <c r="CX866" s="118"/>
      <c r="CY866" s="118"/>
      <c r="CZ866" s="118"/>
      <c r="DA866" s="118"/>
      <c r="DB866" s="118"/>
      <c r="DC866" s="118"/>
      <c r="DD866" s="118"/>
      <c r="DE866" s="118"/>
      <c r="DF866" s="118"/>
      <c r="DG866" s="118"/>
      <c r="DH866" s="118"/>
      <c r="DI866" s="118"/>
      <c r="DJ866" s="118"/>
      <c r="DK866" s="118"/>
      <c r="DL866" s="118"/>
      <c r="DM866" s="118"/>
      <c r="DN866" s="118"/>
      <c r="DO866" s="118"/>
      <c r="DP866" s="118"/>
      <c r="DQ866" s="118"/>
      <c r="DR866" s="118"/>
      <c r="DS866" s="118"/>
      <c r="DT866" s="118"/>
      <c r="DU866" s="19"/>
      <c r="DV866" s="19"/>
      <c r="DW866" s="19"/>
      <c r="DX866" s="19"/>
      <c r="DY866" s="19"/>
      <c r="DZ866" s="19"/>
    </row>
    <row r="867" spans="1:130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18"/>
      <c r="BX867" s="118"/>
      <c r="BY867" s="118"/>
      <c r="BZ867" s="118"/>
      <c r="CA867" s="118"/>
      <c r="CB867" s="118"/>
      <c r="CC867" s="118"/>
      <c r="CD867" s="118"/>
      <c r="CE867" s="118"/>
      <c r="CF867" s="118"/>
      <c r="CG867" s="118"/>
      <c r="CH867" s="118"/>
      <c r="CI867" s="118"/>
      <c r="CJ867" s="118"/>
      <c r="CK867" s="118"/>
      <c r="CL867" s="118"/>
      <c r="CM867" s="118"/>
      <c r="CN867" s="118"/>
      <c r="CO867" s="118"/>
      <c r="CP867" s="118"/>
      <c r="CQ867" s="118"/>
      <c r="CR867" s="118"/>
      <c r="CS867" s="118"/>
      <c r="CT867" s="118"/>
      <c r="CU867" s="118"/>
      <c r="CV867" s="118"/>
      <c r="CW867" s="118"/>
      <c r="CX867" s="118"/>
      <c r="CY867" s="118"/>
      <c r="CZ867" s="118"/>
      <c r="DA867" s="118"/>
      <c r="DB867" s="118"/>
      <c r="DC867" s="118"/>
      <c r="DD867" s="118"/>
      <c r="DE867" s="118"/>
      <c r="DF867" s="118"/>
      <c r="DG867" s="118"/>
      <c r="DH867" s="118"/>
      <c r="DI867" s="118"/>
      <c r="DJ867" s="118"/>
      <c r="DK867" s="118"/>
      <c r="DL867" s="118"/>
      <c r="DM867" s="118"/>
      <c r="DN867" s="118"/>
      <c r="DO867" s="118"/>
      <c r="DP867" s="118"/>
      <c r="DQ867" s="118"/>
      <c r="DR867" s="118"/>
      <c r="DS867" s="118"/>
      <c r="DT867" s="118"/>
      <c r="DU867" s="19"/>
      <c r="DV867" s="19"/>
      <c r="DW867" s="19"/>
      <c r="DX867" s="19"/>
      <c r="DY867" s="19"/>
      <c r="DZ867" s="19"/>
    </row>
    <row r="868" spans="1:130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18"/>
      <c r="BX868" s="118"/>
      <c r="BY868" s="118"/>
      <c r="BZ868" s="118"/>
      <c r="CA868" s="118"/>
      <c r="CB868" s="118"/>
      <c r="CC868" s="118"/>
      <c r="CD868" s="118"/>
      <c r="CE868" s="118"/>
      <c r="CF868" s="118"/>
      <c r="CG868" s="118"/>
      <c r="CH868" s="118"/>
      <c r="CI868" s="118"/>
      <c r="CJ868" s="118"/>
      <c r="CK868" s="118"/>
      <c r="CL868" s="118"/>
      <c r="CM868" s="118"/>
      <c r="CN868" s="118"/>
      <c r="CO868" s="118"/>
      <c r="CP868" s="118"/>
      <c r="CQ868" s="118"/>
      <c r="CR868" s="118"/>
      <c r="CS868" s="118"/>
      <c r="CT868" s="118"/>
      <c r="CU868" s="118"/>
      <c r="CV868" s="118"/>
      <c r="CW868" s="118"/>
      <c r="CX868" s="118"/>
      <c r="CY868" s="118"/>
      <c r="CZ868" s="118"/>
      <c r="DA868" s="118"/>
      <c r="DB868" s="118"/>
      <c r="DC868" s="118"/>
      <c r="DD868" s="118"/>
      <c r="DE868" s="118"/>
      <c r="DF868" s="118"/>
      <c r="DG868" s="118"/>
      <c r="DH868" s="118"/>
      <c r="DI868" s="118"/>
      <c r="DJ868" s="118"/>
      <c r="DK868" s="118"/>
      <c r="DL868" s="118"/>
      <c r="DM868" s="118"/>
      <c r="DN868" s="118"/>
      <c r="DO868" s="118"/>
      <c r="DP868" s="118"/>
      <c r="DQ868" s="118"/>
      <c r="DR868" s="118"/>
      <c r="DS868" s="118"/>
      <c r="DT868" s="118"/>
      <c r="DU868" s="19"/>
      <c r="DV868" s="19"/>
      <c r="DW868" s="19"/>
      <c r="DX868" s="19"/>
      <c r="DY868" s="19"/>
      <c r="DZ868" s="19"/>
    </row>
    <row r="869" spans="1:130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18"/>
      <c r="BX869" s="118"/>
      <c r="BY869" s="118"/>
      <c r="BZ869" s="118"/>
      <c r="CA869" s="118"/>
      <c r="CB869" s="118"/>
      <c r="CC869" s="118"/>
      <c r="CD869" s="118"/>
      <c r="CE869" s="118"/>
      <c r="CF869" s="118"/>
      <c r="CG869" s="118"/>
      <c r="CH869" s="118"/>
      <c r="CI869" s="118"/>
      <c r="CJ869" s="118"/>
      <c r="CK869" s="118"/>
      <c r="CL869" s="118"/>
      <c r="CM869" s="118"/>
      <c r="CN869" s="118"/>
      <c r="CO869" s="118"/>
      <c r="CP869" s="118"/>
      <c r="CQ869" s="118"/>
      <c r="CR869" s="118"/>
      <c r="CS869" s="118"/>
      <c r="CT869" s="118"/>
      <c r="CU869" s="118"/>
      <c r="CV869" s="118"/>
      <c r="CW869" s="118"/>
      <c r="CX869" s="118"/>
      <c r="CY869" s="118"/>
      <c r="CZ869" s="118"/>
      <c r="DA869" s="118"/>
      <c r="DB869" s="118"/>
      <c r="DC869" s="118"/>
      <c r="DD869" s="118"/>
      <c r="DE869" s="118"/>
      <c r="DF869" s="118"/>
      <c r="DG869" s="118"/>
      <c r="DH869" s="118"/>
      <c r="DI869" s="118"/>
      <c r="DJ869" s="118"/>
      <c r="DK869" s="118"/>
      <c r="DL869" s="118"/>
      <c r="DM869" s="118"/>
      <c r="DN869" s="118"/>
      <c r="DO869" s="118"/>
      <c r="DP869" s="118"/>
      <c r="DQ869" s="118"/>
      <c r="DR869" s="118"/>
      <c r="DS869" s="118"/>
      <c r="DT869" s="118"/>
      <c r="DU869" s="19"/>
      <c r="DV869" s="19"/>
      <c r="DW869" s="19"/>
      <c r="DX869" s="19"/>
      <c r="DY869" s="19"/>
      <c r="DZ869" s="19"/>
    </row>
    <row r="870" spans="1:130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18"/>
      <c r="BX870" s="118"/>
      <c r="BY870" s="118"/>
      <c r="BZ870" s="118"/>
      <c r="CA870" s="118"/>
      <c r="CB870" s="118"/>
      <c r="CC870" s="118"/>
      <c r="CD870" s="118"/>
      <c r="CE870" s="118"/>
      <c r="CF870" s="118"/>
      <c r="CG870" s="118"/>
      <c r="CH870" s="118"/>
      <c r="CI870" s="118"/>
      <c r="CJ870" s="118"/>
      <c r="CK870" s="118"/>
      <c r="CL870" s="118"/>
      <c r="CM870" s="118"/>
      <c r="CN870" s="118"/>
      <c r="CO870" s="118"/>
      <c r="CP870" s="118"/>
      <c r="CQ870" s="118"/>
      <c r="CR870" s="118"/>
      <c r="CS870" s="118"/>
      <c r="CT870" s="118"/>
      <c r="CU870" s="118"/>
      <c r="CV870" s="118"/>
      <c r="CW870" s="118"/>
      <c r="CX870" s="118"/>
      <c r="CY870" s="118"/>
      <c r="CZ870" s="118"/>
      <c r="DA870" s="118"/>
      <c r="DB870" s="118"/>
      <c r="DC870" s="118"/>
      <c r="DD870" s="118"/>
      <c r="DE870" s="118"/>
      <c r="DF870" s="118"/>
      <c r="DG870" s="118"/>
      <c r="DH870" s="118"/>
      <c r="DI870" s="118"/>
      <c r="DJ870" s="118"/>
      <c r="DK870" s="118"/>
      <c r="DL870" s="118"/>
      <c r="DM870" s="118"/>
      <c r="DN870" s="118"/>
      <c r="DO870" s="118"/>
      <c r="DP870" s="118"/>
      <c r="DQ870" s="118"/>
      <c r="DR870" s="118"/>
      <c r="DS870" s="118"/>
      <c r="DT870" s="118"/>
      <c r="DU870" s="19"/>
      <c r="DV870" s="19"/>
      <c r="DW870" s="19"/>
      <c r="DX870" s="19"/>
      <c r="DY870" s="19"/>
      <c r="DZ870" s="19"/>
    </row>
    <row r="871" spans="1:130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18"/>
      <c r="BX871" s="118"/>
      <c r="BY871" s="118"/>
      <c r="BZ871" s="118"/>
      <c r="CA871" s="118"/>
      <c r="CB871" s="118"/>
      <c r="CC871" s="118"/>
      <c r="CD871" s="118"/>
      <c r="CE871" s="118"/>
      <c r="CF871" s="118"/>
      <c r="CG871" s="118"/>
      <c r="CH871" s="118"/>
      <c r="CI871" s="118"/>
      <c r="CJ871" s="118"/>
      <c r="CK871" s="118"/>
      <c r="CL871" s="118"/>
      <c r="CM871" s="118"/>
      <c r="CN871" s="118"/>
      <c r="CO871" s="118"/>
      <c r="CP871" s="118"/>
      <c r="CQ871" s="118"/>
      <c r="CR871" s="118"/>
      <c r="CS871" s="118"/>
      <c r="CT871" s="118"/>
      <c r="CU871" s="118"/>
      <c r="CV871" s="118"/>
      <c r="CW871" s="118"/>
      <c r="CX871" s="118"/>
      <c r="CY871" s="118"/>
      <c r="CZ871" s="118"/>
      <c r="DA871" s="118"/>
      <c r="DB871" s="118"/>
      <c r="DC871" s="118"/>
      <c r="DD871" s="118"/>
      <c r="DE871" s="118"/>
      <c r="DF871" s="118"/>
      <c r="DG871" s="118"/>
      <c r="DH871" s="118"/>
      <c r="DI871" s="118"/>
      <c r="DJ871" s="118"/>
      <c r="DK871" s="118"/>
      <c r="DL871" s="118"/>
      <c r="DM871" s="118"/>
      <c r="DN871" s="118"/>
      <c r="DO871" s="118"/>
      <c r="DP871" s="118"/>
      <c r="DQ871" s="118"/>
      <c r="DR871" s="118"/>
      <c r="DS871" s="118"/>
      <c r="DT871" s="118"/>
      <c r="DU871" s="19"/>
      <c r="DV871" s="19"/>
      <c r="DW871" s="19"/>
      <c r="DX871" s="19"/>
      <c r="DY871" s="19"/>
      <c r="DZ871" s="19"/>
    </row>
    <row r="872" spans="1:130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18"/>
      <c r="BX872" s="118"/>
      <c r="BY872" s="118"/>
      <c r="BZ872" s="118"/>
      <c r="CA872" s="118"/>
      <c r="CB872" s="118"/>
      <c r="CC872" s="118"/>
      <c r="CD872" s="118"/>
      <c r="CE872" s="118"/>
      <c r="CF872" s="118"/>
      <c r="CG872" s="118"/>
      <c r="CH872" s="118"/>
      <c r="CI872" s="118"/>
      <c r="CJ872" s="118"/>
      <c r="CK872" s="118"/>
      <c r="CL872" s="118"/>
      <c r="CM872" s="118"/>
      <c r="CN872" s="118"/>
      <c r="CO872" s="118"/>
      <c r="CP872" s="118"/>
      <c r="CQ872" s="118"/>
      <c r="CR872" s="118"/>
      <c r="CS872" s="118"/>
      <c r="CT872" s="118"/>
      <c r="CU872" s="118"/>
      <c r="CV872" s="118"/>
      <c r="CW872" s="118"/>
      <c r="CX872" s="118"/>
      <c r="CY872" s="118"/>
      <c r="CZ872" s="118"/>
      <c r="DA872" s="118"/>
      <c r="DB872" s="118"/>
      <c r="DC872" s="118"/>
      <c r="DD872" s="118"/>
      <c r="DE872" s="118"/>
      <c r="DF872" s="118"/>
      <c r="DG872" s="118"/>
      <c r="DH872" s="118"/>
      <c r="DI872" s="118"/>
      <c r="DJ872" s="118"/>
      <c r="DK872" s="118"/>
      <c r="DL872" s="118"/>
      <c r="DM872" s="118"/>
      <c r="DN872" s="118"/>
      <c r="DO872" s="118"/>
      <c r="DP872" s="118"/>
      <c r="DQ872" s="118"/>
      <c r="DR872" s="118"/>
      <c r="DS872" s="118"/>
      <c r="DT872" s="118"/>
      <c r="DU872" s="19"/>
      <c r="DV872" s="19"/>
      <c r="DW872" s="19"/>
      <c r="DX872" s="19"/>
      <c r="DY872" s="19"/>
      <c r="DZ872" s="19"/>
    </row>
    <row r="873" spans="1:130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18"/>
      <c r="BX873" s="118"/>
      <c r="BY873" s="118"/>
      <c r="BZ873" s="118"/>
      <c r="CA873" s="118"/>
      <c r="CB873" s="118"/>
      <c r="CC873" s="118"/>
      <c r="CD873" s="118"/>
      <c r="CE873" s="118"/>
      <c r="CF873" s="118"/>
      <c r="CG873" s="118"/>
      <c r="CH873" s="118"/>
      <c r="CI873" s="118"/>
      <c r="CJ873" s="118"/>
      <c r="CK873" s="118"/>
      <c r="CL873" s="118"/>
      <c r="CM873" s="118"/>
      <c r="CN873" s="118"/>
      <c r="CO873" s="118"/>
      <c r="CP873" s="118"/>
      <c r="CQ873" s="118"/>
      <c r="CR873" s="118"/>
      <c r="CS873" s="118"/>
      <c r="CT873" s="118"/>
      <c r="CU873" s="118"/>
      <c r="CV873" s="118"/>
      <c r="CW873" s="118"/>
      <c r="CX873" s="118"/>
      <c r="CY873" s="118"/>
      <c r="CZ873" s="118"/>
      <c r="DA873" s="118"/>
      <c r="DB873" s="118"/>
      <c r="DC873" s="118"/>
      <c r="DD873" s="118"/>
      <c r="DE873" s="118"/>
      <c r="DF873" s="118"/>
      <c r="DG873" s="118"/>
      <c r="DH873" s="118"/>
      <c r="DI873" s="118"/>
      <c r="DJ873" s="118"/>
      <c r="DK873" s="118"/>
      <c r="DL873" s="118"/>
      <c r="DM873" s="118"/>
      <c r="DN873" s="118"/>
      <c r="DO873" s="118"/>
      <c r="DP873" s="118"/>
      <c r="DQ873" s="118"/>
      <c r="DR873" s="118"/>
      <c r="DS873" s="118"/>
      <c r="DT873" s="118"/>
      <c r="DU873" s="19"/>
      <c r="DV873" s="19"/>
      <c r="DW873" s="19"/>
      <c r="DX873" s="19"/>
      <c r="DY873" s="19"/>
      <c r="DZ873" s="19"/>
    </row>
    <row r="874" spans="1:130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18"/>
      <c r="BX874" s="118"/>
      <c r="BY874" s="118"/>
      <c r="BZ874" s="118"/>
      <c r="CA874" s="118"/>
      <c r="CB874" s="118"/>
      <c r="CC874" s="118"/>
      <c r="CD874" s="118"/>
      <c r="CE874" s="118"/>
      <c r="CF874" s="118"/>
      <c r="CG874" s="118"/>
      <c r="CH874" s="118"/>
      <c r="CI874" s="118"/>
      <c r="CJ874" s="118"/>
      <c r="CK874" s="118"/>
      <c r="CL874" s="118"/>
      <c r="CM874" s="118"/>
      <c r="CN874" s="118"/>
      <c r="CO874" s="118"/>
      <c r="CP874" s="118"/>
      <c r="CQ874" s="118"/>
      <c r="CR874" s="118"/>
      <c r="CS874" s="118"/>
      <c r="CT874" s="118"/>
      <c r="CU874" s="118"/>
      <c r="CV874" s="118"/>
      <c r="CW874" s="118"/>
      <c r="CX874" s="118"/>
      <c r="CY874" s="118"/>
      <c r="CZ874" s="118"/>
      <c r="DA874" s="118"/>
      <c r="DB874" s="118"/>
      <c r="DC874" s="118"/>
      <c r="DD874" s="118"/>
      <c r="DE874" s="118"/>
      <c r="DF874" s="118"/>
      <c r="DG874" s="118"/>
      <c r="DH874" s="118"/>
      <c r="DI874" s="118"/>
      <c r="DJ874" s="118"/>
      <c r="DK874" s="118"/>
      <c r="DL874" s="118"/>
      <c r="DM874" s="118"/>
      <c r="DN874" s="118"/>
      <c r="DO874" s="118"/>
      <c r="DP874" s="118"/>
      <c r="DQ874" s="118"/>
      <c r="DR874" s="118"/>
      <c r="DS874" s="118"/>
      <c r="DT874" s="118"/>
      <c r="DU874" s="19"/>
      <c r="DV874" s="19"/>
      <c r="DW874" s="19"/>
      <c r="DX874" s="19"/>
      <c r="DY874" s="19"/>
      <c r="DZ874" s="19"/>
    </row>
    <row r="875" spans="1:130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18"/>
      <c r="BX875" s="118"/>
      <c r="BY875" s="118"/>
      <c r="BZ875" s="118"/>
      <c r="CA875" s="118"/>
      <c r="CB875" s="118"/>
      <c r="CC875" s="118"/>
      <c r="CD875" s="118"/>
      <c r="CE875" s="118"/>
      <c r="CF875" s="118"/>
      <c r="CG875" s="118"/>
      <c r="CH875" s="118"/>
      <c r="CI875" s="118"/>
      <c r="CJ875" s="118"/>
      <c r="CK875" s="118"/>
      <c r="CL875" s="118"/>
      <c r="CM875" s="118"/>
      <c r="CN875" s="118"/>
      <c r="CO875" s="118"/>
      <c r="CP875" s="118"/>
      <c r="CQ875" s="118"/>
      <c r="CR875" s="118"/>
      <c r="CS875" s="118"/>
      <c r="CT875" s="118"/>
      <c r="CU875" s="118"/>
      <c r="CV875" s="118"/>
      <c r="CW875" s="118"/>
      <c r="CX875" s="118"/>
      <c r="CY875" s="118"/>
      <c r="CZ875" s="118"/>
      <c r="DA875" s="118"/>
      <c r="DB875" s="118"/>
      <c r="DC875" s="118"/>
      <c r="DD875" s="118"/>
      <c r="DE875" s="118"/>
      <c r="DF875" s="118"/>
      <c r="DG875" s="118"/>
      <c r="DH875" s="118"/>
      <c r="DI875" s="118"/>
      <c r="DJ875" s="118"/>
      <c r="DK875" s="118"/>
      <c r="DL875" s="118"/>
      <c r="DM875" s="118"/>
      <c r="DN875" s="118"/>
      <c r="DO875" s="118"/>
      <c r="DP875" s="118"/>
      <c r="DQ875" s="118"/>
      <c r="DR875" s="118"/>
      <c r="DS875" s="118"/>
      <c r="DT875" s="118"/>
      <c r="DU875" s="19"/>
      <c r="DV875" s="19"/>
      <c r="DW875" s="19"/>
      <c r="DX875" s="19"/>
      <c r="DY875" s="19"/>
      <c r="DZ875" s="19"/>
    </row>
    <row r="876" spans="1:130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18"/>
      <c r="BX876" s="118"/>
      <c r="BY876" s="118"/>
      <c r="BZ876" s="118"/>
      <c r="CA876" s="118"/>
      <c r="CB876" s="118"/>
      <c r="CC876" s="118"/>
      <c r="CD876" s="118"/>
      <c r="CE876" s="118"/>
      <c r="CF876" s="118"/>
      <c r="CG876" s="118"/>
      <c r="CH876" s="118"/>
      <c r="CI876" s="118"/>
      <c r="CJ876" s="118"/>
      <c r="CK876" s="118"/>
      <c r="CL876" s="118"/>
      <c r="CM876" s="118"/>
      <c r="CN876" s="118"/>
      <c r="CO876" s="118"/>
      <c r="CP876" s="118"/>
      <c r="CQ876" s="118"/>
      <c r="CR876" s="118"/>
      <c r="CS876" s="118"/>
      <c r="CT876" s="118"/>
      <c r="CU876" s="118"/>
      <c r="CV876" s="118"/>
      <c r="CW876" s="118"/>
      <c r="CX876" s="118"/>
      <c r="CY876" s="118"/>
      <c r="CZ876" s="118"/>
      <c r="DA876" s="118"/>
      <c r="DB876" s="118"/>
      <c r="DC876" s="118"/>
      <c r="DD876" s="118"/>
      <c r="DE876" s="118"/>
      <c r="DF876" s="118"/>
      <c r="DG876" s="118"/>
      <c r="DH876" s="118"/>
      <c r="DI876" s="118"/>
      <c r="DJ876" s="118"/>
      <c r="DK876" s="118"/>
      <c r="DL876" s="118"/>
      <c r="DM876" s="118"/>
      <c r="DN876" s="118"/>
      <c r="DO876" s="118"/>
      <c r="DP876" s="118"/>
      <c r="DQ876" s="118"/>
      <c r="DR876" s="118"/>
      <c r="DS876" s="118"/>
      <c r="DT876" s="118"/>
      <c r="DU876" s="19"/>
      <c r="DV876" s="19"/>
      <c r="DW876" s="19"/>
      <c r="DX876" s="19"/>
      <c r="DY876" s="19"/>
      <c r="DZ876" s="19"/>
    </row>
    <row r="877" spans="1:130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18"/>
      <c r="BX877" s="118"/>
      <c r="BY877" s="118"/>
      <c r="BZ877" s="118"/>
      <c r="CA877" s="118"/>
      <c r="CB877" s="118"/>
      <c r="CC877" s="118"/>
      <c r="CD877" s="118"/>
      <c r="CE877" s="118"/>
      <c r="CF877" s="118"/>
      <c r="CG877" s="118"/>
      <c r="CH877" s="118"/>
      <c r="CI877" s="118"/>
      <c r="CJ877" s="118"/>
      <c r="CK877" s="118"/>
      <c r="CL877" s="118"/>
      <c r="CM877" s="118"/>
      <c r="CN877" s="118"/>
      <c r="CO877" s="118"/>
      <c r="CP877" s="118"/>
      <c r="CQ877" s="118"/>
      <c r="CR877" s="118"/>
      <c r="CS877" s="118"/>
      <c r="CT877" s="118"/>
      <c r="CU877" s="118"/>
      <c r="CV877" s="118"/>
      <c r="CW877" s="118"/>
      <c r="CX877" s="118"/>
      <c r="CY877" s="118"/>
      <c r="CZ877" s="118"/>
      <c r="DA877" s="118"/>
      <c r="DB877" s="118"/>
      <c r="DC877" s="118"/>
      <c r="DD877" s="118"/>
      <c r="DE877" s="118"/>
      <c r="DF877" s="118"/>
      <c r="DG877" s="118"/>
      <c r="DH877" s="118"/>
      <c r="DI877" s="118"/>
      <c r="DJ877" s="118"/>
      <c r="DK877" s="118"/>
      <c r="DL877" s="118"/>
      <c r="DM877" s="118"/>
      <c r="DN877" s="118"/>
      <c r="DO877" s="118"/>
      <c r="DP877" s="118"/>
      <c r="DQ877" s="118"/>
      <c r="DR877" s="118"/>
      <c r="DS877" s="118"/>
      <c r="DT877" s="118"/>
      <c r="DU877" s="19"/>
      <c r="DV877" s="19"/>
      <c r="DW877" s="19"/>
      <c r="DX877" s="19"/>
      <c r="DY877" s="19"/>
      <c r="DZ877" s="19"/>
    </row>
    <row r="878" spans="1:130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18"/>
      <c r="BX878" s="118"/>
      <c r="BY878" s="118"/>
      <c r="BZ878" s="118"/>
      <c r="CA878" s="118"/>
      <c r="CB878" s="118"/>
      <c r="CC878" s="118"/>
      <c r="CD878" s="118"/>
      <c r="CE878" s="118"/>
      <c r="CF878" s="118"/>
      <c r="CG878" s="118"/>
      <c r="CH878" s="118"/>
      <c r="CI878" s="118"/>
      <c r="CJ878" s="118"/>
      <c r="CK878" s="118"/>
      <c r="CL878" s="118"/>
      <c r="CM878" s="118"/>
      <c r="CN878" s="118"/>
      <c r="CO878" s="118"/>
      <c r="CP878" s="118"/>
      <c r="CQ878" s="118"/>
      <c r="CR878" s="118"/>
      <c r="CS878" s="118"/>
      <c r="CT878" s="118"/>
      <c r="CU878" s="118"/>
      <c r="CV878" s="118"/>
      <c r="CW878" s="118"/>
      <c r="CX878" s="118"/>
      <c r="CY878" s="118"/>
      <c r="CZ878" s="118"/>
      <c r="DA878" s="118"/>
      <c r="DB878" s="118"/>
      <c r="DC878" s="118"/>
      <c r="DD878" s="118"/>
      <c r="DE878" s="118"/>
      <c r="DF878" s="118"/>
      <c r="DG878" s="118"/>
      <c r="DH878" s="118"/>
      <c r="DI878" s="118"/>
      <c r="DJ878" s="118"/>
      <c r="DK878" s="118"/>
      <c r="DL878" s="118"/>
      <c r="DM878" s="118"/>
      <c r="DN878" s="118"/>
      <c r="DO878" s="118"/>
      <c r="DP878" s="118"/>
      <c r="DQ878" s="118"/>
      <c r="DR878" s="118"/>
      <c r="DS878" s="118"/>
      <c r="DT878" s="118"/>
      <c r="DU878" s="19"/>
      <c r="DV878" s="19"/>
      <c r="DW878" s="19"/>
      <c r="DX878" s="19"/>
      <c r="DY878" s="19"/>
      <c r="DZ878" s="19"/>
    </row>
    <row r="879" spans="1:130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18"/>
      <c r="BX879" s="118"/>
      <c r="BY879" s="118"/>
      <c r="BZ879" s="118"/>
      <c r="CA879" s="118"/>
      <c r="CB879" s="118"/>
      <c r="CC879" s="118"/>
      <c r="CD879" s="118"/>
      <c r="CE879" s="118"/>
      <c r="CF879" s="118"/>
      <c r="CG879" s="118"/>
      <c r="CH879" s="118"/>
      <c r="CI879" s="118"/>
      <c r="CJ879" s="118"/>
      <c r="CK879" s="118"/>
      <c r="CL879" s="118"/>
      <c r="CM879" s="118"/>
      <c r="CN879" s="118"/>
      <c r="CO879" s="118"/>
      <c r="CP879" s="118"/>
      <c r="CQ879" s="118"/>
      <c r="CR879" s="118"/>
      <c r="CS879" s="118"/>
      <c r="CT879" s="118"/>
      <c r="CU879" s="118"/>
      <c r="CV879" s="118"/>
      <c r="CW879" s="118"/>
      <c r="CX879" s="118"/>
      <c r="CY879" s="118"/>
      <c r="CZ879" s="118"/>
      <c r="DA879" s="118"/>
      <c r="DB879" s="118"/>
      <c r="DC879" s="118"/>
      <c r="DD879" s="118"/>
      <c r="DE879" s="118"/>
      <c r="DF879" s="118"/>
      <c r="DG879" s="118"/>
      <c r="DH879" s="118"/>
      <c r="DI879" s="118"/>
      <c r="DJ879" s="118"/>
      <c r="DK879" s="118"/>
      <c r="DL879" s="118"/>
      <c r="DM879" s="118"/>
      <c r="DN879" s="118"/>
      <c r="DO879" s="118"/>
      <c r="DP879" s="118"/>
      <c r="DQ879" s="118"/>
      <c r="DR879" s="118"/>
      <c r="DS879" s="118"/>
      <c r="DT879" s="118"/>
      <c r="DU879" s="19"/>
      <c r="DV879" s="19"/>
      <c r="DW879" s="19"/>
      <c r="DX879" s="19"/>
      <c r="DY879" s="19"/>
      <c r="DZ879" s="19"/>
    </row>
    <row r="880" spans="1:130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18"/>
      <c r="BX880" s="118"/>
      <c r="BY880" s="118"/>
      <c r="BZ880" s="118"/>
      <c r="CA880" s="118"/>
      <c r="CB880" s="118"/>
      <c r="CC880" s="118"/>
      <c r="CD880" s="118"/>
      <c r="CE880" s="118"/>
      <c r="CF880" s="118"/>
      <c r="CG880" s="118"/>
      <c r="CH880" s="118"/>
      <c r="CI880" s="118"/>
      <c r="CJ880" s="118"/>
      <c r="CK880" s="118"/>
      <c r="CL880" s="118"/>
      <c r="CM880" s="118"/>
      <c r="CN880" s="118"/>
      <c r="CO880" s="118"/>
      <c r="CP880" s="118"/>
      <c r="CQ880" s="118"/>
      <c r="CR880" s="118"/>
      <c r="CS880" s="118"/>
      <c r="CT880" s="118"/>
      <c r="CU880" s="118"/>
      <c r="CV880" s="118"/>
      <c r="CW880" s="118"/>
      <c r="CX880" s="118"/>
      <c r="CY880" s="118"/>
      <c r="CZ880" s="118"/>
      <c r="DA880" s="118"/>
      <c r="DB880" s="118"/>
      <c r="DC880" s="118"/>
      <c r="DD880" s="118"/>
      <c r="DE880" s="118"/>
      <c r="DF880" s="118"/>
      <c r="DG880" s="118"/>
      <c r="DH880" s="118"/>
      <c r="DI880" s="118"/>
      <c r="DJ880" s="118"/>
      <c r="DK880" s="118"/>
      <c r="DL880" s="118"/>
      <c r="DM880" s="118"/>
      <c r="DN880" s="118"/>
      <c r="DO880" s="118"/>
      <c r="DP880" s="118"/>
      <c r="DQ880" s="118"/>
      <c r="DR880" s="118"/>
      <c r="DS880" s="118"/>
      <c r="DT880" s="118"/>
      <c r="DU880" s="19"/>
      <c r="DV880" s="19"/>
      <c r="DW880" s="19"/>
      <c r="DX880" s="19"/>
      <c r="DY880" s="19"/>
      <c r="DZ880" s="19"/>
    </row>
    <row r="881" spans="1:130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18"/>
      <c r="BX881" s="118"/>
      <c r="BY881" s="118"/>
      <c r="BZ881" s="118"/>
      <c r="CA881" s="118"/>
      <c r="CB881" s="118"/>
      <c r="CC881" s="118"/>
      <c r="CD881" s="118"/>
      <c r="CE881" s="118"/>
      <c r="CF881" s="118"/>
      <c r="CG881" s="118"/>
      <c r="CH881" s="118"/>
      <c r="CI881" s="118"/>
      <c r="CJ881" s="118"/>
      <c r="CK881" s="118"/>
      <c r="CL881" s="118"/>
      <c r="CM881" s="118"/>
      <c r="CN881" s="118"/>
      <c r="CO881" s="118"/>
      <c r="CP881" s="118"/>
      <c r="CQ881" s="118"/>
      <c r="CR881" s="118"/>
      <c r="CS881" s="118"/>
      <c r="CT881" s="118"/>
      <c r="CU881" s="118"/>
      <c r="CV881" s="118"/>
      <c r="CW881" s="118"/>
      <c r="CX881" s="118"/>
      <c r="CY881" s="118"/>
      <c r="CZ881" s="118"/>
      <c r="DA881" s="118"/>
      <c r="DB881" s="118"/>
      <c r="DC881" s="118"/>
      <c r="DD881" s="118"/>
      <c r="DE881" s="118"/>
      <c r="DF881" s="118"/>
      <c r="DG881" s="118"/>
      <c r="DH881" s="118"/>
      <c r="DI881" s="118"/>
      <c r="DJ881" s="118"/>
      <c r="DK881" s="118"/>
      <c r="DL881" s="118"/>
      <c r="DM881" s="118"/>
      <c r="DN881" s="118"/>
      <c r="DO881" s="118"/>
      <c r="DP881" s="118"/>
      <c r="DQ881" s="118"/>
      <c r="DR881" s="118"/>
      <c r="DS881" s="118"/>
      <c r="DT881" s="118"/>
      <c r="DU881" s="19"/>
      <c r="DV881" s="19"/>
      <c r="DW881" s="19"/>
      <c r="DX881" s="19"/>
      <c r="DY881" s="19"/>
      <c r="DZ881" s="19"/>
    </row>
    <row r="882" spans="1:130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18"/>
      <c r="BX882" s="118"/>
      <c r="BY882" s="118"/>
      <c r="BZ882" s="118"/>
      <c r="CA882" s="118"/>
      <c r="CB882" s="118"/>
      <c r="CC882" s="118"/>
      <c r="CD882" s="118"/>
      <c r="CE882" s="118"/>
      <c r="CF882" s="118"/>
      <c r="CG882" s="118"/>
      <c r="CH882" s="118"/>
      <c r="CI882" s="118"/>
      <c r="CJ882" s="118"/>
      <c r="CK882" s="118"/>
      <c r="CL882" s="118"/>
      <c r="CM882" s="118"/>
      <c r="CN882" s="118"/>
      <c r="CO882" s="118"/>
      <c r="CP882" s="118"/>
      <c r="CQ882" s="118"/>
      <c r="CR882" s="118"/>
      <c r="CS882" s="118"/>
      <c r="CT882" s="118"/>
      <c r="CU882" s="118"/>
      <c r="CV882" s="118"/>
      <c r="CW882" s="118"/>
      <c r="CX882" s="118"/>
      <c r="CY882" s="118"/>
      <c r="CZ882" s="118"/>
      <c r="DA882" s="118"/>
      <c r="DB882" s="118"/>
      <c r="DC882" s="118"/>
      <c r="DD882" s="118"/>
      <c r="DE882" s="118"/>
      <c r="DF882" s="118"/>
      <c r="DG882" s="118"/>
      <c r="DH882" s="118"/>
      <c r="DI882" s="118"/>
      <c r="DJ882" s="118"/>
      <c r="DK882" s="118"/>
      <c r="DL882" s="118"/>
      <c r="DM882" s="118"/>
      <c r="DN882" s="118"/>
      <c r="DO882" s="118"/>
      <c r="DP882" s="118"/>
      <c r="DQ882" s="118"/>
      <c r="DR882" s="118"/>
      <c r="DS882" s="118"/>
      <c r="DT882" s="118"/>
      <c r="DU882" s="19"/>
      <c r="DV882" s="19"/>
      <c r="DW882" s="19"/>
      <c r="DX882" s="19"/>
      <c r="DY882" s="19"/>
      <c r="DZ882" s="19"/>
    </row>
    <row r="883" spans="1:130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18"/>
      <c r="BX883" s="118"/>
      <c r="BY883" s="118"/>
      <c r="BZ883" s="118"/>
      <c r="CA883" s="118"/>
      <c r="CB883" s="118"/>
      <c r="CC883" s="118"/>
      <c r="CD883" s="118"/>
      <c r="CE883" s="118"/>
      <c r="CF883" s="118"/>
      <c r="CG883" s="118"/>
      <c r="CH883" s="118"/>
      <c r="CI883" s="118"/>
      <c r="CJ883" s="118"/>
      <c r="CK883" s="118"/>
      <c r="CL883" s="118"/>
      <c r="CM883" s="118"/>
      <c r="CN883" s="118"/>
      <c r="CO883" s="118"/>
      <c r="CP883" s="118"/>
      <c r="CQ883" s="118"/>
      <c r="CR883" s="118"/>
      <c r="CS883" s="118"/>
      <c r="CT883" s="118"/>
      <c r="CU883" s="118"/>
      <c r="CV883" s="118"/>
      <c r="CW883" s="118"/>
      <c r="CX883" s="118"/>
      <c r="CY883" s="118"/>
      <c r="CZ883" s="118"/>
      <c r="DA883" s="118"/>
      <c r="DB883" s="118"/>
      <c r="DC883" s="118"/>
      <c r="DD883" s="118"/>
      <c r="DE883" s="118"/>
      <c r="DF883" s="118"/>
      <c r="DG883" s="118"/>
      <c r="DH883" s="118"/>
      <c r="DI883" s="118"/>
      <c r="DJ883" s="118"/>
      <c r="DK883" s="118"/>
      <c r="DL883" s="118"/>
      <c r="DM883" s="118"/>
      <c r="DN883" s="118"/>
      <c r="DO883" s="118"/>
      <c r="DP883" s="118"/>
      <c r="DQ883" s="118"/>
      <c r="DR883" s="118"/>
      <c r="DS883" s="118"/>
      <c r="DT883" s="118"/>
      <c r="DU883" s="19"/>
      <c r="DV883" s="19"/>
      <c r="DW883" s="19"/>
      <c r="DX883" s="19"/>
      <c r="DY883" s="19"/>
      <c r="DZ883" s="19"/>
    </row>
    <row r="884" spans="1:130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18"/>
      <c r="BX884" s="118"/>
      <c r="BY884" s="118"/>
      <c r="BZ884" s="118"/>
      <c r="CA884" s="118"/>
      <c r="CB884" s="118"/>
      <c r="CC884" s="118"/>
      <c r="CD884" s="118"/>
      <c r="CE884" s="118"/>
      <c r="CF884" s="118"/>
      <c r="CG884" s="118"/>
      <c r="CH884" s="118"/>
      <c r="CI884" s="118"/>
      <c r="CJ884" s="118"/>
      <c r="CK884" s="118"/>
      <c r="CL884" s="118"/>
      <c r="CM884" s="118"/>
      <c r="CN884" s="118"/>
      <c r="CO884" s="118"/>
      <c r="CP884" s="118"/>
      <c r="CQ884" s="118"/>
      <c r="CR884" s="118"/>
      <c r="CS884" s="118"/>
      <c r="CT884" s="118"/>
      <c r="CU884" s="118"/>
      <c r="CV884" s="118"/>
      <c r="CW884" s="118"/>
      <c r="CX884" s="118"/>
      <c r="CY884" s="118"/>
      <c r="CZ884" s="118"/>
      <c r="DA884" s="118"/>
      <c r="DB884" s="118"/>
      <c r="DC884" s="118"/>
      <c r="DD884" s="118"/>
      <c r="DE884" s="118"/>
      <c r="DF884" s="118"/>
      <c r="DG884" s="118"/>
      <c r="DH884" s="118"/>
      <c r="DI884" s="118"/>
      <c r="DJ884" s="118"/>
      <c r="DK884" s="118"/>
      <c r="DL884" s="118"/>
      <c r="DM884" s="118"/>
      <c r="DN884" s="118"/>
      <c r="DO884" s="118"/>
      <c r="DP884" s="118"/>
      <c r="DQ884" s="118"/>
      <c r="DR884" s="118"/>
      <c r="DS884" s="118"/>
      <c r="DT884" s="118"/>
      <c r="DU884" s="19"/>
      <c r="DV884" s="19"/>
      <c r="DW884" s="19"/>
      <c r="DX884" s="19"/>
      <c r="DY884" s="19"/>
      <c r="DZ884" s="19"/>
    </row>
    <row r="885" spans="1:130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18"/>
      <c r="BX885" s="118"/>
      <c r="BY885" s="118"/>
      <c r="BZ885" s="118"/>
      <c r="CA885" s="118"/>
      <c r="CB885" s="118"/>
      <c r="CC885" s="118"/>
      <c r="CD885" s="118"/>
      <c r="CE885" s="118"/>
      <c r="CF885" s="118"/>
      <c r="CG885" s="118"/>
      <c r="CH885" s="118"/>
      <c r="CI885" s="118"/>
      <c r="CJ885" s="118"/>
      <c r="CK885" s="118"/>
      <c r="CL885" s="118"/>
      <c r="CM885" s="118"/>
      <c r="CN885" s="118"/>
      <c r="CO885" s="118"/>
      <c r="CP885" s="118"/>
      <c r="CQ885" s="118"/>
      <c r="CR885" s="118"/>
      <c r="CS885" s="118"/>
      <c r="CT885" s="118"/>
      <c r="CU885" s="118"/>
      <c r="CV885" s="118"/>
      <c r="CW885" s="118"/>
      <c r="CX885" s="118"/>
      <c r="CY885" s="118"/>
      <c r="CZ885" s="118"/>
      <c r="DA885" s="118"/>
      <c r="DB885" s="118"/>
      <c r="DC885" s="118"/>
      <c r="DD885" s="118"/>
      <c r="DE885" s="118"/>
      <c r="DF885" s="118"/>
      <c r="DG885" s="118"/>
      <c r="DH885" s="118"/>
      <c r="DI885" s="118"/>
      <c r="DJ885" s="118"/>
      <c r="DK885" s="118"/>
      <c r="DL885" s="118"/>
      <c r="DM885" s="118"/>
      <c r="DN885" s="118"/>
      <c r="DO885" s="118"/>
      <c r="DP885" s="118"/>
      <c r="DQ885" s="118"/>
      <c r="DR885" s="118"/>
      <c r="DS885" s="118"/>
      <c r="DT885" s="118"/>
      <c r="DU885" s="19"/>
      <c r="DV885" s="19"/>
      <c r="DW885" s="19"/>
      <c r="DX885" s="19"/>
      <c r="DY885" s="19"/>
      <c r="DZ885" s="19"/>
    </row>
    <row r="886" spans="1:130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18"/>
      <c r="BX886" s="118"/>
      <c r="BY886" s="118"/>
      <c r="BZ886" s="118"/>
      <c r="CA886" s="118"/>
      <c r="CB886" s="118"/>
      <c r="CC886" s="118"/>
      <c r="CD886" s="118"/>
      <c r="CE886" s="118"/>
      <c r="CF886" s="118"/>
      <c r="CG886" s="118"/>
      <c r="CH886" s="118"/>
      <c r="CI886" s="118"/>
      <c r="CJ886" s="118"/>
      <c r="CK886" s="118"/>
      <c r="CL886" s="118"/>
      <c r="CM886" s="118"/>
      <c r="CN886" s="118"/>
      <c r="CO886" s="118"/>
      <c r="CP886" s="118"/>
      <c r="CQ886" s="118"/>
      <c r="CR886" s="118"/>
      <c r="CS886" s="118"/>
      <c r="CT886" s="118"/>
      <c r="CU886" s="118"/>
      <c r="CV886" s="118"/>
      <c r="CW886" s="118"/>
      <c r="CX886" s="118"/>
      <c r="CY886" s="118"/>
      <c r="CZ886" s="118"/>
      <c r="DA886" s="118"/>
      <c r="DB886" s="118"/>
      <c r="DC886" s="118"/>
      <c r="DD886" s="118"/>
      <c r="DE886" s="118"/>
      <c r="DF886" s="118"/>
      <c r="DG886" s="118"/>
      <c r="DH886" s="118"/>
      <c r="DI886" s="118"/>
      <c r="DJ886" s="118"/>
      <c r="DK886" s="118"/>
      <c r="DL886" s="118"/>
      <c r="DM886" s="118"/>
      <c r="DN886" s="118"/>
      <c r="DO886" s="118"/>
      <c r="DP886" s="118"/>
      <c r="DQ886" s="118"/>
      <c r="DR886" s="118"/>
      <c r="DS886" s="118"/>
      <c r="DT886" s="118"/>
      <c r="DU886" s="19"/>
      <c r="DV886" s="19"/>
      <c r="DW886" s="19"/>
      <c r="DX886" s="19"/>
      <c r="DY886" s="19"/>
      <c r="DZ886" s="19"/>
    </row>
    <row r="887" spans="1:130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18"/>
      <c r="BX887" s="118"/>
      <c r="BY887" s="118"/>
      <c r="BZ887" s="118"/>
      <c r="CA887" s="118"/>
      <c r="CB887" s="118"/>
      <c r="CC887" s="118"/>
      <c r="CD887" s="118"/>
      <c r="CE887" s="118"/>
      <c r="CF887" s="118"/>
      <c r="CG887" s="118"/>
      <c r="CH887" s="118"/>
      <c r="CI887" s="118"/>
      <c r="CJ887" s="118"/>
      <c r="CK887" s="118"/>
      <c r="CL887" s="118"/>
      <c r="CM887" s="118"/>
      <c r="CN887" s="118"/>
      <c r="CO887" s="118"/>
      <c r="CP887" s="118"/>
      <c r="CQ887" s="118"/>
      <c r="CR887" s="118"/>
      <c r="CS887" s="118"/>
      <c r="CT887" s="118"/>
      <c r="CU887" s="118"/>
      <c r="CV887" s="118"/>
      <c r="CW887" s="118"/>
      <c r="CX887" s="118"/>
      <c r="CY887" s="118"/>
      <c r="CZ887" s="118"/>
      <c r="DA887" s="118"/>
      <c r="DB887" s="118"/>
      <c r="DC887" s="118"/>
      <c r="DD887" s="118"/>
      <c r="DE887" s="118"/>
      <c r="DF887" s="118"/>
      <c r="DG887" s="118"/>
      <c r="DH887" s="118"/>
      <c r="DI887" s="118"/>
      <c r="DJ887" s="118"/>
      <c r="DK887" s="118"/>
      <c r="DL887" s="118"/>
      <c r="DM887" s="118"/>
      <c r="DN887" s="118"/>
      <c r="DO887" s="118"/>
      <c r="DP887" s="118"/>
      <c r="DQ887" s="118"/>
      <c r="DR887" s="118"/>
      <c r="DS887" s="118"/>
      <c r="DT887" s="118"/>
      <c r="DU887" s="19"/>
      <c r="DV887" s="19"/>
      <c r="DW887" s="19"/>
      <c r="DX887" s="19"/>
      <c r="DY887" s="19"/>
      <c r="DZ887" s="19"/>
    </row>
    <row r="888" spans="1:130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18"/>
      <c r="BX888" s="118"/>
      <c r="BY888" s="118"/>
      <c r="BZ888" s="118"/>
      <c r="CA888" s="118"/>
      <c r="CB888" s="118"/>
      <c r="CC888" s="118"/>
      <c r="CD888" s="118"/>
      <c r="CE888" s="118"/>
      <c r="CF888" s="118"/>
      <c r="CG888" s="118"/>
      <c r="CH888" s="118"/>
      <c r="CI888" s="118"/>
      <c r="CJ888" s="118"/>
      <c r="CK888" s="118"/>
      <c r="CL888" s="118"/>
      <c r="CM888" s="118"/>
      <c r="CN888" s="118"/>
      <c r="CO888" s="118"/>
      <c r="CP888" s="118"/>
      <c r="CQ888" s="118"/>
      <c r="CR888" s="118"/>
      <c r="CS888" s="118"/>
      <c r="CT888" s="118"/>
      <c r="CU888" s="118"/>
      <c r="CV888" s="118"/>
      <c r="CW888" s="118"/>
      <c r="CX888" s="118"/>
      <c r="CY888" s="118"/>
      <c r="CZ888" s="118"/>
      <c r="DA888" s="118"/>
      <c r="DB888" s="118"/>
      <c r="DC888" s="118"/>
      <c r="DD888" s="118"/>
      <c r="DE888" s="118"/>
      <c r="DF888" s="118"/>
      <c r="DG888" s="118"/>
      <c r="DH888" s="118"/>
      <c r="DI888" s="118"/>
      <c r="DJ888" s="118"/>
      <c r="DK888" s="118"/>
      <c r="DL888" s="118"/>
      <c r="DM888" s="118"/>
      <c r="DN888" s="118"/>
      <c r="DO888" s="118"/>
      <c r="DP888" s="118"/>
      <c r="DQ888" s="118"/>
      <c r="DR888" s="118"/>
      <c r="DS888" s="118"/>
      <c r="DT888" s="118"/>
      <c r="DU888" s="19"/>
      <c r="DV888" s="19"/>
      <c r="DW888" s="19"/>
      <c r="DX888" s="19"/>
      <c r="DY888" s="19"/>
      <c r="DZ888" s="19"/>
    </row>
    <row r="889" spans="1:130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18"/>
      <c r="BX889" s="118"/>
      <c r="BY889" s="118"/>
      <c r="BZ889" s="118"/>
      <c r="CA889" s="118"/>
      <c r="CB889" s="118"/>
      <c r="CC889" s="118"/>
      <c r="CD889" s="118"/>
      <c r="CE889" s="118"/>
      <c r="CF889" s="118"/>
      <c r="CG889" s="118"/>
      <c r="CH889" s="118"/>
      <c r="CI889" s="118"/>
      <c r="CJ889" s="118"/>
      <c r="CK889" s="118"/>
      <c r="CL889" s="118"/>
      <c r="CM889" s="118"/>
      <c r="CN889" s="118"/>
      <c r="CO889" s="118"/>
      <c r="CP889" s="118"/>
      <c r="CQ889" s="118"/>
      <c r="CR889" s="118"/>
      <c r="CS889" s="118"/>
      <c r="CT889" s="118"/>
      <c r="CU889" s="118"/>
      <c r="CV889" s="118"/>
      <c r="CW889" s="118"/>
      <c r="CX889" s="118"/>
      <c r="CY889" s="118"/>
      <c r="CZ889" s="118"/>
      <c r="DA889" s="118"/>
      <c r="DB889" s="118"/>
      <c r="DC889" s="118"/>
      <c r="DD889" s="118"/>
      <c r="DE889" s="118"/>
      <c r="DF889" s="118"/>
      <c r="DG889" s="118"/>
      <c r="DH889" s="118"/>
      <c r="DI889" s="118"/>
      <c r="DJ889" s="118"/>
      <c r="DK889" s="118"/>
      <c r="DL889" s="118"/>
      <c r="DM889" s="118"/>
      <c r="DN889" s="118"/>
      <c r="DO889" s="118"/>
      <c r="DP889" s="118"/>
      <c r="DQ889" s="118"/>
      <c r="DR889" s="118"/>
      <c r="DS889" s="118"/>
      <c r="DT889" s="118"/>
      <c r="DU889" s="19"/>
      <c r="DV889" s="19"/>
      <c r="DW889" s="19"/>
      <c r="DX889" s="19"/>
      <c r="DY889" s="19"/>
      <c r="DZ889" s="19"/>
    </row>
    <row r="890" spans="1:130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18"/>
      <c r="BX890" s="118"/>
      <c r="BY890" s="118"/>
      <c r="BZ890" s="118"/>
      <c r="CA890" s="118"/>
      <c r="CB890" s="118"/>
      <c r="CC890" s="118"/>
      <c r="CD890" s="118"/>
      <c r="CE890" s="118"/>
      <c r="CF890" s="118"/>
      <c r="CG890" s="118"/>
      <c r="CH890" s="118"/>
      <c r="CI890" s="118"/>
      <c r="CJ890" s="118"/>
      <c r="CK890" s="118"/>
      <c r="CL890" s="118"/>
      <c r="CM890" s="118"/>
      <c r="CN890" s="118"/>
      <c r="CO890" s="118"/>
      <c r="CP890" s="118"/>
      <c r="CQ890" s="118"/>
      <c r="CR890" s="118"/>
      <c r="CS890" s="118"/>
      <c r="CT890" s="118"/>
      <c r="CU890" s="118"/>
      <c r="CV890" s="118"/>
      <c r="CW890" s="118"/>
      <c r="CX890" s="118"/>
      <c r="CY890" s="118"/>
      <c r="CZ890" s="118"/>
      <c r="DA890" s="118"/>
      <c r="DB890" s="118"/>
      <c r="DC890" s="118"/>
      <c r="DD890" s="118"/>
      <c r="DE890" s="118"/>
      <c r="DF890" s="118"/>
      <c r="DG890" s="118"/>
      <c r="DH890" s="118"/>
      <c r="DI890" s="118"/>
      <c r="DJ890" s="118"/>
      <c r="DK890" s="118"/>
      <c r="DL890" s="118"/>
      <c r="DM890" s="118"/>
      <c r="DN890" s="118"/>
      <c r="DO890" s="118"/>
      <c r="DP890" s="118"/>
      <c r="DQ890" s="118"/>
      <c r="DR890" s="118"/>
      <c r="DS890" s="118"/>
      <c r="DT890" s="118"/>
      <c r="DU890" s="19"/>
      <c r="DV890" s="19"/>
      <c r="DW890" s="19"/>
      <c r="DX890" s="19"/>
      <c r="DY890" s="19"/>
      <c r="DZ890" s="19"/>
    </row>
    <row r="891" spans="1:130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18"/>
      <c r="BX891" s="118"/>
      <c r="BY891" s="118"/>
      <c r="BZ891" s="118"/>
      <c r="CA891" s="118"/>
      <c r="CB891" s="118"/>
      <c r="CC891" s="118"/>
      <c r="CD891" s="118"/>
      <c r="CE891" s="118"/>
      <c r="CF891" s="118"/>
      <c r="CG891" s="118"/>
      <c r="CH891" s="118"/>
      <c r="CI891" s="118"/>
      <c r="CJ891" s="118"/>
      <c r="CK891" s="118"/>
      <c r="CL891" s="118"/>
      <c r="CM891" s="118"/>
      <c r="CN891" s="118"/>
      <c r="CO891" s="118"/>
      <c r="CP891" s="118"/>
      <c r="CQ891" s="118"/>
      <c r="CR891" s="118"/>
      <c r="CS891" s="118"/>
      <c r="CT891" s="118"/>
      <c r="CU891" s="118"/>
      <c r="CV891" s="118"/>
      <c r="CW891" s="118"/>
      <c r="CX891" s="118"/>
      <c r="CY891" s="118"/>
      <c r="CZ891" s="118"/>
      <c r="DA891" s="118"/>
      <c r="DB891" s="118"/>
      <c r="DC891" s="118"/>
      <c r="DD891" s="118"/>
      <c r="DE891" s="118"/>
      <c r="DF891" s="118"/>
      <c r="DG891" s="118"/>
      <c r="DH891" s="118"/>
      <c r="DI891" s="118"/>
      <c r="DJ891" s="118"/>
      <c r="DK891" s="118"/>
      <c r="DL891" s="118"/>
      <c r="DM891" s="118"/>
      <c r="DN891" s="118"/>
      <c r="DO891" s="118"/>
      <c r="DP891" s="118"/>
      <c r="DQ891" s="118"/>
      <c r="DR891" s="118"/>
      <c r="DS891" s="118"/>
      <c r="DT891" s="118"/>
      <c r="DU891" s="19"/>
      <c r="DV891" s="19"/>
      <c r="DW891" s="19"/>
      <c r="DX891" s="19"/>
      <c r="DY891" s="19"/>
      <c r="DZ891" s="19"/>
    </row>
    <row r="892" spans="1:130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18"/>
      <c r="BX892" s="118"/>
      <c r="BY892" s="118"/>
      <c r="BZ892" s="118"/>
      <c r="CA892" s="118"/>
      <c r="CB892" s="118"/>
      <c r="CC892" s="118"/>
      <c r="CD892" s="118"/>
      <c r="CE892" s="118"/>
      <c r="CF892" s="118"/>
      <c r="CG892" s="118"/>
      <c r="CH892" s="118"/>
      <c r="CI892" s="118"/>
      <c r="CJ892" s="118"/>
      <c r="CK892" s="118"/>
      <c r="CL892" s="118"/>
      <c r="CM892" s="118"/>
      <c r="CN892" s="118"/>
      <c r="CO892" s="118"/>
      <c r="CP892" s="118"/>
      <c r="CQ892" s="118"/>
      <c r="CR892" s="118"/>
      <c r="CS892" s="118"/>
      <c r="CT892" s="118"/>
      <c r="CU892" s="118"/>
      <c r="CV892" s="118"/>
      <c r="CW892" s="118"/>
      <c r="CX892" s="118"/>
      <c r="CY892" s="118"/>
      <c r="CZ892" s="118"/>
      <c r="DA892" s="118"/>
      <c r="DB892" s="118"/>
      <c r="DC892" s="118"/>
      <c r="DD892" s="118"/>
      <c r="DE892" s="118"/>
      <c r="DF892" s="118"/>
      <c r="DG892" s="118"/>
      <c r="DH892" s="118"/>
      <c r="DI892" s="118"/>
      <c r="DJ892" s="118"/>
      <c r="DK892" s="118"/>
      <c r="DL892" s="118"/>
      <c r="DM892" s="118"/>
      <c r="DN892" s="118"/>
      <c r="DO892" s="118"/>
      <c r="DP892" s="118"/>
      <c r="DQ892" s="118"/>
      <c r="DR892" s="118"/>
      <c r="DS892" s="118"/>
      <c r="DT892" s="118"/>
      <c r="DU892" s="19"/>
      <c r="DV892" s="19"/>
      <c r="DW892" s="19"/>
      <c r="DX892" s="19"/>
      <c r="DY892" s="19"/>
      <c r="DZ892" s="19"/>
    </row>
    <row r="893" spans="1:130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18"/>
      <c r="BX893" s="118"/>
      <c r="BY893" s="118"/>
      <c r="BZ893" s="118"/>
      <c r="CA893" s="118"/>
      <c r="CB893" s="118"/>
      <c r="CC893" s="118"/>
      <c r="CD893" s="118"/>
      <c r="CE893" s="118"/>
      <c r="CF893" s="118"/>
      <c r="CG893" s="118"/>
      <c r="CH893" s="118"/>
      <c r="CI893" s="118"/>
      <c r="CJ893" s="118"/>
      <c r="CK893" s="118"/>
      <c r="CL893" s="118"/>
      <c r="CM893" s="118"/>
      <c r="CN893" s="118"/>
      <c r="CO893" s="118"/>
      <c r="CP893" s="118"/>
      <c r="CQ893" s="118"/>
      <c r="CR893" s="118"/>
      <c r="CS893" s="118"/>
      <c r="CT893" s="118"/>
      <c r="CU893" s="118"/>
      <c r="CV893" s="118"/>
      <c r="CW893" s="118"/>
      <c r="CX893" s="118"/>
      <c r="CY893" s="118"/>
      <c r="CZ893" s="118"/>
      <c r="DA893" s="118"/>
      <c r="DB893" s="118"/>
      <c r="DC893" s="118"/>
      <c r="DD893" s="118"/>
      <c r="DE893" s="118"/>
      <c r="DF893" s="118"/>
      <c r="DG893" s="118"/>
      <c r="DH893" s="118"/>
      <c r="DI893" s="118"/>
      <c r="DJ893" s="118"/>
      <c r="DK893" s="118"/>
      <c r="DL893" s="118"/>
      <c r="DM893" s="118"/>
      <c r="DN893" s="118"/>
      <c r="DO893" s="118"/>
      <c r="DP893" s="118"/>
      <c r="DQ893" s="118"/>
      <c r="DR893" s="118"/>
      <c r="DS893" s="118"/>
      <c r="DT893" s="118"/>
      <c r="DU893" s="19"/>
      <c r="DV893" s="19"/>
      <c r="DW893" s="19"/>
      <c r="DX893" s="19"/>
      <c r="DY893" s="19"/>
      <c r="DZ893" s="19"/>
    </row>
    <row r="894" spans="1:130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18"/>
      <c r="BX894" s="118"/>
      <c r="BY894" s="118"/>
      <c r="BZ894" s="118"/>
      <c r="CA894" s="118"/>
      <c r="CB894" s="118"/>
      <c r="CC894" s="118"/>
      <c r="CD894" s="118"/>
      <c r="CE894" s="118"/>
      <c r="CF894" s="118"/>
      <c r="CG894" s="118"/>
      <c r="CH894" s="118"/>
      <c r="CI894" s="118"/>
      <c r="CJ894" s="118"/>
      <c r="CK894" s="118"/>
      <c r="CL894" s="118"/>
      <c r="CM894" s="118"/>
      <c r="CN894" s="118"/>
      <c r="CO894" s="118"/>
      <c r="CP894" s="118"/>
      <c r="CQ894" s="118"/>
      <c r="CR894" s="118"/>
      <c r="CS894" s="118"/>
      <c r="CT894" s="118"/>
      <c r="CU894" s="118"/>
      <c r="CV894" s="118"/>
      <c r="CW894" s="118"/>
      <c r="CX894" s="118"/>
      <c r="CY894" s="118"/>
      <c r="CZ894" s="118"/>
      <c r="DA894" s="118"/>
      <c r="DB894" s="118"/>
      <c r="DC894" s="118"/>
      <c r="DD894" s="118"/>
      <c r="DE894" s="118"/>
      <c r="DF894" s="118"/>
      <c r="DG894" s="118"/>
      <c r="DH894" s="118"/>
      <c r="DI894" s="118"/>
      <c r="DJ894" s="118"/>
      <c r="DK894" s="118"/>
      <c r="DL894" s="118"/>
      <c r="DM894" s="118"/>
      <c r="DN894" s="118"/>
      <c r="DO894" s="118"/>
      <c r="DP894" s="118"/>
      <c r="DQ894" s="118"/>
      <c r="DR894" s="118"/>
      <c r="DS894" s="118"/>
      <c r="DT894" s="118"/>
      <c r="DU894" s="19"/>
      <c r="DV894" s="19"/>
      <c r="DW894" s="19"/>
      <c r="DX894" s="19"/>
      <c r="DY894" s="19"/>
      <c r="DZ894" s="19"/>
    </row>
    <row r="895" spans="1:130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18"/>
      <c r="BX895" s="118"/>
      <c r="BY895" s="118"/>
      <c r="BZ895" s="118"/>
      <c r="CA895" s="118"/>
      <c r="CB895" s="118"/>
      <c r="CC895" s="118"/>
      <c r="CD895" s="118"/>
      <c r="CE895" s="118"/>
      <c r="CF895" s="118"/>
      <c r="CG895" s="118"/>
      <c r="CH895" s="118"/>
      <c r="CI895" s="118"/>
      <c r="CJ895" s="118"/>
      <c r="CK895" s="118"/>
      <c r="CL895" s="118"/>
      <c r="CM895" s="118"/>
      <c r="CN895" s="118"/>
      <c r="CO895" s="118"/>
      <c r="CP895" s="118"/>
      <c r="CQ895" s="118"/>
      <c r="CR895" s="118"/>
      <c r="CS895" s="118"/>
      <c r="CT895" s="118"/>
      <c r="CU895" s="118"/>
      <c r="CV895" s="118"/>
      <c r="CW895" s="118"/>
      <c r="CX895" s="118"/>
      <c r="CY895" s="118"/>
      <c r="CZ895" s="118"/>
      <c r="DA895" s="118"/>
      <c r="DB895" s="118"/>
      <c r="DC895" s="118"/>
      <c r="DD895" s="118"/>
      <c r="DE895" s="118"/>
      <c r="DF895" s="118"/>
      <c r="DG895" s="118"/>
      <c r="DH895" s="118"/>
      <c r="DI895" s="118"/>
      <c r="DJ895" s="118"/>
      <c r="DK895" s="118"/>
      <c r="DL895" s="118"/>
      <c r="DM895" s="118"/>
      <c r="DN895" s="118"/>
      <c r="DO895" s="118"/>
      <c r="DP895" s="118"/>
      <c r="DQ895" s="118"/>
      <c r="DR895" s="118"/>
      <c r="DS895" s="118"/>
      <c r="DT895" s="118"/>
      <c r="DU895" s="19"/>
      <c r="DV895" s="19"/>
      <c r="DW895" s="19"/>
      <c r="DX895" s="19"/>
      <c r="DY895" s="19"/>
      <c r="DZ895" s="19"/>
    </row>
    <row r="896" spans="1:130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18"/>
      <c r="BX896" s="118"/>
      <c r="BY896" s="118"/>
      <c r="BZ896" s="118"/>
      <c r="CA896" s="118"/>
      <c r="CB896" s="118"/>
      <c r="CC896" s="118"/>
      <c r="CD896" s="118"/>
      <c r="CE896" s="118"/>
      <c r="CF896" s="118"/>
      <c r="CG896" s="118"/>
      <c r="CH896" s="118"/>
      <c r="CI896" s="118"/>
      <c r="CJ896" s="118"/>
      <c r="CK896" s="118"/>
      <c r="CL896" s="118"/>
      <c r="CM896" s="118"/>
      <c r="CN896" s="118"/>
      <c r="CO896" s="118"/>
      <c r="CP896" s="118"/>
      <c r="CQ896" s="118"/>
      <c r="CR896" s="118"/>
      <c r="CS896" s="118"/>
      <c r="CT896" s="118"/>
      <c r="CU896" s="118"/>
      <c r="CV896" s="118"/>
      <c r="CW896" s="118"/>
      <c r="CX896" s="118"/>
      <c r="CY896" s="118"/>
      <c r="CZ896" s="118"/>
      <c r="DA896" s="118"/>
      <c r="DB896" s="118"/>
      <c r="DC896" s="118"/>
      <c r="DD896" s="118"/>
      <c r="DE896" s="118"/>
      <c r="DF896" s="118"/>
      <c r="DG896" s="118"/>
      <c r="DH896" s="118"/>
      <c r="DI896" s="118"/>
      <c r="DJ896" s="118"/>
      <c r="DK896" s="118"/>
      <c r="DL896" s="118"/>
      <c r="DM896" s="118"/>
      <c r="DN896" s="118"/>
      <c r="DO896" s="118"/>
      <c r="DP896" s="118"/>
      <c r="DQ896" s="118"/>
      <c r="DR896" s="118"/>
      <c r="DS896" s="118"/>
      <c r="DT896" s="118"/>
      <c r="DU896" s="19"/>
      <c r="DV896" s="19"/>
      <c r="DW896" s="19"/>
      <c r="DX896" s="19"/>
      <c r="DY896" s="19"/>
      <c r="DZ896" s="19"/>
    </row>
    <row r="897" spans="1:130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18"/>
      <c r="BX897" s="118"/>
      <c r="BY897" s="118"/>
      <c r="BZ897" s="118"/>
      <c r="CA897" s="118"/>
      <c r="CB897" s="118"/>
      <c r="CC897" s="118"/>
      <c r="CD897" s="118"/>
      <c r="CE897" s="118"/>
      <c r="CF897" s="118"/>
      <c r="CG897" s="118"/>
      <c r="CH897" s="118"/>
      <c r="CI897" s="118"/>
      <c r="CJ897" s="118"/>
      <c r="CK897" s="118"/>
      <c r="CL897" s="118"/>
      <c r="CM897" s="118"/>
      <c r="CN897" s="118"/>
      <c r="CO897" s="118"/>
      <c r="CP897" s="118"/>
      <c r="CQ897" s="118"/>
      <c r="CR897" s="118"/>
      <c r="CS897" s="118"/>
      <c r="CT897" s="118"/>
      <c r="CU897" s="118"/>
      <c r="CV897" s="118"/>
      <c r="CW897" s="118"/>
      <c r="CX897" s="118"/>
      <c r="CY897" s="118"/>
      <c r="CZ897" s="118"/>
      <c r="DA897" s="118"/>
      <c r="DB897" s="118"/>
      <c r="DC897" s="118"/>
      <c r="DD897" s="118"/>
      <c r="DE897" s="118"/>
      <c r="DF897" s="118"/>
      <c r="DG897" s="118"/>
      <c r="DH897" s="118"/>
      <c r="DI897" s="118"/>
      <c r="DJ897" s="118"/>
      <c r="DK897" s="118"/>
      <c r="DL897" s="118"/>
      <c r="DM897" s="118"/>
      <c r="DN897" s="118"/>
      <c r="DO897" s="118"/>
      <c r="DP897" s="118"/>
      <c r="DQ897" s="118"/>
      <c r="DR897" s="118"/>
      <c r="DS897" s="118"/>
      <c r="DT897" s="118"/>
      <c r="DU897" s="19"/>
      <c r="DV897" s="19"/>
      <c r="DW897" s="19"/>
      <c r="DX897" s="19"/>
      <c r="DY897" s="19"/>
      <c r="DZ897" s="19"/>
    </row>
    <row r="898" spans="1:130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18"/>
      <c r="BX898" s="118"/>
      <c r="BY898" s="118"/>
      <c r="BZ898" s="118"/>
      <c r="CA898" s="118"/>
      <c r="CB898" s="118"/>
      <c r="CC898" s="118"/>
      <c r="CD898" s="118"/>
      <c r="CE898" s="118"/>
      <c r="CF898" s="118"/>
      <c r="CG898" s="118"/>
      <c r="CH898" s="118"/>
      <c r="CI898" s="118"/>
      <c r="CJ898" s="118"/>
      <c r="CK898" s="118"/>
      <c r="CL898" s="118"/>
      <c r="CM898" s="118"/>
      <c r="CN898" s="118"/>
      <c r="CO898" s="118"/>
      <c r="CP898" s="118"/>
      <c r="CQ898" s="118"/>
      <c r="CR898" s="118"/>
      <c r="CS898" s="118"/>
      <c r="CT898" s="118"/>
      <c r="CU898" s="118"/>
      <c r="CV898" s="118"/>
      <c r="CW898" s="118"/>
      <c r="CX898" s="118"/>
      <c r="CY898" s="118"/>
      <c r="CZ898" s="118"/>
      <c r="DA898" s="118"/>
      <c r="DB898" s="118"/>
      <c r="DC898" s="118"/>
      <c r="DD898" s="118"/>
      <c r="DE898" s="118"/>
      <c r="DF898" s="118"/>
      <c r="DG898" s="118"/>
      <c r="DH898" s="118"/>
      <c r="DI898" s="118"/>
      <c r="DJ898" s="118"/>
      <c r="DK898" s="118"/>
      <c r="DL898" s="118"/>
      <c r="DM898" s="118"/>
      <c r="DN898" s="118"/>
      <c r="DO898" s="118"/>
      <c r="DP898" s="118"/>
      <c r="DQ898" s="118"/>
      <c r="DR898" s="118"/>
      <c r="DS898" s="118"/>
      <c r="DT898" s="118"/>
      <c r="DU898" s="19"/>
      <c r="DV898" s="19"/>
      <c r="DW898" s="19"/>
      <c r="DX898" s="19"/>
      <c r="DY898" s="19"/>
      <c r="DZ898" s="19"/>
    </row>
    <row r="899" spans="1:130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18"/>
      <c r="BX899" s="118"/>
      <c r="BY899" s="118"/>
      <c r="BZ899" s="118"/>
      <c r="CA899" s="118"/>
      <c r="CB899" s="118"/>
      <c r="CC899" s="118"/>
      <c r="CD899" s="118"/>
      <c r="CE899" s="118"/>
      <c r="CF899" s="118"/>
      <c r="CG899" s="118"/>
      <c r="CH899" s="118"/>
      <c r="CI899" s="118"/>
      <c r="CJ899" s="118"/>
      <c r="CK899" s="118"/>
      <c r="CL899" s="118"/>
      <c r="CM899" s="118"/>
      <c r="CN899" s="118"/>
      <c r="CO899" s="118"/>
      <c r="CP899" s="118"/>
      <c r="CQ899" s="118"/>
      <c r="CR899" s="118"/>
      <c r="CS899" s="118"/>
      <c r="CT899" s="118"/>
      <c r="CU899" s="118"/>
      <c r="CV899" s="118"/>
      <c r="CW899" s="118"/>
      <c r="CX899" s="118"/>
      <c r="CY899" s="118"/>
      <c r="CZ899" s="118"/>
      <c r="DA899" s="118"/>
      <c r="DB899" s="118"/>
      <c r="DC899" s="118"/>
      <c r="DD899" s="118"/>
      <c r="DE899" s="118"/>
      <c r="DF899" s="118"/>
      <c r="DG899" s="118"/>
      <c r="DH899" s="118"/>
      <c r="DI899" s="118"/>
      <c r="DJ899" s="118"/>
      <c r="DK899" s="118"/>
      <c r="DL899" s="118"/>
      <c r="DM899" s="118"/>
      <c r="DN899" s="118"/>
      <c r="DO899" s="118"/>
      <c r="DP899" s="118"/>
      <c r="DQ899" s="118"/>
      <c r="DR899" s="118"/>
      <c r="DS899" s="118"/>
      <c r="DT899" s="118"/>
      <c r="DU899" s="19"/>
      <c r="DV899" s="19"/>
      <c r="DW899" s="19"/>
      <c r="DX899" s="19"/>
      <c r="DY899" s="19"/>
      <c r="DZ899" s="19"/>
    </row>
    <row r="900" spans="1:130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18"/>
      <c r="BX900" s="118"/>
      <c r="BY900" s="118"/>
      <c r="BZ900" s="118"/>
      <c r="CA900" s="118"/>
      <c r="CB900" s="118"/>
      <c r="CC900" s="118"/>
      <c r="CD900" s="118"/>
      <c r="CE900" s="118"/>
      <c r="CF900" s="118"/>
      <c r="CG900" s="118"/>
      <c r="CH900" s="118"/>
      <c r="CI900" s="118"/>
      <c r="CJ900" s="118"/>
      <c r="CK900" s="118"/>
      <c r="CL900" s="118"/>
      <c r="CM900" s="118"/>
      <c r="CN900" s="118"/>
      <c r="CO900" s="118"/>
      <c r="CP900" s="118"/>
      <c r="CQ900" s="118"/>
      <c r="CR900" s="118"/>
      <c r="CS900" s="118"/>
      <c r="CT900" s="118"/>
      <c r="CU900" s="118"/>
      <c r="CV900" s="118"/>
      <c r="CW900" s="118"/>
      <c r="CX900" s="118"/>
      <c r="CY900" s="118"/>
      <c r="CZ900" s="118"/>
      <c r="DA900" s="118"/>
      <c r="DB900" s="118"/>
      <c r="DC900" s="118"/>
      <c r="DD900" s="118"/>
      <c r="DE900" s="118"/>
      <c r="DF900" s="118"/>
      <c r="DG900" s="118"/>
      <c r="DH900" s="118"/>
      <c r="DI900" s="118"/>
      <c r="DJ900" s="118"/>
      <c r="DK900" s="118"/>
      <c r="DL900" s="118"/>
      <c r="DM900" s="118"/>
      <c r="DN900" s="118"/>
      <c r="DO900" s="118"/>
      <c r="DP900" s="118"/>
      <c r="DQ900" s="118"/>
      <c r="DR900" s="118"/>
      <c r="DS900" s="118"/>
      <c r="DT900" s="118"/>
      <c r="DU900" s="19"/>
      <c r="DV900" s="19"/>
      <c r="DW900" s="19"/>
      <c r="DX900" s="19"/>
      <c r="DY900" s="19"/>
      <c r="DZ900" s="19"/>
    </row>
    <row r="901" spans="1:130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18"/>
      <c r="BX901" s="118"/>
      <c r="BY901" s="118"/>
      <c r="BZ901" s="118"/>
      <c r="CA901" s="118"/>
      <c r="CB901" s="118"/>
      <c r="CC901" s="118"/>
      <c r="CD901" s="118"/>
      <c r="CE901" s="118"/>
      <c r="CF901" s="118"/>
      <c r="CG901" s="118"/>
      <c r="CH901" s="118"/>
      <c r="CI901" s="118"/>
      <c r="CJ901" s="118"/>
      <c r="CK901" s="118"/>
      <c r="CL901" s="118"/>
      <c r="CM901" s="118"/>
      <c r="CN901" s="118"/>
      <c r="CO901" s="118"/>
      <c r="CP901" s="118"/>
      <c r="CQ901" s="118"/>
      <c r="CR901" s="118"/>
      <c r="CS901" s="118"/>
      <c r="CT901" s="118"/>
      <c r="CU901" s="118"/>
      <c r="CV901" s="118"/>
      <c r="CW901" s="118"/>
      <c r="CX901" s="118"/>
      <c r="CY901" s="118"/>
      <c r="CZ901" s="118"/>
      <c r="DA901" s="118"/>
      <c r="DB901" s="118"/>
      <c r="DC901" s="118"/>
      <c r="DD901" s="118"/>
      <c r="DE901" s="118"/>
      <c r="DF901" s="118"/>
      <c r="DG901" s="118"/>
      <c r="DH901" s="118"/>
      <c r="DI901" s="118"/>
      <c r="DJ901" s="118"/>
      <c r="DK901" s="118"/>
      <c r="DL901" s="118"/>
      <c r="DM901" s="118"/>
      <c r="DN901" s="118"/>
      <c r="DO901" s="118"/>
      <c r="DP901" s="118"/>
      <c r="DQ901" s="118"/>
      <c r="DR901" s="118"/>
      <c r="DS901" s="118"/>
      <c r="DT901" s="118"/>
      <c r="DU901" s="19"/>
      <c r="DV901" s="19"/>
      <c r="DW901" s="19"/>
      <c r="DX901" s="19"/>
      <c r="DY901" s="19"/>
      <c r="DZ901" s="19"/>
    </row>
    <row r="902" spans="1:130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18"/>
      <c r="BX902" s="118"/>
      <c r="BY902" s="118"/>
      <c r="BZ902" s="118"/>
      <c r="CA902" s="118"/>
      <c r="CB902" s="118"/>
      <c r="CC902" s="118"/>
      <c r="CD902" s="118"/>
      <c r="CE902" s="118"/>
      <c r="CF902" s="118"/>
      <c r="CG902" s="118"/>
      <c r="CH902" s="118"/>
      <c r="CI902" s="118"/>
      <c r="CJ902" s="118"/>
      <c r="CK902" s="118"/>
      <c r="CL902" s="118"/>
      <c r="CM902" s="118"/>
      <c r="CN902" s="118"/>
      <c r="CO902" s="118"/>
      <c r="CP902" s="118"/>
      <c r="CQ902" s="118"/>
      <c r="CR902" s="118"/>
      <c r="CS902" s="118"/>
      <c r="CT902" s="118"/>
      <c r="CU902" s="118"/>
      <c r="CV902" s="118"/>
      <c r="CW902" s="118"/>
      <c r="CX902" s="118"/>
      <c r="CY902" s="118"/>
      <c r="CZ902" s="118"/>
      <c r="DA902" s="118"/>
      <c r="DB902" s="118"/>
      <c r="DC902" s="118"/>
      <c r="DD902" s="118"/>
      <c r="DE902" s="118"/>
      <c r="DF902" s="118"/>
      <c r="DG902" s="118"/>
      <c r="DH902" s="118"/>
      <c r="DI902" s="118"/>
      <c r="DJ902" s="118"/>
      <c r="DK902" s="118"/>
      <c r="DL902" s="118"/>
      <c r="DM902" s="118"/>
      <c r="DN902" s="118"/>
      <c r="DO902" s="118"/>
      <c r="DP902" s="118"/>
      <c r="DQ902" s="118"/>
      <c r="DR902" s="118"/>
      <c r="DS902" s="118"/>
      <c r="DT902" s="118"/>
      <c r="DU902" s="19"/>
      <c r="DV902" s="19"/>
      <c r="DW902" s="19"/>
      <c r="DX902" s="19"/>
      <c r="DY902" s="19"/>
      <c r="DZ902" s="19"/>
    </row>
    <row r="903" spans="1:130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18"/>
      <c r="BX903" s="118"/>
      <c r="BY903" s="118"/>
      <c r="BZ903" s="118"/>
      <c r="CA903" s="118"/>
      <c r="CB903" s="118"/>
      <c r="CC903" s="118"/>
      <c r="CD903" s="118"/>
      <c r="CE903" s="118"/>
      <c r="CF903" s="118"/>
      <c r="CG903" s="118"/>
      <c r="CH903" s="118"/>
      <c r="CI903" s="118"/>
      <c r="CJ903" s="118"/>
      <c r="CK903" s="118"/>
      <c r="CL903" s="118"/>
      <c r="CM903" s="118"/>
      <c r="CN903" s="118"/>
      <c r="CO903" s="118"/>
      <c r="CP903" s="118"/>
      <c r="CQ903" s="118"/>
      <c r="CR903" s="118"/>
      <c r="CS903" s="118"/>
      <c r="CT903" s="118"/>
      <c r="CU903" s="118"/>
      <c r="CV903" s="118"/>
      <c r="CW903" s="118"/>
      <c r="CX903" s="118"/>
      <c r="CY903" s="118"/>
      <c r="CZ903" s="118"/>
      <c r="DA903" s="118"/>
      <c r="DB903" s="118"/>
      <c r="DC903" s="118"/>
      <c r="DD903" s="118"/>
      <c r="DE903" s="118"/>
      <c r="DF903" s="118"/>
      <c r="DG903" s="118"/>
      <c r="DH903" s="118"/>
      <c r="DI903" s="118"/>
      <c r="DJ903" s="118"/>
      <c r="DK903" s="118"/>
      <c r="DL903" s="118"/>
      <c r="DM903" s="118"/>
      <c r="DN903" s="118"/>
      <c r="DO903" s="118"/>
      <c r="DP903" s="118"/>
      <c r="DQ903" s="118"/>
      <c r="DR903" s="118"/>
      <c r="DS903" s="118"/>
      <c r="DT903" s="118"/>
      <c r="DU903" s="19"/>
      <c r="DV903" s="19"/>
      <c r="DW903" s="19"/>
      <c r="DX903" s="19"/>
      <c r="DY903" s="19"/>
      <c r="DZ903" s="19"/>
    </row>
    <row r="904" spans="1:130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18"/>
      <c r="BX904" s="118"/>
      <c r="BY904" s="118"/>
      <c r="BZ904" s="118"/>
      <c r="CA904" s="118"/>
      <c r="CB904" s="118"/>
      <c r="CC904" s="118"/>
      <c r="CD904" s="118"/>
      <c r="CE904" s="118"/>
      <c r="CF904" s="118"/>
      <c r="CG904" s="118"/>
      <c r="CH904" s="118"/>
      <c r="CI904" s="118"/>
      <c r="CJ904" s="118"/>
      <c r="CK904" s="118"/>
      <c r="CL904" s="118"/>
      <c r="CM904" s="118"/>
      <c r="CN904" s="118"/>
      <c r="CO904" s="118"/>
      <c r="CP904" s="118"/>
      <c r="CQ904" s="118"/>
      <c r="CR904" s="118"/>
      <c r="CS904" s="118"/>
      <c r="CT904" s="118"/>
      <c r="CU904" s="118"/>
      <c r="CV904" s="118"/>
      <c r="CW904" s="118"/>
      <c r="CX904" s="118"/>
      <c r="CY904" s="118"/>
      <c r="CZ904" s="118"/>
      <c r="DA904" s="118"/>
      <c r="DB904" s="118"/>
      <c r="DC904" s="118"/>
      <c r="DD904" s="118"/>
      <c r="DE904" s="118"/>
      <c r="DF904" s="118"/>
      <c r="DG904" s="118"/>
      <c r="DH904" s="118"/>
      <c r="DI904" s="118"/>
      <c r="DJ904" s="118"/>
      <c r="DK904" s="118"/>
      <c r="DL904" s="118"/>
      <c r="DM904" s="118"/>
      <c r="DN904" s="118"/>
      <c r="DO904" s="118"/>
      <c r="DP904" s="118"/>
      <c r="DQ904" s="118"/>
      <c r="DR904" s="118"/>
      <c r="DS904" s="118"/>
      <c r="DT904" s="118"/>
      <c r="DU904" s="19"/>
      <c r="DV904" s="19"/>
      <c r="DW904" s="19"/>
      <c r="DX904" s="19"/>
      <c r="DY904" s="19"/>
      <c r="DZ904" s="19"/>
    </row>
    <row r="905" spans="1:130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18"/>
      <c r="BX905" s="118"/>
      <c r="BY905" s="118"/>
      <c r="BZ905" s="118"/>
      <c r="CA905" s="118"/>
      <c r="CB905" s="118"/>
      <c r="CC905" s="118"/>
      <c r="CD905" s="118"/>
      <c r="CE905" s="118"/>
      <c r="CF905" s="118"/>
      <c r="CG905" s="118"/>
      <c r="CH905" s="118"/>
      <c r="CI905" s="118"/>
      <c r="CJ905" s="118"/>
      <c r="CK905" s="118"/>
      <c r="CL905" s="118"/>
      <c r="CM905" s="118"/>
      <c r="CN905" s="118"/>
      <c r="CO905" s="118"/>
      <c r="CP905" s="118"/>
      <c r="CQ905" s="118"/>
      <c r="CR905" s="118"/>
      <c r="CS905" s="118"/>
      <c r="CT905" s="118"/>
      <c r="CU905" s="118"/>
      <c r="CV905" s="118"/>
      <c r="CW905" s="118"/>
      <c r="CX905" s="118"/>
      <c r="CY905" s="118"/>
      <c r="CZ905" s="118"/>
      <c r="DA905" s="118"/>
      <c r="DB905" s="118"/>
      <c r="DC905" s="118"/>
      <c r="DD905" s="118"/>
      <c r="DE905" s="118"/>
      <c r="DF905" s="118"/>
      <c r="DG905" s="118"/>
      <c r="DH905" s="118"/>
      <c r="DI905" s="118"/>
      <c r="DJ905" s="118"/>
      <c r="DK905" s="118"/>
      <c r="DL905" s="118"/>
      <c r="DM905" s="118"/>
      <c r="DN905" s="118"/>
      <c r="DO905" s="118"/>
      <c r="DP905" s="118"/>
      <c r="DQ905" s="118"/>
      <c r="DR905" s="118"/>
      <c r="DS905" s="118"/>
      <c r="DT905" s="118"/>
      <c r="DU905" s="19"/>
      <c r="DV905" s="19"/>
      <c r="DW905" s="19"/>
      <c r="DX905" s="19"/>
      <c r="DY905" s="19"/>
      <c r="DZ905" s="19"/>
    </row>
    <row r="906" spans="1:130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18"/>
      <c r="BX906" s="118"/>
      <c r="BY906" s="118"/>
      <c r="BZ906" s="118"/>
      <c r="CA906" s="118"/>
      <c r="CB906" s="118"/>
      <c r="CC906" s="118"/>
      <c r="CD906" s="118"/>
      <c r="CE906" s="118"/>
      <c r="CF906" s="118"/>
      <c r="CG906" s="118"/>
      <c r="CH906" s="118"/>
      <c r="CI906" s="118"/>
      <c r="CJ906" s="118"/>
      <c r="CK906" s="118"/>
      <c r="CL906" s="118"/>
      <c r="CM906" s="118"/>
      <c r="CN906" s="118"/>
      <c r="CO906" s="118"/>
      <c r="CP906" s="118"/>
      <c r="CQ906" s="118"/>
      <c r="CR906" s="118"/>
      <c r="CS906" s="118"/>
      <c r="CT906" s="118"/>
      <c r="CU906" s="118"/>
      <c r="CV906" s="118"/>
      <c r="CW906" s="118"/>
      <c r="CX906" s="118"/>
      <c r="CY906" s="118"/>
      <c r="CZ906" s="118"/>
      <c r="DA906" s="118"/>
      <c r="DB906" s="118"/>
      <c r="DC906" s="118"/>
      <c r="DD906" s="118"/>
      <c r="DE906" s="118"/>
      <c r="DF906" s="118"/>
      <c r="DG906" s="118"/>
      <c r="DH906" s="118"/>
      <c r="DI906" s="118"/>
      <c r="DJ906" s="118"/>
      <c r="DK906" s="118"/>
      <c r="DL906" s="118"/>
      <c r="DM906" s="118"/>
      <c r="DN906" s="118"/>
      <c r="DO906" s="118"/>
      <c r="DP906" s="118"/>
      <c r="DQ906" s="118"/>
      <c r="DR906" s="118"/>
      <c r="DS906" s="118"/>
      <c r="DT906" s="118"/>
      <c r="DU906" s="19"/>
      <c r="DV906" s="19"/>
      <c r="DW906" s="19"/>
      <c r="DX906" s="19"/>
      <c r="DY906" s="19"/>
      <c r="DZ906" s="19"/>
    </row>
    <row r="907" spans="1:130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18"/>
      <c r="BX907" s="118"/>
      <c r="BY907" s="118"/>
      <c r="BZ907" s="118"/>
      <c r="CA907" s="118"/>
      <c r="CB907" s="118"/>
      <c r="CC907" s="118"/>
      <c r="CD907" s="118"/>
      <c r="CE907" s="118"/>
      <c r="CF907" s="118"/>
      <c r="CG907" s="118"/>
      <c r="CH907" s="118"/>
      <c r="CI907" s="118"/>
      <c r="CJ907" s="118"/>
      <c r="CK907" s="118"/>
      <c r="CL907" s="118"/>
      <c r="CM907" s="118"/>
      <c r="CN907" s="118"/>
      <c r="CO907" s="118"/>
      <c r="CP907" s="118"/>
      <c r="CQ907" s="118"/>
      <c r="CR907" s="118"/>
      <c r="CS907" s="118"/>
      <c r="CT907" s="118"/>
      <c r="CU907" s="118"/>
      <c r="CV907" s="118"/>
      <c r="CW907" s="118"/>
      <c r="CX907" s="118"/>
      <c r="CY907" s="118"/>
      <c r="CZ907" s="118"/>
      <c r="DA907" s="118"/>
      <c r="DB907" s="118"/>
      <c r="DC907" s="118"/>
      <c r="DD907" s="118"/>
      <c r="DE907" s="118"/>
      <c r="DF907" s="118"/>
      <c r="DG907" s="118"/>
      <c r="DH907" s="118"/>
      <c r="DI907" s="118"/>
      <c r="DJ907" s="118"/>
      <c r="DK907" s="118"/>
      <c r="DL907" s="118"/>
      <c r="DM907" s="118"/>
      <c r="DN907" s="118"/>
      <c r="DO907" s="118"/>
      <c r="DP907" s="118"/>
      <c r="DQ907" s="118"/>
      <c r="DR907" s="118"/>
      <c r="DS907" s="118"/>
      <c r="DT907" s="118"/>
      <c r="DU907" s="19"/>
      <c r="DV907" s="19"/>
      <c r="DW907" s="19"/>
      <c r="DX907" s="19"/>
      <c r="DY907" s="19"/>
      <c r="DZ907" s="19"/>
    </row>
    <row r="908" spans="1:130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18"/>
      <c r="BX908" s="118"/>
      <c r="BY908" s="118"/>
      <c r="BZ908" s="118"/>
      <c r="CA908" s="118"/>
      <c r="CB908" s="118"/>
      <c r="CC908" s="118"/>
      <c r="CD908" s="118"/>
      <c r="CE908" s="118"/>
      <c r="CF908" s="118"/>
      <c r="CG908" s="118"/>
      <c r="CH908" s="118"/>
      <c r="CI908" s="118"/>
      <c r="CJ908" s="118"/>
      <c r="CK908" s="118"/>
      <c r="CL908" s="118"/>
      <c r="CM908" s="118"/>
      <c r="CN908" s="118"/>
      <c r="CO908" s="118"/>
      <c r="CP908" s="118"/>
      <c r="CQ908" s="118"/>
      <c r="CR908" s="118"/>
      <c r="CS908" s="118"/>
      <c r="CT908" s="118"/>
      <c r="CU908" s="118"/>
      <c r="CV908" s="118"/>
      <c r="CW908" s="118"/>
      <c r="CX908" s="118"/>
      <c r="CY908" s="118"/>
      <c r="CZ908" s="118"/>
      <c r="DA908" s="118"/>
      <c r="DB908" s="118"/>
      <c r="DC908" s="118"/>
      <c r="DD908" s="118"/>
      <c r="DE908" s="118"/>
      <c r="DF908" s="118"/>
      <c r="DG908" s="118"/>
      <c r="DH908" s="118"/>
      <c r="DI908" s="118"/>
      <c r="DJ908" s="118"/>
      <c r="DK908" s="118"/>
      <c r="DL908" s="118"/>
      <c r="DM908" s="118"/>
      <c r="DN908" s="118"/>
      <c r="DO908" s="118"/>
      <c r="DP908" s="118"/>
      <c r="DQ908" s="118"/>
      <c r="DR908" s="118"/>
      <c r="DS908" s="118"/>
      <c r="DT908" s="118"/>
      <c r="DU908" s="19"/>
      <c r="DV908" s="19"/>
      <c r="DW908" s="19"/>
      <c r="DX908" s="19"/>
      <c r="DY908" s="19"/>
      <c r="DZ908" s="19"/>
    </row>
    <row r="909" spans="1:130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18"/>
      <c r="BX909" s="118"/>
      <c r="BY909" s="118"/>
      <c r="BZ909" s="118"/>
      <c r="CA909" s="118"/>
      <c r="CB909" s="118"/>
      <c r="CC909" s="118"/>
      <c r="CD909" s="118"/>
      <c r="CE909" s="118"/>
      <c r="CF909" s="118"/>
      <c r="CG909" s="118"/>
      <c r="CH909" s="118"/>
      <c r="CI909" s="118"/>
      <c r="CJ909" s="118"/>
      <c r="CK909" s="118"/>
      <c r="CL909" s="118"/>
      <c r="CM909" s="118"/>
      <c r="CN909" s="118"/>
      <c r="CO909" s="118"/>
      <c r="CP909" s="118"/>
      <c r="CQ909" s="118"/>
      <c r="CR909" s="118"/>
      <c r="CS909" s="118"/>
      <c r="CT909" s="118"/>
      <c r="CU909" s="118"/>
      <c r="CV909" s="118"/>
      <c r="CW909" s="118"/>
      <c r="CX909" s="118"/>
      <c r="CY909" s="118"/>
      <c r="CZ909" s="118"/>
      <c r="DA909" s="118"/>
      <c r="DB909" s="118"/>
      <c r="DC909" s="118"/>
      <c r="DD909" s="118"/>
      <c r="DE909" s="118"/>
      <c r="DF909" s="118"/>
      <c r="DG909" s="118"/>
      <c r="DH909" s="118"/>
      <c r="DI909" s="118"/>
      <c r="DJ909" s="118"/>
      <c r="DK909" s="118"/>
      <c r="DL909" s="118"/>
      <c r="DM909" s="118"/>
      <c r="DN909" s="118"/>
      <c r="DO909" s="118"/>
      <c r="DP909" s="118"/>
      <c r="DQ909" s="118"/>
      <c r="DR909" s="118"/>
      <c r="DS909" s="118"/>
      <c r="DT909" s="118"/>
      <c r="DU909" s="19"/>
      <c r="DV909" s="19"/>
      <c r="DW909" s="19"/>
      <c r="DX909" s="19"/>
      <c r="DY909" s="19"/>
      <c r="DZ909" s="19"/>
    </row>
    <row r="910" spans="1:130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18"/>
      <c r="BX910" s="118"/>
      <c r="BY910" s="118"/>
      <c r="BZ910" s="118"/>
      <c r="CA910" s="118"/>
      <c r="CB910" s="118"/>
      <c r="CC910" s="118"/>
      <c r="CD910" s="118"/>
      <c r="CE910" s="118"/>
      <c r="CF910" s="118"/>
      <c r="CG910" s="118"/>
      <c r="CH910" s="118"/>
      <c r="CI910" s="118"/>
      <c r="CJ910" s="118"/>
      <c r="CK910" s="118"/>
      <c r="CL910" s="118"/>
      <c r="CM910" s="118"/>
      <c r="CN910" s="118"/>
      <c r="CO910" s="118"/>
      <c r="CP910" s="118"/>
      <c r="CQ910" s="118"/>
      <c r="CR910" s="118"/>
      <c r="CS910" s="118"/>
      <c r="CT910" s="118"/>
      <c r="CU910" s="118"/>
      <c r="CV910" s="118"/>
      <c r="CW910" s="118"/>
      <c r="CX910" s="118"/>
      <c r="CY910" s="118"/>
      <c r="CZ910" s="118"/>
      <c r="DA910" s="118"/>
      <c r="DB910" s="118"/>
      <c r="DC910" s="118"/>
      <c r="DD910" s="118"/>
      <c r="DE910" s="118"/>
      <c r="DF910" s="118"/>
      <c r="DG910" s="118"/>
      <c r="DH910" s="118"/>
      <c r="DI910" s="118"/>
      <c r="DJ910" s="118"/>
      <c r="DK910" s="118"/>
      <c r="DL910" s="118"/>
      <c r="DM910" s="118"/>
      <c r="DN910" s="118"/>
      <c r="DO910" s="118"/>
      <c r="DP910" s="118"/>
      <c r="DQ910" s="118"/>
      <c r="DR910" s="118"/>
      <c r="DS910" s="118"/>
      <c r="DT910" s="118"/>
      <c r="DU910" s="19"/>
      <c r="DV910" s="19"/>
      <c r="DW910" s="19"/>
      <c r="DX910" s="19"/>
      <c r="DY910" s="19"/>
      <c r="DZ910" s="19"/>
    </row>
    <row r="911" spans="1:130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18"/>
      <c r="BX911" s="118"/>
      <c r="BY911" s="118"/>
      <c r="BZ911" s="118"/>
      <c r="CA911" s="118"/>
      <c r="CB911" s="118"/>
      <c r="CC911" s="118"/>
      <c r="CD911" s="118"/>
      <c r="CE911" s="118"/>
      <c r="CF911" s="118"/>
      <c r="CG911" s="118"/>
      <c r="CH911" s="118"/>
      <c r="CI911" s="118"/>
      <c r="CJ911" s="118"/>
      <c r="CK911" s="118"/>
      <c r="CL911" s="118"/>
      <c r="CM911" s="118"/>
      <c r="CN911" s="118"/>
      <c r="CO911" s="118"/>
      <c r="CP911" s="118"/>
      <c r="CQ911" s="118"/>
      <c r="CR911" s="118"/>
      <c r="CS911" s="118"/>
      <c r="CT911" s="118"/>
      <c r="CU911" s="118"/>
      <c r="CV911" s="118"/>
      <c r="CW911" s="118"/>
      <c r="CX911" s="118"/>
      <c r="CY911" s="118"/>
      <c r="CZ911" s="118"/>
      <c r="DA911" s="118"/>
      <c r="DB911" s="118"/>
      <c r="DC911" s="118"/>
      <c r="DD911" s="118"/>
      <c r="DE911" s="118"/>
      <c r="DF911" s="118"/>
      <c r="DG911" s="118"/>
      <c r="DH911" s="118"/>
      <c r="DI911" s="118"/>
      <c r="DJ911" s="118"/>
      <c r="DK911" s="118"/>
      <c r="DL911" s="118"/>
      <c r="DM911" s="118"/>
      <c r="DN911" s="118"/>
      <c r="DO911" s="118"/>
      <c r="DP911" s="118"/>
      <c r="DQ911" s="118"/>
      <c r="DR911" s="118"/>
      <c r="DS911" s="118"/>
      <c r="DT911" s="118"/>
      <c r="DU911" s="19"/>
      <c r="DV911" s="19"/>
      <c r="DW911" s="19"/>
      <c r="DX911" s="19"/>
      <c r="DY911" s="19"/>
      <c r="DZ911" s="19"/>
    </row>
    <row r="912" spans="1:130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18"/>
      <c r="BX912" s="118"/>
      <c r="BY912" s="118"/>
      <c r="BZ912" s="118"/>
      <c r="CA912" s="118"/>
      <c r="CB912" s="118"/>
      <c r="CC912" s="118"/>
      <c r="CD912" s="118"/>
      <c r="CE912" s="118"/>
      <c r="CF912" s="118"/>
      <c r="CG912" s="118"/>
      <c r="CH912" s="118"/>
      <c r="CI912" s="118"/>
      <c r="CJ912" s="118"/>
      <c r="CK912" s="118"/>
      <c r="CL912" s="118"/>
      <c r="CM912" s="118"/>
      <c r="CN912" s="118"/>
      <c r="CO912" s="118"/>
      <c r="CP912" s="118"/>
      <c r="CQ912" s="118"/>
      <c r="CR912" s="118"/>
      <c r="CS912" s="118"/>
      <c r="CT912" s="118"/>
      <c r="CU912" s="118"/>
      <c r="CV912" s="118"/>
      <c r="CW912" s="118"/>
      <c r="CX912" s="118"/>
      <c r="CY912" s="118"/>
      <c r="CZ912" s="118"/>
      <c r="DA912" s="118"/>
      <c r="DB912" s="118"/>
      <c r="DC912" s="118"/>
      <c r="DD912" s="118"/>
      <c r="DE912" s="118"/>
      <c r="DF912" s="118"/>
      <c r="DG912" s="118"/>
      <c r="DH912" s="118"/>
      <c r="DI912" s="118"/>
      <c r="DJ912" s="118"/>
      <c r="DK912" s="118"/>
      <c r="DL912" s="118"/>
      <c r="DM912" s="118"/>
      <c r="DN912" s="118"/>
      <c r="DO912" s="118"/>
      <c r="DP912" s="118"/>
      <c r="DQ912" s="118"/>
      <c r="DR912" s="118"/>
      <c r="DS912" s="118"/>
      <c r="DT912" s="118"/>
      <c r="DU912" s="19"/>
      <c r="DV912" s="19"/>
      <c r="DW912" s="19"/>
      <c r="DX912" s="19"/>
      <c r="DY912" s="19"/>
      <c r="DZ912" s="19"/>
    </row>
    <row r="913" spans="1:130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18"/>
      <c r="BX913" s="118"/>
      <c r="BY913" s="118"/>
      <c r="BZ913" s="118"/>
      <c r="CA913" s="118"/>
      <c r="CB913" s="118"/>
      <c r="CC913" s="118"/>
      <c r="CD913" s="118"/>
      <c r="CE913" s="118"/>
      <c r="CF913" s="118"/>
      <c r="CG913" s="118"/>
      <c r="CH913" s="118"/>
      <c r="CI913" s="118"/>
      <c r="CJ913" s="118"/>
      <c r="CK913" s="118"/>
      <c r="CL913" s="118"/>
      <c r="CM913" s="118"/>
      <c r="CN913" s="118"/>
      <c r="CO913" s="118"/>
      <c r="CP913" s="118"/>
      <c r="CQ913" s="118"/>
      <c r="CR913" s="118"/>
      <c r="CS913" s="118"/>
      <c r="CT913" s="118"/>
      <c r="CU913" s="118"/>
      <c r="CV913" s="118"/>
      <c r="CW913" s="118"/>
      <c r="CX913" s="118"/>
      <c r="CY913" s="118"/>
      <c r="CZ913" s="118"/>
      <c r="DA913" s="118"/>
      <c r="DB913" s="118"/>
      <c r="DC913" s="118"/>
      <c r="DD913" s="118"/>
      <c r="DE913" s="118"/>
      <c r="DF913" s="118"/>
      <c r="DG913" s="118"/>
      <c r="DH913" s="118"/>
      <c r="DI913" s="118"/>
      <c r="DJ913" s="118"/>
      <c r="DK913" s="118"/>
      <c r="DL913" s="118"/>
      <c r="DM913" s="118"/>
      <c r="DN913" s="118"/>
      <c r="DO913" s="118"/>
      <c r="DP913" s="118"/>
      <c r="DQ913" s="118"/>
      <c r="DR913" s="118"/>
      <c r="DS913" s="118"/>
      <c r="DT913" s="118"/>
      <c r="DU913" s="19"/>
      <c r="DV913" s="19"/>
      <c r="DW913" s="19"/>
      <c r="DX913" s="19"/>
      <c r="DY913" s="19"/>
      <c r="DZ913" s="19"/>
    </row>
    <row r="914" spans="1:130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18"/>
      <c r="BX914" s="118"/>
      <c r="BY914" s="118"/>
      <c r="BZ914" s="118"/>
      <c r="CA914" s="118"/>
      <c r="CB914" s="118"/>
      <c r="CC914" s="118"/>
      <c r="CD914" s="118"/>
      <c r="CE914" s="118"/>
      <c r="CF914" s="118"/>
      <c r="CG914" s="118"/>
      <c r="CH914" s="118"/>
      <c r="CI914" s="118"/>
      <c r="CJ914" s="118"/>
      <c r="CK914" s="118"/>
      <c r="CL914" s="118"/>
      <c r="CM914" s="118"/>
      <c r="CN914" s="118"/>
      <c r="CO914" s="118"/>
      <c r="CP914" s="118"/>
      <c r="CQ914" s="118"/>
      <c r="CR914" s="118"/>
      <c r="CS914" s="118"/>
      <c r="CT914" s="118"/>
      <c r="CU914" s="118"/>
      <c r="CV914" s="118"/>
      <c r="CW914" s="118"/>
      <c r="CX914" s="118"/>
      <c r="CY914" s="118"/>
      <c r="CZ914" s="118"/>
      <c r="DA914" s="118"/>
      <c r="DB914" s="118"/>
      <c r="DC914" s="118"/>
      <c r="DD914" s="118"/>
      <c r="DE914" s="118"/>
      <c r="DF914" s="118"/>
      <c r="DG914" s="118"/>
      <c r="DH914" s="118"/>
      <c r="DI914" s="118"/>
      <c r="DJ914" s="118"/>
      <c r="DK914" s="118"/>
      <c r="DL914" s="118"/>
      <c r="DM914" s="118"/>
      <c r="DN914" s="118"/>
      <c r="DO914" s="118"/>
      <c r="DP914" s="118"/>
      <c r="DQ914" s="118"/>
      <c r="DR914" s="118"/>
      <c r="DS914" s="118"/>
      <c r="DT914" s="118"/>
      <c r="DU914" s="19"/>
      <c r="DV914" s="19"/>
      <c r="DW914" s="19"/>
      <c r="DX914" s="19"/>
      <c r="DY914" s="19"/>
      <c r="DZ914" s="19"/>
    </row>
    <row r="915" spans="1:130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18"/>
      <c r="BX915" s="118"/>
      <c r="BY915" s="118"/>
      <c r="BZ915" s="118"/>
      <c r="CA915" s="118"/>
      <c r="CB915" s="118"/>
      <c r="CC915" s="118"/>
      <c r="CD915" s="118"/>
      <c r="CE915" s="118"/>
      <c r="CF915" s="118"/>
      <c r="CG915" s="118"/>
      <c r="CH915" s="118"/>
      <c r="CI915" s="118"/>
      <c r="CJ915" s="118"/>
      <c r="CK915" s="118"/>
      <c r="CL915" s="118"/>
      <c r="CM915" s="118"/>
      <c r="CN915" s="118"/>
      <c r="CO915" s="118"/>
      <c r="CP915" s="118"/>
      <c r="CQ915" s="118"/>
      <c r="CR915" s="118"/>
      <c r="CS915" s="118"/>
      <c r="CT915" s="118"/>
      <c r="CU915" s="118"/>
      <c r="CV915" s="118"/>
      <c r="CW915" s="118"/>
      <c r="CX915" s="118"/>
      <c r="CY915" s="118"/>
      <c r="CZ915" s="118"/>
      <c r="DA915" s="118"/>
      <c r="DB915" s="118"/>
      <c r="DC915" s="118"/>
      <c r="DD915" s="118"/>
      <c r="DE915" s="118"/>
      <c r="DF915" s="118"/>
      <c r="DG915" s="118"/>
      <c r="DH915" s="118"/>
      <c r="DI915" s="118"/>
      <c r="DJ915" s="118"/>
      <c r="DK915" s="118"/>
      <c r="DL915" s="118"/>
      <c r="DM915" s="118"/>
      <c r="DN915" s="118"/>
      <c r="DO915" s="118"/>
      <c r="DP915" s="118"/>
      <c r="DQ915" s="118"/>
      <c r="DR915" s="118"/>
      <c r="DS915" s="118"/>
      <c r="DT915" s="118"/>
      <c r="DU915" s="19"/>
      <c r="DV915" s="19"/>
      <c r="DW915" s="19"/>
      <c r="DX915" s="19"/>
      <c r="DY915" s="19"/>
      <c r="DZ915" s="19"/>
    </row>
    <row r="916" spans="1:130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18"/>
      <c r="BX916" s="118"/>
      <c r="BY916" s="118"/>
      <c r="BZ916" s="118"/>
      <c r="CA916" s="118"/>
      <c r="CB916" s="118"/>
      <c r="CC916" s="118"/>
      <c r="CD916" s="118"/>
      <c r="CE916" s="118"/>
      <c r="CF916" s="118"/>
      <c r="CG916" s="118"/>
      <c r="CH916" s="118"/>
      <c r="CI916" s="118"/>
      <c r="CJ916" s="118"/>
      <c r="CK916" s="118"/>
      <c r="CL916" s="118"/>
      <c r="CM916" s="118"/>
      <c r="CN916" s="118"/>
      <c r="CO916" s="118"/>
      <c r="CP916" s="118"/>
      <c r="CQ916" s="118"/>
      <c r="CR916" s="118"/>
      <c r="CS916" s="118"/>
      <c r="CT916" s="118"/>
      <c r="CU916" s="118"/>
      <c r="CV916" s="118"/>
      <c r="CW916" s="118"/>
      <c r="CX916" s="118"/>
      <c r="CY916" s="118"/>
      <c r="CZ916" s="118"/>
      <c r="DA916" s="118"/>
      <c r="DB916" s="118"/>
      <c r="DC916" s="118"/>
      <c r="DD916" s="118"/>
      <c r="DE916" s="118"/>
      <c r="DF916" s="118"/>
      <c r="DG916" s="118"/>
      <c r="DH916" s="118"/>
      <c r="DI916" s="118"/>
      <c r="DJ916" s="118"/>
      <c r="DK916" s="118"/>
      <c r="DL916" s="118"/>
      <c r="DM916" s="118"/>
      <c r="DN916" s="118"/>
      <c r="DO916" s="118"/>
      <c r="DP916" s="118"/>
      <c r="DQ916" s="118"/>
      <c r="DR916" s="118"/>
      <c r="DS916" s="118"/>
      <c r="DT916" s="118"/>
      <c r="DU916" s="19"/>
      <c r="DV916" s="19"/>
      <c r="DW916" s="19"/>
      <c r="DX916" s="19"/>
      <c r="DY916" s="19"/>
      <c r="DZ916" s="19"/>
    </row>
    <row r="917" spans="1:130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18"/>
      <c r="BX917" s="118"/>
      <c r="BY917" s="118"/>
      <c r="BZ917" s="118"/>
      <c r="CA917" s="118"/>
      <c r="CB917" s="118"/>
      <c r="CC917" s="118"/>
      <c r="CD917" s="118"/>
      <c r="CE917" s="118"/>
      <c r="CF917" s="118"/>
      <c r="CG917" s="118"/>
      <c r="CH917" s="118"/>
      <c r="CI917" s="118"/>
      <c r="CJ917" s="118"/>
      <c r="CK917" s="118"/>
      <c r="CL917" s="118"/>
      <c r="CM917" s="118"/>
      <c r="CN917" s="118"/>
      <c r="CO917" s="118"/>
      <c r="CP917" s="118"/>
      <c r="CQ917" s="118"/>
      <c r="CR917" s="118"/>
      <c r="CS917" s="118"/>
      <c r="CT917" s="118"/>
      <c r="CU917" s="118"/>
      <c r="CV917" s="118"/>
      <c r="CW917" s="118"/>
      <c r="CX917" s="118"/>
      <c r="CY917" s="118"/>
      <c r="CZ917" s="118"/>
      <c r="DA917" s="118"/>
      <c r="DB917" s="118"/>
      <c r="DC917" s="118"/>
      <c r="DD917" s="118"/>
      <c r="DE917" s="118"/>
      <c r="DF917" s="118"/>
      <c r="DG917" s="118"/>
      <c r="DH917" s="118"/>
      <c r="DI917" s="118"/>
      <c r="DJ917" s="118"/>
      <c r="DK917" s="118"/>
      <c r="DL917" s="118"/>
      <c r="DM917" s="118"/>
      <c r="DN917" s="118"/>
      <c r="DO917" s="118"/>
      <c r="DP917" s="118"/>
      <c r="DQ917" s="118"/>
      <c r="DR917" s="118"/>
      <c r="DS917" s="118"/>
      <c r="DT917" s="118"/>
      <c r="DU917" s="19"/>
      <c r="DV917" s="19"/>
      <c r="DW917" s="19"/>
      <c r="DX917" s="19"/>
      <c r="DY917" s="19"/>
      <c r="DZ917" s="19"/>
    </row>
    <row r="918" spans="1:130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18"/>
      <c r="BX918" s="118"/>
      <c r="BY918" s="118"/>
      <c r="BZ918" s="118"/>
      <c r="CA918" s="118"/>
      <c r="CB918" s="118"/>
      <c r="CC918" s="118"/>
      <c r="CD918" s="118"/>
      <c r="CE918" s="118"/>
      <c r="CF918" s="118"/>
      <c r="CG918" s="118"/>
      <c r="CH918" s="118"/>
      <c r="CI918" s="118"/>
      <c r="CJ918" s="118"/>
      <c r="CK918" s="118"/>
      <c r="CL918" s="118"/>
      <c r="CM918" s="118"/>
      <c r="CN918" s="118"/>
      <c r="CO918" s="118"/>
      <c r="CP918" s="118"/>
      <c r="CQ918" s="118"/>
      <c r="CR918" s="118"/>
      <c r="CS918" s="118"/>
      <c r="CT918" s="118"/>
      <c r="CU918" s="118"/>
      <c r="CV918" s="118"/>
      <c r="CW918" s="118"/>
      <c r="CX918" s="118"/>
      <c r="CY918" s="118"/>
      <c r="CZ918" s="118"/>
      <c r="DA918" s="118"/>
      <c r="DB918" s="118"/>
      <c r="DC918" s="118"/>
      <c r="DD918" s="118"/>
      <c r="DE918" s="118"/>
      <c r="DF918" s="118"/>
      <c r="DG918" s="118"/>
      <c r="DH918" s="118"/>
      <c r="DI918" s="118"/>
      <c r="DJ918" s="118"/>
      <c r="DK918" s="118"/>
      <c r="DL918" s="118"/>
      <c r="DM918" s="118"/>
      <c r="DN918" s="118"/>
      <c r="DO918" s="118"/>
      <c r="DP918" s="118"/>
      <c r="DQ918" s="118"/>
      <c r="DR918" s="118"/>
      <c r="DS918" s="118"/>
      <c r="DT918" s="118"/>
      <c r="DU918" s="19"/>
      <c r="DV918" s="19"/>
      <c r="DW918" s="19"/>
      <c r="DX918" s="19"/>
      <c r="DY918" s="19"/>
      <c r="DZ918" s="19"/>
    </row>
    <row r="919" spans="1:130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18"/>
      <c r="BX919" s="118"/>
      <c r="BY919" s="118"/>
      <c r="BZ919" s="118"/>
      <c r="CA919" s="118"/>
      <c r="CB919" s="118"/>
      <c r="CC919" s="118"/>
      <c r="CD919" s="118"/>
      <c r="CE919" s="118"/>
      <c r="CF919" s="118"/>
      <c r="CG919" s="118"/>
      <c r="CH919" s="118"/>
      <c r="CI919" s="118"/>
      <c r="CJ919" s="118"/>
      <c r="CK919" s="118"/>
      <c r="CL919" s="118"/>
      <c r="CM919" s="118"/>
      <c r="CN919" s="118"/>
      <c r="CO919" s="118"/>
      <c r="CP919" s="118"/>
      <c r="CQ919" s="118"/>
      <c r="CR919" s="118"/>
      <c r="CS919" s="118"/>
      <c r="CT919" s="118"/>
      <c r="CU919" s="118"/>
      <c r="CV919" s="118"/>
      <c r="CW919" s="118"/>
      <c r="CX919" s="118"/>
      <c r="CY919" s="118"/>
      <c r="CZ919" s="118"/>
      <c r="DA919" s="118"/>
      <c r="DB919" s="118"/>
      <c r="DC919" s="118"/>
      <c r="DD919" s="118"/>
      <c r="DE919" s="118"/>
      <c r="DF919" s="118"/>
      <c r="DG919" s="118"/>
      <c r="DH919" s="118"/>
      <c r="DI919" s="118"/>
      <c r="DJ919" s="118"/>
      <c r="DK919" s="118"/>
      <c r="DL919" s="118"/>
      <c r="DM919" s="118"/>
      <c r="DN919" s="118"/>
      <c r="DO919" s="118"/>
      <c r="DP919" s="118"/>
      <c r="DQ919" s="118"/>
      <c r="DR919" s="118"/>
      <c r="DS919" s="118"/>
      <c r="DT919" s="118"/>
      <c r="DU919" s="19"/>
      <c r="DV919" s="19"/>
      <c r="DW919" s="19"/>
      <c r="DX919" s="19"/>
      <c r="DY919" s="19"/>
      <c r="DZ919" s="19"/>
    </row>
    <row r="920" spans="1:130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18"/>
      <c r="BX920" s="118"/>
      <c r="BY920" s="118"/>
      <c r="BZ920" s="118"/>
      <c r="CA920" s="118"/>
      <c r="CB920" s="118"/>
      <c r="CC920" s="118"/>
      <c r="CD920" s="118"/>
      <c r="CE920" s="118"/>
      <c r="CF920" s="118"/>
      <c r="CG920" s="118"/>
      <c r="CH920" s="118"/>
      <c r="CI920" s="118"/>
      <c r="CJ920" s="118"/>
      <c r="CK920" s="118"/>
      <c r="CL920" s="118"/>
      <c r="CM920" s="118"/>
      <c r="CN920" s="118"/>
      <c r="CO920" s="118"/>
      <c r="CP920" s="118"/>
      <c r="CQ920" s="118"/>
      <c r="CR920" s="118"/>
      <c r="CS920" s="118"/>
      <c r="CT920" s="118"/>
      <c r="CU920" s="118"/>
      <c r="CV920" s="118"/>
      <c r="CW920" s="118"/>
      <c r="CX920" s="118"/>
      <c r="CY920" s="118"/>
      <c r="CZ920" s="118"/>
      <c r="DA920" s="118"/>
      <c r="DB920" s="118"/>
      <c r="DC920" s="118"/>
      <c r="DD920" s="118"/>
      <c r="DE920" s="118"/>
      <c r="DF920" s="118"/>
      <c r="DG920" s="118"/>
      <c r="DH920" s="118"/>
      <c r="DI920" s="118"/>
      <c r="DJ920" s="118"/>
      <c r="DK920" s="118"/>
      <c r="DL920" s="118"/>
      <c r="DM920" s="118"/>
      <c r="DN920" s="118"/>
      <c r="DO920" s="118"/>
      <c r="DP920" s="118"/>
      <c r="DQ920" s="118"/>
      <c r="DR920" s="118"/>
      <c r="DS920" s="118"/>
      <c r="DT920" s="118"/>
      <c r="DU920" s="19"/>
      <c r="DV920" s="19"/>
      <c r="DW920" s="19"/>
      <c r="DX920" s="19"/>
      <c r="DY920" s="19"/>
      <c r="DZ920" s="19"/>
    </row>
    <row r="921" spans="1:130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18"/>
      <c r="BX921" s="118"/>
      <c r="BY921" s="118"/>
      <c r="BZ921" s="118"/>
      <c r="CA921" s="118"/>
      <c r="CB921" s="118"/>
      <c r="CC921" s="118"/>
      <c r="CD921" s="118"/>
      <c r="CE921" s="118"/>
      <c r="CF921" s="118"/>
      <c r="CG921" s="118"/>
      <c r="CH921" s="118"/>
      <c r="CI921" s="118"/>
      <c r="CJ921" s="118"/>
      <c r="CK921" s="118"/>
      <c r="CL921" s="118"/>
      <c r="CM921" s="118"/>
      <c r="CN921" s="118"/>
      <c r="CO921" s="118"/>
      <c r="CP921" s="118"/>
      <c r="CQ921" s="118"/>
      <c r="CR921" s="118"/>
      <c r="CS921" s="118"/>
      <c r="CT921" s="118"/>
      <c r="CU921" s="118"/>
      <c r="CV921" s="118"/>
      <c r="CW921" s="118"/>
      <c r="CX921" s="118"/>
      <c r="CY921" s="118"/>
      <c r="CZ921" s="118"/>
      <c r="DA921" s="118"/>
      <c r="DB921" s="118"/>
      <c r="DC921" s="118"/>
      <c r="DD921" s="118"/>
      <c r="DE921" s="118"/>
      <c r="DF921" s="118"/>
      <c r="DG921" s="118"/>
      <c r="DH921" s="118"/>
      <c r="DI921" s="118"/>
      <c r="DJ921" s="118"/>
      <c r="DK921" s="118"/>
      <c r="DL921" s="118"/>
      <c r="DM921" s="118"/>
      <c r="DN921" s="118"/>
      <c r="DO921" s="118"/>
      <c r="DP921" s="118"/>
      <c r="DQ921" s="118"/>
      <c r="DR921" s="118"/>
      <c r="DS921" s="118"/>
      <c r="DT921" s="118"/>
      <c r="DU921" s="19"/>
      <c r="DV921" s="19"/>
      <c r="DW921" s="19"/>
      <c r="DX921" s="19"/>
      <c r="DY921" s="19"/>
      <c r="DZ921" s="19"/>
    </row>
    <row r="922" spans="1:130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18"/>
      <c r="BX922" s="118"/>
      <c r="BY922" s="118"/>
      <c r="BZ922" s="118"/>
      <c r="CA922" s="118"/>
      <c r="CB922" s="118"/>
      <c r="CC922" s="118"/>
      <c r="CD922" s="118"/>
      <c r="CE922" s="118"/>
      <c r="CF922" s="118"/>
      <c r="CG922" s="118"/>
      <c r="CH922" s="118"/>
      <c r="CI922" s="118"/>
      <c r="CJ922" s="118"/>
      <c r="CK922" s="118"/>
      <c r="CL922" s="118"/>
      <c r="CM922" s="118"/>
      <c r="CN922" s="118"/>
      <c r="CO922" s="118"/>
      <c r="CP922" s="118"/>
      <c r="CQ922" s="118"/>
      <c r="CR922" s="118"/>
      <c r="CS922" s="118"/>
      <c r="CT922" s="118"/>
      <c r="CU922" s="118"/>
      <c r="CV922" s="118"/>
      <c r="CW922" s="118"/>
      <c r="CX922" s="118"/>
      <c r="CY922" s="118"/>
      <c r="CZ922" s="118"/>
      <c r="DA922" s="118"/>
      <c r="DB922" s="118"/>
      <c r="DC922" s="118"/>
      <c r="DD922" s="118"/>
      <c r="DE922" s="118"/>
      <c r="DF922" s="118"/>
      <c r="DG922" s="118"/>
      <c r="DH922" s="118"/>
      <c r="DI922" s="118"/>
      <c r="DJ922" s="118"/>
      <c r="DK922" s="118"/>
      <c r="DL922" s="118"/>
      <c r="DM922" s="118"/>
      <c r="DN922" s="118"/>
      <c r="DO922" s="118"/>
      <c r="DP922" s="118"/>
      <c r="DQ922" s="118"/>
      <c r="DR922" s="118"/>
      <c r="DS922" s="118"/>
      <c r="DT922" s="118"/>
      <c r="DU922" s="19"/>
      <c r="DV922" s="19"/>
      <c r="DW922" s="19"/>
      <c r="DX922" s="19"/>
      <c r="DY922" s="19"/>
      <c r="DZ922" s="19"/>
    </row>
    <row r="923" spans="1:130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18"/>
      <c r="BX923" s="118"/>
      <c r="BY923" s="118"/>
      <c r="BZ923" s="118"/>
      <c r="CA923" s="118"/>
      <c r="CB923" s="118"/>
      <c r="CC923" s="118"/>
      <c r="CD923" s="118"/>
      <c r="CE923" s="118"/>
      <c r="CF923" s="118"/>
      <c r="CG923" s="118"/>
      <c r="CH923" s="118"/>
      <c r="CI923" s="118"/>
      <c r="CJ923" s="118"/>
      <c r="CK923" s="118"/>
      <c r="CL923" s="118"/>
      <c r="CM923" s="118"/>
      <c r="CN923" s="118"/>
      <c r="CO923" s="118"/>
      <c r="CP923" s="118"/>
      <c r="CQ923" s="118"/>
      <c r="CR923" s="118"/>
      <c r="CS923" s="118"/>
      <c r="CT923" s="118"/>
      <c r="CU923" s="118"/>
      <c r="CV923" s="118"/>
      <c r="CW923" s="118"/>
      <c r="CX923" s="118"/>
      <c r="CY923" s="118"/>
      <c r="CZ923" s="118"/>
      <c r="DA923" s="118"/>
      <c r="DB923" s="118"/>
      <c r="DC923" s="118"/>
      <c r="DD923" s="118"/>
      <c r="DE923" s="118"/>
      <c r="DF923" s="118"/>
      <c r="DG923" s="118"/>
      <c r="DH923" s="118"/>
      <c r="DI923" s="118"/>
      <c r="DJ923" s="118"/>
      <c r="DK923" s="118"/>
      <c r="DL923" s="118"/>
      <c r="DM923" s="118"/>
      <c r="DN923" s="118"/>
      <c r="DO923" s="118"/>
      <c r="DP923" s="118"/>
      <c r="DQ923" s="118"/>
      <c r="DR923" s="118"/>
      <c r="DS923" s="118"/>
      <c r="DT923" s="118"/>
      <c r="DU923" s="19"/>
      <c r="DV923" s="19"/>
      <c r="DW923" s="19"/>
      <c r="DX923" s="19"/>
      <c r="DY923" s="19"/>
      <c r="DZ923" s="19"/>
    </row>
    <row r="924" spans="1:130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18"/>
      <c r="BX924" s="118"/>
      <c r="BY924" s="118"/>
      <c r="BZ924" s="118"/>
      <c r="CA924" s="118"/>
      <c r="CB924" s="118"/>
      <c r="CC924" s="118"/>
      <c r="CD924" s="118"/>
      <c r="CE924" s="118"/>
      <c r="CF924" s="118"/>
      <c r="CG924" s="118"/>
      <c r="CH924" s="118"/>
      <c r="CI924" s="118"/>
      <c r="CJ924" s="118"/>
      <c r="CK924" s="118"/>
      <c r="CL924" s="118"/>
      <c r="CM924" s="118"/>
      <c r="CN924" s="118"/>
      <c r="CO924" s="118"/>
      <c r="CP924" s="118"/>
      <c r="CQ924" s="118"/>
      <c r="CR924" s="118"/>
      <c r="CS924" s="118"/>
      <c r="CT924" s="118"/>
      <c r="CU924" s="118"/>
      <c r="CV924" s="118"/>
      <c r="CW924" s="118"/>
      <c r="CX924" s="118"/>
      <c r="CY924" s="118"/>
      <c r="CZ924" s="118"/>
      <c r="DA924" s="118"/>
      <c r="DB924" s="118"/>
      <c r="DC924" s="118"/>
      <c r="DD924" s="118"/>
      <c r="DE924" s="118"/>
      <c r="DF924" s="118"/>
      <c r="DG924" s="118"/>
      <c r="DH924" s="118"/>
      <c r="DI924" s="118"/>
      <c r="DJ924" s="118"/>
      <c r="DK924" s="118"/>
      <c r="DL924" s="118"/>
      <c r="DM924" s="118"/>
      <c r="DN924" s="118"/>
      <c r="DO924" s="118"/>
      <c r="DP924" s="118"/>
      <c r="DQ924" s="118"/>
      <c r="DR924" s="118"/>
      <c r="DS924" s="118"/>
      <c r="DT924" s="118"/>
      <c r="DU924" s="19"/>
      <c r="DV924" s="19"/>
      <c r="DW924" s="19"/>
      <c r="DX924" s="19"/>
      <c r="DY924" s="19"/>
      <c r="DZ924" s="19"/>
    </row>
    <row r="925" spans="1:130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18"/>
      <c r="BX925" s="118"/>
      <c r="BY925" s="118"/>
      <c r="BZ925" s="118"/>
      <c r="CA925" s="118"/>
      <c r="CB925" s="118"/>
      <c r="CC925" s="118"/>
      <c r="CD925" s="118"/>
      <c r="CE925" s="118"/>
      <c r="CF925" s="118"/>
      <c r="CG925" s="118"/>
      <c r="CH925" s="118"/>
      <c r="CI925" s="118"/>
      <c r="CJ925" s="118"/>
      <c r="CK925" s="118"/>
      <c r="CL925" s="118"/>
      <c r="CM925" s="118"/>
      <c r="CN925" s="118"/>
      <c r="CO925" s="118"/>
      <c r="CP925" s="118"/>
      <c r="CQ925" s="118"/>
      <c r="CR925" s="118"/>
      <c r="CS925" s="118"/>
      <c r="CT925" s="118"/>
      <c r="CU925" s="118"/>
      <c r="CV925" s="118"/>
      <c r="CW925" s="118"/>
      <c r="CX925" s="118"/>
      <c r="CY925" s="118"/>
      <c r="CZ925" s="118"/>
      <c r="DA925" s="118"/>
      <c r="DB925" s="118"/>
      <c r="DC925" s="118"/>
      <c r="DD925" s="118"/>
      <c r="DE925" s="118"/>
      <c r="DF925" s="118"/>
      <c r="DG925" s="118"/>
      <c r="DH925" s="118"/>
      <c r="DI925" s="118"/>
      <c r="DJ925" s="118"/>
      <c r="DK925" s="118"/>
      <c r="DL925" s="118"/>
      <c r="DM925" s="118"/>
      <c r="DN925" s="118"/>
      <c r="DO925" s="118"/>
      <c r="DP925" s="118"/>
      <c r="DQ925" s="118"/>
      <c r="DR925" s="118"/>
      <c r="DS925" s="118"/>
      <c r="DT925" s="118"/>
      <c r="DU925" s="19"/>
      <c r="DV925" s="19"/>
      <c r="DW925" s="19"/>
      <c r="DX925" s="19"/>
      <c r="DY925" s="19"/>
      <c r="DZ925" s="19"/>
    </row>
    <row r="926" spans="1:130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18"/>
      <c r="BX926" s="118"/>
      <c r="BY926" s="118"/>
      <c r="BZ926" s="118"/>
      <c r="CA926" s="118"/>
      <c r="CB926" s="118"/>
      <c r="CC926" s="118"/>
      <c r="CD926" s="118"/>
      <c r="CE926" s="118"/>
      <c r="CF926" s="118"/>
      <c r="CG926" s="118"/>
      <c r="CH926" s="118"/>
      <c r="CI926" s="118"/>
      <c r="CJ926" s="118"/>
      <c r="CK926" s="118"/>
      <c r="CL926" s="118"/>
      <c r="CM926" s="118"/>
      <c r="CN926" s="118"/>
      <c r="CO926" s="118"/>
      <c r="CP926" s="118"/>
      <c r="CQ926" s="118"/>
      <c r="CR926" s="118"/>
      <c r="CS926" s="118"/>
      <c r="CT926" s="118"/>
      <c r="CU926" s="118"/>
      <c r="CV926" s="118"/>
      <c r="CW926" s="118"/>
      <c r="CX926" s="118"/>
      <c r="CY926" s="118"/>
      <c r="CZ926" s="118"/>
      <c r="DA926" s="118"/>
      <c r="DB926" s="118"/>
      <c r="DC926" s="118"/>
      <c r="DD926" s="118"/>
      <c r="DE926" s="118"/>
      <c r="DF926" s="118"/>
      <c r="DG926" s="118"/>
      <c r="DH926" s="118"/>
      <c r="DI926" s="118"/>
      <c r="DJ926" s="118"/>
      <c r="DK926" s="118"/>
      <c r="DL926" s="118"/>
      <c r="DM926" s="118"/>
      <c r="DN926" s="118"/>
      <c r="DO926" s="118"/>
      <c r="DP926" s="118"/>
      <c r="DQ926" s="118"/>
      <c r="DR926" s="118"/>
      <c r="DS926" s="118"/>
      <c r="DT926" s="118"/>
      <c r="DU926" s="19"/>
      <c r="DV926" s="19"/>
      <c r="DW926" s="19"/>
      <c r="DX926" s="19"/>
      <c r="DY926" s="19"/>
      <c r="DZ926" s="19"/>
    </row>
    <row r="927" spans="1:130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18"/>
      <c r="BX927" s="118"/>
      <c r="BY927" s="118"/>
      <c r="BZ927" s="118"/>
      <c r="CA927" s="118"/>
      <c r="CB927" s="118"/>
      <c r="CC927" s="118"/>
      <c r="CD927" s="118"/>
      <c r="CE927" s="118"/>
      <c r="CF927" s="118"/>
      <c r="CG927" s="118"/>
      <c r="CH927" s="118"/>
      <c r="CI927" s="118"/>
      <c r="CJ927" s="118"/>
      <c r="CK927" s="118"/>
      <c r="CL927" s="118"/>
      <c r="CM927" s="118"/>
      <c r="CN927" s="118"/>
      <c r="CO927" s="118"/>
      <c r="CP927" s="118"/>
      <c r="CQ927" s="118"/>
      <c r="CR927" s="118"/>
      <c r="CS927" s="118"/>
      <c r="CT927" s="118"/>
      <c r="CU927" s="118"/>
      <c r="CV927" s="118"/>
      <c r="CW927" s="118"/>
      <c r="CX927" s="118"/>
      <c r="CY927" s="118"/>
      <c r="CZ927" s="118"/>
      <c r="DA927" s="118"/>
      <c r="DB927" s="118"/>
      <c r="DC927" s="118"/>
      <c r="DD927" s="118"/>
      <c r="DE927" s="118"/>
      <c r="DF927" s="118"/>
      <c r="DG927" s="118"/>
      <c r="DH927" s="118"/>
      <c r="DI927" s="118"/>
      <c r="DJ927" s="118"/>
      <c r="DK927" s="118"/>
      <c r="DL927" s="118"/>
      <c r="DM927" s="118"/>
      <c r="DN927" s="118"/>
      <c r="DO927" s="118"/>
      <c r="DP927" s="118"/>
      <c r="DQ927" s="118"/>
      <c r="DR927" s="118"/>
      <c r="DS927" s="118"/>
      <c r="DT927" s="118"/>
      <c r="DU927" s="19"/>
      <c r="DV927" s="19"/>
      <c r="DW927" s="19"/>
      <c r="DX927" s="19"/>
      <c r="DY927" s="19"/>
      <c r="DZ927" s="19"/>
    </row>
    <row r="928" spans="1:130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18"/>
      <c r="BX928" s="118"/>
      <c r="BY928" s="118"/>
      <c r="BZ928" s="118"/>
      <c r="CA928" s="118"/>
      <c r="CB928" s="118"/>
      <c r="CC928" s="118"/>
      <c r="CD928" s="118"/>
      <c r="CE928" s="118"/>
      <c r="CF928" s="118"/>
      <c r="CG928" s="118"/>
      <c r="CH928" s="118"/>
      <c r="CI928" s="118"/>
      <c r="CJ928" s="118"/>
      <c r="CK928" s="118"/>
      <c r="CL928" s="118"/>
      <c r="CM928" s="118"/>
      <c r="CN928" s="118"/>
      <c r="CO928" s="118"/>
      <c r="CP928" s="118"/>
      <c r="CQ928" s="118"/>
      <c r="CR928" s="118"/>
      <c r="CS928" s="118"/>
      <c r="CT928" s="118"/>
      <c r="CU928" s="118"/>
      <c r="CV928" s="118"/>
      <c r="CW928" s="118"/>
      <c r="CX928" s="118"/>
      <c r="CY928" s="118"/>
      <c r="CZ928" s="118"/>
      <c r="DA928" s="118"/>
      <c r="DB928" s="118"/>
      <c r="DC928" s="118"/>
      <c r="DD928" s="118"/>
      <c r="DE928" s="118"/>
      <c r="DF928" s="118"/>
      <c r="DG928" s="118"/>
      <c r="DH928" s="118"/>
      <c r="DI928" s="118"/>
      <c r="DJ928" s="118"/>
      <c r="DK928" s="118"/>
      <c r="DL928" s="118"/>
      <c r="DM928" s="118"/>
      <c r="DN928" s="118"/>
      <c r="DO928" s="118"/>
      <c r="DP928" s="118"/>
      <c r="DQ928" s="118"/>
      <c r="DR928" s="118"/>
      <c r="DS928" s="118"/>
      <c r="DT928" s="118"/>
      <c r="DU928" s="19"/>
      <c r="DV928" s="19"/>
      <c r="DW928" s="19"/>
      <c r="DX928" s="19"/>
      <c r="DY928" s="19"/>
      <c r="DZ928" s="19"/>
    </row>
    <row r="929" spans="1:130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18"/>
      <c r="BX929" s="118"/>
      <c r="BY929" s="118"/>
      <c r="BZ929" s="118"/>
      <c r="CA929" s="118"/>
      <c r="CB929" s="118"/>
      <c r="CC929" s="118"/>
      <c r="CD929" s="118"/>
      <c r="CE929" s="118"/>
      <c r="CF929" s="118"/>
      <c r="CG929" s="118"/>
      <c r="CH929" s="118"/>
      <c r="CI929" s="118"/>
      <c r="CJ929" s="118"/>
      <c r="CK929" s="118"/>
      <c r="CL929" s="118"/>
      <c r="CM929" s="118"/>
      <c r="CN929" s="118"/>
      <c r="CO929" s="118"/>
      <c r="CP929" s="118"/>
      <c r="CQ929" s="118"/>
      <c r="CR929" s="118"/>
      <c r="CS929" s="118"/>
      <c r="CT929" s="118"/>
      <c r="CU929" s="118"/>
      <c r="CV929" s="118"/>
      <c r="CW929" s="118"/>
      <c r="CX929" s="118"/>
      <c r="CY929" s="118"/>
      <c r="CZ929" s="118"/>
      <c r="DA929" s="118"/>
      <c r="DB929" s="118"/>
      <c r="DC929" s="118"/>
      <c r="DD929" s="118"/>
      <c r="DE929" s="118"/>
      <c r="DF929" s="118"/>
      <c r="DG929" s="118"/>
      <c r="DH929" s="118"/>
      <c r="DI929" s="118"/>
      <c r="DJ929" s="118"/>
      <c r="DK929" s="118"/>
      <c r="DL929" s="118"/>
      <c r="DM929" s="118"/>
      <c r="DN929" s="118"/>
      <c r="DO929" s="118"/>
      <c r="DP929" s="118"/>
      <c r="DQ929" s="118"/>
      <c r="DR929" s="118"/>
      <c r="DS929" s="118"/>
      <c r="DT929" s="118"/>
      <c r="DU929" s="19"/>
      <c r="DV929" s="19"/>
      <c r="DW929" s="19"/>
      <c r="DX929" s="19"/>
      <c r="DY929" s="19"/>
      <c r="DZ929" s="19"/>
    </row>
    <row r="930" spans="1:130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18"/>
      <c r="BX930" s="118"/>
      <c r="BY930" s="118"/>
      <c r="BZ930" s="118"/>
      <c r="CA930" s="118"/>
      <c r="CB930" s="118"/>
      <c r="CC930" s="118"/>
      <c r="CD930" s="118"/>
      <c r="CE930" s="118"/>
      <c r="CF930" s="118"/>
      <c r="CG930" s="118"/>
      <c r="CH930" s="118"/>
      <c r="CI930" s="118"/>
      <c r="CJ930" s="118"/>
      <c r="CK930" s="118"/>
      <c r="CL930" s="118"/>
      <c r="CM930" s="118"/>
      <c r="CN930" s="118"/>
      <c r="CO930" s="118"/>
      <c r="CP930" s="118"/>
      <c r="CQ930" s="118"/>
      <c r="CR930" s="118"/>
      <c r="CS930" s="118"/>
      <c r="CT930" s="118"/>
      <c r="CU930" s="118"/>
      <c r="CV930" s="118"/>
      <c r="CW930" s="118"/>
      <c r="CX930" s="118"/>
      <c r="CY930" s="118"/>
      <c r="CZ930" s="118"/>
      <c r="DA930" s="118"/>
      <c r="DB930" s="118"/>
      <c r="DC930" s="118"/>
      <c r="DD930" s="118"/>
      <c r="DE930" s="118"/>
      <c r="DF930" s="118"/>
      <c r="DG930" s="118"/>
      <c r="DH930" s="118"/>
      <c r="DI930" s="118"/>
      <c r="DJ930" s="118"/>
      <c r="DK930" s="118"/>
      <c r="DL930" s="118"/>
      <c r="DM930" s="118"/>
      <c r="DN930" s="118"/>
      <c r="DO930" s="118"/>
      <c r="DP930" s="118"/>
      <c r="DQ930" s="118"/>
      <c r="DR930" s="118"/>
      <c r="DS930" s="118"/>
      <c r="DT930" s="118"/>
      <c r="DU930" s="19"/>
      <c r="DV930" s="19"/>
      <c r="DW930" s="19"/>
      <c r="DX930" s="19"/>
      <c r="DY930" s="19"/>
      <c r="DZ930" s="19"/>
    </row>
    <row r="931" spans="1:130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18"/>
      <c r="BX931" s="118"/>
      <c r="BY931" s="118"/>
      <c r="BZ931" s="118"/>
      <c r="CA931" s="118"/>
      <c r="CB931" s="118"/>
      <c r="CC931" s="118"/>
      <c r="CD931" s="118"/>
      <c r="CE931" s="118"/>
      <c r="CF931" s="118"/>
      <c r="CG931" s="118"/>
      <c r="CH931" s="118"/>
      <c r="CI931" s="118"/>
      <c r="CJ931" s="118"/>
      <c r="CK931" s="118"/>
      <c r="CL931" s="118"/>
      <c r="CM931" s="118"/>
      <c r="CN931" s="118"/>
      <c r="CO931" s="118"/>
      <c r="CP931" s="118"/>
      <c r="CQ931" s="118"/>
      <c r="CR931" s="118"/>
      <c r="CS931" s="118"/>
      <c r="CT931" s="118"/>
      <c r="CU931" s="118"/>
      <c r="CV931" s="118"/>
      <c r="CW931" s="118"/>
      <c r="CX931" s="118"/>
      <c r="CY931" s="118"/>
      <c r="CZ931" s="118"/>
      <c r="DA931" s="118"/>
      <c r="DB931" s="118"/>
      <c r="DC931" s="118"/>
      <c r="DD931" s="118"/>
      <c r="DE931" s="118"/>
      <c r="DF931" s="118"/>
      <c r="DG931" s="118"/>
      <c r="DH931" s="118"/>
      <c r="DI931" s="118"/>
      <c r="DJ931" s="118"/>
      <c r="DK931" s="118"/>
      <c r="DL931" s="118"/>
      <c r="DM931" s="118"/>
      <c r="DN931" s="118"/>
      <c r="DO931" s="118"/>
      <c r="DP931" s="118"/>
      <c r="DQ931" s="118"/>
      <c r="DR931" s="118"/>
      <c r="DS931" s="118"/>
      <c r="DT931" s="118"/>
      <c r="DU931" s="19"/>
      <c r="DV931" s="19"/>
      <c r="DW931" s="19"/>
      <c r="DX931" s="19"/>
      <c r="DY931" s="19"/>
      <c r="DZ931" s="19"/>
    </row>
    <row r="932" spans="1:130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18"/>
      <c r="BX932" s="118"/>
      <c r="BY932" s="118"/>
      <c r="BZ932" s="118"/>
      <c r="CA932" s="118"/>
      <c r="CB932" s="118"/>
      <c r="CC932" s="118"/>
      <c r="CD932" s="118"/>
      <c r="CE932" s="118"/>
      <c r="CF932" s="118"/>
      <c r="CG932" s="118"/>
      <c r="CH932" s="118"/>
      <c r="CI932" s="118"/>
      <c r="CJ932" s="118"/>
      <c r="CK932" s="118"/>
      <c r="CL932" s="118"/>
      <c r="CM932" s="118"/>
      <c r="CN932" s="118"/>
      <c r="CO932" s="118"/>
      <c r="CP932" s="118"/>
      <c r="CQ932" s="118"/>
      <c r="CR932" s="118"/>
      <c r="CS932" s="118"/>
      <c r="CT932" s="118"/>
      <c r="CU932" s="118"/>
      <c r="CV932" s="118"/>
      <c r="CW932" s="118"/>
      <c r="CX932" s="118"/>
      <c r="CY932" s="118"/>
      <c r="CZ932" s="118"/>
      <c r="DA932" s="118"/>
      <c r="DB932" s="118"/>
      <c r="DC932" s="118"/>
      <c r="DD932" s="118"/>
      <c r="DE932" s="118"/>
      <c r="DF932" s="118"/>
      <c r="DG932" s="118"/>
      <c r="DH932" s="118"/>
      <c r="DI932" s="118"/>
      <c r="DJ932" s="118"/>
      <c r="DK932" s="118"/>
      <c r="DL932" s="118"/>
      <c r="DM932" s="118"/>
      <c r="DN932" s="118"/>
      <c r="DO932" s="118"/>
      <c r="DP932" s="118"/>
      <c r="DQ932" s="118"/>
      <c r="DR932" s="118"/>
      <c r="DS932" s="118"/>
      <c r="DT932" s="118"/>
      <c r="DU932" s="19"/>
      <c r="DV932" s="19"/>
      <c r="DW932" s="19"/>
      <c r="DX932" s="19"/>
      <c r="DY932" s="19"/>
      <c r="DZ932" s="19"/>
    </row>
    <row r="933" spans="1:130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18"/>
      <c r="BX933" s="118"/>
      <c r="BY933" s="118"/>
      <c r="BZ933" s="118"/>
      <c r="CA933" s="118"/>
      <c r="CB933" s="118"/>
      <c r="CC933" s="118"/>
      <c r="CD933" s="118"/>
      <c r="CE933" s="118"/>
      <c r="CF933" s="118"/>
      <c r="CG933" s="118"/>
      <c r="CH933" s="118"/>
      <c r="CI933" s="118"/>
      <c r="CJ933" s="118"/>
      <c r="CK933" s="118"/>
      <c r="CL933" s="118"/>
      <c r="CM933" s="118"/>
      <c r="CN933" s="118"/>
      <c r="CO933" s="118"/>
      <c r="CP933" s="118"/>
      <c r="CQ933" s="118"/>
      <c r="CR933" s="118"/>
      <c r="CS933" s="118"/>
      <c r="CT933" s="118"/>
      <c r="CU933" s="118"/>
      <c r="CV933" s="118"/>
      <c r="CW933" s="118"/>
      <c r="CX933" s="118"/>
      <c r="CY933" s="118"/>
      <c r="CZ933" s="118"/>
      <c r="DA933" s="118"/>
      <c r="DB933" s="118"/>
      <c r="DC933" s="118"/>
      <c r="DD933" s="118"/>
      <c r="DE933" s="118"/>
      <c r="DF933" s="118"/>
      <c r="DG933" s="118"/>
      <c r="DH933" s="118"/>
      <c r="DI933" s="118"/>
      <c r="DJ933" s="118"/>
      <c r="DK933" s="118"/>
      <c r="DL933" s="118"/>
      <c r="DM933" s="118"/>
      <c r="DN933" s="118"/>
      <c r="DO933" s="118"/>
      <c r="DP933" s="118"/>
      <c r="DQ933" s="118"/>
      <c r="DR933" s="118"/>
      <c r="DS933" s="118"/>
      <c r="DT933" s="118"/>
      <c r="DU933" s="19"/>
      <c r="DV933" s="19"/>
      <c r="DW933" s="19"/>
      <c r="DX933" s="19"/>
      <c r="DY933" s="19"/>
      <c r="DZ933" s="19"/>
    </row>
    <row r="934" spans="1:130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18"/>
      <c r="BX934" s="118"/>
      <c r="BY934" s="118"/>
      <c r="BZ934" s="118"/>
      <c r="CA934" s="118"/>
      <c r="CB934" s="118"/>
      <c r="CC934" s="118"/>
      <c r="CD934" s="118"/>
      <c r="CE934" s="118"/>
      <c r="CF934" s="118"/>
      <c r="CG934" s="118"/>
      <c r="CH934" s="118"/>
      <c r="CI934" s="118"/>
      <c r="CJ934" s="118"/>
      <c r="CK934" s="118"/>
      <c r="CL934" s="118"/>
      <c r="CM934" s="118"/>
      <c r="CN934" s="118"/>
      <c r="CO934" s="118"/>
      <c r="CP934" s="118"/>
      <c r="CQ934" s="118"/>
      <c r="CR934" s="118"/>
      <c r="CS934" s="118"/>
      <c r="CT934" s="118"/>
      <c r="CU934" s="118"/>
      <c r="CV934" s="118"/>
      <c r="CW934" s="118"/>
      <c r="CX934" s="118"/>
      <c r="CY934" s="118"/>
      <c r="CZ934" s="118"/>
      <c r="DA934" s="118"/>
      <c r="DB934" s="118"/>
      <c r="DC934" s="118"/>
      <c r="DD934" s="118"/>
      <c r="DE934" s="118"/>
      <c r="DF934" s="118"/>
      <c r="DG934" s="118"/>
      <c r="DH934" s="118"/>
      <c r="DI934" s="118"/>
      <c r="DJ934" s="118"/>
      <c r="DK934" s="118"/>
      <c r="DL934" s="118"/>
      <c r="DM934" s="118"/>
      <c r="DN934" s="118"/>
      <c r="DO934" s="118"/>
      <c r="DP934" s="118"/>
      <c r="DQ934" s="118"/>
      <c r="DR934" s="118"/>
      <c r="DS934" s="118"/>
      <c r="DT934" s="118"/>
      <c r="DU934" s="19"/>
      <c r="DV934" s="19"/>
      <c r="DW934" s="19"/>
      <c r="DX934" s="19"/>
      <c r="DY934" s="19"/>
      <c r="DZ934" s="19"/>
    </row>
    <row r="935" spans="1:130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18"/>
      <c r="BX935" s="118"/>
      <c r="BY935" s="118"/>
      <c r="BZ935" s="118"/>
      <c r="CA935" s="118"/>
      <c r="CB935" s="118"/>
      <c r="CC935" s="118"/>
      <c r="CD935" s="118"/>
      <c r="CE935" s="118"/>
      <c r="CF935" s="118"/>
      <c r="CG935" s="118"/>
      <c r="CH935" s="118"/>
      <c r="CI935" s="118"/>
      <c r="CJ935" s="118"/>
      <c r="CK935" s="118"/>
      <c r="CL935" s="118"/>
      <c r="CM935" s="118"/>
      <c r="CN935" s="118"/>
      <c r="CO935" s="118"/>
      <c r="CP935" s="118"/>
      <c r="CQ935" s="118"/>
      <c r="CR935" s="118"/>
      <c r="CS935" s="118"/>
      <c r="CT935" s="118"/>
      <c r="CU935" s="118"/>
      <c r="CV935" s="118"/>
      <c r="CW935" s="118"/>
      <c r="CX935" s="118"/>
      <c r="CY935" s="118"/>
      <c r="CZ935" s="118"/>
      <c r="DA935" s="118"/>
      <c r="DB935" s="118"/>
      <c r="DC935" s="118"/>
      <c r="DD935" s="118"/>
      <c r="DE935" s="118"/>
      <c r="DF935" s="118"/>
      <c r="DG935" s="118"/>
      <c r="DH935" s="118"/>
      <c r="DI935" s="118"/>
      <c r="DJ935" s="118"/>
      <c r="DK935" s="118"/>
      <c r="DL935" s="118"/>
      <c r="DM935" s="118"/>
      <c r="DN935" s="118"/>
      <c r="DO935" s="118"/>
      <c r="DP935" s="118"/>
      <c r="DQ935" s="118"/>
      <c r="DR935" s="118"/>
      <c r="DS935" s="118"/>
      <c r="DT935" s="118"/>
      <c r="DU935" s="19"/>
      <c r="DV935" s="19"/>
      <c r="DW935" s="19"/>
      <c r="DX935" s="19"/>
      <c r="DY935" s="19"/>
      <c r="DZ935" s="19"/>
    </row>
    <row r="936" spans="1:130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18"/>
      <c r="BX936" s="118"/>
      <c r="BY936" s="118"/>
      <c r="BZ936" s="118"/>
      <c r="CA936" s="118"/>
      <c r="CB936" s="118"/>
      <c r="CC936" s="118"/>
      <c r="CD936" s="118"/>
      <c r="CE936" s="118"/>
      <c r="CF936" s="118"/>
      <c r="CG936" s="118"/>
      <c r="CH936" s="118"/>
      <c r="CI936" s="118"/>
      <c r="CJ936" s="118"/>
      <c r="CK936" s="118"/>
      <c r="CL936" s="118"/>
      <c r="CM936" s="118"/>
      <c r="CN936" s="118"/>
      <c r="CO936" s="118"/>
      <c r="CP936" s="118"/>
      <c r="CQ936" s="118"/>
      <c r="CR936" s="118"/>
      <c r="CS936" s="118"/>
      <c r="CT936" s="118"/>
      <c r="CU936" s="118"/>
      <c r="CV936" s="118"/>
      <c r="CW936" s="118"/>
      <c r="CX936" s="118"/>
      <c r="CY936" s="118"/>
      <c r="CZ936" s="118"/>
      <c r="DA936" s="118"/>
      <c r="DB936" s="118"/>
      <c r="DC936" s="118"/>
      <c r="DD936" s="118"/>
      <c r="DE936" s="118"/>
      <c r="DF936" s="118"/>
      <c r="DG936" s="118"/>
      <c r="DH936" s="118"/>
      <c r="DI936" s="118"/>
      <c r="DJ936" s="118"/>
      <c r="DK936" s="118"/>
      <c r="DL936" s="118"/>
      <c r="DM936" s="118"/>
      <c r="DN936" s="118"/>
      <c r="DO936" s="118"/>
      <c r="DP936" s="118"/>
      <c r="DQ936" s="118"/>
      <c r="DR936" s="118"/>
      <c r="DS936" s="118"/>
      <c r="DT936" s="118"/>
      <c r="DU936" s="19"/>
      <c r="DV936" s="19"/>
      <c r="DW936" s="19"/>
      <c r="DX936" s="19"/>
      <c r="DY936" s="19"/>
      <c r="DZ936" s="19"/>
    </row>
    <row r="937" spans="1:130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18"/>
      <c r="BX937" s="118"/>
      <c r="BY937" s="118"/>
      <c r="BZ937" s="118"/>
      <c r="CA937" s="118"/>
      <c r="CB937" s="118"/>
      <c r="CC937" s="118"/>
      <c r="CD937" s="118"/>
      <c r="CE937" s="118"/>
      <c r="CF937" s="118"/>
      <c r="CG937" s="118"/>
      <c r="CH937" s="118"/>
      <c r="CI937" s="118"/>
      <c r="CJ937" s="118"/>
      <c r="CK937" s="118"/>
      <c r="CL937" s="118"/>
      <c r="CM937" s="118"/>
      <c r="CN937" s="118"/>
      <c r="CO937" s="118"/>
      <c r="CP937" s="118"/>
      <c r="CQ937" s="118"/>
      <c r="CR937" s="118"/>
      <c r="CS937" s="118"/>
      <c r="CT937" s="118"/>
      <c r="CU937" s="118"/>
      <c r="CV937" s="118"/>
      <c r="CW937" s="118"/>
      <c r="CX937" s="118"/>
      <c r="CY937" s="118"/>
      <c r="CZ937" s="118"/>
      <c r="DA937" s="118"/>
      <c r="DB937" s="118"/>
      <c r="DC937" s="118"/>
      <c r="DD937" s="118"/>
      <c r="DE937" s="118"/>
      <c r="DF937" s="118"/>
      <c r="DG937" s="118"/>
      <c r="DH937" s="118"/>
      <c r="DI937" s="118"/>
      <c r="DJ937" s="118"/>
      <c r="DK937" s="118"/>
      <c r="DL937" s="118"/>
      <c r="DM937" s="118"/>
      <c r="DN937" s="118"/>
      <c r="DO937" s="118"/>
      <c r="DP937" s="118"/>
      <c r="DQ937" s="118"/>
      <c r="DR937" s="118"/>
      <c r="DS937" s="118"/>
      <c r="DT937" s="118"/>
      <c r="DU937" s="19"/>
      <c r="DV937" s="19"/>
      <c r="DW937" s="19"/>
      <c r="DX937" s="19"/>
      <c r="DY937" s="19"/>
      <c r="DZ937" s="19"/>
    </row>
    <row r="938" spans="1:130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18"/>
      <c r="BX938" s="118"/>
      <c r="BY938" s="118"/>
      <c r="BZ938" s="118"/>
      <c r="CA938" s="118"/>
      <c r="CB938" s="118"/>
      <c r="CC938" s="118"/>
      <c r="CD938" s="118"/>
      <c r="CE938" s="118"/>
      <c r="CF938" s="118"/>
      <c r="CG938" s="118"/>
      <c r="CH938" s="118"/>
      <c r="CI938" s="118"/>
      <c r="CJ938" s="118"/>
      <c r="CK938" s="118"/>
      <c r="CL938" s="118"/>
      <c r="CM938" s="118"/>
      <c r="CN938" s="118"/>
      <c r="CO938" s="118"/>
      <c r="CP938" s="118"/>
      <c r="CQ938" s="118"/>
      <c r="CR938" s="118"/>
      <c r="CS938" s="118"/>
      <c r="CT938" s="118"/>
      <c r="CU938" s="118"/>
      <c r="CV938" s="118"/>
      <c r="CW938" s="118"/>
      <c r="CX938" s="118"/>
      <c r="CY938" s="118"/>
      <c r="CZ938" s="118"/>
      <c r="DA938" s="118"/>
      <c r="DB938" s="118"/>
      <c r="DC938" s="118"/>
      <c r="DD938" s="118"/>
      <c r="DE938" s="118"/>
      <c r="DF938" s="118"/>
      <c r="DG938" s="118"/>
      <c r="DH938" s="118"/>
      <c r="DI938" s="118"/>
      <c r="DJ938" s="118"/>
      <c r="DK938" s="118"/>
      <c r="DL938" s="118"/>
      <c r="DM938" s="118"/>
      <c r="DN938" s="118"/>
      <c r="DO938" s="118"/>
      <c r="DP938" s="118"/>
      <c r="DQ938" s="118"/>
      <c r="DR938" s="118"/>
      <c r="DS938" s="118"/>
      <c r="DT938" s="118"/>
      <c r="DU938" s="19"/>
      <c r="DV938" s="19"/>
      <c r="DW938" s="19"/>
      <c r="DX938" s="19"/>
      <c r="DY938" s="19"/>
      <c r="DZ938" s="19"/>
    </row>
    <row r="939" spans="1:130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18"/>
      <c r="BX939" s="118"/>
      <c r="BY939" s="118"/>
      <c r="BZ939" s="118"/>
      <c r="CA939" s="118"/>
      <c r="CB939" s="118"/>
      <c r="CC939" s="118"/>
      <c r="CD939" s="118"/>
      <c r="CE939" s="118"/>
      <c r="CF939" s="118"/>
      <c r="CG939" s="118"/>
      <c r="CH939" s="118"/>
      <c r="CI939" s="118"/>
      <c r="CJ939" s="118"/>
      <c r="CK939" s="118"/>
      <c r="CL939" s="118"/>
      <c r="CM939" s="118"/>
      <c r="CN939" s="118"/>
      <c r="CO939" s="118"/>
      <c r="CP939" s="118"/>
      <c r="CQ939" s="118"/>
      <c r="CR939" s="118"/>
      <c r="CS939" s="118"/>
      <c r="CT939" s="118"/>
      <c r="CU939" s="118"/>
      <c r="CV939" s="118"/>
      <c r="CW939" s="118"/>
      <c r="CX939" s="118"/>
      <c r="CY939" s="118"/>
      <c r="CZ939" s="118"/>
      <c r="DA939" s="118"/>
      <c r="DB939" s="118"/>
      <c r="DC939" s="118"/>
      <c r="DD939" s="118"/>
      <c r="DE939" s="118"/>
      <c r="DF939" s="118"/>
      <c r="DG939" s="118"/>
      <c r="DH939" s="118"/>
      <c r="DI939" s="118"/>
      <c r="DJ939" s="118"/>
      <c r="DK939" s="118"/>
      <c r="DL939" s="118"/>
      <c r="DM939" s="118"/>
      <c r="DN939" s="118"/>
      <c r="DO939" s="118"/>
      <c r="DP939" s="118"/>
      <c r="DQ939" s="118"/>
      <c r="DR939" s="118"/>
      <c r="DS939" s="118"/>
      <c r="DT939" s="118"/>
      <c r="DU939" s="19"/>
      <c r="DV939" s="19"/>
      <c r="DW939" s="19"/>
      <c r="DX939" s="19"/>
      <c r="DY939" s="19"/>
      <c r="DZ939" s="19"/>
    </row>
    <row r="940" spans="1:130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18"/>
      <c r="BX940" s="118"/>
      <c r="BY940" s="118"/>
      <c r="BZ940" s="118"/>
      <c r="CA940" s="118"/>
      <c r="CB940" s="118"/>
      <c r="CC940" s="118"/>
      <c r="CD940" s="118"/>
      <c r="CE940" s="118"/>
      <c r="CF940" s="118"/>
      <c r="CG940" s="118"/>
      <c r="CH940" s="118"/>
      <c r="CI940" s="118"/>
      <c r="CJ940" s="118"/>
      <c r="CK940" s="118"/>
      <c r="CL940" s="118"/>
      <c r="CM940" s="118"/>
      <c r="CN940" s="118"/>
      <c r="CO940" s="118"/>
      <c r="CP940" s="118"/>
      <c r="CQ940" s="118"/>
      <c r="CR940" s="118"/>
      <c r="CS940" s="118"/>
      <c r="CT940" s="118"/>
      <c r="CU940" s="118"/>
      <c r="CV940" s="118"/>
      <c r="CW940" s="118"/>
      <c r="CX940" s="118"/>
      <c r="CY940" s="118"/>
      <c r="CZ940" s="118"/>
      <c r="DA940" s="118"/>
      <c r="DB940" s="118"/>
      <c r="DC940" s="118"/>
      <c r="DD940" s="118"/>
      <c r="DE940" s="118"/>
      <c r="DF940" s="118"/>
      <c r="DG940" s="118"/>
      <c r="DH940" s="118"/>
      <c r="DI940" s="118"/>
      <c r="DJ940" s="118"/>
      <c r="DK940" s="118"/>
      <c r="DL940" s="118"/>
      <c r="DM940" s="118"/>
      <c r="DN940" s="118"/>
      <c r="DO940" s="118"/>
      <c r="DP940" s="118"/>
      <c r="DQ940" s="118"/>
      <c r="DR940" s="118"/>
      <c r="DS940" s="118"/>
      <c r="DT940" s="118"/>
      <c r="DU940" s="19"/>
      <c r="DV940" s="19"/>
      <c r="DW940" s="19"/>
      <c r="DX940" s="19"/>
      <c r="DY940" s="19"/>
      <c r="DZ940" s="19"/>
    </row>
    <row r="941" spans="1:130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18"/>
      <c r="BX941" s="118"/>
      <c r="BY941" s="118"/>
      <c r="BZ941" s="118"/>
      <c r="CA941" s="118"/>
      <c r="CB941" s="118"/>
      <c r="CC941" s="118"/>
      <c r="CD941" s="118"/>
      <c r="CE941" s="118"/>
      <c r="CF941" s="118"/>
      <c r="CG941" s="118"/>
      <c r="CH941" s="118"/>
      <c r="CI941" s="118"/>
      <c r="CJ941" s="118"/>
      <c r="CK941" s="118"/>
      <c r="CL941" s="118"/>
      <c r="CM941" s="118"/>
      <c r="CN941" s="118"/>
      <c r="CO941" s="118"/>
      <c r="CP941" s="118"/>
      <c r="CQ941" s="118"/>
      <c r="CR941" s="118"/>
      <c r="CS941" s="118"/>
      <c r="CT941" s="118"/>
      <c r="CU941" s="118"/>
      <c r="CV941" s="118"/>
      <c r="CW941" s="118"/>
      <c r="CX941" s="118"/>
      <c r="CY941" s="118"/>
      <c r="CZ941" s="118"/>
      <c r="DA941" s="118"/>
      <c r="DB941" s="118"/>
      <c r="DC941" s="118"/>
      <c r="DD941" s="118"/>
      <c r="DE941" s="118"/>
      <c r="DF941" s="118"/>
      <c r="DG941" s="118"/>
      <c r="DH941" s="118"/>
      <c r="DI941" s="118"/>
      <c r="DJ941" s="118"/>
      <c r="DK941" s="118"/>
      <c r="DL941" s="118"/>
      <c r="DM941" s="118"/>
      <c r="DN941" s="118"/>
      <c r="DO941" s="118"/>
      <c r="DP941" s="118"/>
      <c r="DQ941" s="118"/>
      <c r="DR941" s="118"/>
      <c r="DS941" s="118"/>
      <c r="DT941" s="118"/>
      <c r="DU941" s="19"/>
      <c r="DV941" s="19"/>
      <c r="DW941" s="19"/>
      <c r="DX941" s="19"/>
      <c r="DY941" s="19"/>
      <c r="DZ941" s="19"/>
    </row>
    <row r="942" spans="1:130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18"/>
      <c r="BX942" s="118"/>
      <c r="BY942" s="118"/>
      <c r="BZ942" s="118"/>
      <c r="CA942" s="118"/>
      <c r="CB942" s="118"/>
      <c r="CC942" s="118"/>
      <c r="CD942" s="118"/>
      <c r="CE942" s="118"/>
      <c r="CF942" s="118"/>
      <c r="CG942" s="118"/>
      <c r="CH942" s="118"/>
      <c r="CI942" s="118"/>
      <c r="CJ942" s="118"/>
      <c r="CK942" s="118"/>
      <c r="CL942" s="118"/>
      <c r="CM942" s="118"/>
      <c r="CN942" s="118"/>
      <c r="CO942" s="118"/>
      <c r="CP942" s="118"/>
      <c r="CQ942" s="118"/>
      <c r="CR942" s="118"/>
      <c r="CS942" s="118"/>
      <c r="CT942" s="118"/>
      <c r="CU942" s="118"/>
      <c r="CV942" s="118"/>
      <c r="CW942" s="118"/>
      <c r="CX942" s="118"/>
      <c r="CY942" s="118"/>
      <c r="CZ942" s="118"/>
      <c r="DA942" s="118"/>
      <c r="DB942" s="118"/>
      <c r="DC942" s="118"/>
      <c r="DD942" s="118"/>
      <c r="DE942" s="118"/>
      <c r="DF942" s="118"/>
      <c r="DG942" s="118"/>
      <c r="DH942" s="118"/>
      <c r="DI942" s="118"/>
      <c r="DJ942" s="118"/>
      <c r="DK942" s="118"/>
      <c r="DL942" s="118"/>
      <c r="DM942" s="118"/>
      <c r="DN942" s="118"/>
      <c r="DO942" s="118"/>
      <c r="DP942" s="118"/>
      <c r="DQ942" s="118"/>
      <c r="DR942" s="118"/>
      <c r="DS942" s="118"/>
      <c r="DT942" s="118"/>
      <c r="DU942" s="19"/>
      <c r="DV942" s="19"/>
      <c r="DW942" s="19"/>
      <c r="DX942" s="19"/>
      <c r="DY942" s="19"/>
      <c r="DZ942" s="19"/>
    </row>
    <row r="943" spans="1:130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18"/>
      <c r="BX943" s="118"/>
      <c r="BY943" s="118"/>
      <c r="BZ943" s="118"/>
      <c r="CA943" s="118"/>
      <c r="CB943" s="118"/>
      <c r="CC943" s="118"/>
      <c r="CD943" s="118"/>
      <c r="CE943" s="118"/>
      <c r="CF943" s="118"/>
      <c r="CG943" s="118"/>
      <c r="CH943" s="118"/>
      <c r="CI943" s="118"/>
      <c r="CJ943" s="118"/>
      <c r="CK943" s="118"/>
      <c r="CL943" s="118"/>
      <c r="CM943" s="118"/>
      <c r="CN943" s="118"/>
      <c r="CO943" s="118"/>
      <c r="CP943" s="118"/>
      <c r="CQ943" s="118"/>
      <c r="CR943" s="118"/>
      <c r="CS943" s="118"/>
      <c r="CT943" s="118"/>
      <c r="CU943" s="118"/>
      <c r="CV943" s="118"/>
      <c r="CW943" s="118"/>
      <c r="CX943" s="118"/>
      <c r="CY943" s="118"/>
      <c r="CZ943" s="118"/>
      <c r="DA943" s="118"/>
      <c r="DB943" s="118"/>
      <c r="DC943" s="118"/>
      <c r="DD943" s="118"/>
      <c r="DE943" s="118"/>
      <c r="DF943" s="118"/>
      <c r="DG943" s="118"/>
      <c r="DH943" s="118"/>
      <c r="DI943" s="118"/>
      <c r="DJ943" s="118"/>
      <c r="DK943" s="118"/>
      <c r="DL943" s="118"/>
      <c r="DM943" s="118"/>
      <c r="DN943" s="118"/>
      <c r="DO943" s="118"/>
      <c r="DP943" s="118"/>
      <c r="DQ943" s="118"/>
      <c r="DR943" s="118"/>
      <c r="DS943" s="118"/>
      <c r="DT943" s="118"/>
      <c r="DU943" s="19"/>
      <c r="DV943" s="19"/>
      <c r="DW943" s="19"/>
      <c r="DX943" s="19"/>
      <c r="DY943" s="19"/>
      <c r="DZ943" s="19"/>
    </row>
    <row r="944" spans="1:130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18"/>
      <c r="BX944" s="118"/>
      <c r="BY944" s="118"/>
      <c r="BZ944" s="118"/>
      <c r="CA944" s="118"/>
      <c r="CB944" s="118"/>
      <c r="CC944" s="118"/>
      <c r="CD944" s="118"/>
      <c r="CE944" s="118"/>
      <c r="CF944" s="118"/>
      <c r="CG944" s="118"/>
      <c r="CH944" s="118"/>
      <c r="CI944" s="118"/>
      <c r="CJ944" s="118"/>
      <c r="CK944" s="118"/>
      <c r="CL944" s="118"/>
      <c r="CM944" s="118"/>
      <c r="CN944" s="118"/>
      <c r="CO944" s="118"/>
      <c r="CP944" s="118"/>
      <c r="CQ944" s="118"/>
      <c r="CR944" s="118"/>
      <c r="CS944" s="118"/>
      <c r="CT944" s="118"/>
      <c r="CU944" s="118"/>
      <c r="CV944" s="118"/>
      <c r="CW944" s="118"/>
      <c r="CX944" s="118"/>
      <c r="CY944" s="118"/>
      <c r="CZ944" s="118"/>
      <c r="DA944" s="118"/>
      <c r="DB944" s="118"/>
      <c r="DC944" s="118"/>
      <c r="DD944" s="118"/>
      <c r="DE944" s="118"/>
      <c r="DF944" s="118"/>
      <c r="DG944" s="118"/>
      <c r="DH944" s="118"/>
      <c r="DI944" s="118"/>
      <c r="DJ944" s="118"/>
      <c r="DK944" s="118"/>
      <c r="DL944" s="118"/>
      <c r="DM944" s="118"/>
      <c r="DN944" s="118"/>
      <c r="DO944" s="118"/>
      <c r="DP944" s="118"/>
      <c r="DQ944" s="118"/>
      <c r="DR944" s="118"/>
      <c r="DS944" s="118"/>
      <c r="DT944" s="118"/>
      <c r="DU944" s="19"/>
      <c r="DV944" s="19"/>
      <c r="DW944" s="19"/>
      <c r="DX944" s="19"/>
      <c r="DY944" s="19"/>
      <c r="DZ944" s="19"/>
    </row>
    <row r="945" spans="1:130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18"/>
      <c r="BX945" s="118"/>
      <c r="BY945" s="118"/>
      <c r="BZ945" s="118"/>
      <c r="CA945" s="118"/>
      <c r="CB945" s="118"/>
      <c r="CC945" s="118"/>
      <c r="CD945" s="118"/>
      <c r="CE945" s="118"/>
      <c r="CF945" s="118"/>
      <c r="CG945" s="118"/>
      <c r="CH945" s="118"/>
      <c r="CI945" s="118"/>
      <c r="CJ945" s="118"/>
      <c r="CK945" s="118"/>
      <c r="CL945" s="118"/>
      <c r="CM945" s="118"/>
      <c r="CN945" s="118"/>
      <c r="CO945" s="118"/>
      <c r="CP945" s="118"/>
      <c r="CQ945" s="118"/>
      <c r="CR945" s="118"/>
      <c r="CS945" s="118"/>
      <c r="CT945" s="118"/>
      <c r="CU945" s="118"/>
      <c r="CV945" s="118"/>
      <c r="CW945" s="118"/>
      <c r="CX945" s="118"/>
      <c r="CY945" s="118"/>
      <c r="CZ945" s="118"/>
      <c r="DA945" s="118"/>
      <c r="DB945" s="118"/>
      <c r="DC945" s="118"/>
      <c r="DD945" s="118"/>
      <c r="DE945" s="118"/>
      <c r="DF945" s="118"/>
      <c r="DG945" s="118"/>
      <c r="DH945" s="118"/>
      <c r="DI945" s="118"/>
      <c r="DJ945" s="118"/>
      <c r="DK945" s="118"/>
      <c r="DL945" s="118"/>
      <c r="DM945" s="118"/>
      <c r="DN945" s="118"/>
      <c r="DO945" s="118"/>
      <c r="DP945" s="118"/>
      <c r="DQ945" s="118"/>
      <c r="DR945" s="118"/>
      <c r="DS945" s="118"/>
      <c r="DT945" s="118"/>
      <c r="DU945" s="19"/>
      <c r="DV945" s="19"/>
      <c r="DW945" s="19"/>
      <c r="DX945" s="19"/>
      <c r="DY945" s="19"/>
      <c r="DZ945" s="19"/>
    </row>
    <row r="946" spans="1:130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18"/>
      <c r="BX946" s="118"/>
      <c r="BY946" s="118"/>
      <c r="BZ946" s="118"/>
      <c r="CA946" s="118"/>
      <c r="CB946" s="118"/>
      <c r="CC946" s="118"/>
      <c r="CD946" s="118"/>
      <c r="CE946" s="118"/>
      <c r="CF946" s="118"/>
      <c r="CG946" s="118"/>
      <c r="CH946" s="118"/>
      <c r="CI946" s="118"/>
      <c r="CJ946" s="118"/>
      <c r="CK946" s="118"/>
      <c r="CL946" s="118"/>
      <c r="CM946" s="118"/>
      <c r="CN946" s="118"/>
      <c r="CO946" s="118"/>
      <c r="CP946" s="118"/>
      <c r="CQ946" s="118"/>
      <c r="CR946" s="118"/>
      <c r="CS946" s="118"/>
      <c r="CT946" s="118"/>
      <c r="CU946" s="118"/>
      <c r="CV946" s="118"/>
      <c r="CW946" s="118"/>
      <c r="CX946" s="118"/>
      <c r="CY946" s="118"/>
      <c r="CZ946" s="118"/>
      <c r="DA946" s="118"/>
      <c r="DB946" s="118"/>
      <c r="DC946" s="118"/>
      <c r="DD946" s="118"/>
      <c r="DE946" s="118"/>
      <c r="DF946" s="118"/>
      <c r="DG946" s="118"/>
      <c r="DH946" s="118"/>
      <c r="DI946" s="118"/>
      <c r="DJ946" s="118"/>
      <c r="DK946" s="118"/>
      <c r="DL946" s="118"/>
      <c r="DM946" s="118"/>
      <c r="DN946" s="118"/>
      <c r="DO946" s="118"/>
      <c r="DP946" s="118"/>
      <c r="DQ946" s="118"/>
      <c r="DR946" s="118"/>
      <c r="DS946" s="118"/>
      <c r="DT946" s="118"/>
      <c r="DU946" s="19"/>
      <c r="DV946" s="19"/>
      <c r="DW946" s="19"/>
      <c r="DX946" s="19"/>
      <c r="DY946" s="19"/>
      <c r="DZ946" s="19"/>
    </row>
    <row r="947" spans="1:130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18"/>
      <c r="BX947" s="118"/>
      <c r="BY947" s="118"/>
      <c r="BZ947" s="118"/>
      <c r="CA947" s="118"/>
      <c r="CB947" s="118"/>
      <c r="CC947" s="118"/>
      <c r="CD947" s="118"/>
      <c r="CE947" s="118"/>
      <c r="CF947" s="118"/>
      <c r="CG947" s="118"/>
      <c r="CH947" s="118"/>
      <c r="CI947" s="118"/>
      <c r="CJ947" s="118"/>
      <c r="CK947" s="118"/>
      <c r="CL947" s="118"/>
      <c r="CM947" s="118"/>
      <c r="CN947" s="118"/>
      <c r="CO947" s="118"/>
      <c r="CP947" s="118"/>
      <c r="CQ947" s="118"/>
      <c r="CR947" s="118"/>
      <c r="CS947" s="118"/>
      <c r="CT947" s="118"/>
      <c r="CU947" s="118"/>
      <c r="CV947" s="118"/>
      <c r="CW947" s="118"/>
      <c r="CX947" s="118"/>
      <c r="CY947" s="118"/>
      <c r="CZ947" s="118"/>
      <c r="DA947" s="118"/>
      <c r="DB947" s="118"/>
      <c r="DC947" s="118"/>
      <c r="DD947" s="118"/>
      <c r="DE947" s="118"/>
      <c r="DF947" s="118"/>
      <c r="DG947" s="118"/>
      <c r="DH947" s="118"/>
      <c r="DI947" s="118"/>
      <c r="DJ947" s="118"/>
      <c r="DK947" s="118"/>
      <c r="DL947" s="118"/>
      <c r="DM947" s="118"/>
      <c r="DN947" s="118"/>
      <c r="DO947" s="118"/>
      <c r="DP947" s="118"/>
      <c r="DQ947" s="118"/>
      <c r="DR947" s="118"/>
      <c r="DS947" s="118"/>
      <c r="DT947" s="118"/>
      <c r="DU947" s="19"/>
      <c r="DV947" s="19"/>
      <c r="DW947" s="19"/>
      <c r="DX947" s="19"/>
      <c r="DY947" s="19"/>
      <c r="DZ947" s="19"/>
    </row>
    <row r="948" spans="1:130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18"/>
      <c r="BX948" s="118"/>
      <c r="BY948" s="118"/>
      <c r="BZ948" s="118"/>
      <c r="CA948" s="118"/>
      <c r="CB948" s="118"/>
      <c r="CC948" s="118"/>
      <c r="CD948" s="118"/>
      <c r="CE948" s="118"/>
      <c r="CF948" s="118"/>
      <c r="CG948" s="118"/>
      <c r="CH948" s="118"/>
      <c r="CI948" s="118"/>
      <c r="CJ948" s="118"/>
      <c r="CK948" s="118"/>
      <c r="CL948" s="118"/>
      <c r="CM948" s="118"/>
      <c r="CN948" s="118"/>
      <c r="CO948" s="118"/>
      <c r="CP948" s="118"/>
      <c r="CQ948" s="118"/>
      <c r="CR948" s="118"/>
      <c r="CS948" s="118"/>
      <c r="CT948" s="118"/>
      <c r="CU948" s="118"/>
      <c r="CV948" s="118"/>
      <c r="CW948" s="118"/>
      <c r="CX948" s="118"/>
      <c r="CY948" s="118"/>
      <c r="CZ948" s="118"/>
      <c r="DA948" s="118"/>
      <c r="DB948" s="118"/>
      <c r="DC948" s="118"/>
      <c r="DD948" s="118"/>
      <c r="DE948" s="118"/>
      <c r="DF948" s="118"/>
      <c r="DG948" s="118"/>
      <c r="DH948" s="118"/>
      <c r="DI948" s="118"/>
      <c r="DJ948" s="118"/>
      <c r="DK948" s="118"/>
      <c r="DL948" s="118"/>
      <c r="DM948" s="118"/>
      <c r="DN948" s="118"/>
      <c r="DO948" s="118"/>
      <c r="DP948" s="118"/>
      <c r="DQ948" s="118"/>
      <c r="DR948" s="118"/>
      <c r="DS948" s="118"/>
      <c r="DT948" s="118"/>
      <c r="DU948" s="19"/>
      <c r="DV948" s="19"/>
      <c r="DW948" s="19"/>
      <c r="DX948" s="19"/>
      <c r="DY948" s="19"/>
      <c r="DZ948" s="19"/>
    </row>
    <row r="949" spans="1:130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18"/>
      <c r="BX949" s="118"/>
      <c r="BY949" s="118"/>
      <c r="BZ949" s="118"/>
      <c r="CA949" s="118"/>
      <c r="CB949" s="118"/>
      <c r="CC949" s="118"/>
      <c r="CD949" s="118"/>
      <c r="CE949" s="118"/>
      <c r="CF949" s="118"/>
      <c r="CG949" s="118"/>
      <c r="CH949" s="118"/>
      <c r="CI949" s="118"/>
      <c r="CJ949" s="118"/>
      <c r="CK949" s="118"/>
      <c r="CL949" s="118"/>
      <c r="CM949" s="118"/>
      <c r="CN949" s="118"/>
      <c r="CO949" s="118"/>
      <c r="CP949" s="118"/>
      <c r="CQ949" s="118"/>
      <c r="CR949" s="118"/>
      <c r="CS949" s="118"/>
      <c r="CT949" s="118"/>
      <c r="CU949" s="118"/>
      <c r="CV949" s="118"/>
      <c r="CW949" s="118"/>
      <c r="CX949" s="118"/>
      <c r="CY949" s="118"/>
      <c r="CZ949" s="118"/>
      <c r="DA949" s="118"/>
      <c r="DB949" s="118"/>
      <c r="DC949" s="118"/>
      <c r="DD949" s="118"/>
      <c r="DE949" s="118"/>
      <c r="DF949" s="118"/>
      <c r="DG949" s="118"/>
      <c r="DH949" s="118"/>
      <c r="DI949" s="118"/>
      <c r="DJ949" s="118"/>
      <c r="DK949" s="118"/>
      <c r="DL949" s="118"/>
      <c r="DM949" s="118"/>
      <c r="DN949" s="118"/>
      <c r="DO949" s="118"/>
      <c r="DP949" s="118"/>
      <c r="DQ949" s="118"/>
      <c r="DR949" s="118"/>
      <c r="DS949" s="118"/>
      <c r="DT949" s="118"/>
      <c r="DU949" s="19"/>
      <c r="DV949" s="19"/>
      <c r="DW949" s="19"/>
      <c r="DX949" s="19"/>
      <c r="DY949" s="19"/>
      <c r="DZ949" s="19"/>
    </row>
    <row r="950" spans="1:130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18"/>
      <c r="BX950" s="118"/>
      <c r="BY950" s="118"/>
      <c r="BZ950" s="118"/>
      <c r="CA950" s="118"/>
      <c r="CB950" s="118"/>
      <c r="CC950" s="118"/>
      <c r="CD950" s="118"/>
      <c r="CE950" s="118"/>
      <c r="CF950" s="118"/>
      <c r="CG950" s="118"/>
      <c r="CH950" s="118"/>
      <c r="CI950" s="118"/>
      <c r="CJ950" s="118"/>
      <c r="CK950" s="118"/>
      <c r="CL950" s="118"/>
      <c r="CM950" s="118"/>
      <c r="CN950" s="118"/>
      <c r="CO950" s="118"/>
      <c r="CP950" s="118"/>
      <c r="CQ950" s="118"/>
      <c r="CR950" s="118"/>
      <c r="CS950" s="118"/>
      <c r="CT950" s="118"/>
      <c r="CU950" s="118"/>
      <c r="CV950" s="118"/>
      <c r="CW950" s="118"/>
      <c r="CX950" s="118"/>
      <c r="CY950" s="118"/>
      <c r="CZ950" s="118"/>
      <c r="DA950" s="118"/>
      <c r="DB950" s="118"/>
      <c r="DC950" s="118"/>
      <c r="DD950" s="118"/>
      <c r="DE950" s="118"/>
      <c r="DF950" s="118"/>
      <c r="DG950" s="118"/>
      <c r="DH950" s="118"/>
      <c r="DI950" s="118"/>
      <c r="DJ950" s="118"/>
      <c r="DK950" s="118"/>
      <c r="DL950" s="118"/>
      <c r="DM950" s="118"/>
      <c r="DN950" s="118"/>
      <c r="DO950" s="118"/>
      <c r="DP950" s="118"/>
      <c r="DQ950" s="118"/>
      <c r="DR950" s="118"/>
      <c r="DS950" s="118"/>
      <c r="DT950" s="118"/>
      <c r="DU950" s="19"/>
      <c r="DV950" s="19"/>
      <c r="DW950" s="19"/>
      <c r="DX950" s="19"/>
      <c r="DY950" s="19"/>
      <c r="DZ950" s="19"/>
    </row>
    <row r="951" spans="1:130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18"/>
      <c r="BX951" s="118"/>
      <c r="BY951" s="118"/>
      <c r="BZ951" s="118"/>
      <c r="CA951" s="118"/>
      <c r="CB951" s="118"/>
      <c r="CC951" s="118"/>
      <c r="CD951" s="118"/>
      <c r="CE951" s="118"/>
      <c r="CF951" s="118"/>
      <c r="CG951" s="118"/>
      <c r="CH951" s="118"/>
      <c r="CI951" s="118"/>
      <c r="CJ951" s="118"/>
      <c r="CK951" s="118"/>
      <c r="CL951" s="118"/>
      <c r="CM951" s="118"/>
      <c r="CN951" s="118"/>
      <c r="CO951" s="118"/>
      <c r="CP951" s="118"/>
      <c r="CQ951" s="118"/>
      <c r="CR951" s="118"/>
      <c r="CS951" s="118"/>
      <c r="CT951" s="118"/>
      <c r="CU951" s="118"/>
      <c r="CV951" s="118"/>
      <c r="CW951" s="118"/>
      <c r="CX951" s="118"/>
      <c r="CY951" s="118"/>
      <c r="CZ951" s="118"/>
      <c r="DA951" s="118"/>
      <c r="DB951" s="118"/>
      <c r="DC951" s="118"/>
      <c r="DD951" s="118"/>
      <c r="DE951" s="118"/>
      <c r="DF951" s="118"/>
      <c r="DG951" s="118"/>
      <c r="DH951" s="118"/>
      <c r="DI951" s="118"/>
      <c r="DJ951" s="118"/>
      <c r="DK951" s="118"/>
      <c r="DL951" s="118"/>
      <c r="DM951" s="118"/>
      <c r="DN951" s="118"/>
      <c r="DO951" s="118"/>
      <c r="DP951" s="118"/>
      <c r="DQ951" s="118"/>
      <c r="DR951" s="118"/>
      <c r="DS951" s="118"/>
      <c r="DT951" s="118"/>
      <c r="DU951" s="19"/>
      <c r="DV951" s="19"/>
      <c r="DW951" s="19"/>
      <c r="DX951" s="19"/>
      <c r="DY951" s="19"/>
      <c r="DZ951" s="19"/>
    </row>
    <row r="952" spans="1:130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18"/>
      <c r="BX952" s="118"/>
      <c r="BY952" s="118"/>
      <c r="BZ952" s="118"/>
      <c r="CA952" s="118"/>
      <c r="CB952" s="118"/>
      <c r="CC952" s="118"/>
      <c r="CD952" s="118"/>
      <c r="CE952" s="118"/>
      <c r="CF952" s="118"/>
      <c r="CG952" s="118"/>
      <c r="CH952" s="118"/>
      <c r="CI952" s="118"/>
      <c r="CJ952" s="118"/>
      <c r="CK952" s="118"/>
      <c r="CL952" s="118"/>
      <c r="CM952" s="118"/>
      <c r="CN952" s="118"/>
      <c r="CO952" s="118"/>
      <c r="CP952" s="118"/>
      <c r="CQ952" s="118"/>
      <c r="CR952" s="118"/>
      <c r="CS952" s="118"/>
      <c r="CT952" s="118"/>
      <c r="CU952" s="118"/>
      <c r="CV952" s="118"/>
      <c r="CW952" s="118"/>
      <c r="CX952" s="118"/>
      <c r="CY952" s="118"/>
      <c r="CZ952" s="118"/>
      <c r="DA952" s="118"/>
      <c r="DB952" s="118"/>
      <c r="DC952" s="118"/>
      <c r="DD952" s="118"/>
      <c r="DE952" s="118"/>
      <c r="DF952" s="118"/>
      <c r="DG952" s="118"/>
      <c r="DH952" s="118"/>
      <c r="DI952" s="118"/>
      <c r="DJ952" s="118"/>
      <c r="DK952" s="118"/>
      <c r="DL952" s="118"/>
      <c r="DM952" s="118"/>
      <c r="DN952" s="118"/>
      <c r="DO952" s="118"/>
      <c r="DP952" s="118"/>
      <c r="DQ952" s="118"/>
      <c r="DR952" s="118"/>
      <c r="DS952" s="118"/>
      <c r="DT952" s="118"/>
      <c r="DU952" s="19"/>
      <c r="DV952" s="19"/>
      <c r="DW952" s="19"/>
      <c r="DX952" s="19"/>
      <c r="DY952" s="19"/>
      <c r="DZ952" s="19"/>
    </row>
    <row r="953" spans="1:130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18"/>
      <c r="BX953" s="118"/>
      <c r="BY953" s="118"/>
      <c r="BZ953" s="118"/>
      <c r="CA953" s="118"/>
      <c r="CB953" s="118"/>
      <c r="CC953" s="118"/>
      <c r="CD953" s="118"/>
      <c r="CE953" s="118"/>
      <c r="CF953" s="118"/>
      <c r="CG953" s="118"/>
      <c r="CH953" s="118"/>
      <c r="CI953" s="118"/>
      <c r="CJ953" s="118"/>
      <c r="CK953" s="118"/>
      <c r="CL953" s="118"/>
      <c r="CM953" s="118"/>
      <c r="CN953" s="118"/>
      <c r="CO953" s="118"/>
      <c r="CP953" s="118"/>
      <c r="CQ953" s="118"/>
      <c r="CR953" s="118"/>
      <c r="CS953" s="118"/>
      <c r="CT953" s="118"/>
      <c r="CU953" s="118"/>
      <c r="CV953" s="118"/>
      <c r="CW953" s="118"/>
      <c r="CX953" s="118"/>
      <c r="CY953" s="118"/>
      <c r="CZ953" s="118"/>
      <c r="DA953" s="118"/>
      <c r="DB953" s="118"/>
      <c r="DC953" s="118"/>
      <c r="DD953" s="118"/>
      <c r="DE953" s="118"/>
      <c r="DF953" s="118"/>
      <c r="DG953" s="118"/>
      <c r="DH953" s="118"/>
      <c r="DI953" s="118"/>
      <c r="DJ953" s="118"/>
      <c r="DK953" s="118"/>
      <c r="DL953" s="118"/>
      <c r="DM953" s="118"/>
      <c r="DN953" s="118"/>
      <c r="DO953" s="118"/>
      <c r="DP953" s="118"/>
      <c r="DQ953" s="118"/>
      <c r="DR953" s="118"/>
      <c r="DS953" s="118"/>
      <c r="DT953" s="118"/>
      <c r="DU953" s="19"/>
      <c r="DV953" s="19"/>
      <c r="DW953" s="19"/>
      <c r="DX953" s="19"/>
      <c r="DY953" s="19"/>
      <c r="DZ953" s="19"/>
    </row>
    <row r="954" spans="1:130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18"/>
      <c r="BX954" s="118"/>
      <c r="BY954" s="118"/>
      <c r="BZ954" s="118"/>
      <c r="CA954" s="118"/>
      <c r="CB954" s="118"/>
      <c r="CC954" s="118"/>
      <c r="CD954" s="118"/>
      <c r="CE954" s="118"/>
      <c r="CF954" s="118"/>
      <c r="CG954" s="118"/>
      <c r="CH954" s="118"/>
      <c r="CI954" s="118"/>
      <c r="CJ954" s="118"/>
      <c r="CK954" s="118"/>
      <c r="CL954" s="118"/>
      <c r="CM954" s="118"/>
      <c r="CN954" s="118"/>
      <c r="CO954" s="118"/>
      <c r="CP954" s="118"/>
      <c r="CQ954" s="118"/>
      <c r="CR954" s="118"/>
      <c r="CS954" s="118"/>
      <c r="CT954" s="118"/>
      <c r="CU954" s="118"/>
      <c r="CV954" s="118"/>
      <c r="CW954" s="118"/>
      <c r="CX954" s="118"/>
      <c r="CY954" s="118"/>
      <c r="CZ954" s="118"/>
      <c r="DA954" s="118"/>
      <c r="DB954" s="118"/>
      <c r="DC954" s="118"/>
      <c r="DD954" s="118"/>
      <c r="DE954" s="118"/>
      <c r="DF954" s="118"/>
      <c r="DG954" s="118"/>
      <c r="DH954" s="118"/>
      <c r="DI954" s="118"/>
      <c r="DJ954" s="118"/>
      <c r="DK954" s="118"/>
      <c r="DL954" s="118"/>
      <c r="DM954" s="118"/>
      <c r="DN954" s="118"/>
      <c r="DO954" s="118"/>
      <c r="DP954" s="118"/>
      <c r="DQ954" s="118"/>
      <c r="DR954" s="118"/>
      <c r="DS954" s="118"/>
      <c r="DT954" s="118"/>
      <c r="DU954" s="19"/>
      <c r="DV954" s="19"/>
      <c r="DW954" s="19"/>
      <c r="DX954" s="19"/>
      <c r="DY954" s="19"/>
      <c r="DZ954" s="19"/>
    </row>
    <row r="955" spans="1:130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18"/>
      <c r="BX955" s="118"/>
      <c r="BY955" s="118"/>
      <c r="BZ955" s="118"/>
      <c r="CA955" s="118"/>
      <c r="CB955" s="118"/>
      <c r="CC955" s="118"/>
      <c r="CD955" s="118"/>
      <c r="CE955" s="118"/>
      <c r="CF955" s="118"/>
      <c r="CG955" s="118"/>
      <c r="CH955" s="118"/>
      <c r="CI955" s="118"/>
      <c r="CJ955" s="118"/>
      <c r="CK955" s="118"/>
      <c r="CL955" s="118"/>
      <c r="CM955" s="118"/>
      <c r="CN955" s="118"/>
      <c r="CO955" s="118"/>
      <c r="CP955" s="118"/>
      <c r="CQ955" s="118"/>
      <c r="CR955" s="118"/>
      <c r="CS955" s="118"/>
      <c r="CT955" s="118"/>
      <c r="CU955" s="118"/>
      <c r="CV955" s="118"/>
      <c r="CW955" s="118"/>
      <c r="CX955" s="118"/>
      <c r="CY955" s="118"/>
      <c r="CZ955" s="118"/>
      <c r="DA955" s="118"/>
      <c r="DB955" s="118"/>
      <c r="DC955" s="118"/>
      <c r="DD955" s="118"/>
      <c r="DE955" s="118"/>
      <c r="DF955" s="118"/>
      <c r="DG955" s="118"/>
      <c r="DH955" s="118"/>
      <c r="DI955" s="118"/>
      <c r="DJ955" s="118"/>
      <c r="DK955" s="118"/>
      <c r="DL955" s="118"/>
      <c r="DM955" s="118"/>
      <c r="DN955" s="118"/>
      <c r="DO955" s="118"/>
      <c r="DP955" s="118"/>
      <c r="DQ955" s="118"/>
      <c r="DR955" s="118"/>
      <c r="DS955" s="118"/>
      <c r="DT955" s="118"/>
      <c r="DU955" s="19"/>
      <c r="DV955" s="19"/>
      <c r="DW955" s="19"/>
      <c r="DX955" s="19"/>
      <c r="DY955" s="19"/>
      <c r="DZ955" s="19"/>
    </row>
    <row r="956" spans="1:130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18"/>
      <c r="BX956" s="118"/>
      <c r="BY956" s="118"/>
      <c r="BZ956" s="118"/>
      <c r="CA956" s="118"/>
      <c r="CB956" s="118"/>
      <c r="CC956" s="118"/>
      <c r="CD956" s="118"/>
      <c r="CE956" s="118"/>
      <c r="CF956" s="118"/>
      <c r="CG956" s="118"/>
      <c r="CH956" s="118"/>
      <c r="CI956" s="118"/>
      <c r="CJ956" s="118"/>
      <c r="CK956" s="118"/>
      <c r="CL956" s="118"/>
      <c r="CM956" s="118"/>
      <c r="CN956" s="118"/>
      <c r="CO956" s="118"/>
      <c r="CP956" s="118"/>
      <c r="CQ956" s="118"/>
      <c r="CR956" s="118"/>
      <c r="CS956" s="118"/>
      <c r="CT956" s="118"/>
      <c r="CU956" s="118"/>
      <c r="CV956" s="118"/>
      <c r="CW956" s="118"/>
      <c r="CX956" s="118"/>
      <c r="CY956" s="118"/>
      <c r="CZ956" s="118"/>
      <c r="DA956" s="118"/>
      <c r="DB956" s="118"/>
      <c r="DC956" s="118"/>
      <c r="DD956" s="118"/>
      <c r="DE956" s="118"/>
      <c r="DF956" s="118"/>
      <c r="DG956" s="118"/>
      <c r="DH956" s="118"/>
      <c r="DI956" s="118"/>
      <c r="DJ956" s="118"/>
      <c r="DK956" s="118"/>
      <c r="DL956" s="118"/>
      <c r="DM956" s="118"/>
      <c r="DN956" s="118"/>
      <c r="DO956" s="118"/>
      <c r="DP956" s="118"/>
      <c r="DQ956" s="118"/>
      <c r="DR956" s="118"/>
      <c r="DS956" s="118"/>
      <c r="DT956" s="118"/>
      <c r="DU956" s="19"/>
      <c r="DV956" s="19"/>
      <c r="DW956" s="19"/>
      <c r="DX956" s="19"/>
      <c r="DY956" s="19"/>
      <c r="DZ956" s="19"/>
    </row>
    <row r="957" spans="1:130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18"/>
      <c r="BX957" s="118"/>
      <c r="BY957" s="118"/>
      <c r="BZ957" s="118"/>
      <c r="CA957" s="118"/>
      <c r="CB957" s="118"/>
      <c r="CC957" s="118"/>
      <c r="CD957" s="118"/>
      <c r="CE957" s="118"/>
      <c r="CF957" s="118"/>
      <c r="CG957" s="118"/>
      <c r="CH957" s="118"/>
      <c r="CI957" s="118"/>
      <c r="CJ957" s="118"/>
      <c r="CK957" s="118"/>
      <c r="CL957" s="118"/>
      <c r="CM957" s="118"/>
      <c r="CN957" s="118"/>
      <c r="CO957" s="118"/>
      <c r="CP957" s="118"/>
      <c r="CQ957" s="118"/>
      <c r="CR957" s="118"/>
      <c r="CS957" s="118"/>
      <c r="CT957" s="118"/>
      <c r="CU957" s="118"/>
      <c r="CV957" s="118"/>
      <c r="CW957" s="118"/>
      <c r="CX957" s="118"/>
      <c r="CY957" s="118"/>
      <c r="CZ957" s="118"/>
      <c r="DA957" s="118"/>
      <c r="DB957" s="118"/>
      <c r="DC957" s="118"/>
      <c r="DD957" s="118"/>
      <c r="DE957" s="118"/>
      <c r="DF957" s="118"/>
      <c r="DG957" s="118"/>
      <c r="DH957" s="118"/>
      <c r="DI957" s="118"/>
      <c r="DJ957" s="118"/>
      <c r="DK957" s="118"/>
      <c r="DL957" s="118"/>
      <c r="DM957" s="118"/>
      <c r="DN957" s="118"/>
      <c r="DO957" s="118"/>
      <c r="DP957" s="118"/>
      <c r="DQ957" s="118"/>
      <c r="DR957" s="118"/>
      <c r="DS957" s="118"/>
      <c r="DT957" s="118"/>
      <c r="DU957" s="19"/>
      <c r="DV957" s="19"/>
      <c r="DW957" s="19"/>
      <c r="DX957" s="19"/>
      <c r="DY957" s="19"/>
      <c r="DZ957" s="19"/>
    </row>
    <row r="958" spans="1:130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18"/>
      <c r="BX958" s="118"/>
      <c r="BY958" s="118"/>
      <c r="BZ958" s="118"/>
      <c r="CA958" s="118"/>
      <c r="CB958" s="118"/>
      <c r="CC958" s="118"/>
      <c r="CD958" s="118"/>
      <c r="CE958" s="118"/>
      <c r="CF958" s="118"/>
      <c r="CG958" s="118"/>
      <c r="CH958" s="118"/>
      <c r="CI958" s="118"/>
      <c r="CJ958" s="118"/>
      <c r="CK958" s="118"/>
      <c r="CL958" s="118"/>
      <c r="CM958" s="118"/>
      <c r="CN958" s="118"/>
      <c r="CO958" s="118"/>
      <c r="CP958" s="118"/>
      <c r="CQ958" s="118"/>
      <c r="CR958" s="118"/>
      <c r="CS958" s="118"/>
      <c r="CT958" s="118"/>
      <c r="CU958" s="118"/>
      <c r="CV958" s="118"/>
      <c r="CW958" s="118"/>
      <c r="CX958" s="118"/>
      <c r="CY958" s="118"/>
      <c r="CZ958" s="118"/>
      <c r="DA958" s="118"/>
      <c r="DB958" s="118"/>
      <c r="DC958" s="118"/>
      <c r="DD958" s="118"/>
      <c r="DE958" s="118"/>
      <c r="DF958" s="118"/>
      <c r="DG958" s="118"/>
      <c r="DH958" s="118"/>
      <c r="DI958" s="118"/>
      <c r="DJ958" s="118"/>
      <c r="DK958" s="118"/>
      <c r="DL958" s="118"/>
      <c r="DM958" s="118"/>
      <c r="DN958" s="118"/>
      <c r="DO958" s="118"/>
      <c r="DP958" s="118"/>
      <c r="DQ958" s="118"/>
      <c r="DR958" s="118"/>
      <c r="DS958" s="118"/>
      <c r="DT958" s="118"/>
      <c r="DU958" s="19"/>
      <c r="DV958" s="19"/>
      <c r="DW958" s="19"/>
      <c r="DX958" s="19"/>
      <c r="DY958" s="19"/>
      <c r="DZ958" s="19"/>
    </row>
    <row r="959" spans="1:130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18"/>
      <c r="BX959" s="118"/>
      <c r="BY959" s="118"/>
      <c r="BZ959" s="118"/>
      <c r="CA959" s="118"/>
      <c r="CB959" s="118"/>
      <c r="CC959" s="118"/>
      <c r="CD959" s="118"/>
      <c r="CE959" s="118"/>
      <c r="CF959" s="118"/>
      <c r="CG959" s="118"/>
      <c r="CH959" s="118"/>
      <c r="CI959" s="118"/>
      <c r="CJ959" s="118"/>
      <c r="CK959" s="118"/>
      <c r="CL959" s="118"/>
      <c r="CM959" s="118"/>
      <c r="CN959" s="118"/>
      <c r="CO959" s="118"/>
      <c r="CP959" s="118"/>
      <c r="CQ959" s="118"/>
      <c r="CR959" s="118"/>
      <c r="CS959" s="118"/>
      <c r="CT959" s="118"/>
      <c r="CU959" s="118"/>
      <c r="CV959" s="118"/>
      <c r="CW959" s="118"/>
      <c r="CX959" s="118"/>
      <c r="CY959" s="118"/>
      <c r="CZ959" s="118"/>
      <c r="DA959" s="118"/>
      <c r="DB959" s="118"/>
      <c r="DC959" s="118"/>
      <c r="DD959" s="118"/>
      <c r="DE959" s="118"/>
      <c r="DF959" s="118"/>
      <c r="DG959" s="118"/>
      <c r="DH959" s="118"/>
      <c r="DI959" s="118"/>
      <c r="DJ959" s="118"/>
      <c r="DK959" s="118"/>
      <c r="DL959" s="118"/>
      <c r="DM959" s="118"/>
      <c r="DN959" s="118"/>
      <c r="DO959" s="118"/>
      <c r="DP959" s="118"/>
      <c r="DQ959" s="118"/>
      <c r="DR959" s="118"/>
      <c r="DS959" s="118"/>
      <c r="DT959" s="118"/>
      <c r="DU959" s="19"/>
      <c r="DV959" s="19"/>
      <c r="DW959" s="19"/>
      <c r="DX959" s="19"/>
      <c r="DY959" s="19"/>
      <c r="DZ959" s="19"/>
    </row>
    <row r="960" spans="1:130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18"/>
      <c r="BX960" s="118"/>
      <c r="BY960" s="118"/>
      <c r="BZ960" s="118"/>
      <c r="CA960" s="118"/>
      <c r="CB960" s="118"/>
      <c r="CC960" s="118"/>
      <c r="CD960" s="118"/>
      <c r="CE960" s="118"/>
      <c r="CF960" s="118"/>
      <c r="CG960" s="118"/>
      <c r="CH960" s="118"/>
      <c r="CI960" s="118"/>
      <c r="CJ960" s="118"/>
      <c r="CK960" s="118"/>
      <c r="CL960" s="118"/>
      <c r="CM960" s="118"/>
      <c r="CN960" s="118"/>
      <c r="CO960" s="118"/>
      <c r="CP960" s="118"/>
      <c r="CQ960" s="118"/>
      <c r="CR960" s="118"/>
      <c r="CS960" s="118"/>
      <c r="CT960" s="118"/>
      <c r="CU960" s="118"/>
      <c r="CV960" s="118"/>
      <c r="CW960" s="118"/>
      <c r="CX960" s="118"/>
      <c r="CY960" s="118"/>
      <c r="CZ960" s="118"/>
      <c r="DA960" s="118"/>
      <c r="DB960" s="118"/>
      <c r="DC960" s="118"/>
      <c r="DD960" s="118"/>
      <c r="DE960" s="118"/>
      <c r="DF960" s="118"/>
      <c r="DG960" s="118"/>
      <c r="DH960" s="118"/>
      <c r="DI960" s="118"/>
      <c r="DJ960" s="118"/>
      <c r="DK960" s="118"/>
      <c r="DL960" s="118"/>
      <c r="DM960" s="118"/>
      <c r="DN960" s="118"/>
      <c r="DO960" s="118"/>
      <c r="DP960" s="118"/>
      <c r="DQ960" s="118"/>
      <c r="DR960" s="118"/>
      <c r="DS960" s="118"/>
      <c r="DT960" s="118"/>
      <c r="DU960" s="19"/>
      <c r="DV960" s="19"/>
      <c r="DW960" s="19"/>
      <c r="DX960" s="19"/>
      <c r="DY960" s="19"/>
      <c r="DZ960" s="19"/>
    </row>
    <row r="961" spans="1:130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18"/>
      <c r="BX961" s="118"/>
      <c r="BY961" s="118"/>
      <c r="BZ961" s="118"/>
      <c r="CA961" s="118"/>
      <c r="CB961" s="118"/>
      <c r="CC961" s="118"/>
      <c r="CD961" s="118"/>
      <c r="CE961" s="118"/>
      <c r="CF961" s="118"/>
      <c r="CG961" s="118"/>
      <c r="CH961" s="118"/>
      <c r="CI961" s="118"/>
      <c r="CJ961" s="118"/>
      <c r="CK961" s="118"/>
      <c r="CL961" s="118"/>
      <c r="CM961" s="118"/>
      <c r="CN961" s="118"/>
      <c r="CO961" s="118"/>
      <c r="CP961" s="118"/>
      <c r="CQ961" s="118"/>
      <c r="CR961" s="118"/>
      <c r="CS961" s="118"/>
      <c r="CT961" s="118"/>
      <c r="CU961" s="118"/>
      <c r="CV961" s="118"/>
      <c r="CW961" s="118"/>
      <c r="CX961" s="118"/>
      <c r="CY961" s="118"/>
      <c r="CZ961" s="118"/>
      <c r="DA961" s="118"/>
      <c r="DB961" s="118"/>
      <c r="DC961" s="118"/>
      <c r="DD961" s="118"/>
      <c r="DE961" s="118"/>
      <c r="DF961" s="118"/>
      <c r="DG961" s="118"/>
      <c r="DH961" s="118"/>
      <c r="DI961" s="118"/>
      <c r="DJ961" s="118"/>
      <c r="DK961" s="118"/>
      <c r="DL961" s="118"/>
      <c r="DM961" s="118"/>
      <c r="DN961" s="118"/>
      <c r="DO961" s="118"/>
      <c r="DP961" s="118"/>
      <c r="DQ961" s="118"/>
      <c r="DR961" s="118"/>
      <c r="DS961" s="118"/>
      <c r="DT961" s="118"/>
      <c r="DU961" s="19"/>
      <c r="DV961" s="19"/>
      <c r="DW961" s="19"/>
      <c r="DX961" s="19"/>
      <c r="DY961" s="19"/>
      <c r="DZ961" s="19"/>
    </row>
    <row r="962" spans="1:130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18"/>
      <c r="BX962" s="118"/>
      <c r="BY962" s="118"/>
      <c r="BZ962" s="118"/>
      <c r="CA962" s="118"/>
      <c r="CB962" s="118"/>
      <c r="CC962" s="118"/>
      <c r="CD962" s="118"/>
      <c r="CE962" s="118"/>
      <c r="CF962" s="118"/>
      <c r="CG962" s="118"/>
      <c r="CH962" s="118"/>
      <c r="CI962" s="118"/>
      <c r="CJ962" s="118"/>
      <c r="CK962" s="118"/>
      <c r="CL962" s="118"/>
      <c r="CM962" s="118"/>
      <c r="CN962" s="118"/>
      <c r="CO962" s="118"/>
      <c r="CP962" s="118"/>
      <c r="CQ962" s="118"/>
      <c r="CR962" s="118"/>
      <c r="CS962" s="118"/>
      <c r="CT962" s="118"/>
      <c r="CU962" s="118"/>
      <c r="CV962" s="118"/>
      <c r="CW962" s="118"/>
      <c r="CX962" s="118"/>
      <c r="CY962" s="118"/>
      <c r="CZ962" s="118"/>
      <c r="DA962" s="118"/>
      <c r="DB962" s="118"/>
      <c r="DC962" s="118"/>
      <c r="DD962" s="118"/>
      <c r="DE962" s="118"/>
      <c r="DF962" s="118"/>
      <c r="DG962" s="118"/>
      <c r="DH962" s="118"/>
      <c r="DI962" s="118"/>
      <c r="DJ962" s="118"/>
      <c r="DK962" s="118"/>
      <c r="DL962" s="118"/>
      <c r="DM962" s="118"/>
      <c r="DN962" s="118"/>
      <c r="DO962" s="118"/>
      <c r="DP962" s="118"/>
      <c r="DQ962" s="118"/>
      <c r="DR962" s="118"/>
      <c r="DS962" s="118"/>
      <c r="DT962" s="118"/>
      <c r="DU962" s="19"/>
      <c r="DV962" s="19"/>
      <c r="DW962" s="19"/>
      <c r="DX962" s="19"/>
      <c r="DY962" s="19"/>
      <c r="DZ962" s="19"/>
    </row>
    <row r="963" spans="1:130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18"/>
      <c r="BX963" s="118"/>
      <c r="BY963" s="118"/>
      <c r="BZ963" s="118"/>
      <c r="CA963" s="118"/>
      <c r="CB963" s="118"/>
      <c r="CC963" s="118"/>
      <c r="CD963" s="118"/>
      <c r="CE963" s="118"/>
      <c r="CF963" s="118"/>
      <c r="CG963" s="118"/>
      <c r="CH963" s="118"/>
      <c r="CI963" s="118"/>
      <c r="CJ963" s="118"/>
      <c r="CK963" s="118"/>
      <c r="CL963" s="118"/>
      <c r="CM963" s="118"/>
      <c r="CN963" s="118"/>
      <c r="CO963" s="118"/>
      <c r="CP963" s="118"/>
      <c r="CQ963" s="118"/>
      <c r="CR963" s="118"/>
      <c r="CS963" s="118"/>
      <c r="CT963" s="118"/>
      <c r="CU963" s="118"/>
      <c r="CV963" s="118"/>
      <c r="CW963" s="118"/>
      <c r="CX963" s="118"/>
      <c r="CY963" s="118"/>
      <c r="CZ963" s="118"/>
      <c r="DA963" s="118"/>
      <c r="DB963" s="118"/>
      <c r="DC963" s="118"/>
      <c r="DD963" s="118"/>
      <c r="DE963" s="118"/>
      <c r="DF963" s="118"/>
      <c r="DG963" s="118"/>
      <c r="DH963" s="118"/>
      <c r="DI963" s="118"/>
      <c r="DJ963" s="118"/>
      <c r="DK963" s="118"/>
      <c r="DL963" s="118"/>
      <c r="DM963" s="118"/>
      <c r="DN963" s="118"/>
      <c r="DO963" s="118"/>
      <c r="DP963" s="118"/>
      <c r="DQ963" s="118"/>
      <c r="DR963" s="118"/>
      <c r="DS963" s="118"/>
      <c r="DT963" s="118"/>
      <c r="DU963" s="19"/>
      <c r="DV963" s="19"/>
      <c r="DW963" s="19"/>
      <c r="DX963" s="19"/>
      <c r="DY963" s="19"/>
      <c r="DZ963" s="19"/>
    </row>
    <row r="964" spans="1:130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18"/>
      <c r="BX964" s="118"/>
      <c r="BY964" s="118"/>
      <c r="BZ964" s="118"/>
      <c r="CA964" s="118"/>
      <c r="CB964" s="118"/>
      <c r="CC964" s="118"/>
      <c r="CD964" s="118"/>
      <c r="CE964" s="118"/>
      <c r="CF964" s="118"/>
      <c r="CG964" s="118"/>
      <c r="CH964" s="118"/>
      <c r="CI964" s="118"/>
      <c r="CJ964" s="118"/>
      <c r="CK964" s="118"/>
      <c r="CL964" s="118"/>
      <c r="CM964" s="118"/>
      <c r="CN964" s="118"/>
      <c r="CO964" s="118"/>
      <c r="CP964" s="118"/>
      <c r="CQ964" s="118"/>
      <c r="CR964" s="118"/>
      <c r="CS964" s="118"/>
      <c r="CT964" s="118"/>
      <c r="CU964" s="118"/>
      <c r="CV964" s="118"/>
      <c r="CW964" s="118"/>
      <c r="CX964" s="118"/>
      <c r="CY964" s="118"/>
      <c r="CZ964" s="118"/>
      <c r="DA964" s="118"/>
      <c r="DB964" s="118"/>
      <c r="DC964" s="118"/>
      <c r="DD964" s="118"/>
      <c r="DE964" s="118"/>
      <c r="DF964" s="118"/>
      <c r="DG964" s="118"/>
      <c r="DH964" s="118"/>
      <c r="DI964" s="118"/>
      <c r="DJ964" s="118"/>
      <c r="DK964" s="118"/>
      <c r="DL964" s="118"/>
      <c r="DM964" s="118"/>
      <c r="DN964" s="118"/>
      <c r="DO964" s="118"/>
      <c r="DP964" s="118"/>
      <c r="DQ964" s="118"/>
      <c r="DR964" s="118"/>
      <c r="DS964" s="118"/>
      <c r="DT964" s="118"/>
      <c r="DU964" s="19"/>
      <c r="DV964" s="19"/>
      <c r="DW964" s="19"/>
      <c r="DX964" s="19"/>
      <c r="DY964" s="19"/>
      <c r="DZ964" s="19"/>
    </row>
    <row r="965" spans="1:130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18"/>
      <c r="BX965" s="118"/>
      <c r="BY965" s="118"/>
      <c r="BZ965" s="118"/>
      <c r="CA965" s="118"/>
      <c r="CB965" s="118"/>
      <c r="CC965" s="118"/>
      <c r="CD965" s="118"/>
      <c r="CE965" s="118"/>
      <c r="CF965" s="118"/>
      <c r="CG965" s="118"/>
      <c r="CH965" s="118"/>
      <c r="CI965" s="118"/>
      <c r="CJ965" s="118"/>
      <c r="CK965" s="118"/>
      <c r="CL965" s="118"/>
      <c r="CM965" s="118"/>
      <c r="CN965" s="118"/>
      <c r="CO965" s="118"/>
      <c r="CP965" s="118"/>
      <c r="CQ965" s="118"/>
      <c r="CR965" s="118"/>
      <c r="CS965" s="118"/>
      <c r="CT965" s="118"/>
      <c r="CU965" s="118"/>
      <c r="CV965" s="118"/>
      <c r="CW965" s="118"/>
      <c r="CX965" s="118"/>
      <c r="CY965" s="118"/>
      <c r="CZ965" s="118"/>
      <c r="DA965" s="118"/>
      <c r="DB965" s="118"/>
      <c r="DC965" s="118"/>
      <c r="DD965" s="118"/>
      <c r="DE965" s="118"/>
      <c r="DF965" s="118"/>
      <c r="DG965" s="118"/>
      <c r="DH965" s="118"/>
      <c r="DI965" s="118"/>
      <c r="DJ965" s="118"/>
      <c r="DK965" s="118"/>
      <c r="DL965" s="118"/>
      <c r="DM965" s="118"/>
      <c r="DN965" s="118"/>
      <c r="DO965" s="118"/>
      <c r="DP965" s="118"/>
      <c r="DQ965" s="118"/>
      <c r="DR965" s="118"/>
      <c r="DS965" s="118"/>
      <c r="DT965" s="118"/>
      <c r="DU965" s="19"/>
      <c r="DV965" s="19"/>
      <c r="DW965" s="19"/>
      <c r="DX965" s="19"/>
      <c r="DY965" s="19"/>
      <c r="DZ965" s="19"/>
    </row>
    <row r="966" spans="1:130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18"/>
      <c r="BX966" s="118"/>
      <c r="BY966" s="118"/>
      <c r="BZ966" s="118"/>
      <c r="CA966" s="118"/>
      <c r="CB966" s="118"/>
      <c r="CC966" s="118"/>
      <c r="CD966" s="118"/>
      <c r="CE966" s="118"/>
      <c r="CF966" s="118"/>
      <c r="CG966" s="118"/>
      <c r="CH966" s="118"/>
      <c r="CI966" s="118"/>
      <c r="CJ966" s="118"/>
      <c r="CK966" s="118"/>
      <c r="CL966" s="118"/>
      <c r="CM966" s="118"/>
      <c r="CN966" s="118"/>
      <c r="CO966" s="118"/>
      <c r="CP966" s="118"/>
      <c r="CQ966" s="118"/>
      <c r="CR966" s="118"/>
      <c r="CS966" s="118"/>
      <c r="CT966" s="118"/>
      <c r="CU966" s="118"/>
      <c r="CV966" s="118"/>
      <c r="CW966" s="118"/>
      <c r="CX966" s="118"/>
      <c r="CY966" s="118"/>
      <c r="CZ966" s="118"/>
      <c r="DA966" s="118"/>
      <c r="DB966" s="118"/>
      <c r="DC966" s="118"/>
      <c r="DD966" s="118"/>
      <c r="DE966" s="118"/>
      <c r="DF966" s="118"/>
      <c r="DG966" s="118"/>
      <c r="DH966" s="118"/>
      <c r="DI966" s="118"/>
      <c r="DJ966" s="118"/>
      <c r="DK966" s="118"/>
      <c r="DL966" s="118"/>
      <c r="DM966" s="118"/>
      <c r="DN966" s="118"/>
      <c r="DO966" s="118"/>
      <c r="DP966" s="118"/>
      <c r="DQ966" s="118"/>
      <c r="DR966" s="118"/>
      <c r="DS966" s="118"/>
      <c r="DT966" s="118"/>
      <c r="DU966" s="19"/>
      <c r="DV966" s="19"/>
      <c r="DW966" s="19"/>
      <c r="DX966" s="19"/>
      <c r="DY966" s="19"/>
      <c r="DZ966" s="19"/>
    </row>
    <row r="967" spans="1:130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18"/>
      <c r="BX967" s="118"/>
      <c r="BY967" s="118"/>
      <c r="BZ967" s="118"/>
      <c r="CA967" s="118"/>
      <c r="CB967" s="118"/>
      <c r="CC967" s="118"/>
      <c r="CD967" s="118"/>
      <c r="CE967" s="118"/>
      <c r="CF967" s="118"/>
      <c r="CG967" s="118"/>
      <c r="CH967" s="118"/>
      <c r="CI967" s="118"/>
      <c r="CJ967" s="118"/>
      <c r="CK967" s="118"/>
      <c r="CL967" s="118"/>
      <c r="CM967" s="118"/>
      <c r="CN967" s="118"/>
      <c r="CO967" s="118"/>
      <c r="CP967" s="118"/>
      <c r="CQ967" s="118"/>
      <c r="CR967" s="118"/>
      <c r="CS967" s="118"/>
      <c r="CT967" s="118"/>
      <c r="CU967" s="118"/>
      <c r="CV967" s="118"/>
      <c r="CW967" s="118"/>
      <c r="CX967" s="118"/>
      <c r="CY967" s="118"/>
      <c r="CZ967" s="118"/>
      <c r="DA967" s="118"/>
      <c r="DB967" s="118"/>
      <c r="DC967" s="118"/>
      <c r="DD967" s="118"/>
      <c r="DE967" s="118"/>
      <c r="DF967" s="118"/>
      <c r="DG967" s="118"/>
      <c r="DH967" s="118"/>
      <c r="DI967" s="118"/>
      <c r="DJ967" s="118"/>
      <c r="DK967" s="118"/>
      <c r="DL967" s="118"/>
      <c r="DM967" s="118"/>
      <c r="DN967" s="118"/>
      <c r="DO967" s="118"/>
      <c r="DP967" s="118"/>
      <c r="DQ967" s="118"/>
      <c r="DR967" s="118"/>
      <c r="DS967" s="118"/>
      <c r="DT967" s="118"/>
      <c r="DU967" s="19"/>
      <c r="DV967" s="19"/>
      <c r="DW967" s="19"/>
      <c r="DX967" s="19"/>
      <c r="DY967" s="19"/>
      <c r="DZ967" s="19"/>
    </row>
    <row r="968" spans="1:130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18"/>
      <c r="BX968" s="118"/>
      <c r="BY968" s="118"/>
      <c r="BZ968" s="118"/>
      <c r="CA968" s="118"/>
      <c r="CB968" s="118"/>
      <c r="CC968" s="118"/>
      <c r="CD968" s="118"/>
      <c r="CE968" s="118"/>
      <c r="CF968" s="118"/>
      <c r="CG968" s="118"/>
      <c r="CH968" s="118"/>
      <c r="CI968" s="118"/>
      <c r="CJ968" s="118"/>
      <c r="CK968" s="118"/>
      <c r="CL968" s="118"/>
      <c r="CM968" s="118"/>
      <c r="CN968" s="118"/>
      <c r="CO968" s="118"/>
      <c r="CP968" s="118"/>
      <c r="CQ968" s="118"/>
      <c r="CR968" s="118"/>
      <c r="CS968" s="118"/>
      <c r="CT968" s="118"/>
      <c r="CU968" s="118"/>
      <c r="CV968" s="118"/>
      <c r="CW968" s="118"/>
      <c r="CX968" s="118"/>
      <c r="CY968" s="118"/>
      <c r="CZ968" s="118"/>
      <c r="DA968" s="118"/>
      <c r="DB968" s="118"/>
      <c r="DC968" s="118"/>
      <c r="DD968" s="118"/>
      <c r="DE968" s="118"/>
      <c r="DF968" s="118"/>
      <c r="DG968" s="118"/>
      <c r="DH968" s="118"/>
      <c r="DI968" s="118"/>
      <c r="DJ968" s="118"/>
      <c r="DK968" s="118"/>
      <c r="DL968" s="118"/>
      <c r="DM968" s="118"/>
      <c r="DN968" s="118"/>
      <c r="DO968" s="118"/>
      <c r="DP968" s="118"/>
      <c r="DQ968" s="118"/>
      <c r="DR968" s="118"/>
      <c r="DS968" s="118"/>
      <c r="DT968" s="118"/>
      <c r="DU968" s="19"/>
      <c r="DV968" s="19"/>
      <c r="DW968" s="19"/>
      <c r="DX968" s="19"/>
      <c r="DY968" s="19"/>
      <c r="DZ968" s="19"/>
    </row>
    <row r="969" spans="1:130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18"/>
      <c r="BX969" s="118"/>
      <c r="BY969" s="118"/>
      <c r="BZ969" s="118"/>
      <c r="CA969" s="118"/>
      <c r="CB969" s="118"/>
      <c r="CC969" s="118"/>
      <c r="CD969" s="118"/>
      <c r="CE969" s="118"/>
      <c r="CF969" s="118"/>
      <c r="CG969" s="118"/>
      <c r="CH969" s="118"/>
      <c r="CI969" s="118"/>
      <c r="CJ969" s="118"/>
      <c r="CK969" s="118"/>
      <c r="CL969" s="118"/>
      <c r="CM969" s="118"/>
      <c r="CN969" s="118"/>
      <c r="CO969" s="118"/>
      <c r="CP969" s="118"/>
      <c r="CQ969" s="118"/>
      <c r="CR969" s="118"/>
      <c r="CS969" s="118"/>
      <c r="CT969" s="118"/>
      <c r="CU969" s="118"/>
      <c r="CV969" s="118"/>
      <c r="CW969" s="118"/>
      <c r="CX969" s="118"/>
      <c r="CY969" s="118"/>
      <c r="CZ969" s="118"/>
      <c r="DA969" s="118"/>
      <c r="DB969" s="118"/>
      <c r="DC969" s="118"/>
      <c r="DD969" s="118"/>
      <c r="DE969" s="118"/>
      <c r="DF969" s="118"/>
      <c r="DG969" s="118"/>
      <c r="DH969" s="118"/>
      <c r="DI969" s="118"/>
      <c r="DJ969" s="118"/>
      <c r="DK969" s="118"/>
      <c r="DL969" s="118"/>
      <c r="DM969" s="118"/>
      <c r="DN969" s="118"/>
      <c r="DO969" s="118"/>
      <c r="DP969" s="118"/>
      <c r="DQ969" s="118"/>
      <c r="DR969" s="118"/>
      <c r="DS969" s="118"/>
      <c r="DT969" s="118"/>
      <c r="DU969" s="19"/>
      <c r="DV969" s="19"/>
      <c r="DW969" s="19"/>
      <c r="DX969" s="19"/>
      <c r="DY969" s="19"/>
      <c r="DZ969" s="19"/>
    </row>
    <row r="970" spans="1:130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18"/>
      <c r="BX970" s="118"/>
      <c r="BY970" s="118"/>
      <c r="BZ970" s="118"/>
      <c r="CA970" s="118"/>
      <c r="CB970" s="118"/>
      <c r="CC970" s="118"/>
      <c r="CD970" s="118"/>
      <c r="CE970" s="118"/>
      <c r="CF970" s="118"/>
      <c r="CG970" s="118"/>
      <c r="CH970" s="118"/>
      <c r="CI970" s="118"/>
      <c r="CJ970" s="118"/>
      <c r="CK970" s="118"/>
      <c r="CL970" s="118"/>
      <c r="CM970" s="118"/>
      <c r="CN970" s="118"/>
      <c r="CO970" s="118"/>
      <c r="CP970" s="118"/>
      <c r="CQ970" s="118"/>
      <c r="CR970" s="118"/>
      <c r="CS970" s="118"/>
      <c r="CT970" s="118"/>
      <c r="CU970" s="118"/>
      <c r="CV970" s="118"/>
      <c r="CW970" s="118"/>
      <c r="CX970" s="118"/>
      <c r="CY970" s="118"/>
      <c r="CZ970" s="118"/>
      <c r="DA970" s="118"/>
      <c r="DB970" s="118"/>
      <c r="DC970" s="118"/>
      <c r="DD970" s="118"/>
      <c r="DE970" s="118"/>
      <c r="DF970" s="118"/>
      <c r="DG970" s="118"/>
      <c r="DH970" s="118"/>
      <c r="DI970" s="118"/>
      <c r="DJ970" s="118"/>
      <c r="DK970" s="118"/>
      <c r="DL970" s="118"/>
      <c r="DM970" s="118"/>
      <c r="DN970" s="118"/>
      <c r="DO970" s="118"/>
      <c r="DP970" s="118"/>
      <c r="DQ970" s="118"/>
      <c r="DR970" s="118"/>
      <c r="DS970" s="118"/>
      <c r="DT970" s="118"/>
      <c r="DU970" s="19"/>
      <c r="DV970" s="19"/>
      <c r="DW970" s="19"/>
      <c r="DX970" s="19"/>
      <c r="DY970" s="19"/>
      <c r="DZ970" s="19"/>
    </row>
    <row r="971" spans="1:130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18"/>
      <c r="BX971" s="118"/>
      <c r="BY971" s="118"/>
      <c r="BZ971" s="118"/>
      <c r="CA971" s="118"/>
      <c r="CB971" s="118"/>
      <c r="CC971" s="118"/>
      <c r="CD971" s="118"/>
      <c r="CE971" s="118"/>
      <c r="CF971" s="118"/>
      <c r="CG971" s="118"/>
      <c r="CH971" s="118"/>
      <c r="CI971" s="118"/>
      <c r="CJ971" s="118"/>
      <c r="CK971" s="118"/>
      <c r="CL971" s="118"/>
      <c r="CM971" s="118"/>
      <c r="CN971" s="118"/>
      <c r="CO971" s="118"/>
      <c r="CP971" s="118"/>
      <c r="CQ971" s="118"/>
      <c r="CR971" s="118"/>
      <c r="CS971" s="118"/>
      <c r="CT971" s="118"/>
      <c r="CU971" s="118"/>
      <c r="CV971" s="118"/>
      <c r="CW971" s="118"/>
      <c r="CX971" s="118"/>
      <c r="CY971" s="118"/>
      <c r="CZ971" s="118"/>
      <c r="DA971" s="118"/>
      <c r="DB971" s="118"/>
      <c r="DC971" s="118"/>
      <c r="DD971" s="118"/>
      <c r="DE971" s="118"/>
      <c r="DF971" s="118"/>
      <c r="DG971" s="118"/>
      <c r="DH971" s="118"/>
      <c r="DI971" s="118"/>
      <c r="DJ971" s="118"/>
      <c r="DK971" s="118"/>
      <c r="DL971" s="118"/>
      <c r="DM971" s="118"/>
      <c r="DN971" s="118"/>
      <c r="DO971" s="118"/>
      <c r="DP971" s="118"/>
      <c r="DQ971" s="118"/>
      <c r="DR971" s="118"/>
      <c r="DS971" s="118"/>
      <c r="DT971" s="118"/>
      <c r="DU971" s="19"/>
      <c r="DV971" s="19"/>
      <c r="DW971" s="19"/>
      <c r="DX971" s="19"/>
      <c r="DY971" s="19"/>
      <c r="DZ971" s="19"/>
    </row>
    <row r="972" spans="1:130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18"/>
      <c r="BX972" s="118"/>
      <c r="BY972" s="118"/>
      <c r="BZ972" s="118"/>
      <c r="CA972" s="118"/>
      <c r="CB972" s="118"/>
      <c r="CC972" s="118"/>
      <c r="CD972" s="118"/>
      <c r="CE972" s="118"/>
      <c r="CF972" s="118"/>
      <c r="CG972" s="118"/>
      <c r="CH972" s="118"/>
      <c r="CI972" s="118"/>
      <c r="CJ972" s="118"/>
      <c r="CK972" s="118"/>
      <c r="CL972" s="118"/>
      <c r="CM972" s="118"/>
      <c r="CN972" s="118"/>
      <c r="CO972" s="118"/>
      <c r="CP972" s="118"/>
      <c r="CQ972" s="118"/>
      <c r="CR972" s="118"/>
      <c r="CS972" s="118"/>
      <c r="CT972" s="118"/>
      <c r="CU972" s="118"/>
      <c r="CV972" s="118"/>
      <c r="CW972" s="118"/>
      <c r="CX972" s="118"/>
      <c r="CY972" s="118"/>
      <c r="CZ972" s="118"/>
      <c r="DA972" s="118"/>
      <c r="DB972" s="118"/>
      <c r="DC972" s="118"/>
      <c r="DD972" s="118"/>
      <c r="DE972" s="118"/>
      <c r="DF972" s="118"/>
      <c r="DG972" s="118"/>
      <c r="DH972" s="118"/>
      <c r="DI972" s="118"/>
      <c r="DJ972" s="118"/>
      <c r="DK972" s="118"/>
      <c r="DL972" s="118"/>
      <c r="DM972" s="118"/>
      <c r="DN972" s="118"/>
      <c r="DO972" s="118"/>
      <c r="DP972" s="118"/>
      <c r="DQ972" s="118"/>
      <c r="DR972" s="118"/>
      <c r="DS972" s="118"/>
      <c r="DT972" s="118"/>
      <c r="DU972" s="19"/>
      <c r="DV972" s="19"/>
      <c r="DW972" s="19"/>
      <c r="DX972" s="19"/>
      <c r="DY972" s="19"/>
      <c r="DZ972" s="19"/>
    </row>
    <row r="973" spans="1:130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18"/>
      <c r="BX973" s="118"/>
      <c r="BY973" s="118"/>
      <c r="BZ973" s="118"/>
      <c r="CA973" s="118"/>
      <c r="CB973" s="118"/>
      <c r="CC973" s="118"/>
      <c r="CD973" s="118"/>
      <c r="CE973" s="118"/>
      <c r="CF973" s="118"/>
      <c r="CG973" s="118"/>
      <c r="CH973" s="118"/>
      <c r="CI973" s="118"/>
      <c r="CJ973" s="118"/>
      <c r="CK973" s="118"/>
      <c r="CL973" s="118"/>
      <c r="CM973" s="118"/>
      <c r="CN973" s="118"/>
      <c r="CO973" s="118"/>
      <c r="CP973" s="118"/>
      <c r="CQ973" s="118"/>
      <c r="CR973" s="118"/>
      <c r="CS973" s="118"/>
      <c r="CT973" s="118"/>
      <c r="CU973" s="118"/>
      <c r="CV973" s="118"/>
      <c r="CW973" s="118"/>
      <c r="CX973" s="118"/>
      <c r="CY973" s="118"/>
      <c r="CZ973" s="118"/>
      <c r="DA973" s="118"/>
      <c r="DB973" s="118"/>
      <c r="DC973" s="118"/>
      <c r="DD973" s="118"/>
      <c r="DE973" s="118"/>
      <c r="DF973" s="118"/>
      <c r="DG973" s="118"/>
      <c r="DH973" s="118"/>
      <c r="DI973" s="118"/>
      <c r="DJ973" s="118"/>
      <c r="DK973" s="118"/>
      <c r="DL973" s="118"/>
      <c r="DM973" s="118"/>
      <c r="DN973" s="118"/>
      <c r="DO973" s="118"/>
      <c r="DP973" s="118"/>
      <c r="DQ973" s="118"/>
      <c r="DR973" s="118"/>
      <c r="DS973" s="118"/>
      <c r="DT973" s="118"/>
      <c r="DU973" s="19"/>
      <c r="DV973" s="19"/>
      <c r="DW973" s="19"/>
      <c r="DX973" s="19"/>
      <c r="DY973" s="19"/>
      <c r="DZ973" s="19"/>
    </row>
    <row r="974" spans="1:130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18"/>
      <c r="BX974" s="118"/>
      <c r="BY974" s="118"/>
      <c r="BZ974" s="118"/>
      <c r="CA974" s="118"/>
      <c r="CB974" s="118"/>
      <c r="CC974" s="118"/>
      <c r="CD974" s="118"/>
      <c r="CE974" s="118"/>
      <c r="CF974" s="118"/>
      <c r="CG974" s="118"/>
      <c r="CH974" s="118"/>
      <c r="CI974" s="118"/>
      <c r="CJ974" s="118"/>
      <c r="CK974" s="118"/>
      <c r="CL974" s="118"/>
      <c r="CM974" s="118"/>
      <c r="CN974" s="118"/>
      <c r="CO974" s="118"/>
      <c r="CP974" s="118"/>
      <c r="CQ974" s="118"/>
      <c r="CR974" s="118"/>
      <c r="CS974" s="118"/>
      <c r="CT974" s="118"/>
      <c r="CU974" s="118"/>
      <c r="CV974" s="118"/>
      <c r="CW974" s="118"/>
      <c r="CX974" s="118"/>
      <c r="CY974" s="118"/>
      <c r="CZ974" s="118"/>
      <c r="DA974" s="118"/>
      <c r="DB974" s="118"/>
      <c r="DC974" s="118"/>
      <c r="DD974" s="118"/>
      <c r="DE974" s="118"/>
      <c r="DF974" s="118"/>
      <c r="DG974" s="118"/>
      <c r="DH974" s="118"/>
      <c r="DI974" s="118"/>
      <c r="DJ974" s="118"/>
      <c r="DK974" s="118"/>
      <c r="DL974" s="118"/>
      <c r="DM974" s="118"/>
      <c r="DN974" s="118"/>
      <c r="DO974" s="118"/>
      <c r="DP974" s="118"/>
      <c r="DQ974" s="118"/>
      <c r="DR974" s="118"/>
      <c r="DS974" s="118"/>
      <c r="DT974" s="118"/>
      <c r="DU974" s="19"/>
      <c r="DV974" s="19"/>
      <c r="DW974" s="19"/>
      <c r="DX974" s="19"/>
      <c r="DY974" s="19"/>
      <c r="DZ974" s="19"/>
    </row>
    <row r="975" spans="1:130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18"/>
      <c r="BX975" s="118"/>
      <c r="BY975" s="118"/>
      <c r="BZ975" s="118"/>
      <c r="CA975" s="118"/>
      <c r="CB975" s="118"/>
      <c r="CC975" s="118"/>
      <c r="CD975" s="118"/>
      <c r="CE975" s="118"/>
      <c r="CF975" s="118"/>
      <c r="CG975" s="118"/>
      <c r="CH975" s="118"/>
      <c r="CI975" s="118"/>
      <c r="CJ975" s="118"/>
      <c r="CK975" s="118"/>
      <c r="CL975" s="118"/>
      <c r="CM975" s="118"/>
      <c r="CN975" s="118"/>
      <c r="CO975" s="118"/>
      <c r="CP975" s="118"/>
      <c r="CQ975" s="118"/>
      <c r="CR975" s="118"/>
      <c r="CS975" s="118"/>
      <c r="CT975" s="118"/>
      <c r="CU975" s="118"/>
      <c r="CV975" s="118"/>
      <c r="CW975" s="118"/>
      <c r="CX975" s="118"/>
      <c r="CY975" s="118"/>
      <c r="CZ975" s="118"/>
      <c r="DA975" s="118"/>
      <c r="DB975" s="118"/>
      <c r="DC975" s="118"/>
      <c r="DD975" s="118"/>
      <c r="DE975" s="118"/>
      <c r="DF975" s="118"/>
      <c r="DG975" s="118"/>
      <c r="DH975" s="118"/>
      <c r="DI975" s="118"/>
      <c r="DJ975" s="118"/>
      <c r="DK975" s="118"/>
      <c r="DL975" s="118"/>
      <c r="DM975" s="118"/>
      <c r="DN975" s="118"/>
      <c r="DO975" s="118"/>
      <c r="DP975" s="118"/>
      <c r="DQ975" s="118"/>
      <c r="DR975" s="118"/>
      <c r="DS975" s="118"/>
      <c r="DT975" s="118"/>
      <c r="DU975" s="19"/>
      <c r="DV975" s="19"/>
      <c r="DW975" s="19"/>
      <c r="DX975" s="19"/>
      <c r="DY975" s="19"/>
      <c r="DZ975" s="19"/>
    </row>
    <row r="976" spans="1:130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18"/>
      <c r="BX976" s="118"/>
      <c r="BY976" s="118"/>
      <c r="BZ976" s="118"/>
      <c r="CA976" s="118"/>
      <c r="CB976" s="118"/>
      <c r="CC976" s="118"/>
      <c r="CD976" s="118"/>
      <c r="CE976" s="118"/>
      <c r="CF976" s="118"/>
      <c r="CG976" s="118"/>
      <c r="CH976" s="118"/>
      <c r="CI976" s="118"/>
      <c r="CJ976" s="118"/>
      <c r="CK976" s="118"/>
      <c r="CL976" s="118"/>
      <c r="CM976" s="118"/>
      <c r="CN976" s="118"/>
      <c r="CO976" s="118"/>
      <c r="CP976" s="118"/>
      <c r="CQ976" s="118"/>
      <c r="CR976" s="118"/>
      <c r="CS976" s="118"/>
      <c r="CT976" s="118"/>
      <c r="CU976" s="118"/>
      <c r="CV976" s="118"/>
      <c r="CW976" s="118"/>
      <c r="CX976" s="118"/>
      <c r="CY976" s="118"/>
      <c r="CZ976" s="118"/>
      <c r="DA976" s="118"/>
      <c r="DB976" s="118"/>
      <c r="DC976" s="118"/>
      <c r="DD976" s="118"/>
      <c r="DE976" s="118"/>
      <c r="DF976" s="118"/>
      <c r="DG976" s="118"/>
      <c r="DH976" s="118"/>
      <c r="DI976" s="118"/>
      <c r="DJ976" s="118"/>
      <c r="DK976" s="118"/>
      <c r="DL976" s="118"/>
      <c r="DM976" s="118"/>
      <c r="DN976" s="118"/>
      <c r="DO976" s="118"/>
      <c r="DP976" s="118"/>
      <c r="DQ976" s="118"/>
      <c r="DR976" s="118"/>
      <c r="DS976" s="118"/>
      <c r="DT976" s="118"/>
      <c r="DU976" s="19"/>
      <c r="DV976" s="19"/>
      <c r="DW976" s="19"/>
      <c r="DX976" s="19"/>
      <c r="DY976" s="19"/>
      <c r="DZ976" s="19"/>
    </row>
    <row r="977" spans="1:130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18"/>
      <c r="BX977" s="118"/>
      <c r="BY977" s="118"/>
      <c r="BZ977" s="118"/>
      <c r="CA977" s="118"/>
      <c r="CB977" s="118"/>
      <c r="CC977" s="118"/>
      <c r="CD977" s="118"/>
      <c r="CE977" s="118"/>
      <c r="CF977" s="118"/>
      <c r="CG977" s="118"/>
      <c r="CH977" s="118"/>
      <c r="CI977" s="118"/>
      <c r="CJ977" s="118"/>
      <c r="CK977" s="118"/>
      <c r="CL977" s="118"/>
      <c r="CM977" s="118"/>
      <c r="CN977" s="118"/>
      <c r="CO977" s="118"/>
      <c r="CP977" s="118"/>
      <c r="CQ977" s="118"/>
      <c r="CR977" s="118"/>
      <c r="CS977" s="118"/>
      <c r="CT977" s="118"/>
      <c r="CU977" s="118"/>
      <c r="CV977" s="118"/>
      <c r="CW977" s="118"/>
      <c r="CX977" s="118"/>
      <c r="CY977" s="118"/>
      <c r="CZ977" s="118"/>
      <c r="DA977" s="118"/>
      <c r="DB977" s="118"/>
      <c r="DC977" s="118"/>
      <c r="DD977" s="118"/>
      <c r="DE977" s="118"/>
      <c r="DF977" s="118"/>
      <c r="DG977" s="118"/>
      <c r="DH977" s="118"/>
      <c r="DI977" s="118"/>
      <c r="DJ977" s="118"/>
      <c r="DK977" s="118"/>
      <c r="DL977" s="118"/>
      <c r="DM977" s="118"/>
      <c r="DN977" s="118"/>
      <c r="DO977" s="118"/>
      <c r="DP977" s="118"/>
      <c r="DQ977" s="118"/>
      <c r="DR977" s="118"/>
      <c r="DS977" s="118"/>
      <c r="DT977" s="118"/>
      <c r="DU977" s="19"/>
      <c r="DV977" s="19"/>
      <c r="DW977" s="19"/>
      <c r="DX977" s="19"/>
      <c r="DY977" s="19"/>
      <c r="DZ977" s="19"/>
    </row>
    <row r="978" spans="1:130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18"/>
      <c r="BX978" s="118"/>
      <c r="BY978" s="118"/>
      <c r="BZ978" s="118"/>
      <c r="CA978" s="118"/>
      <c r="CB978" s="118"/>
      <c r="CC978" s="118"/>
      <c r="CD978" s="118"/>
      <c r="CE978" s="118"/>
      <c r="CF978" s="118"/>
      <c r="CG978" s="118"/>
      <c r="CH978" s="118"/>
      <c r="CI978" s="118"/>
      <c r="CJ978" s="118"/>
      <c r="CK978" s="118"/>
      <c r="CL978" s="118"/>
      <c r="CM978" s="118"/>
      <c r="CN978" s="118"/>
      <c r="CO978" s="118"/>
      <c r="CP978" s="118"/>
      <c r="CQ978" s="118"/>
      <c r="CR978" s="118"/>
      <c r="CS978" s="118"/>
      <c r="CT978" s="118"/>
      <c r="CU978" s="118"/>
      <c r="CV978" s="118"/>
      <c r="CW978" s="118"/>
      <c r="CX978" s="118"/>
      <c r="CY978" s="118"/>
      <c r="CZ978" s="118"/>
      <c r="DA978" s="118"/>
      <c r="DB978" s="118"/>
      <c r="DC978" s="118"/>
      <c r="DD978" s="118"/>
      <c r="DE978" s="118"/>
      <c r="DF978" s="118"/>
      <c r="DG978" s="118"/>
      <c r="DH978" s="118"/>
      <c r="DI978" s="118"/>
      <c r="DJ978" s="118"/>
      <c r="DK978" s="118"/>
      <c r="DL978" s="118"/>
      <c r="DM978" s="118"/>
      <c r="DN978" s="118"/>
      <c r="DO978" s="118"/>
      <c r="DP978" s="118"/>
      <c r="DQ978" s="118"/>
      <c r="DR978" s="118"/>
      <c r="DS978" s="118"/>
      <c r="DT978" s="118"/>
      <c r="DU978" s="19"/>
      <c r="DV978" s="19"/>
      <c r="DW978" s="19"/>
      <c r="DX978" s="19"/>
      <c r="DY978" s="19"/>
      <c r="DZ978" s="19"/>
    </row>
    <row r="979" spans="1:130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18"/>
      <c r="BX979" s="118"/>
      <c r="BY979" s="118"/>
      <c r="BZ979" s="118"/>
      <c r="CA979" s="118"/>
      <c r="CB979" s="118"/>
      <c r="CC979" s="118"/>
      <c r="CD979" s="118"/>
      <c r="CE979" s="118"/>
      <c r="CF979" s="118"/>
      <c r="CG979" s="118"/>
      <c r="CH979" s="118"/>
      <c r="CI979" s="118"/>
      <c r="CJ979" s="118"/>
      <c r="CK979" s="118"/>
      <c r="CL979" s="118"/>
      <c r="CM979" s="118"/>
      <c r="CN979" s="118"/>
      <c r="CO979" s="118"/>
      <c r="CP979" s="118"/>
      <c r="CQ979" s="118"/>
      <c r="CR979" s="118"/>
      <c r="CS979" s="118"/>
      <c r="CT979" s="118"/>
      <c r="CU979" s="118"/>
      <c r="CV979" s="118"/>
      <c r="CW979" s="118"/>
      <c r="CX979" s="118"/>
      <c r="CY979" s="118"/>
      <c r="CZ979" s="118"/>
      <c r="DA979" s="118"/>
      <c r="DB979" s="118"/>
      <c r="DC979" s="118"/>
      <c r="DD979" s="118"/>
      <c r="DE979" s="118"/>
      <c r="DF979" s="118"/>
      <c r="DG979" s="118"/>
      <c r="DH979" s="118"/>
      <c r="DI979" s="118"/>
      <c r="DJ979" s="118"/>
      <c r="DK979" s="118"/>
      <c r="DL979" s="118"/>
      <c r="DM979" s="118"/>
      <c r="DN979" s="118"/>
      <c r="DO979" s="118"/>
      <c r="DP979" s="118"/>
      <c r="DQ979" s="118"/>
      <c r="DR979" s="118"/>
      <c r="DS979" s="118"/>
      <c r="DT979" s="118"/>
      <c r="DU979" s="19"/>
      <c r="DV979" s="19"/>
      <c r="DW979" s="19"/>
      <c r="DX979" s="19"/>
      <c r="DY979" s="19"/>
      <c r="DZ979" s="19"/>
    </row>
    <row r="980" spans="1:130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18"/>
      <c r="BX980" s="118"/>
      <c r="BY980" s="118"/>
      <c r="BZ980" s="118"/>
      <c r="CA980" s="118"/>
      <c r="CB980" s="118"/>
      <c r="CC980" s="118"/>
      <c r="CD980" s="118"/>
      <c r="CE980" s="118"/>
      <c r="CF980" s="118"/>
      <c r="CG980" s="118"/>
      <c r="CH980" s="118"/>
      <c r="CI980" s="118"/>
      <c r="CJ980" s="118"/>
      <c r="CK980" s="118"/>
      <c r="CL980" s="118"/>
      <c r="CM980" s="118"/>
      <c r="CN980" s="118"/>
      <c r="CO980" s="118"/>
      <c r="CP980" s="118"/>
      <c r="CQ980" s="118"/>
      <c r="CR980" s="118"/>
      <c r="CS980" s="118"/>
      <c r="CT980" s="118"/>
      <c r="CU980" s="118"/>
      <c r="CV980" s="118"/>
      <c r="CW980" s="118"/>
      <c r="CX980" s="118"/>
      <c r="CY980" s="118"/>
      <c r="CZ980" s="118"/>
      <c r="DA980" s="118"/>
      <c r="DB980" s="118"/>
      <c r="DC980" s="118"/>
      <c r="DD980" s="118"/>
      <c r="DE980" s="118"/>
      <c r="DF980" s="118"/>
      <c r="DG980" s="118"/>
      <c r="DH980" s="118"/>
      <c r="DI980" s="118"/>
      <c r="DJ980" s="118"/>
      <c r="DK980" s="118"/>
      <c r="DL980" s="118"/>
      <c r="DM980" s="118"/>
      <c r="DN980" s="118"/>
      <c r="DO980" s="118"/>
      <c r="DP980" s="118"/>
      <c r="DQ980" s="118"/>
      <c r="DR980" s="118"/>
      <c r="DS980" s="118"/>
      <c r="DT980" s="118"/>
      <c r="DU980" s="19"/>
      <c r="DV980" s="19"/>
      <c r="DW980" s="19"/>
      <c r="DX980" s="19"/>
      <c r="DY980" s="19"/>
      <c r="DZ980" s="19"/>
    </row>
    <row r="981" spans="1:130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18"/>
      <c r="BX981" s="118"/>
      <c r="BY981" s="118"/>
      <c r="BZ981" s="118"/>
      <c r="CA981" s="118"/>
      <c r="CB981" s="118"/>
      <c r="CC981" s="118"/>
      <c r="CD981" s="118"/>
      <c r="CE981" s="118"/>
      <c r="CF981" s="118"/>
      <c r="CG981" s="118"/>
      <c r="CH981" s="118"/>
      <c r="CI981" s="118"/>
      <c r="CJ981" s="118"/>
      <c r="CK981" s="118"/>
      <c r="CL981" s="118"/>
      <c r="CM981" s="118"/>
      <c r="CN981" s="118"/>
      <c r="CO981" s="118"/>
      <c r="CP981" s="118"/>
      <c r="CQ981" s="118"/>
      <c r="CR981" s="118"/>
      <c r="CS981" s="118"/>
      <c r="CT981" s="118"/>
      <c r="CU981" s="118"/>
      <c r="CV981" s="118"/>
      <c r="CW981" s="118"/>
      <c r="CX981" s="118"/>
      <c r="CY981" s="118"/>
      <c r="CZ981" s="118"/>
      <c r="DA981" s="118"/>
      <c r="DB981" s="118"/>
      <c r="DC981" s="118"/>
      <c r="DD981" s="118"/>
      <c r="DE981" s="118"/>
      <c r="DF981" s="118"/>
      <c r="DG981" s="118"/>
      <c r="DH981" s="118"/>
      <c r="DI981" s="118"/>
      <c r="DJ981" s="118"/>
      <c r="DK981" s="118"/>
      <c r="DL981" s="118"/>
      <c r="DM981" s="118"/>
      <c r="DN981" s="118"/>
      <c r="DO981" s="118"/>
      <c r="DP981" s="118"/>
      <c r="DQ981" s="118"/>
      <c r="DR981" s="118"/>
      <c r="DS981" s="118"/>
      <c r="DT981" s="118"/>
      <c r="DU981" s="19"/>
      <c r="DV981" s="19"/>
      <c r="DW981" s="19"/>
      <c r="DX981" s="19"/>
      <c r="DY981" s="19"/>
      <c r="DZ981" s="19"/>
    </row>
    <row r="982" spans="1:130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18"/>
      <c r="BX982" s="118"/>
      <c r="BY982" s="118"/>
      <c r="BZ982" s="118"/>
      <c r="CA982" s="118"/>
      <c r="CB982" s="118"/>
      <c r="CC982" s="118"/>
      <c r="CD982" s="118"/>
      <c r="CE982" s="118"/>
      <c r="CF982" s="118"/>
      <c r="CG982" s="118"/>
      <c r="CH982" s="118"/>
      <c r="CI982" s="118"/>
      <c r="CJ982" s="118"/>
      <c r="CK982" s="118"/>
      <c r="CL982" s="118"/>
      <c r="CM982" s="118"/>
      <c r="CN982" s="118"/>
      <c r="CO982" s="118"/>
      <c r="CP982" s="118"/>
      <c r="CQ982" s="118"/>
      <c r="CR982" s="118"/>
      <c r="CS982" s="118"/>
      <c r="CT982" s="118"/>
      <c r="CU982" s="118"/>
      <c r="CV982" s="118"/>
      <c r="CW982" s="118"/>
      <c r="CX982" s="118"/>
      <c r="CY982" s="118"/>
      <c r="CZ982" s="118"/>
      <c r="DA982" s="118"/>
      <c r="DB982" s="118"/>
      <c r="DC982" s="118"/>
      <c r="DD982" s="118"/>
      <c r="DE982" s="118"/>
      <c r="DF982" s="118"/>
      <c r="DG982" s="118"/>
      <c r="DH982" s="118"/>
      <c r="DI982" s="118"/>
      <c r="DJ982" s="118"/>
      <c r="DK982" s="118"/>
      <c r="DL982" s="118"/>
      <c r="DM982" s="118"/>
      <c r="DN982" s="118"/>
      <c r="DO982" s="118"/>
      <c r="DP982" s="118"/>
      <c r="DQ982" s="118"/>
      <c r="DR982" s="118"/>
      <c r="DS982" s="118"/>
      <c r="DT982" s="118"/>
      <c r="DU982" s="19"/>
      <c r="DV982" s="19"/>
      <c r="DW982" s="19"/>
      <c r="DX982" s="19"/>
      <c r="DY982" s="19"/>
      <c r="DZ982" s="19"/>
    </row>
    <row r="983" spans="1:130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18"/>
      <c r="BX983" s="118"/>
      <c r="BY983" s="118"/>
      <c r="BZ983" s="118"/>
      <c r="CA983" s="118"/>
      <c r="CB983" s="118"/>
      <c r="CC983" s="118"/>
      <c r="CD983" s="118"/>
      <c r="CE983" s="118"/>
      <c r="CF983" s="118"/>
      <c r="CG983" s="118"/>
      <c r="CH983" s="118"/>
      <c r="CI983" s="118"/>
      <c r="CJ983" s="118"/>
      <c r="CK983" s="118"/>
      <c r="CL983" s="118"/>
      <c r="CM983" s="118"/>
      <c r="CN983" s="118"/>
      <c r="CO983" s="118"/>
      <c r="CP983" s="118"/>
      <c r="CQ983" s="118"/>
      <c r="CR983" s="118"/>
      <c r="CS983" s="118"/>
      <c r="CT983" s="118"/>
      <c r="CU983" s="118"/>
      <c r="CV983" s="118"/>
      <c r="CW983" s="118"/>
      <c r="CX983" s="118"/>
      <c r="CY983" s="118"/>
      <c r="CZ983" s="118"/>
      <c r="DA983" s="118"/>
      <c r="DB983" s="118"/>
      <c r="DC983" s="118"/>
      <c r="DD983" s="118"/>
      <c r="DE983" s="118"/>
      <c r="DF983" s="118"/>
      <c r="DG983" s="118"/>
      <c r="DH983" s="118"/>
      <c r="DI983" s="118"/>
      <c r="DJ983" s="118"/>
      <c r="DK983" s="118"/>
      <c r="DL983" s="118"/>
      <c r="DM983" s="118"/>
      <c r="DN983" s="118"/>
      <c r="DO983" s="118"/>
      <c r="DP983" s="118"/>
      <c r="DQ983" s="118"/>
      <c r="DR983" s="118"/>
      <c r="DS983" s="118"/>
      <c r="DT983" s="118"/>
      <c r="DU983" s="19"/>
      <c r="DV983" s="19"/>
      <c r="DW983" s="19"/>
      <c r="DX983" s="19"/>
      <c r="DY983" s="19"/>
      <c r="DZ983" s="19"/>
    </row>
    <row r="984" spans="1:130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18"/>
      <c r="BX984" s="118"/>
      <c r="BY984" s="118"/>
      <c r="BZ984" s="118"/>
      <c r="CA984" s="118"/>
      <c r="CB984" s="118"/>
      <c r="CC984" s="118"/>
      <c r="CD984" s="118"/>
      <c r="CE984" s="118"/>
      <c r="CF984" s="118"/>
      <c r="CG984" s="118"/>
      <c r="CH984" s="118"/>
      <c r="CI984" s="118"/>
      <c r="CJ984" s="118"/>
      <c r="CK984" s="118"/>
      <c r="CL984" s="118"/>
      <c r="CM984" s="118"/>
      <c r="CN984" s="118"/>
      <c r="CO984" s="118"/>
      <c r="CP984" s="118"/>
      <c r="CQ984" s="118"/>
      <c r="CR984" s="118"/>
      <c r="CS984" s="118"/>
      <c r="CT984" s="118"/>
      <c r="CU984" s="118"/>
      <c r="CV984" s="118"/>
      <c r="CW984" s="118"/>
      <c r="CX984" s="118"/>
      <c r="CY984" s="118"/>
      <c r="CZ984" s="118"/>
      <c r="DA984" s="118"/>
      <c r="DB984" s="118"/>
      <c r="DC984" s="118"/>
      <c r="DD984" s="118"/>
      <c r="DE984" s="118"/>
      <c r="DF984" s="118"/>
      <c r="DG984" s="118"/>
      <c r="DH984" s="118"/>
      <c r="DI984" s="118"/>
      <c r="DJ984" s="118"/>
      <c r="DK984" s="118"/>
      <c r="DL984" s="118"/>
      <c r="DM984" s="118"/>
      <c r="DN984" s="118"/>
      <c r="DO984" s="118"/>
      <c r="DP984" s="118"/>
      <c r="DQ984" s="118"/>
      <c r="DR984" s="118"/>
      <c r="DS984" s="118"/>
      <c r="DT984" s="118"/>
      <c r="DU984" s="19"/>
      <c r="DV984" s="19"/>
      <c r="DW984" s="19"/>
      <c r="DX984" s="19"/>
      <c r="DY984" s="19"/>
      <c r="DZ984" s="19"/>
    </row>
    <row r="985" spans="1:130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18"/>
      <c r="BX985" s="118"/>
      <c r="BY985" s="118"/>
      <c r="BZ985" s="118"/>
      <c r="CA985" s="118"/>
      <c r="CB985" s="118"/>
      <c r="CC985" s="118"/>
      <c r="CD985" s="118"/>
      <c r="CE985" s="118"/>
      <c r="CF985" s="118"/>
      <c r="CG985" s="118"/>
      <c r="CH985" s="118"/>
      <c r="CI985" s="118"/>
      <c r="CJ985" s="118"/>
      <c r="CK985" s="118"/>
      <c r="CL985" s="118"/>
      <c r="CM985" s="118"/>
      <c r="CN985" s="118"/>
      <c r="CO985" s="118"/>
      <c r="CP985" s="118"/>
      <c r="CQ985" s="118"/>
      <c r="CR985" s="118"/>
      <c r="CS985" s="118"/>
      <c r="CT985" s="118"/>
      <c r="CU985" s="118"/>
      <c r="CV985" s="118"/>
      <c r="CW985" s="118"/>
      <c r="CX985" s="118"/>
      <c r="CY985" s="118"/>
      <c r="CZ985" s="118"/>
      <c r="DA985" s="118"/>
      <c r="DB985" s="118"/>
      <c r="DC985" s="118"/>
      <c r="DD985" s="118"/>
      <c r="DE985" s="118"/>
      <c r="DF985" s="118"/>
      <c r="DG985" s="118"/>
      <c r="DH985" s="118"/>
      <c r="DI985" s="118"/>
      <c r="DJ985" s="118"/>
      <c r="DK985" s="118"/>
      <c r="DL985" s="118"/>
      <c r="DM985" s="118"/>
      <c r="DN985" s="118"/>
      <c r="DO985" s="118"/>
      <c r="DP985" s="118"/>
      <c r="DQ985" s="118"/>
      <c r="DR985" s="118"/>
      <c r="DS985" s="118"/>
      <c r="DT985" s="118"/>
      <c r="DU985" s="19"/>
      <c r="DV985" s="19"/>
      <c r="DW985" s="19"/>
      <c r="DX985" s="19"/>
      <c r="DY985" s="19"/>
      <c r="DZ985" s="19"/>
    </row>
    <row r="986" spans="1:130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18"/>
      <c r="BX986" s="118"/>
      <c r="BY986" s="118"/>
      <c r="BZ986" s="118"/>
      <c r="CA986" s="118"/>
      <c r="CB986" s="118"/>
      <c r="CC986" s="118"/>
      <c r="CD986" s="118"/>
      <c r="CE986" s="118"/>
      <c r="CF986" s="118"/>
      <c r="CG986" s="118"/>
      <c r="CH986" s="118"/>
      <c r="CI986" s="118"/>
      <c r="CJ986" s="118"/>
      <c r="CK986" s="118"/>
      <c r="CL986" s="118"/>
      <c r="CM986" s="118"/>
      <c r="CN986" s="118"/>
      <c r="CO986" s="118"/>
      <c r="CP986" s="118"/>
      <c r="CQ986" s="118"/>
      <c r="CR986" s="118"/>
      <c r="CS986" s="118"/>
      <c r="CT986" s="118"/>
      <c r="CU986" s="118"/>
      <c r="CV986" s="118"/>
      <c r="CW986" s="118"/>
      <c r="CX986" s="118"/>
      <c r="CY986" s="118"/>
      <c r="CZ986" s="118"/>
      <c r="DA986" s="118"/>
      <c r="DB986" s="118"/>
      <c r="DC986" s="118"/>
      <c r="DD986" s="118"/>
      <c r="DE986" s="118"/>
      <c r="DF986" s="118"/>
      <c r="DG986" s="118"/>
      <c r="DH986" s="118"/>
      <c r="DI986" s="118"/>
      <c r="DJ986" s="118"/>
      <c r="DK986" s="118"/>
      <c r="DL986" s="118"/>
      <c r="DM986" s="118"/>
      <c r="DN986" s="118"/>
      <c r="DO986" s="118"/>
      <c r="DP986" s="118"/>
      <c r="DQ986" s="118"/>
      <c r="DR986" s="118"/>
      <c r="DS986" s="118"/>
      <c r="DT986" s="118"/>
      <c r="DU986" s="19"/>
      <c r="DV986" s="19"/>
      <c r="DW986" s="19"/>
      <c r="DX986" s="19"/>
      <c r="DY986" s="19"/>
      <c r="DZ986" s="19"/>
    </row>
    <row r="987" spans="1:130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18"/>
      <c r="BX987" s="118"/>
      <c r="BY987" s="118"/>
      <c r="BZ987" s="118"/>
      <c r="CA987" s="118"/>
      <c r="CB987" s="118"/>
      <c r="CC987" s="118"/>
      <c r="CD987" s="118"/>
      <c r="CE987" s="118"/>
      <c r="CF987" s="118"/>
      <c r="CG987" s="118"/>
      <c r="CH987" s="118"/>
      <c r="CI987" s="118"/>
      <c r="CJ987" s="118"/>
      <c r="CK987" s="118"/>
      <c r="CL987" s="118"/>
      <c r="CM987" s="118"/>
      <c r="CN987" s="118"/>
      <c r="CO987" s="118"/>
      <c r="CP987" s="118"/>
      <c r="CQ987" s="118"/>
      <c r="CR987" s="118"/>
      <c r="CS987" s="118"/>
      <c r="CT987" s="118"/>
      <c r="CU987" s="118"/>
      <c r="CV987" s="118"/>
      <c r="CW987" s="118"/>
      <c r="CX987" s="118"/>
      <c r="CY987" s="118"/>
      <c r="CZ987" s="118"/>
      <c r="DA987" s="118"/>
      <c r="DB987" s="118"/>
      <c r="DC987" s="118"/>
      <c r="DD987" s="118"/>
      <c r="DE987" s="118"/>
      <c r="DF987" s="118"/>
      <c r="DG987" s="118"/>
      <c r="DH987" s="118"/>
      <c r="DI987" s="118"/>
      <c r="DJ987" s="118"/>
      <c r="DK987" s="118"/>
      <c r="DL987" s="118"/>
      <c r="DM987" s="118"/>
      <c r="DN987" s="118"/>
      <c r="DO987" s="118"/>
      <c r="DP987" s="118"/>
      <c r="DQ987" s="118"/>
      <c r="DR987" s="118"/>
      <c r="DS987" s="118"/>
      <c r="DT987" s="118"/>
      <c r="DU987" s="19"/>
      <c r="DV987" s="19"/>
      <c r="DW987" s="19"/>
      <c r="DX987" s="19"/>
      <c r="DY987" s="19"/>
      <c r="DZ987" s="19"/>
    </row>
    <row r="988" spans="1:130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18"/>
      <c r="BX988" s="118"/>
      <c r="BY988" s="118"/>
      <c r="BZ988" s="118"/>
      <c r="CA988" s="118"/>
      <c r="CB988" s="118"/>
      <c r="CC988" s="118"/>
      <c r="CD988" s="118"/>
      <c r="CE988" s="118"/>
      <c r="CF988" s="118"/>
      <c r="CG988" s="118"/>
      <c r="CH988" s="118"/>
      <c r="CI988" s="118"/>
      <c r="CJ988" s="118"/>
      <c r="CK988" s="118"/>
      <c r="CL988" s="118"/>
      <c r="CM988" s="118"/>
      <c r="CN988" s="118"/>
      <c r="CO988" s="118"/>
      <c r="CP988" s="118"/>
      <c r="CQ988" s="118"/>
      <c r="CR988" s="118"/>
      <c r="CS988" s="118"/>
      <c r="CT988" s="118"/>
      <c r="CU988" s="118"/>
      <c r="CV988" s="118"/>
      <c r="CW988" s="118"/>
      <c r="CX988" s="118"/>
      <c r="CY988" s="118"/>
      <c r="CZ988" s="118"/>
      <c r="DA988" s="118"/>
      <c r="DB988" s="118"/>
      <c r="DC988" s="118"/>
      <c r="DD988" s="118"/>
      <c r="DE988" s="118"/>
      <c r="DF988" s="118"/>
      <c r="DG988" s="118"/>
      <c r="DH988" s="118"/>
      <c r="DI988" s="118"/>
      <c r="DJ988" s="118"/>
      <c r="DK988" s="118"/>
      <c r="DL988" s="118"/>
      <c r="DM988" s="118"/>
      <c r="DN988" s="118"/>
      <c r="DO988" s="118"/>
      <c r="DP988" s="118"/>
      <c r="DQ988" s="118"/>
      <c r="DR988" s="118"/>
      <c r="DS988" s="118"/>
      <c r="DT988" s="118"/>
      <c r="DU988" s="19"/>
      <c r="DV988" s="19"/>
      <c r="DW988" s="19"/>
      <c r="DX988" s="19"/>
      <c r="DY988" s="19"/>
      <c r="DZ988" s="19"/>
    </row>
    <row r="989" spans="1:130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18"/>
      <c r="BX989" s="118"/>
      <c r="BY989" s="118"/>
      <c r="BZ989" s="118"/>
      <c r="CA989" s="118"/>
      <c r="CB989" s="118"/>
      <c r="CC989" s="118"/>
      <c r="CD989" s="118"/>
      <c r="CE989" s="118"/>
      <c r="CF989" s="118"/>
      <c r="CG989" s="118"/>
      <c r="CH989" s="118"/>
      <c r="CI989" s="118"/>
      <c r="CJ989" s="118"/>
      <c r="CK989" s="118"/>
      <c r="CL989" s="118"/>
      <c r="CM989" s="118"/>
      <c r="CN989" s="118"/>
      <c r="CO989" s="118"/>
      <c r="CP989" s="118"/>
      <c r="CQ989" s="118"/>
      <c r="CR989" s="118"/>
      <c r="CS989" s="118"/>
      <c r="CT989" s="118"/>
      <c r="CU989" s="118"/>
      <c r="CV989" s="118"/>
      <c r="CW989" s="118"/>
      <c r="CX989" s="118"/>
      <c r="CY989" s="118"/>
      <c r="CZ989" s="118"/>
      <c r="DA989" s="118"/>
      <c r="DB989" s="118"/>
      <c r="DC989" s="118"/>
      <c r="DD989" s="118"/>
      <c r="DE989" s="118"/>
      <c r="DF989" s="118"/>
      <c r="DG989" s="118"/>
      <c r="DH989" s="118"/>
      <c r="DI989" s="118"/>
      <c r="DJ989" s="118"/>
      <c r="DK989" s="118"/>
      <c r="DL989" s="118"/>
      <c r="DM989" s="118"/>
      <c r="DN989" s="118"/>
      <c r="DO989" s="118"/>
      <c r="DP989" s="118"/>
      <c r="DQ989" s="118"/>
      <c r="DR989" s="118"/>
      <c r="DS989" s="118"/>
      <c r="DT989" s="118"/>
      <c r="DU989" s="19"/>
      <c r="DV989" s="19"/>
      <c r="DW989" s="19"/>
      <c r="DX989" s="19"/>
      <c r="DY989" s="19"/>
      <c r="DZ989" s="19"/>
    </row>
    <row r="990" spans="1:130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18"/>
      <c r="BX990" s="118"/>
      <c r="BY990" s="118"/>
      <c r="BZ990" s="118"/>
      <c r="CA990" s="118"/>
      <c r="CB990" s="118"/>
      <c r="CC990" s="118"/>
      <c r="CD990" s="118"/>
      <c r="CE990" s="118"/>
      <c r="CF990" s="118"/>
      <c r="CG990" s="118"/>
      <c r="CH990" s="118"/>
      <c r="CI990" s="118"/>
      <c r="CJ990" s="118"/>
      <c r="CK990" s="118"/>
      <c r="CL990" s="118"/>
      <c r="CM990" s="118"/>
      <c r="CN990" s="118"/>
      <c r="CO990" s="118"/>
      <c r="CP990" s="118"/>
      <c r="CQ990" s="118"/>
      <c r="CR990" s="118"/>
      <c r="CS990" s="118"/>
      <c r="CT990" s="118"/>
      <c r="CU990" s="118"/>
      <c r="CV990" s="118"/>
      <c r="CW990" s="118"/>
      <c r="CX990" s="118"/>
      <c r="CY990" s="118"/>
      <c r="CZ990" s="118"/>
      <c r="DA990" s="118"/>
      <c r="DB990" s="118"/>
      <c r="DC990" s="118"/>
      <c r="DD990" s="118"/>
      <c r="DE990" s="118"/>
      <c r="DF990" s="118"/>
      <c r="DG990" s="118"/>
      <c r="DH990" s="118"/>
      <c r="DI990" s="118"/>
      <c r="DJ990" s="118"/>
      <c r="DK990" s="118"/>
      <c r="DL990" s="118"/>
      <c r="DM990" s="118"/>
      <c r="DN990" s="118"/>
      <c r="DO990" s="118"/>
      <c r="DP990" s="118"/>
      <c r="DQ990" s="118"/>
      <c r="DR990" s="118"/>
      <c r="DS990" s="118"/>
      <c r="DT990" s="118"/>
      <c r="DU990" s="19"/>
      <c r="DV990" s="19"/>
      <c r="DW990" s="19"/>
      <c r="DX990" s="19"/>
      <c r="DY990" s="19"/>
      <c r="DZ990" s="19"/>
    </row>
    <row r="991" spans="1:130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18"/>
      <c r="BX991" s="118"/>
      <c r="BY991" s="118"/>
      <c r="BZ991" s="118"/>
      <c r="CA991" s="118"/>
      <c r="CB991" s="118"/>
      <c r="CC991" s="118"/>
      <c r="CD991" s="118"/>
      <c r="CE991" s="118"/>
      <c r="CF991" s="118"/>
      <c r="CG991" s="118"/>
      <c r="CH991" s="118"/>
      <c r="CI991" s="118"/>
      <c r="CJ991" s="118"/>
      <c r="CK991" s="118"/>
      <c r="CL991" s="118"/>
      <c r="CM991" s="118"/>
      <c r="CN991" s="118"/>
      <c r="CO991" s="118"/>
      <c r="CP991" s="118"/>
      <c r="CQ991" s="118"/>
      <c r="CR991" s="118"/>
      <c r="CS991" s="118"/>
      <c r="CT991" s="118"/>
      <c r="CU991" s="118"/>
      <c r="CV991" s="118"/>
      <c r="CW991" s="118"/>
      <c r="CX991" s="118"/>
      <c r="CY991" s="118"/>
      <c r="CZ991" s="118"/>
      <c r="DA991" s="118"/>
      <c r="DB991" s="118"/>
      <c r="DC991" s="118"/>
      <c r="DD991" s="118"/>
      <c r="DE991" s="118"/>
      <c r="DF991" s="118"/>
      <c r="DG991" s="118"/>
      <c r="DH991" s="118"/>
      <c r="DI991" s="118"/>
      <c r="DJ991" s="118"/>
      <c r="DK991" s="118"/>
      <c r="DL991" s="118"/>
      <c r="DM991" s="118"/>
      <c r="DN991" s="118"/>
      <c r="DO991" s="118"/>
      <c r="DP991" s="118"/>
      <c r="DQ991" s="118"/>
      <c r="DR991" s="118"/>
      <c r="DS991" s="118"/>
      <c r="DT991" s="118"/>
      <c r="DU991" s="19"/>
      <c r="DV991" s="19"/>
      <c r="DW991" s="19"/>
      <c r="DX991" s="19"/>
      <c r="DY991" s="19"/>
      <c r="DZ991" s="19"/>
    </row>
    <row r="992" spans="1:130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18"/>
      <c r="BX992" s="118"/>
      <c r="BY992" s="118"/>
      <c r="BZ992" s="118"/>
      <c r="CA992" s="118"/>
      <c r="CB992" s="118"/>
      <c r="CC992" s="118"/>
      <c r="CD992" s="118"/>
      <c r="CE992" s="118"/>
      <c r="CF992" s="118"/>
      <c r="CG992" s="118"/>
      <c r="CH992" s="118"/>
      <c r="CI992" s="118"/>
      <c r="CJ992" s="118"/>
      <c r="CK992" s="118"/>
      <c r="CL992" s="118"/>
      <c r="CM992" s="118"/>
      <c r="CN992" s="118"/>
      <c r="CO992" s="118"/>
      <c r="CP992" s="118"/>
      <c r="CQ992" s="118"/>
      <c r="CR992" s="118"/>
      <c r="CS992" s="118"/>
      <c r="CT992" s="118"/>
      <c r="CU992" s="118"/>
      <c r="CV992" s="118"/>
      <c r="CW992" s="118"/>
      <c r="CX992" s="118"/>
      <c r="CY992" s="118"/>
      <c r="CZ992" s="118"/>
      <c r="DA992" s="118"/>
      <c r="DB992" s="118"/>
      <c r="DC992" s="118"/>
      <c r="DD992" s="118"/>
      <c r="DE992" s="118"/>
      <c r="DF992" s="118"/>
      <c r="DG992" s="118"/>
      <c r="DH992" s="118"/>
      <c r="DI992" s="118"/>
      <c r="DJ992" s="118"/>
      <c r="DK992" s="118"/>
      <c r="DL992" s="118"/>
      <c r="DM992" s="118"/>
      <c r="DN992" s="118"/>
      <c r="DO992" s="118"/>
      <c r="DP992" s="118"/>
      <c r="DQ992" s="118"/>
      <c r="DR992" s="118"/>
      <c r="DS992" s="118"/>
      <c r="DT992" s="118"/>
      <c r="DU992" s="19"/>
      <c r="DV992" s="19"/>
      <c r="DW992" s="19"/>
      <c r="DX992" s="19"/>
      <c r="DY992" s="19"/>
      <c r="DZ992" s="19"/>
    </row>
    <row r="993" spans="1:130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18"/>
      <c r="BX993" s="118"/>
      <c r="BY993" s="118"/>
      <c r="BZ993" s="118"/>
      <c r="CA993" s="118"/>
      <c r="CB993" s="118"/>
      <c r="CC993" s="118"/>
      <c r="CD993" s="118"/>
      <c r="CE993" s="118"/>
      <c r="CF993" s="118"/>
      <c r="CG993" s="118"/>
      <c r="CH993" s="118"/>
      <c r="CI993" s="118"/>
      <c r="CJ993" s="118"/>
      <c r="CK993" s="118"/>
      <c r="CL993" s="118"/>
      <c r="CM993" s="118"/>
      <c r="CN993" s="118"/>
      <c r="CO993" s="118"/>
      <c r="CP993" s="118"/>
      <c r="CQ993" s="118"/>
      <c r="CR993" s="118"/>
      <c r="CS993" s="118"/>
      <c r="CT993" s="118"/>
      <c r="CU993" s="118"/>
      <c r="CV993" s="118"/>
      <c r="CW993" s="118"/>
      <c r="CX993" s="118"/>
      <c r="CY993" s="118"/>
      <c r="CZ993" s="118"/>
      <c r="DA993" s="118"/>
      <c r="DB993" s="118"/>
      <c r="DC993" s="118"/>
      <c r="DD993" s="118"/>
      <c r="DE993" s="118"/>
      <c r="DF993" s="118"/>
      <c r="DG993" s="118"/>
      <c r="DH993" s="118"/>
      <c r="DI993" s="118"/>
      <c r="DJ993" s="118"/>
      <c r="DK993" s="118"/>
      <c r="DL993" s="118"/>
      <c r="DM993" s="118"/>
      <c r="DN993" s="118"/>
      <c r="DO993" s="118"/>
      <c r="DP993" s="118"/>
      <c r="DQ993" s="118"/>
      <c r="DR993" s="118"/>
      <c r="DS993" s="118"/>
      <c r="DT993" s="118"/>
      <c r="DU993" s="19"/>
      <c r="DV993" s="19"/>
      <c r="DW993" s="19"/>
      <c r="DX993" s="19"/>
      <c r="DY993" s="19"/>
      <c r="DZ993" s="19"/>
    </row>
    <row r="994" spans="1:130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18"/>
      <c r="BX994" s="118"/>
      <c r="BY994" s="118"/>
      <c r="BZ994" s="118"/>
      <c r="CA994" s="118"/>
      <c r="CB994" s="118"/>
      <c r="CC994" s="118"/>
      <c r="CD994" s="118"/>
      <c r="CE994" s="118"/>
      <c r="CF994" s="118"/>
      <c r="CG994" s="118"/>
      <c r="CH994" s="118"/>
      <c r="CI994" s="118"/>
      <c r="CJ994" s="118"/>
      <c r="CK994" s="118"/>
      <c r="CL994" s="118"/>
      <c r="CM994" s="118"/>
      <c r="CN994" s="118"/>
      <c r="CO994" s="118"/>
      <c r="CP994" s="118"/>
      <c r="CQ994" s="118"/>
      <c r="CR994" s="118"/>
      <c r="CS994" s="118"/>
      <c r="CT994" s="118"/>
      <c r="CU994" s="118"/>
      <c r="CV994" s="118"/>
      <c r="CW994" s="118"/>
      <c r="CX994" s="118"/>
      <c r="CY994" s="118"/>
      <c r="CZ994" s="118"/>
      <c r="DA994" s="118"/>
      <c r="DB994" s="118"/>
      <c r="DC994" s="118"/>
      <c r="DD994" s="118"/>
      <c r="DE994" s="118"/>
      <c r="DF994" s="118"/>
      <c r="DG994" s="118"/>
      <c r="DH994" s="118"/>
      <c r="DI994" s="118"/>
      <c r="DJ994" s="118"/>
      <c r="DK994" s="118"/>
      <c r="DL994" s="118"/>
      <c r="DM994" s="118"/>
      <c r="DN994" s="118"/>
      <c r="DO994" s="118"/>
      <c r="DP994" s="118"/>
      <c r="DQ994" s="118"/>
      <c r="DR994" s="118"/>
      <c r="DS994" s="118"/>
      <c r="DT994" s="118"/>
      <c r="DU994" s="19"/>
      <c r="DV994" s="19"/>
      <c r="DW994" s="19"/>
      <c r="DX994" s="19"/>
      <c r="DY994" s="19"/>
      <c r="DZ994" s="19"/>
    </row>
    <row r="995" spans="1:130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18"/>
      <c r="BX995" s="118"/>
      <c r="BY995" s="118"/>
      <c r="BZ995" s="118"/>
      <c r="CA995" s="118"/>
      <c r="CB995" s="118"/>
      <c r="CC995" s="118"/>
      <c r="CD995" s="118"/>
      <c r="CE995" s="118"/>
      <c r="CF995" s="118"/>
      <c r="CG995" s="118"/>
      <c r="CH995" s="118"/>
      <c r="CI995" s="118"/>
      <c r="CJ995" s="118"/>
      <c r="CK995" s="118"/>
      <c r="CL995" s="118"/>
      <c r="CM995" s="118"/>
      <c r="CN995" s="118"/>
      <c r="CO995" s="118"/>
      <c r="CP995" s="118"/>
      <c r="CQ995" s="118"/>
      <c r="CR995" s="118"/>
      <c r="CS995" s="118"/>
      <c r="CT995" s="118"/>
      <c r="CU995" s="118"/>
      <c r="CV995" s="118"/>
      <c r="CW995" s="118"/>
      <c r="CX995" s="118"/>
      <c r="CY995" s="118"/>
      <c r="CZ995" s="118"/>
      <c r="DA995" s="118"/>
      <c r="DB995" s="118"/>
      <c r="DC995" s="118"/>
      <c r="DD995" s="118"/>
      <c r="DE995" s="118"/>
      <c r="DF995" s="118"/>
      <c r="DG995" s="118"/>
      <c r="DH995" s="118"/>
      <c r="DI995" s="118"/>
      <c r="DJ995" s="118"/>
      <c r="DK995" s="118"/>
      <c r="DL995" s="118"/>
      <c r="DM995" s="118"/>
      <c r="DN995" s="118"/>
      <c r="DO995" s="118"/>
      <c r="DP995" s="118"/>
      <c r="DQ995" s="118"/>
      <c r="DR995" s="118"/>
      <c r="DS995" s="118"/>
      <c r="DT995" s="118"/>
      <c r="DU995" s="19"/>
      <c r="DV995" s="19"/>
      <c r="DW995" s="19"/>
      <c r="DX995" s="19"/>
      <c r="DY995" s="19"/>
      <c r="DZ995" s="19"/>
    </row>
    <row r="996" spans="1:130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18"/>
      <c r="BX996" s="118"/>
      <c r="BY996" s="118"/>
      <c r="BZ996" s="118"/>
      <c r="CA996" s="118"/>
      <c r="CB996" s="118"/>
      <c r="CC996" s="118"/>
      <c r="CD996" s="118"/>
      <c r="CE996" s="118"/>
      <c r="CF996" s="118"/>
      <c r="CG996" s="118"/>
      <c r="CH996" s="118"/>
      <c r="CI996" s="118"/>
      <c r="CJ996" s="118"/>
      <c r="CK996" s="118"/>
      <c r="CL996" s="118"/>
      <c r="CM996" s="118"/>
      <c r="CN996" s="118"/>
      <c r="CO996" s="118"/>
      <c r="CP996" s="118"/>
      <c r="CQ996" s="118"/>
      <c r="CR996" s="118"/>
      <c r="CS996" s="118"/>
      <c r="CT996" s="118"/>
      <c r="CU996" s="118"/>
      <c r="CV996" s="118"/>
      <c r="CW996" s="118"/>
      <c r="CX996" s="118"/>
      <c r="CY996" s="118"/>
      <c r="CZ996" s="118"/>
      <c r="DA996" s="118"/>
      <c r="DB996" s="118"/>
      <c r="DC996" s="118"/>
      <c r="DD996" s="118"/>
      <c r="DE996" s="118"/>
      <c r="DF996" s="118"/>
      <c r="DG996" s="118"/>
      <c r="DH996" s="118"/>
      <c r="DI996" s="118"/>
      <c r="DJ996" s="118"/>
      <c r="DK996" s="118"/>
      <c r="DL996" s="118"/>
      <c r="DM996" s="118"/>
      <c r="DN996" s="118"/>
      <c r="DO996" s="118"/>
      <c r="DP996" s="118"/>
      <c r="DQ996" s="118"/>
      <c r="DR996" s="118"/>
      <c r="DS996" s="118"/>
      <c r="DT996" s="118"/>
      <c r="DU996" s="19"/>
      <c r="DV996" s="19"/>
      <c r="DW996" s="19"/>
      <c r="DX996" s="19"/>
      <c r="DY996" s="19"/>
      <c r="DZ996" s="19"/>
    </row>
    <row r="997" spans="1:130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18"/>
      <c r="BX997" s="118"/>
      <c r="BY997" s="118"/>
      <c r="BZ997" s="118"/>
      <c r="CA997" s="118"/>
      <c r="CB997" s="118"/>
      <c r="CC997" s="118"/>
      <c r="CD997" s="118"/>
      <c r="CE997" s="118"/>
      <c r="CF997" s="118"/>
      <c r="CG997" s="118"/>
      <c r="CH997" s="118"/>
      <c r="CI997" s="118"/>
      <c r="CJ997" s="118"/>
      <c r="CK997" s="118"/>
      <c r="CL997" s="118"/>
      <c r="CM997" s="118"/>
      <c r="CN997" s="118"/>
      <c r="CO997" s="118"/>
      <c r="CP997" s="118"/>
      <c r="CQ997" s="118"/>
      <c r="CR997" s="118"/>
      <c r="CS997" s="118"/>
      <c r="CT997" s="118"/>
      <c r="CU997" s="118"/>
      <c r="CV997" s="118"/>
      <c r="CW997" s="118"/>
      <c r="CX997" s="118"/>
      <c r="CY997" s="118"/>
      <c r="CZ997" s="118"/>
      <c r="DA997" s="118"/>
      <c r="DB997" s="118"/>
      <c r="DC997" s="118"/>
      <c r="DD997" s="118"/>
      <c r="DE997" s="118"/>
      <c r="DF997" s="118"/>
      <c r="DG997" s="118"/>
      <c r="DH997" s="118"/>
      <c r="DI997" s="118"/>
      <c r="DJ997" s="118"/>
      <c r="DK997" s="118"/>
      <c r="DL997" s="118"/>
      <c r="DM997" s="118"/>
      <c r="DN997" s="118"/>
      <c r="DO997" s="118"/>
      <c r="DP997" s="118"/>
      <c r="DQ997" s="118"/>
      <c r="DR997" s="118"/>
      <c r="DS997" s="118"/>
      <c r="DT997" s="118"/>
      <c r="DU997" s="19"/>
      <c r="DV997" s="19"/>
      <c r="DW997" s="19"/>
      <c r="DX997" s="19"/>
      <c r="DY997" s="19"/>
      <c r="DZ997" s="19"/>
    </row>
    <row r="998" spans="1:130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18"/>
      <c r="BX998" s="118"/>
      <c r="BY998" s="118"/>
      <c r="BZ998" s="118"/>
      <c r="CA998" s="118"/>
      <c r="CB998" s="118"/>
      <c r="CC998" s="118"/>
      <c r="CD998" s="118"/>
      <c r="CE998" s="118"/>
      <c r="CF998" s="118"/>
      <c r="CG998" s="118"/>
      <c r="CH998" s="118"/>
      <c r="CI998" s="118"/>
      <c r="CJ998" s="118"/>
      <c r="CK998" s="118"/>
      <c r="CL998" s="118"/>
      <c r="CM998" s="118"/>
      <c r="CN998" s="118"/>
      <c r="CO998" s="118"/>
      <c r="CP998" s="118"/>
      <c r="CQ998" s="118"/>
      <c r="CR998" s="118"/>
      <c r="CS998" s="118"/>
      <c r="CT998" s="118"/>
      <c r="CU998" s="118"/>
      <c r="CV998" s="118"/>
      <c r="CW998" s="118"/>
      <c r="CX998" s="118"/>
      <c r="CY998" s="118"/>
      <c r="CZ998" s="118"/>
      <c r="DA998" s="118"/>
      <c r="DB998" s="118"/>
      <c r="DC998" s="118"/>
      <c r="DD998" s="118"/>
      <c r="DE998" s="118"/>
      <c r="DF998" s="118"/>
      <c r="DG998" s="118"/>
      <c r="DH998" s="118"/>
      <c r="DI998" s="118"/>
      <c r="DJ998" s="118"/>
      <c r="DK998" s="118"/>
      <c r="DL998" s="118"/>
      <c r="DM998" s="118"/>
      <c r="DN998" s="118"/>
      <c r="DO998" s="118"/>
      <c r="DP998" s="118"/>
      <c r="DQ998" s="118"/>
      <c r="DR998" s="118"/>
      <c r="DS998" s="118"/>
      <c r="DT998" s="118"/>
      <c r="DU998" s="19"/>
      <c r="DV998" s="19"/>
      <c r="DW998" s="19"/>
      <c r="DX998" s="19"/>
      <c r="DY998" s="19"/>
      <c r="DZ998" s="19"/>
    </row>
    <row r="999" spans="1:130" ht="12.75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18"/>
      <c r="BX999" s="118"/>
      <c r="BY999" s="118"/>
      <c r="BZ999" s="118"/>
      <c r="CA999" s="118"/>
      <c r="CB999" s="118"/>
      <c r="CC999" s="118"/>
      <c r="CD999" s="118"/>
      <c r="CE999" s="118"/>
      <c r="CF999" s="118"/>
      <c r="CG999" s="118"/>
      <c r="CH999" s="118"/>
      <c r="CI999" s="118"/>
      <c r="CJ999" s="118"/>
      <c r="CK999" s="118"/>
      <c r="CL999" s="118"/>
      <c r="CM999" s="118"/>
      <c r="CN999" s="118"/>
      <c r="CO999" s="118"/>
      <c r="CP999" s="118"/>
      <c r="CQ999" s="118"/>
      <c r="CR999" s="118"/>
      <c r="CS999" s="118"/>
      <c r="CT999" s="118"/>
      <c r="CU999" s="118"/>
      <c r="CV999" s="118"/>
      <c r="CW999" s="118"/>
      <c r="CX999" s="118"/>
      <c r="CY999" s="118"/>
      <c r="CZ999" s="118"/>
      <c r="DA999" s="118"/>
      <c r="DB999" s="118"/>
      <c r="DC999" s="118"/>
      <c r="DD999" s="118"/>
      <c r="DE999" s="118"/>
      <c r="DF999" s="118"/>
      <c r="DG999" s="118"/>
      <c r="DH999" s="118"/>
      <c r="DI999" s="118"/>
      <c r="DJ999" s="118"/>
      <c r="DK999" s="118"/>
      <c r="DL999" s="118"/>
      <c r="DM999" s="118"/>
      <c r="DN999" s="118"/>
      <c r="DO999" s="118"/>
      <c r="DP999" s="118"/>
      <c r="DQ999" s="118"/>
      <c r="DR999" s="118"/>
      <c r="DS999" s="118"/>
      <c r="DT999" s="118"/>
      <c r="DU999" s="19"/>
      <c r="DV999" s="19"/>
      <c r="DW999" s="19"/>
      <c r="DX999" s="19"/>
      <c r="DY999" s="19"/>
      <c r="DZ999" s="19"/>
    </row>
    <row r="1000" spans="1:130" ht="12.75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18"/>
      <c r="BX1000" s="118"/>
      <c r="BY1000" s="118"/>
      <c r="BZ1000" s="118"/>
      <c r="CA1000" s="118"/>
      <c r="CB1000" s="118"/>
      <c r="CC1000" s="118"/>
      <c r="CD1000" s="118"/>
      <c r="CE1000" s="118"/>
      <c r="CF1000" s="118"/>
      <c r="CG1000" s="118"/>
      <c r="CH1000" s="118"/>
      <c r="CI1000" s="118"/>
      <c r="CJ1000" s="118"/>
      <c r="CK1000" s="118"/>
      <c r="CL1000" s="118"/>
      <c r="CM1000" s="118"/>
      <c r="CN1000" s="118"/>
      <c r="CO1000" s="118"/>
      <c r="CP1000" s="118"/>
      <c r="CQ1000" s="118"/>
      <c r="CR1000" s="118"/>
      <c r="CS1000" s="118"/>
      <c r="CT1000" s="118"/>
      <c r="CU1000" s="118"/>
      <c r="CV1000" s="118"/>
      <c r="CW1000" s="118"/>
      <c r="CX1000" s="118"/>
      <c r="CY1000" s="118"/>
      <c r="CZ1000" s="118"/>
      <c r="DA1000" s="118"/>
      <c r="DB1000" s="118"/>
      <c r="DC1000" s="118"/>
      <c r="DD1000" s="118"/>
      <c r="DE1000" s="118"/>
      <c r="DF1000" s="118"/>
      <c r="DG1000" s="118"/>
      <c r="DH1000" s="118"/>
      <c r="DI1000" s="118"/>
      <c r="DJ1000" s="118"/>
      <c r="DK1000" s="118"/>
      <c r="DL1000" s="118"/>
      <c r="DM1000" s="118"/>
      <c r="DN1000" s="118"/>
      <c r="DO1000" s="118"/>
      <c r="DP1000" s="118"/>
      <c r="DQ1000" s="118"/>
      <c r="DR1000" s="118"/>
      <c r="DS1000" s="118"/>
      <c r="DT1000" s="118"/>
      <c r="DU1000" s="19"/>
      <c r="DV1000" s="19"/>
      <c r="DW1000" s="19"/>
      <c r="DX1000" s="19"/>
      <c r="DY1000" s="19"/>
      <c r="DZ1000" s="19"/>
    </row>
    <row r="1001" spans="1:130" ht="12.75" x14ac:dyDescent="0.2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18"/>
      <c r="BX1001" s="118"/>
      <c r="BY1001" s="118"/>
      <c r="BZ1001" s="118"/>
      <c r="CA1001" s="118"/>
      <c r="CB1001" s="118"/>
      <c r="CC1001" s="118"/>
      <c r="CD1001" s="118"/>
      <c r="CE1001" s="118"/>
      <c r="CF1001" s="118"/>
      <c r="CG1001" s="118"/>
      <c r="CH1001" s="118"/>
      <c r="CI1001" s="118"/>
      <c r="CJ1001" s="118"/>
      <c r="CK1001" s="118"/>
      <c r="CL1001" s="118"/>
      <c r="CM1001" s="118"/>
      <c r="CN1001" s="118"/>
      <c r="CO1001" s="118"/>
      <c r="CP1001" s="118"/>
      <c r="CQ1001" s="118"/>
      <c r="CR1001" s="118"/>
      <c r="CS1001" s="118"/>
      <c r="CT1001" s="118"/>
      <c r="CU1001" s="118"/>
      <c r="CV1001" s="118"/>
      <c r="CW1001" s="118"/>
      <c r="CX1001" s="118"/>
      <c r="CY1001" s="118"/>
      <c r="CZ1001" s="118"/>
      <c r="DA1001" s="118"/>
      <c r="DB1001" s="118"/>
      <c r="DC1001" s="118"/>
      <c r="DD1001" s="118"/>
      <c r="DE1001" s="118"/>
      <c r="DF1001" s="118"/>
      <c r="DG1001" s="118"/>
      <c r="DH1001" s="118"/>
      <c r="DI1001" s="118"/>
      <c r="DJ1001" s="118"/>
      <c r="DK1001" s="118"/>
      <c r="DL1001" s="118"/>
      <c r="DM1001" s="118"/>
      <c r="DN1001" s="118"/>
      <c r="DO1001" s="118"/>
      <c r="DP1001" s="118"/>
      <c r="DQ1001" s="118"/>
      <c r="DR1001" s="118"/>
      <c r="DS1001" s="118"/>
      <c r="DT1001" s="118"/>
      <c r="DU1001" s="19"/>
      <c r="DV1001" s="19"/>
      <c r="DW1001" s="19"/>
      <c r="DX1001" s="19"/>
      <c r="DY1001" s="19"/>
      <c r="DZ1001" s="19"/>
    </row>
    <row r="1002" spans="1:130" ht="12.75" x14ac:dyDescent="0.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18"/>
      <c r="BX1002" s="118"/>
      <c r="BY1002" s="118"/>
      <c r="BZ1002" s="118"/>
      <c r="CA1002" s="118"/>
      <c r="CB1002" s="118"/>
      <c r="CC1002" s="118"/>
      <c r="CD1002" s="118"/>
      <c r="CE1002" s="118"/>
      <c r="CF1002" s="118"/>
      <c r="CG1002" s="118"/>
      <c r="CH1002" s="118"/>
      <c r="CI1002" s="118"/>
      <c r="CJ1002" s="118"/>
      <c r="CK1002" s="118"/>
      <c r="CL1002" s="118"/>
      <c r="CM1002" s="118"/>
      <c r="CN1002" s="118"/>
      <c r="CO1002" s="118"/>
      <c r="CP1002" s="118"/>
      <c r="CQ1002" s="118"/>
      <c r="CR1002" s="118"/>
      <c r="CS1002" s="118"/>
      <c r="CT1002" s="118"/>
      <c r="CU1002" s="118"/>
      <c r="CV1002" s="118"/>
      <c r="CW1002" s="118"/>
      <c r="CX1002" s="118"/>
      <c r="CY1002" s="118"/>
      <c r="CZ1002" s="118"/>
      <c r="DA1002" s="118"/>
      <c r="DB1002" s="118"/>
      <c r="DC1002" s="118"/>
      <c r="DD1002" s="118"/>
      <c r="DE1002" s="118"/>
      <c r="DF1002" s="118"/>
      <c r="DG1002" s="118"/>
      <c r="DH1002" s="118"/>
      <c r="DI1002" s="118"/>
      <c r="DJ1002" s="118"/>
      <c r="DK1002" s="118"/>
      <c r="DL1002" s="118"/>
      <c r="DM1002" s="118"/>
      <c r="DN1002" s="118"/>
      <c r="DO1002" s="118"/>
      <c r="DP1002" s="118"/>
      <c r="DQ1002" s="118"/>
      <c r="DR1002" s="118"/>
      <c r="DS1002" s="118"/>
      <c r="DT1002" s="118"/>
      <c r="DU1002" s="19"/>
      <c r="DV1002" s="19"/>
      <c r="DW1002" s="19"/>
      <c r="DX1002" s="19"/>
      <c r="DY1002" s="19"/>
      <c r="DZ1002" s="19"/>
    </row>
    <row r="1003" spans="1:130" ht="12.75" x14ac:dyDescent="0.2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18"/>
      <c r="BX1003" s="118"/>
      <c r="BY1003" s="118"/>
      <c r="BZ1003" s="118"/>
      <c r="CA1003" s="118"/>
      <c r="CB1003" s="118"/>
      <c r="CC1003" s="118"/>
      <c r="CD1003" s="118"/>
      <c r="CE1003" s="118"/>
      <c r="CF1003" s="118"/>
      <c r="CG1003" s="118"/>
      <c r="CH1003" s="118"/>
      <c r="CI1003" s="118"/>
      <c r="CJ1003" s="118"/>
      <c r="CK1003" s="118"/>
      <c r="CL1003" s="118"/>
      <c r="CM1003" s="118"/>
      <c r="CN1003" s="118"/>
      <c r="CO1003" s="118"/>
      <c r="CP1003" s="118"/>
      <c r="CQ1003" s="118"/>
      <c r="CR1003" s="118"/>
      <c r="CS1003" s="118"/>
      <c r="CT1003" s="118"/>
      <c r="CU1003" s="118"/>
      <c r="CV1003" s="118"/>
      <c r="CW1003" s="118"/>
      <c r="CX1003" s="118"/>
      <c r="CY1003" s="118"/>
      <c r="CZ1003" s="118"/>
      <c r="DA1003" s="118"/>
      <c r="DB1003" s="118"/>
      <c r="DC1003" s="118"/>
      <c r="DD1003" s="118"/>
      <c r="DE1003" s="118"/>
      <c r="DF1003" s="118"/>
      <c r="DG1003" s="118"/>
      <c r="DH1003" s="118"/>
      <c r="DI1003" s="118"/>
      <c r="DJ1003" s="118"/>
      <c r="DK1003" s="118"/>
      <c r="DL1003" s="118"/>
      <c r="DM1003" s="118"/>
      <c r="DN1003" s="118"/>
      <c r="DO1003" s="118"/>
      <c r="DP1003" s="118"/>
      <c r="DQ1003" s="118"/>
      <c r="DR1003" s="118"/>
      <c r="DS1003" s="118"/>
      <c r="DT1003" s="118"/>
      <c r="DU1003" s="19"/>
      <c r="DV1003" s="19"/>
      <c r="DW1003" s="19"/>
      <c r="DX1003" s="19"/>
      <c r="DY1003" s="19"/>
      <c r="DZ1003" s="19"/>
    </row>
    <row r="1004" spans="1:130" ht="12.75" x14ac:dyDescent="0.2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18"/>
      <c r="BX1004" s="118"/>
      <c r="BY1004" s="118"/>
      <c r="BZ1004" s="118"/>
      <c r="CA1004" s="118"/>
      <c r="CB1004" s="118"/>
      <c r="CC1004" s="118"/>
      <c r="CD1004" s="118"/>
      <c r="CE1004" s="118"/>
      <c r="CF1004" s="118"/>
      <c r="CG1004" s="118"/>
      <c r="CH1004" s="118"/>
      <c r="CI1004" s="118"/>
      <c r="CJ1004" s="118"/>
      <c r="CK1004" s="118"/>
      <c r="CL1004" s="118"/>
      <c r="CM1004" s="118"/>
      <c r="CN1004" s="118"/>
      <c r="CO1004" s="118"/>
      <c r="CP1004" s="118"/>
      <c r="CQ1004" s="118"/>
      <c r="CR1004" s="118"/>
      <c r="CS1004" s="118"/>
      <c r="CT1004" s="118"/>
      <c r="CU1004" s="118"/>
      <c r="CV1004" s="118"/>
      <c r="CW1004" s="118"/>
      <c r="CX1004" s="118"/>
      <c r="CY1004" s="118"/>
      <c r="CZ1004" s="118"/>
      <c r="DA1004" s="118"/>
      <c r="DB1004" s="118"/>
      <c r="DC1004" s="118"/>
      <c r="DD1004" s="118"/>
      <c r="DE1004" s="118"/>
      <c r="DF1004" s="118"/>
      <c r="DG1004" s="118"/>
      <c r="DH1004" s="118"/>
      <c r="DI1004" s="118"/>
      <c r="DJ1004" s="118"/>
      <c r="DK1004" s="118"/>
      <c r="DL1004" s="118"/>
      <c r="DM1004" s="118"/>
      <c r="DN1004" s="118"/>
      <c r="DO1004" s="118"/>
      <c r="DP1004" s="118"/>
      <c r="DQ1004" s="118"/>
      <c r="DR1004" s="118"/>
      <c r="DS1004" s="118"/>
      <c r="DT1004" s="118"/>
      <c r="DU1004" s="19"/>
      <c r="DV1004" s="19"/>
      <c r="DW1004" s="19"/>
      <c r="DX1004" s="19"/>
      <c r="DY1004" s="19"/>
      <c r="DZ1004" s="19"/>
    </row>
    <row r="1005" spans="1:130" ht="12.75" x14ac:dyDescent="0.2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18"/>
      <c r="BX1005" s="118"/>
      <c r="BY1005" s="118"/>
      <c r="BZ1005" s="118"/>
      <c r="CA1005" s="118"/>
      <c r="CB1005" s="118"/>
      <c r="CC1005" s="118"/>
      <c r="CD1005" s="118"/>
      <c r="CE1005" s="118"/>
      <c r="CF1005" s="118"/>
      <c r="CG1005" s="118"/>
      <c r="CH1005" s="118"/>
      <c r="CI1005" s="118"/>
      <c r="CJ1005" s="118"/>
      <c r="CK1005" s="118"/>
      <c r="CL1005" s="118"/>
      <c r="CM1005" s="118"/>
      <c r="CN1005" s="118"/>
      <c r="CO1005" s="118"/>
      <c r="CP1005" s="118"/>
      <c r="CQ1005" s="118"/>
      <c r="CR1005" s="118"/>
      <c r="CS1005" s="118"/>
      <c r="CT1005" s="118"/>
      <c r="CU1005" s="118"/>
      <c r="CV1005" s="118"/>
      <c r="CW1005" s="118"/>
      <c r="CX1005" s="118"/>
      <c r="CY1005" s="118"/>
      <c r="CZ1005" s="118"/>
      <c r="DA1005" s="118"/>
      <c r="DB1005" s="118"/>
      <c r="DC1005" s="118"/>
      <c r="DD1005" s="118"/>
      <c r="DE1005" s="118"/>
      <c r="DF1005" s="118"/>
      <c r="DG1005" s="118"/>
      <c r="DH1005" s="118"/>
      <c r="DI1005" s="118"/>
      <c r="DJ1005" s="118"/>
      <c r="DK1005" s="118"/>
      <c r="DL1005" s="118"/>
      <c r="DM1005" s="118"/>
      <c r="DN1005" s="118"/>
      <c r="DO1005" s="118"/>
      <c r="DP1005" s="118"/>
      <c r="DQ1005" s="118"/>
      <c r="DR1005" s="118"/>
      <c r="DS1005" s="118"/>
      <c r="DT1005" s="118"/>
      <c r="DU1005" s="19"/>
      <c r="DV1005" s="19"/>
      <c r="DW1005" s="19"/>
      <c r="DX1005" s="19"/>
      <c r="DY1005" s="19"/>
      <c r="DZ1005" s="19"/>
    </row>
    <row r="1006" spans="1:130" ht="12.75" x14ac:dyDescent="0.2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18"/>
      <c r="BX1006" s="118"/>
      <c r="BY1006" s="118"/>
      <c r="BZ1006" s="118"/>
      <c r="CA1006" s="118"/>
      <c r="CB1006" s="118"/>
      <c r="CC1006" s="118"/>
      <c r="CD1006" s="118"/>
      <c r="CE1006" s="118"/>
      <c r="CF1006" s="118"/>
      <c r="CG1006" s="118"/>
      <c r="CH1006" s="118"/>
      <c r="CI1006" s="118"/>
      <c r="CJ1006" s="118"/>
      <c r="CK1006" s="118"/>
      <c r="CL1006" s="118"/>
      <c r="CM1006" s="118"/>
      <c r="CN1006" s="118"/>
      <c r="CO1006" s="118"/>
      <c r="CP1006" s="118"/>
      <c r="CQ1006" s="118"/>
      <c r="CR1006" s="118"/>
      <c r="CS1006" s="118"/>
      <c r="CT1006" s="118"/>
      <c r="CU1006" s="118"/>
      <c r="CV1006" s="118"/>
      <c r="CW1006" s="118"/>
      <c r="CX1006" s="118"/>
      <c r="CY1006" s="118"/>
      <c r="CZ1006" s="118"/>
      <c r="DA1006" s="118"/>
      <c r="DB1006" s="118"/>
      <c r="DC1006" s="118"/>
      <c r="DD1006" s="118"/>
      <c r="DE1006" s="118"/>
      <c r="DF1006" s="118"/>
      <c r="DG1006" s="118"/>
      <c r="DH1006" s="118"/>
      <c r="DI1006" s="118"/>
      <c r="DJ1006" s="118"/>
      <c r="DK1006" s="118"/>
      <c r="DL1006" s="118"/>
      <c r="DM1006" s="118"/>
      <c r="DN1006" s="118"/>
      <c r="DO1006" s="118"/>
      <c r="DP1006" s="118"/>
      <c r="DQ1006" s="118"/>
      <c r="DR1006" s="118"/>
      <c r="DS1006" s="118"/>
      <c r="DT1006" s="118"/>
      <c r="DU1006" s="19"/>
      <c r="DV1006" s="19"/>
      <c r="DW1006" s="19"/>
      <c r="DX1006" s="19"/>
      <c r="DY1006" s="19"/>
      <c r="DZ1006" s="19"/>
    </row>
    <row r="1007" spans="1:130" ht="12.75" x14ac:dyDescent="0.2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18"/>
      <c r="BX1007" s="118"/>
      <c r="BY1007" s="118"/>
      <c r="BZ1007" s="118"/>
      <c r="CA1007" s="118"/>
      <c r="CB1007" s="118"/>
      <c r="CC1007" s="118"/>
      <c r="CD1007" s="118"/>
      <c r="CE1007" s="118"/>
      <c r="CF1007" s="118"/>
      <c r="CG1007" s="118"/>
      <c r="CH1007" s="118"/>
      <c r="CI1007" s="118"/>
      <c r="CJ1007" s="118"/>
      <c r="CK1007" s="118"/>
      <c r="CL1007" s="118"/>
      <c r="CM1007" s="118"/>
      <c r="CN1007" s="118"/>
      <c r="CO1007" s="118"/>
      <c r="CP1007" s="118"/>
      <c r="CQ1007" s="118"/>
      <c r="CR1007" s="118"/>
      <c r="CS1007" s="118"/>
      <c r="CT1007" s="118"/>
      <c r="CU1007" s="118"/>
      <c r="CV1007" s="118"/>
      <c r="CW1007" s="118"/>
      <c r="CX1007" s="118"/>
      <c r="CY1007" s="118"/>
      <c r="CZ1007" s="118"/>
      <c r="DA1007" s="118"/>
      <c r="DB1007" s="118"/>
      <c r="DC1007" s="118"/>
      <c r="DD1007" s="118"/>
      <c r="DE1007" s="118"/>
      <c r="DF1007" s="118"/>
      <c r="DG1007" s="118"/>
      <c r="DH1007" s="118"/>
      <c r="DI1007" s="118"/>
      <c r="DJ1007" s="118"/>
      <c r="DK1007" s="118"/>
      <c r="DL1007" s="118"/>
      <c r="DM1007" s="118"/>
      <c r="DN1007" s="118"/>
      <c r="DO1007" s="118"/>
      <c r="DP1007" s="118"/>
      <c r="DQ1007" s="118"/>
      <c r="DR1007" s="118"/>
      <c r="DS1007" s="118"/>
      <c r="DT1007" s="118"/>
      <c r="DU1007" s="19"/>
      <c r="DV1007" s="19"/>
      <c r="DW1007" s="19"/>
      <c r="DX1007" s="19"/>
      <c r="DY1007" s="19"/>
      <c r="DZ1007" s="19"/>
    </row>
    <row r="1008" spans="1:130" ht="12.75" x14ac:dyDescent="0.2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18"/>
      <c r="BX1008" s="118"/>
      <c r="BY1008" s="118"/>
      <c r="BZ1008" s="118"/>
      <c r="CA1008" s="118"/>
      <c r="CB1008" s="118"/>
      <c r="CC1008" s="118"/>
      <c r="CD1008" s="118"/>
      <c r="CE1008" s="118"/>
      <c r="CF1008" s="118"/>
      <c r="CG1008" s="118"/>
      <c r="CH1008" s="118"/>
      <c r="CI1008" s="118"/>
      <c r="CJ1008" s="118"/>
      <c r="CK1008" s="118"/>
      <c r="CL1008" s="118"/>
      <c r="CM1008" s="118"/>
      <c r="CN1008" s="118"/>
      <c r="CO1008" s="118"/>
      <c r="CP1008" s="118"/>
      <c r="CQ1008" s="118"/>
      <c r="CR1008" s="118"/>
      <c r="CS1008" s="118"/>
      <c r="CT1008" s="118"/>
      <c r="CU1008" s="118"/>
      <c r="CV1008" s="118"/>
      <c r="CW1008" s="118"/>
      <c r="CX1008" s="118"/>
      <c r="CY1008" s="118"/>
      <c r="CZ1008" s="118"/>
      <c r="DA1008" s="118"/>
      <c r="DB1008" s="118"/>
      <c r="DC1008" s="118"/>
      <c r="DD1008" s="118"/>
      <c r="DE1008" s="118"/>
      <c r="DF1008" s="118"/>
      <c r="DG1008" s="118"/>
      <c r="DH1008" s="118"/>
      <c r="DI1008" s="118"/>
      <c r="DJ1008" s="118"/>
      <c r="DK1008" s="118"/>
      <c r="DL1008" s="118"/>
      <c r="DM1008" s="118"/>
      <c r="DN1008" s="118"/>
      <c r="DO1008" s="118"/>
      <c r="DP1008" s="118"/>
      <c r="DQ1008" s="118"/>
      <c r="DR1008" s="118"/>
      <c r="DS1008" s="118"/>
      <c r="DT1008" s="118"/>
      <c r="DU1008" s="19"/>
      <c r="DV1008" s="19"/>
      <c r="DW1008" s="19"/>
      <c r="DX1008" s="19"/>
      <c r="DY1008" s="19"/>
      <c r="DZ1008" s="19"/>
    </row>
    <row r="1009" spans="1:130" ht="12.75" x14ac:dyDescent="0.2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18"/>
      <c r="BX1009" s="118"/>
      <c r="BY1009" s="118"/>
      <c r="BZ1009" s="118"/>
      <c r="CA1009" s="118"/>
      <c r="CB1009" s="118"/>
      <c r="CC1009" s="118"/>
      <c r="CD1009" s="118"/>
      <c r="CE1009" s="118"/>
      <c r="CF1009" s="118"/>
      <c r="CG1009" s="118"/>
      <c r="CH1009" s="118"/>
      <c r="CI1009" s="118"/>
      <c r="CJ1009" s="118"/>
      <c r="CK1009" s="118"/>
      <c r="CL1009" s="118"/>
      <c r="CM1009" s="118"/>
      <c r="CN1009" s="118"/>
      <c r="CO1009" s="118"/>
      <c r="CP1009" s="118"/>
      <c r="CQ1009" s="118"/>
      <c r="CR1009" s="118"/>
      <c r="CS1009" s="118"/>
      <c r="CT1009" s="118"/>
      <c r="CU1009" s="118"/>
      <c r="CV1009" s="118"/>
      <c r="CW1009" s="118"/>
      <c r="CX1009" s="118"/>
      <c r="CY1009" s="118"/>
      <c r="CZ1009" s="118"/>
      <c r="DA1009" s="118"/>
      <c r="DB1009" s="118"/>
      <c r="DC1009" s="118"/>
      <c r="DD1009" s="118"/>
      <c r="DE1009" s="118"/>
      <c r="DF1009" s="118"/>
      <c r="DG1009" s="118"/>
      <c r="DH1009" s="118"/>
      <c r="DI1009" s="118"/>
      <c r="DJ1009" s="118"/>
      <c r="DK1009" s="118"/>
      <c r="DL1009" s="118"/>
      <c r="DM1009" s="118"/>
      <c r="DN1009" s="118"/>
      <c r="DO1009" s="118"/>
      <c r="DP1009" s="118"/>
      <c r="DQ1009" s="118"/>
      <c r="DR1009" s="118"/>
      <c r="DS1009" s="118"/>
      <c r="DT1009" s="118"/>
      <c r="DU1009" s="19"/>
      <c r="DV1009" s="19"/>
      <c r="DW1009" s="19"/>
      <c r="DX1009" s="19"/>
      <c r="DY1009" s="19"/>
      <c r="DZ1009" s="19"/>
    </row>
    <row r="1010" spans="1:130" ht="12.75" x14ac:dyDescent="0.2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18"/>
      <c r="BX1010" s="118"/>
      <c r="BY1010" s="118"/>
      <c r="BZ1010" s="118"/>
      <c r="CA1010" s="118"/>
      <c r="CB1010" s="118"/>
      <c r="CC1010" s="118"/>
      <c r="CD1010" s="118"/>
      <c r="CE1010" s="118"/>
      <c r="CF1010" s="118"/>
      <c r="CG1010" s="118"/>
      <c r="CH1010" s="118"/>
      <c r="CI1010" s="118"/>
      <c r="CJ1010" s="118"/>
      <c r="CK1010" s="118"/>
      <c r="CL1010" s="118"/>
      <c r="CM1010" s="118"/>
      <c r="CN1010" s="118"/>
      <c r="CO1010" s="118"/>
      <c r="CP1010" s="118"/>
      <c r="CQ1010" s="118"/>
      <c r="CR1010" s="118"/>
      <c r="CS1010" s="118"/>
      <c r="CT1010" s="118"/>
      <c r="CU1010" s="118"/>
      <c r="CV1010" s="118"/>
      <c r="CW1010" s="118"/>
      <c r="CX1010" s="118"/>
      <c r="CY1010" s="118"/>
      <c r="CZ1010" s="118"/>
      <c r="DA1010" s="118"/>
      <c r="DB1010" s="118"/>
      <c r="DC1010" s="118"/>
      <c r="DD1010" s="118"/>
      <c r="DE1010" s="118"/>
      <c r="DF1010" s="118"/>
      <c r="DG1010" s="118"/>
      <c r="DH1010" s="118"/>
      <c r="DI1010" s="118"/>
      <c r="DJ1010" s="118"/>
      <c r="DK1010" s="118"/>
      <c r="DL1010" s="118"/>
      <c r="DM1010" s="118"/>
      <c r="DN1010" s="118"/>
      <c r="DO1010" s="118"/>
      <c r="DP1010" s="118"/>
      <c r="DQ1010" s="118"/>
      <c r="DR1010" s="118"/>
      <c r="DS1010" s="118"/>
      <c r="DT1010" s="118"/>
      <c r="DU1010" s="19"/>
      <c r="DV1010" s="19"/>
      <c r="DW1010" s="19"/>
      <c r="DX1010" s="19"/>
      <c r="DY1010" s="19"/>
      <c r="DZ1010" s="19"/>
    </row>
    <row r="1011" spans="1:130" ht="12.75" x14ac:dyDescent="0.2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18"/>
      <c r="BX1011" s="118"/>
      <c r="BY1011" s="118"/>
      <c r="BZ1011" s="118"/>
      <c r="CA1011" s="118"/>
      <c r="CB1011" s="118"/>
      <c r="CC1011" s="118"/>
      <c r="CD1011" s="118"/>
      <c r="CE1011" s="118"/>
      <c r="CF1011" s="118"/>
      <c r="CG1011" s="118"/>
      <c r="CH1011" s="118"/>
      <c r="CI1011" s="118"/>
      <c r="CJ1011" s="118"/>
      <c r="CK1011" s="118"/>
      <c r="CL1011" s="118"/>
      <c r="CM1011" s="118"/>
      <c r="CN1011" s="118"/>
      <c r="CO1011" s="118"/>
      <c r="CP1011" s="118"/>
      <c r="CQ1011" s="118"/>
      <c r="CR1011" s="118"/>
      <c r="CS1011" s="118"/>
      <c r="CT1011" s="118"/>
      <c r="CU1011" s="118"/>
      <c r="CV1011" s="118"/>
      <c r="CW1011" s="118"/>
      <c r="CX1011" s="118"/>
      <c r="CY1011" s="118"/>
      <c r="CZ1011" s="118"/>
      <c r="DA1011" s="118"/>
      <c r="DB1011" s="118"/>
      <c r="DC1011" s="118"/>
      <c r="DD1011" s="118"/>
      <c r="DE1011" s="118"/>
      <c r="DF1011" s="118"/>
      <c r="DG1011" s="118"/>
      <c r="DH1011" s="118"/>
      <c r="DI1011" s="118"/>
      <c r="DJ1011" s="118"/>
      <c r="DK1011" s="118"/>
      <c r="DL1011" s="118"/>
      <c r="DM1011" s="118"/>
      <c r="DN1011" s="118"/>
      <c r="DO1011" s="118"/>
      <c r="DP1011" s="118"/>
      <c r="DQ1011" s="118"/>
      <c r="DR1011" s="118"/>
      <c r="DS1011" s="118"/>
      <c r="DT1011" s="118"/>
      <c r="DU1011" s="19"/>
      <c r="DV1011" s="19"/>
      <c r="DW1011" s="19"/>
      <c r="DX1011" s="19"/>
      <c r="DY1011" s="19"/>
      <c r="DZ1011" s="19"/>
    </row>
    <row r="1012" spans="1:130" ht="12.75" x14ac:dyDescent="0.2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18"/>
      <c r="BX1012" s="118"/>
      <c r="BY1012" s="118"/>
      <c r="BZ1012" s="118"/>
      <c r="CA1012" s="118"/>
      <c r="CB1012" s="118"/>
      <c r="CC1012" s="118"/>
      <c r="CD1012" s="118"/>
      <c r="CE1012" s="118"/>
      <c r="CF1012" s="118"/>
      <c r="CG1012" s="118"/>
      <c r="CH1012" s="118"/>
      <c r="CI1012" s="118"/>
      <c r="CJ1012" s="118"/>
      <c r="CK1012" s="118"/>
      <c r="CL1012" s="118"/>
      <c r="CM1012" s="118"/>
      <c r="CN1012" s="118"/>
      <c r="CO1012" s="118"/>
      <c r="CP1012" s="118"/>
      <c r="CQ1012" s="118"/>
      <c r="CR1012" s="118"/>
      <c r="CS1012" s="118"/>
      <c r="CT1012" s="118"/>
      <c r="CU1012" s="118"/>
      <c r="CV1012" s="118"/>
      <c r="CW1012" s="118"/>
      <c r="CX1012" s="118"/>
      <c r="CY1012" s="118"/>
      <c r="CZ1012" s="118"/>
      <c r="DA1012" s="118"/>
      <c r="DB1012" s="118"/>
      <c r="DC1012" s="118"/>
      <c r="DD1012" s="118"/>
      <c r="DE1012" s="118"/>
      <c r="DF1012" s="118"/>
      <c r="DG1012" s="118"/>
      <c r="DH1012" s="118"/>
      <c r="DI1012" s="118"/>
      <c r="DJ1012" s="118"/>
      <c r="DK1012" s="118"/>
      <c r="DL1012" s="118"/>
      <c r="DM1012" s="118"/>
      <c r="DN1012" s="118"/>
      <c r="DO1012" s="118"/>
      <c r="DP1012" s="118"/>
      <c r="DQ1012" s="118"/>
      <c r="DR1012" s="118"/>
      <c r="DS1012" s="118"/>
      <c r="DT1012" s="118"/>
      <c r="DU1012" s="19"/>
      <c r="DV1012" s="19"/>
      <c r="DW1012" s="19"/>
      <c r="DX1012" s="19"/>
      <c r="DY1012" s="19"/>
      <c r="DZ1012" s="19"/>
    </row>
    <row r="1013" spans="1:130" ht="12.75" x14ac:dyDescent="0.2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18"/>
      <c r="BX1013" s="118"/>
      <c r="BY1013" s="118"/>
      <c r="BZ1013" s="118"/>
      <c r="CA1013" s="118"/>
      <c r="CB1013" s="118"/>
      <c r="CC1013" s="118"/>
      <c r="CD1013" s="118"/>
      <c r="CE1013" s="118"/>
      <c r="CF1013" s="118"/>
      <c r="CG1013" s="118"/>
      <c r="CH1013" s="118"/>
      <c r="CI1013" s="118"/>
      <c r="CJ1013" s="118"/>
      <c r="CK1013" s="118"/>
      <c r="CL1013" s="118"/>
      <c r="CM1013" s="118"/>
      <c r="CN1013" s="118"/>
      <c r="CO1013" s="118"/>
      <c r="CP1013" s="118"/>
      <c r="CQ1013" s="118"/>
      <c r="CR1013" s="118"/>
      <c r="CS1013" s="118"/>
      <c r="CT1013" s="118"/>
      <c r="CU1013" s="118"/>
      <c r="CV1013" s="118"/>
      <c r="CW1013" s="118"/>
      <c r="CX1013" s="118"/>
      <c r="CY1013" s="118"/>
      <c r="CZ1013" s="118"/>
      <c r="DA1013" s="118"/>
      <c r="DB1013" s="118"/>
      <c r="DC1013" s="118"/>
      <c r="DD1013" s="118"/>
      <c r="DE1013" s="118"/>
      <c r="DF1013" s="118"/>
      <c r="DG1013" s="118"/>
      <c r="DH1013" s="118"/>
      <c r="DI1013" s="118"/>
      <c r="DJ1013" s="118"/>
      <c r="DK1013" s="118"/>
      <c r="DL1013" s="118"/>
      <c r="DM1013" s="118"/>
      <c r="DN1013" s="118"/>
      <c r="DO1013" s="118"/>
      <c r="DP1013" s="118"/>
      <c r="DQ1013" s="118"/>
      <c r="DR1013" s="118"/>
      <c r="DS1013" s="118"/>
      <c r="DT1013" s="118"/>
      <c r="DU1013" s="19"/>
      <c r="DV1013" s="19"/>
      <c r="DW1013" s="19"/>
      <c r="DX1013" s="19"/>
      <c r="DY1013" s="19"/>
      <c r="DZ1013" s="19"/>
    </row>
    <row r="1014" spans="1:130" ht="12.75" x14ac:dyDescent="0.2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18"/>
      <c r="BX1014" s="118"/>
      <c r="BY1014" s="118"/>
      <c r="BZ1014" s="118"/>
      <c r="CA1014" s="118"/>
      <c r="CB1014" s="118"/>
      <c r="CC1014" s="118"/>
      <c r="CD1014" s="118"/>
      <c r="CE1014" s="118"/>
      <c r="CF1014" s="118"/>
      <c r="CG1014" s="118"/>
      <c r="CH1014" s="118"/>
      <c r="CI1014" s="118"/>
      <c r="CJ1014" s="118"/>
      <c r="CK1014" s="118"/>
      <c r="CL1014" s="118"/>
      <c r="CM1014" s="118"/>
      <c r="CN1014" s="118"/>
      <c r="CO1014" s="118"/>
      <c r="CP1014" s="118"/>
      <c r="CQ1014" s="118"/>
      <c r="CR1014" s="118"/>
      <c r="CS1014" s="118"/>
      <c r="CT1014" s="118"/>
      <c r="CU1014" s="118"/>
      <c r="CV1014" s="118"/>
      <c r="CW1014" s="118"/>
      <c r="CX1014" s="118"/>
      <c r="CY1014" s="118"/>
      <c r="CZ1014" s="118"/>
      <c r="DA1014" s="118"/>
      <c r="DB1014" s="118"/>
      <c r="DC1014" s="118"/>
      <c r="DD1014" s="118"/>
      <c r="DE1014" s="118"/>
      <c r="DF1014" s="118"/>
      <c r="DG1014" s="118"/>
      <c r="DH1014" s="118"/>
      <c r="DI1014" s="118"/>
      <c r="DJ1014" s="118"/>
      <c r="DK1014" s="118"/>
      <c r="DL1014" s="118"/>
      <c r="DM1014" s="118"/>
      <c r="DN1014" s="118"/>
      <c r="DO1014" s="118"/>
      <c r="DP1014" s="118"/>
      <c r="DQ1014" s="118"/>
      <c r="DR1014" s="118"/>
      <c r="DS1014" s="118"/>
      <c r="DT1014" s="118"/>
      <c r="DU1014" s="19"/>
      <c r="DV1014" s="19"/>
      <c r="DW1014" s="19"/>
      <c r="DX1014" s="19"/>
      <c r="DY1014" s="19"/>
      <c r="DZ1014" s="19"/>
    </row>
    <row r="1015" spans="1:130" ht="12.75" x14ac:dyDescent="0.2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18"/>
      <c r="BX1015" s="118"/>
      <c r="BY1015" s="118"/>
      <c r="BZ1015" s="118"/>
      <c r="CA1015" s="118"/>
      <c r="CB1015" s="118"/>
      <c r="CC1015" s="118"/>
      <c r="CD1015" s="118"/>
      <c r="CE1015" s="118"/>
      <c r="CF1015" s="118"/>
      <c r="CG1015" s="118"/>
      <c r="CH1015" s="118"/>
      <c r="CI1015" s="118"/>
      <c r="CJ1015" s="118"/>
      <c r="CK1015" s="118"/>
      <c r="CL1015" s="118"/>
      <c r="CM1015" s="118"/>
      <c r="CN1015" s="118"/>
      <c r="CO1015" s="118"/>
      <c r="CP1015" s="118"/>
      <c r="CQ1015" s="118"/>
      <c r="CR1015" s="118"/>
      <c r="CS1015" s="118"/>
      <c r="CT1015" s="118"/>
      <c r="CU1015" s="118"/>
      <c r="CV1015" s="118"/>
      <c r="CW1015" s="118"/>
      <c r="CX1015" s="118"/>
      <c r="CY1015" s="118"/>
      <c r="CZ1015" s="118"/>
      <c r="DA1015" s="118"/>
      <c r="DB1015" s="118"/>
      <c r="DC1015" s="118"/>
      <c r="DD1015" s="118"/>
      <c r="DE1015" s="118"/>
      <c r="DF1015" s="118"/>
      <c r="DG1015" s="118"/>
      <c r="DH1015" s="118"/>
      <c r="DI1015" s="118"/>
      <c r="DJ1015" s="118"/>
      <c r="DK1015" s="118"/>
      <c r="DL1015" s="118"/>
      <c r="DM1015" s="118"/>
      <c r="DN1015" s="118"/>
      <c r="DO1015" s="118"/>
      <c r="DP1015" s="118"/>
      <c r="DQ1015" s="118"/>
      <c r="DR1015" s="118"/>
      <c r="DS1015" s="118"/>
      <c r="DT1015" s="118"/>
      <c r="DU1015" s="19"/>
      <c r="DV1015" s="19"/>
      <c r="DW1015" s="19"/>
      <c r="DX1015" s="19"/>
      <c r="DY1015" s="19"/>
      <c r="DZ1015" s="19"/>
    </row>
    <row r="1016" spans="1:130" ht="12.75" x14ac:dyDescent="0.2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18"/>
      <c r="BX1016" s="118"/>
      <c r="BY1016" s="118"/>
      <c r="BZ1016" s="118"/>
      <c r="CA1016" s="118"/>
      <c r="CB1016" s="118"/>
      <c r="CC1016" s="118"/>
      <c r="CD1016" s="118"/>
      <c r="CE1016" s="118"/>
      <c r="CF1016" s="118"/>
      <c r="CG1016" s="118"/>
      <c r="CH1016" s="118"/>
      <c r="CI1016" s="118"/>
      <c r="CJ1016" s="118"/>
      <c r="CK1016" s="118"/>
      <c r="CL1016" s="118"/>
      <c r="CM1016" s="118"/>
      <c r="CN1016" s="118"/>
      <c r="CO1016" s="118"/>
      <c r="CP1016" s="118"/>
      <c r="CQ1016" s="118"/>
      <c r="CR1016" s="118"/>
      <c r="CS1016" s="118"/>
      <c r="CT1016" s="118"/>
      <c r="CU1016" s="118"/>
      <c r="CV1016" s="118"/>
      <c r="CW1016" s="118"/>
      <c r="CX1016" s="118"/>
      <c r="CY1016" s="118"/>
      <c r="CZ1016" s="118"/>
      <c r="DA1016" s="118"/>
      <c r="DB1016" s="118"/>
      <c r="DC1016" s="118"/>
      <c r="DD1016" s="118"/>
      <c r="DE1016" s="118"/>
      <c r="DF1016" s="118"/>
      <c r="DG1016" s="118"/>
      <c r="DH1016" s="118"/>
      <c r="DI1016" s="118"/>
      <c r="DJ1016" s="118"/>
      <c r="DK1016" s="118"/>
      <c r="DL1016" s="118"/>
      <c r="DM1016" s="118"/>
      <c r="DN1016" s="118"/>
      <c r="DO1016" s="118"/>
      <c r="DP1016" s="118"/>
      <c r="DQ1016" s="118"/>
      <c r="DR1016" s="118"/>
      <c r="DS1016" s="118"/>
      <c r="DT1016" s="118"/>
      <c r="DU1016" s="19"/>
      <c r="DV1016" s="19"/>
      <c r="DW1016" s="19"/>
      <c r="DX1016" s="19"/>
      <c r="DY1016" s="19"/>
      <c r="DZ1016" s="19"/>
    </row>
  </sheetData>
  <mergeCells count="5745">
    <mergeCell ref="H270:H273"/>
    <mergeCell ref="H274:H277"/>
    <mergeCell ref="H240:H243"/>
    <mergeCell ref="H244:H247"/>
    <mergeCell ref="H248:H251"/>
    <mergeCell ref="H252:H255"/>
    <mergeCell ref="H256:H259"/>
    <mergeCell ref="H261:H265"/>
    <mergeCell ref="H266:H269"/>
    <mergeCell ref="H74:H77"/>
    <mergeCell ref="H96:H99"/>
    <mergeCell ref="H100:H103"/>
    <mergeCell ref="H105:H109"/>
    <mergeCell ref="H110:H113"/>
    <mergeCell ref="H114:H117"/>
    <mergeCell ref="H118:H121"/>
    <mergeCell ref="H79:H83"/>
    <mergeCell ref="H92:H95"/>
    <mergeCell ref="H209:H213"/>
    <mergeCell ref="H214:H217"/>
    <mergeCell ref="H218:H221"/>
    <mergeCell ref="H222:H225"/>
    <mergeCell ref="H226:H229"/>
    <mergeCell ref="H230:H233"/>
    <mergeCell ref="H235:H239"/>
    <mergeCell ref="H88:H91"/>
    <mergeCell ref="H157:H161"/>
    <mergeCell ref="J92:J95"/>
    <mergeCell ref="J96:J99"/>
    <mergeCell ref="J100:J103"/>
    <mergeCell ref="J105:J109"/>
    <mergeCell ref="J110:J113"/>
    <mergeCell ref="H178:H181"/>
    <mergeCell ref="H183:H187"/>
    <mergeCell ref="H188:H191"/>
    <mergeCell ref="H192:H195"/>
    <mergeCell ref="H196:H199"/>
    <mergeCell ref="H200:H203"/>
    <mergeCell ref="H204:H207"/>
    <mergeCell ref="J178:J181"/>
    <mergeCell ref="J183:J187"/>
    <mergeCell ref="J188:J191"/>
    <mergeCell ref="J192:J195"/>
    <mergeCell ref="J196:J199"/>
    <mergeCell ref="J200:J203"/>
    <mergeCell ref="J204:J207"/>
    <mergeCell ref="H126:H129"/>
    <mergeCell ref="J126:J129"/>
    <mergeCell ref="J131:J135"/>
    <mergeCell ref="H148:H151"/>
    <mergeCell ref="J148:J151"/>
    <mergeCell ref="H152:H155"/>
    <mergeCell ref="H170:H173"/>
    <mergeCell ref="H174:H177"/>
    <mergeCell ref="J152:J155"/>
    <mergeCell ref="J157:J161"/>
    <mergeCell ref="H162:H165"/>
    <mergeCell ref="J162:J165"/>
    <mergeCell ref="H166:H169"/>
    <mergeCell ref="J209:J213"/>
    <mergeCell ref="J214:J217"/>
    <mergeCell ref="J218:J221"/>
    <mergeCell ref="J222:J225"/>
    <mergeCell ref="J226:J229"/>
    <mergeCell ref="J230:J233"/>
    <mergeCell ref="J235:J239"/>
    <mergeCell ref="J270:J273"/>
    <mergeCell ref="J274:J277"/>
    <mergeCell ref="J240:J243"/>
    <mergeCell ref="J244:J247"/>
    <mergeCell ref="J248:J251"/>
    <mergeCell ref="J252:J255"/>
    <mergeCell ref="J256:J259"/>
    <mergeCell ref="J261:J265"/>
    <mergeCell ref="J266:J269"/>
    <mergeCell ref="O282:O285"/>
    <mergeCell ref="J278:J281"/>
    <mergeCell ref="J282:J285"/>
    <mergeCell ref="P282:P285"/>
    <mergeCell ref="M282:M285"/>
    <mergeCell ref="N282:N285"/>
    <mergeCell ref="M287:M291"/>
    <mergeCell ref="N287:N291"/>
    <mergeCell ref="O287:O291"/>
    <mergeCell ref="P287:P291"/>
    <mergeCell ref="Q287:Q291"/>
    <mergeCell ref="N266:N269"/>
    <mergeCell ref="O266:O269"/>
    <mergeCell ref="P266:P269"/>
    <mergeCell ref="Q266:Q269"/>
    <mergeCell ref="R266:R269"/>
    <mergeCell ref="S266:S269"/>
    <mergeCell ref="T266:T269"/>
    <mergeCell ref="M266:M269"/>
    <mergeCell ref="M270:M273"/>
    <mergeCell ref="N270:N273"/>
    <mergeCell ref="O270:O273"/>
    <mergeCell ref="P270:P273"/>
    <mergeCell ref="Q270:Q273"/>
    <mergeCell ref="R270:R273"/>
    <mergeCell ref="R278:R281"/>
    <mergeCell ref="S278:S281"/>
    <mergeCell ref="T278:T281"/>
    <mergeCell ref="H287:H291"/>
    <mergeCell ref="J287:J291"/>
    <mergeCell ref="Q282:Q285"/>
    <mergeCell ref="R282:R285"/>
    <mergeCell ref="S282:S285"/>
    <mergeCell ref="T282:T285"/>
    <mergeCell ref="H278:H281"/>
    <mergeCell ref="M278:M281"/>
    <mergeCell ref="N278:N281"/>
    <mergeCell ref="O278:O281"/>
    <mergeCell ref="P278:P281"/>
    <mergeCell ref="Q278:Q281"/>
    <mergeCell ref="H282:H285"/>
    <mergeCell ref="R287:R291"/>
    <mergeCell ref="S287:S291"/>
    <mergeCell ref="T287:T291"/>
    <mergeCell ref="A300:A303"/>
    <mergeCell ref="B292:B295"/>
    <mergeCell ref="B296:B299"/>
    <mergeCell ref="B300:B303"/>
    <mergeCell ref="T292:T295"/>
    <mergeCell ref="T296:T299"/>
    <mergeCell ref="H292:H295"/>
    <mergeCell ref="M292:M295"/>
    <mergeCell ref="N292:N295"/>
    <mergeCell ref="O292:O295"/>
    <mergeCell ref="P292:P295"/>
    <mergeCell ref="H296:H299"/>
    <mergeCell ref="R300:R303"/>
    <mergeCell ref="S300:S303"/>
    <mergeCell ref="T300:T303"/>
    <mergeCell ref="M296:M299"/>
    <mergeCell ref="A304:A307"/>
    <mergeCell ref="A308:A311"/>
    <mergeCell ref="A313:A317"/>
    <mergeCell ref="A318:A321"/>
    <mergeCell ref="A322:A325"/>
    <mergeCell ref="A183:A207"/>
    <mergeCell ref="A209:A233"/>
    <mergeCell ref="A235:A259"/>
    <mergeCell ref="A261:A285"/>
    <mergeCell ref="A287:A291"/>
    <mergeCell ref="A292:A295"/>
    <mergeCell ref="A296:A299"/>
    <mergeCell ref="B105:B109"/>
    <mergeCell ref="B110:B113"/>
    <mergeCell ref="B114:B117"/>
    <mergeCell ref="B118:B121"/>
    <mergeCell ref="B122:B125"/>
    <mergeCell ref="B126:B129"/>
    <mergeCell ref="B131:B135"/>
    <mergeCell ref="B174:B177"/>
    <mergeCell ref="B178:B181"/>
    <mergeCell ref="B170:B173"/>
    <mergeCell ref="B183:B187"/>
    <mergeCell ref="B188:B191"/>
    <mergeCell ref="B192:B195"/>
    <mergeCell ref="B136:B139"/>
    <mergeCell ref="B140:B143"/>
    <mergeCell ref="A157:A181"/>
    <mergeCell ref="B157:B161"/>
    <mergeCell ref="B162:B165"/>
    <mergeCell ref="B166:B169"/>
    <mergeCell ref="B204:B207"/>
    <mergeCell ref="B304:B307"/>
    <mergeCell ref="B308:B311"/>
    <mergeCell ref="B313:B317"/>
    <mergeCell ref="B318:B321"/>
    <mergeCell ref="B322:B325"/>
    <mergeCell ref="B261:B265"/>
    <mergeCell ref="B266:B269"/>
    <mergeCell ref="B270:B273"/>
    <mergeCell ref="B274:B277"/>
    <mergeCell ref="B278:B281"/>
    <mergeCell ref="B282:B285"/>
    <mergeCell ref="B287:B291"/>
    <mergeCell ref="R313:R317"/>
    <mergeCell ref="S313:S317"/>
    <mergeCell ref="H308:H311"/>
    <mergeCell ref="H313:H317"/>
    <mergeCell ref="M313:M317"/>
    <mergeCell ref="N313:N317"/>
    <mergeCell ref="O313:O317"/>
    <mergeCell ref="P313:P317"/>
    <mergeCell ref="Q313:Q317"/>
    <mergeCell ref="R318:R321"/>
    <mergeCell ref="S318:S321"/>
    <mergeCell ref="Q292:Q295"/>
    <mergeCell ref="R292:R295"/>
    <mergeCell ref="S292:S295"/>
    <mergeCell ref="O296:O299"/>
    <mergeCell ref="P296:P299"/>
    <mergeCell ref="Q296:Q299"/>
    <mergeCell ref="R296:R299"/>
    <mergeCell ref="S296:S299"/>
    <mergeCell ref="M274:M277"/>
    <mergeCell ref="T318:T321"/>
    <mergeCell ref="J318:J321"/>
    <mergeCell ref="J322:J325"/>
    <mergeCell ref="M322:M325"/>
    <mergeCell ref="N322:N325"/>
    <mergeCell ref="O322:O325"/>
    <mergeCell ref="P322:P325"/>
    <mergeCell ref="Q322:Q325"/>
    <mergeCell ref="R322:R325"/>
    <mergeCell ref="S322:S325"/>
    <mergeCell ref="T322:T325"/>
    <mergeCell ref="H318:H321"/>
    <mergeCell ref="M318:M321"/>
    <mergeCell ref="N318:N321"/>
    <mergeCell ref="O318:O321"/>
    <mergeCell ref="P318:P321"/>
    <mergeCell ref="Q318:Q321"/>
    <mergeCell ref="H322:H325"/>
    <mergeCell ref="N296:N299"/>
    <mergeCell ref="M300:M303"/>
    <mergeCell ref="N300:N303"/>
    <mergeCell ref="O300:O303"/>
    <mergeCell ref="P300:P303"/>
    <mergeCell ref="Q300:Q303"/>
    <mergeCell ref="S308:S311"/>
    <mergeCell ref="T308:T311"/>
    <mergeCell ref="T313:T317"/>
    <mergeCell ref="J292:J295"/>
    <mergeCell ref="J296:J299"/>
    <mergeCell ref="H300:H303"/>
    <mergeCell ref="J300:J303"/>
    <mergeCell ref="H304:H307"/>
    <mergeCell ref="J304:J307"/>
    <mergeCell ref="J308:J311"/>
    <mergeCell ref="J313:J317"/>
    <mergeCell ref="N304:N307"/>
    <mergeCell ref="O304:O307"/>
    <mergeCell ref="P304:P307"/>
    <mergeCell ref="Q304:Q307"/>
    <mergeCell ref="R304:R307"/>
    <mergeCell ref="S304:S307"/>
    <mergeCell ref="T304:T307"/>
    <mergeCell ref="M304:M307"/>
    <mergeCell ref="M308:M311"/>
    <mergeCell ref="N308:N311"/>
    <mergeCell ref="O308:O311"/>
    <mergeCell ref="P308:P311"/>
    <mergeCell ref="Q308:Q311"/>
    <mergeCell ref="R308:R311"/>
    <mergeCell ref="A53:A77"/>
    <mergeCell ref="O53:O57"/>
    <mergeCell ref="B62:B65"/>
    <mergeCell ref="B66:B69"/>
    <mergeCell ref="Q79:Q83"/>
    <mergeCell ref="R79:R83"/>
    <mergeCell ref="S79:S83"/>
    <mergeCell ref="T79:T83"/>
    <mergeCell ref="N84:N87"/>
    <mergeCell ref="O84:O87"/>
    <mergeCell ref="Q84:Q87"/>
    <mergeCell ref="R84:R87"/>
    <mergeCell ref="S84:S87"/>
    <mergeCell ref="T84:T87"/>
    <mergeCell ref="N74:N77"/>
    <mergeCell ref="O74:O77"/>
    <mergeCell ref="J79:J83"/>
    <mergeCell ref="N79:N83"/>
    <mergeCell ref="O79:O83"/>
    <mergeCell ref="P79:P83"/>
    <mergeCell ref="J84:J87"/>
    <mergeCell ref="P84:P87"/>
    <mergeCell ref="H84:H87"/>
    <mergeCell ref="B74:B77"/>
    <mergeCell ref="H66:H69"/>
    <mergeCell ref="N62:N65"/>
    <mergeCell ref="O62:O65"/>
    <mergeCell ref="P62:P65"/>
    <mergeCell ref="J88:J91"/>
    <mergeCell ref="M79:M83"/>
    <mergeCell ref="M84:M87"/>
    <mergeCell ref="M88:M91"/>
    <mergeCell ref="N88:N91"/>
    <mergeCell ref="O88:O91"/>
    <mergeCell ref="P88:P91"/>
    <mergeCell ref="Q88:Q91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H122:H125"/>
    <mergeCell ref="M114:M117"/>
    <mergeCell ref="N114:N117"/>
    <mergeCell ref="O114:O117"/>
    <mergeCell ref="P114:P117"/>
    <mergeCell ref="Q114:Q117"/>
    <mergeCell ref="R114:R117"/>
    <mergeCell ref="S114:S117"/>
    <mergeCell ref="T114:T117"/>
    <mergeCell ref="N122:N125"/>
    <mergeCell ref="O122:O125"/>
    <mergeCell ref="J114:J117"/>
    <mergeCell ref="J118:J121"/>
    <mergeCell ref="N118:N121"/>
    <mergeCell ref="O118:O121"/>
    <mergeCell ref="P118:P121"/>
    <mergeCell ref="M131:M135"/>
    <mergeCell ref="N131:N135"/>
    <mergeCell ref="O131:O135"/>
    <mergeCell ref="O140:O143"/>
    <mergeCell ref="P140:P143"/>
    <mergeCell ref="H131:H135"/>
    <mergeCell ref="H136:H139"/>
    <mergeCell ref="M136:M139"/>
    <mergeCell ref="N136:N139"/>
    <mergeCell ref="O136:O139"/>
    <mergeCell ref="P136:P139"/>
    <mergeCell ref="H140:H143"/>
    <mergeCell ref="P144:P147"/>
    <mergeCell ref="Q144:Q147"/>
    <mergeCell ref="R144:R147"/>
    <mergeCell ref="S144:S147"/>
    <mergeCell ref="M140:M143"/>
    <mergeCell ref="N140:N143"/>
    <mergeCell ref="Q140:Q143"/>
    <mergeCell ref="R140:R143"/>
    <mergeCell ref="S140:S143"/>
    <mergeCell ref="T140:T143"/>
    <mergeCell ref="M144:M147"/>
    <mergeCell ref="T144:T147"/>
    <mergeCell ref="A79:A103"/>
    <mergeCell ref="A105:A129"/>
    <mergeCell ref="A131:A155"/>
    <mergeCell ref="R126:R129"/>
    <mergeCell ref="S126:S129"/>
    <mergeCell ref="T126:T129"/>
    <mergeCell ref="P131:P135"/>
    <mergeCell ref="Q131:Q135"/>
    <mergeCell ref="R131:R135"/>
    <mergeCell ref="S131:S135"/>
    <mergeCell ref="T131:T135"/>
    <mergeCell ref="Q136:Q139"/>
    <mergeCell ref="R136:R139"/>
    <mergeCell ref="S136:S139"/>
    <mergeCell ref="T136:T139"/>
    <mergeCell ref="T148:T151"/>
    <mergeCell ref="B144:B147"/>
    <mergeCell ref="B148:B151"/>
    <mergeCell ref="B152:B155"/>
    <mergeCell ref="B79:B83"/>
    <mergeCell ref="B84:B87"/>
    <mergeCell ref="B88:B91"/>
    <mergeCell ref="B92:B95"/>
    <mergeCell ref="B96:B99"/>
    <mergeCell ref="B100:B103"/>
    <mergeCell ref="J136:J139"/>
    <mergeCell ref="J140:J143"/>
    <mergeCell ref="H144:H147"/>
    <mergeCell ref="J144:J147"/>
    <mergeCell ref="P244:P247"/>
    <mergeCell ref="Q244:Q247"/>
    <mergeCell ref="R244:R247"/>
    <mergeCell ref="N256:N259"/>
    <mergeCell ref="O256:O259"/>
    <mergeCell ref="P256:P259"/>
    <mergeCell ref="Q256:Q259"/>
    <mergeCell ref="R256:R259"/>
    <mergeCell ref="S256:S259"/>
    <mergeCell ref="T256:T259"/>
    <mergeCell ref="S244:S247"/>
    <mergeCell ref="T244:T247"/>
    <mergeCell ref="S252:S255"/>
    <mergeCell ref="T252:T255"/>
    <mergeCell ref="B196:B199"/>
    <mergeCell ref="B200:B203"/>
    <mergeCell ref="B209:B213"/>
    <mergeCell ref="B214:B217"/>
    <mergeCell ref="B218:B221"/>
    <mergeCell ref="B222:B225"/>
    <mergeCell ref="B226:B229"/>
    <mergeCell ref="B230:B233"/>
    <mergeCell ref="B235:B239"/>
    <mergeCell ref="B240:B243"/>
    <mergeCell ref="B244:B247"/>
    <mergeCell ref="B248:B251"/>
    <mergeCell ref="B252:B255"/>
    <mergeCell ref="B256:B259"/>
    <mergeCell ref="N240:N243"/>
    <mergeCell ref="O240:O243"/>
    <mergeCell ref="P240:P243"/>
    <mergeCell ref="N196:N199"/>
    <mergeCell ref="S261:S265"/>
    <mergeCell ref="T261:T265"/>
    <mergeCell ref="M256:M259"/>
    <mergeCell ref="M261:M265"/>
    <mergeCell ref="N261:N265"/>
    <mergeCell ref="O261:O265"/>
    <mergeCell ref="P261:P265"/>
    <mergeCell ref="Q261:Q265"/>
    <mergeCell ref="R261:R265"/>
    <mergeCell ref="S270:S273"/>
    <mergeCell ref="T270:T273"/>
    <mergeCell ref="N274:N277"/>
    <mergeCell ref="O274:O277"/>
    <mergeCell ref="P274:P277"/>
    <mergeCell ref="Q274:Q277"/>
    <mergeCell ref="R274:R277"/>
    <mergeCell ref="S274:S277"/>
    <mergeCell ref="T274:T277"/>
    <mergeCell ref="P66:P69"/>
    <mergeCell ref="Q66:Q69"/>
    <mergeCell ref="R66:R69"/>
    <mergeCell ref="S66:S69"/>
    <mergeCell ref="T66:T69"/>
    <mergeCell ref="Z66:Z69"/>
    <mergeCell ref="AB66:AB69"/>
    <mergeCell ref="H53:H57"/>
    <mergeCell ref="H62:H65"/>
    <mergeCell ref="J62:J65"/>
    <mergeCell ref="M62:M65"/>
    <mergeCell ref="AJ62:AJ65"/>
    <mergeCell ref="AK62:AK63"/>
    <mergeCell ref="AL62:AL65"/>
    <mergeCell ref="AK64:AK65"/>
    <mergeCell ref="AI62:AI63"/>
    <mergeCell ref="AI64:AI65"/>
    <mergeCell ref="AG66:AG69"/>
    <mergeCell ref="AH66:AH69"/>
    <mergeCell ref="AI66:AI69"/>
    <mergeCell ref="AJ66:AJ69"/>
    <mergeCell ref="AK66:AK69"/>
    <mergeCell ref="AL66:AL69"/>
    <mergeCell ref="Z62:Z65"/>
    <mergeCell ref="AB62:AB65"/>
    <mergeCell ref="AE62:AE63"/>
    <mergeCell ref="AF62:AF65"/>
    <mergeCell ref="AG62:AG65"/>
    <mergeCell ref="AH62:AH65"/>
    <mergeCell ref="AE64:AE65"/>
    <mergeCell ref="Q62:Q65"/>
    <mergeCell ref="R62:R65"/>
    <mergeCell ref="S62:S65"/>
    <mergeCell ref="T62:T65"/>
    <mergeCell ref="A48:A51"/>
    <mergeCell ref="B58:B61"/>
    <mergeCell ref="J66:J69"/>
    <mergeCell ref="M66:M69"/>
    <mergeCell ref="N66:N69"/>
    <mergeCell ref="O66:O69"/>
    <mergeCell ref="B70:B73"/>
    <mergeCell ref="H70:H73"/>
    <mergeCell ref="J70:J73"/>
    <mergeCell ref="M70:M73"/>
    <mergeCell ref="N70:N73"/>
    <mergeCell ref="O70:O73"/>
    <mergeCell ref="P70:P73"/>
    <mergeCell ref="Q70:Q73"/>
    <mergeCell ref="R70:R73"/>
    <mergeCell ref="S70:S73"/>
    <mergeCell ref="T70:T73"/>
    <mergeCell ref="B48:B51"/>
    <mergeCell ref="B53:B57"/>
    <mergeCell ref="J48:J51"/>
    <mergeCell ref="J53:J57"/>
    <mergeCell ref="M53:M57"/>
    <mergeCell ref="N53:N57"/>
    <mergeCell ref="P53:P57"/>
    <mergeCell ref="Q53:Q57"/>
    <mergeCell ref="R53:R57"/>
    <mergeCell ref="S53:S57"/>
    <mergeCell ref="T53:T57"/>
    <mergeCell ref="J74:J77"/>
    <mergeCell ref="M74:M77"/>
    <mergeCell ref="P74:P77"/>
    <mergeCell ref="Q74:Q77"/>
    <mergeCell ref="R74:R77"/>
    <mergeCell ref="S74:S77"/>
    <mergeCell ref="T74:T77"/>
    <mergeCell ref="AY74:AY77"/>
    <mergeCell ref="AZ74:AZ77"/>
    <mergeCell ref="BA74:BA77"/>
    <mergeCell ref="BB74:BB77"/>
    <mergeCell ref="BC74:BC77"/>
    <mergeCell ref="BD74:BD75"/>
    <mergeCell ref="BD76:BD77"/>
    <mergeCell ref="BD78:BD79"/>
    <mergeCell ref="AJ74:AJ77"/>
    <mergeCell ref="AK74:AK77"/>
    <mergeCell ref="AL74:AL77"/>
    <mergeCell ref="AR74:AR77"/>
    <mergeCell ref="AT74:AT77"/>
    <mergeCell ref="AV74:AV77"/>
    <mergeCell ref="AX74:AX77"/>
    <mergeCell ref="AB74:AB77"/>
    <mergeCell ref="AB79:AB83"/>
    <mergeCell ref="Z84:Z87"/>
    <mergeCell ref="AB84:AB85"/>
    <mergeCell ref="AB86:AB87"/>
    <mergeCell ref="Z74:Z77"/>
    <mergeCell ref="AE74:AE77"/>
    <mergeCell ref="AF74:AF77"/>
    <mergeCell ref="AG74:AG77"/>
    <mergeCell ref="AH74:AH77"/>
    <mergeCell ref="AI74:AI77"/>
    <mergeCell ref="Z79:Z83"/>
    <mergeCell ref="AX79:AX83"/>
    <mergeCell ref="AY79:AY83"/>
    <mergeCell ref="AZ79:AZ83"/>
    <mergeCell ref="BA79:BA82"/>
    <mergeCell ref="BB79:BB83"/>
    <mergeCell ref="BC79:BC82"/>
    <mergeCell ref="BD80:BD81"/>
    <mergeCell ref="BD82:BD83"/>
    <mergeCell ref="AI79:AI83"/>
    <mergeCell ref="AJ79:AJ83"/>
    <mergeCell ref="AK79:AK83"/>
    <mergeCell ref="AL79:AL83"/>
    <mergeCell ref="AR79:AR83"/>
    <mergeCell ref="AT79:AT82"/>
    <mergeCell ref="AV79:AV82"/>
    <mergeCell ref="AZ84:AZ87"/>
    <mergeCell ref="BA84:BA86"/>
    <mergeCell ref="BB84:BB87"/>
    <mergeCell ref="BC84:BC86"/>
    <mergeCell ref="AL84:AL87"/>
    <mergeCell ref="AR84:AR87"/>
    <mergeCell ref="AT84:AT86"/>
    <mergeCell ref="AX84:AX87"/>
    <mergeCell ref="AY84:AY87"/>
    <mergeCell ref="AG79:AG83"/>
    <mergeCell ref="AH79:AH83"/>
    <mergeCell ref="AG84:AG87"/>
    <mergeCell ref="AH84:AH87"/>
    <mergeCell ref="AI84:AI85"/>
    <mergeCell ref="AJ84:AJ87"/>
    <mergeCell ref="AI86:AI87"/>
    <mergeCell ref="AF84:AF87"/>
    <mergeCell ref="AF88:AF91"/>
    <mergeCell ref="AG88:AG91"/>
    <mergeCell ref="AH88:AH91"/>
    <mergeCell ref="AI88:AI89"/>
    <mergeCell ref="AJ88:AJ91"/>
    <mergeCell ref="AI90:AI91"/>
    <mergeCell ref="AK84:AK85"/>
    <mergeCell ref="AK86:AK87"/>
    <mergeCell ref="AK88:AK89"/>
    <mergeCell ref="AL88:AL91"/>
    <mergeCell ref="AR88:AR91"/>
    <mergeCell ref="AT88:AT90"/>
    <mergeCell ref="AU88:AU90"/>
    <mergeCell ref="AK90:AK91"/>
    <mergeCell ref="AB92:AB95"/>
    <mergeCell ref="AE79:AE83"/>
    <mergeCell ref="AF79:AF83"/>
    <mergeCell ref="AE84:AE85"/>
    <mergeCell ref="AE86:AE87"/>
    <mergeCell ref="AB88:AB91"/>
    <mergeCell ref="AE88:AE89"/>
    <mergeCell ref="AE90:AE91"/>
    <mergeCell ref="AE92:AE95"/>
    <mergeCell ref="AF92:AF95"/>
    <mergeCell ref="AG92:AG95"/>
    <mergeCell ref="AH92:AH95"/>
    <mergeCell ref="AI92:AI95"/>
    <mergeCell ref="AJ92:AJ95"/>
    <mergeCell ref="AK92:AK95"/>
    <mergeCell ref="AU84:AU86"/>
    <mergeCell ref="AV84:AV86"/>
    <mergeCell ref="AV88:AV90"/>
    <mergeCell ref="AX88:AX91"/>
    <mergeCell ref="AY88:AY91"/>
    <mergeCell ref="AZ88:AZ91"/>
    <mergeCell ref="BA88:BA91"/>
    <mergeCell ref="BB88:BB91"/>
    <mergeCell ref="BC88:BC91"/>
    <mergeCell ref="T110:T113"/>
    <mergeCell ref="Z110:Z113"/>
    <mergeCell ref="AB110:AB111"/>
    <mergeCell ref="AF110:AF113"/>
    <mergeCell ref="AG110:AG113"/>
    <mergeCell ref="AH110:AH113"/>
    <mergeCell ref="AB112:AB113"/>
    <mergeCell ref="AE110:AE111"/>
    <mergeCell ref="AE112:AE113"/>
    <mergeCell ref="AZ110:AZ113"/>
    <mergeCell ref="BA110:BA112"/>
    <mergeCell ref="BB110:BB113"/>
    <mergeCell ref="BC110:BC112"/>
    <mergeCell ref="AR105:AR109"/>
    <mergeCell ref="AR110:AR113"/>
    <mergeCell ref="AT110:AT112"/>
    <mergeCell ref="AU110:AU112"/>
    <mergeCell ref="AV110:AV112"/>
    <mergeCell ref="AX110:AX113"/>
    <mergeCell ref="AY110:AY113"/>
    <mergeCell ref="AZ92:AZ95"/>
    <mergeCell ref="BA92:BA95"/>
    <mergeCell ref="AY96:AY99"/>
    <mergeCell ref="Z88:Z91"/>
    <mergeCell ref="Z92:Z95"/>
    <mergeCell ref="AU118:AU121"/>
    <mergeCell ref="AV118:AV121"/>
    <mergeCell ref="AX118:AX121"/>
    <mergeCell ref="AY118:AY121"/>
    <mergeCell ref="AZ118:AZ121"/>
    <mergeCell ref="BA118:BA121"/>
    <mergeCell ref="BB118:BB121"/>
    <mergeCell ref="BC118:BC121"/>
    <mergeCell ref="AH118:AH121"/>
    <mergeCell ref="AI118:AI121"/>
    <mergeCell ref="AJ118:AJ121"/>
    <mergeCell ref="AK118:AK121"/>
    <mergeCell ref="AL118:AL121"/>
    <mergeCell ref="AR118:AR121"/>
    <mergeCell ref="AT118:AT121"/>
    <mergeCell ref="BB92:BB95"/>
    <mergeCell ref="BC92:BC95"/>
    <mergeCell ref="Z114:Z117"/>
    <mergeCell ref="AB114:AB117"/>
    <mergeCell ref="AE114:AE115"/>
    <mergeCell ref="AF114:AF117"/>
    <mergeCell ref="AG114:AG117"/>
    <mergeCell ref="AH114:AH117"/>
    <mergeCell ref="AE116:AE117"/>
    <mergeCell ref="AV114:AV116"/>
    <mergeCell ref="AX114:AX117"/>
    <mergeCell ref="AY114:AY117"/>
    <mergeCell ref="AZ114:AZ117"/>
    <mergeCell ref="BA114:BA117"/>
    <mergeCell ref="BB114:BB117"/>
    <mergeCell ref="BC114:BC117"/>
    <mergeCell ref="AK114:AK115"/>
    <mergeCell ref="AK116:AK117"/>
    <mergeCell ref="AI114:AI115"/>
    <mergeCell ref="AJ114:AJ117"/>
    <mergeCell ref="AL114:AL117"/>
    <mergeCell ref="AR114:AR117"/>
    <mergeCell ref="AT114:AT116"/>
    <mergeCell ref="AU114:AU116"/>
    <mergeCell ref="AI116:AI117"/>
    <mergeCell ref="S118:S121"/>
    <mergeCell ref="T118:T121"/>
    <mergeCell ref="R122:R125"/>
    <mergeCell ref="S122:S125"/>
    <mergeCell ref="T122:T125"/>
    <mergeCell ref="Z126:Z129"/>
    <mergeCell ref="Q118:Q121"/>
    <mergeCell ref="J122:J125"/>
    <mergeCell ref="P122:P125"/>
    <mergeCell ref="Q122:Q125"/>
    <mergeCell ref="Z122:Z125"/>
    <mergeCell ref="AB122:AB125"/>
    <mergeCell ref="AE122:AE125"/>
    <mergeCell ref="AF122:AF125"/>
    <mergeCell ref="AG122:AG125"/>
    <mergeCell ref="AH122:AH125"/>
    <mergeCell ref="AI122:AI125"/>
    <mergeCell ref="Z118:Z121"/>
    <mergeCell ref="AB118:AB121"/>
    <mergeCell ref="AE118:AE121"/>
    <mergeCell ref="AF118:AF121"/>
    <mergeCell ref="AG118:AG121"/>
    <mergeCell ref="Q166:Q169"/>
    <mergeCell ref="R166:R169"/>
    <mergeCell ref="S166:S169"/>
    <mergeCell ref="T166:T169"/>
    <mergeCell ref="M170:M173"/>
    <mergeCell ref="N170:N173"/>
    <mergeCell ref="O170:O173"/>
    <mergeCell ref="P170:P173"/>
    <mergeCell ref="BP124:BP125"/>
    <mergeCell ref="BS124:BS125"/>
    <mergeCell ref="BU124:BU125"/>
    <mergeCell ref="BV124:BV125"/>
    <mergeCell ref="AV122:AV124"/>
    <mergeCell ref="AX122:AX125"/>
    <mergeCell ref="AY122:AY125"/>
    <mergeCell ref="AZ122:AZ125"/>
    <mergeCell ref="BA122:BA124"/>
    <mergeCell ref="BB122:BB125"/>
    <mergeCell ref="BC122:BC124"/>
    <mergeCell ref="M122:M125"/>
    <mergeCell ref="M126:M129"/>
    <mergeCell ref="N126:N129"/>
    <mergeCell ref="O126:O129"/>
    <mergeCell ref="P126:P129"/>
    <mergeCell ref="Q126:Q129"/>
    <mergeCell ref="AJ122:AJ125"/>
    <mergeCell ref="AK122:AK125"/>
    <mergeCell ref="AL122:AL125"/>
    <mergeCell ref="AR122:AR125"/>
    <mergeCell ref="AT122:AT124"/>
    <mergeCell ref="BE122:BE123"/>
    <mergeCell ref="BE124:BE125"/>
    <mergeCell ref="T174:T177"/>
    <mergeCell ref="M157:M161"/>
    <mergeCell ref="N157:N161"/>
    <mergeCell ref="M162:M165"/>
    <mergeCell ref="N162:N165"/>
    <mergeCell ref="M166:M169"/>
    <mergeCell ref="N166:N169"/>
    <mergeCell ref="O166:O169"/>
    <mergeCell ref="J166:J169"/>
    <mergeCell ref="J170:J173"/>
    <mergeCell ref="J174:J177"/>
    <mergeCell ref="S152:S155"/>
    <mergeCell ref="T152:T155"/>
    <mergeCell ref="O157:O161"/>
    <mergeCell ref="P157:P161"/>
    <mergeCell ref="O162:O165"/>
    <mergeCell ref="P162:P165"/>
    <mergeCell ref="Q162:Q165"/>
    <mergeCell ref="R162:R165"/>
    <mergeCell ref="S162:S165"/>
    <mergeCell ref="T162:T165"/>
    <mergeCell ref="Q157:Q161"/>
    <mergeCell ref="R157:R161"/>
    <mergeCell ref="S157:S161"/>
    <mergeCell ref="T157:T161"/>
    <mergeCell ref="M152:M155"/>
    <mergeCell ref="N152:N155"/>
    <mergeCell ref="O152:O155"/>
    <mergeCell ref="P152:P155"/>
    <mergeCell ref="Q152:Q155"/>
    <mergeCell ref="R152:R155"/>
    <mergeCell ref="P166:P169"/>
    <mergeCell ref="R148:R151"/>
    <mergeCell ref="S148:S151"/>
    <mergeCell ref="N144:N147"/>
    <mergeCell ref="O144:O147"/>
    <mergeCell ref="M148:M151"/>
    <mergeCell ref="N148:N151"/>
    <mergeCell ref="O148:O151"/>
    <mergeCell ref="P148:P151"/>
    <mergeCell ref="Q148:Q151"/>
    <mergeCell ref="N178:N181"/>
    <mergeCell ref="O178:O181"/>
    <mergeCell ref="P178:P181"/>
    <mergeCell ref="Q178:Q181"/>
    <mergeCell ref="R178:R181"/>
    <mergeCell ref="S178:S181"/>
    <mergeCell ref="T178:T181"/>
    <mergeCell ref="S183:S187"/>
    <mergeCell ref="T183:T187"/>
    <mergeCell ref="M178:M181"/>
    <mergeCell ref="M183:M187"/>
    <mergeCell ref="N183:N187"/>
    <mergeCell ref="Q170:Q173"/>
    <mergeCell ref="R170:R173"/>
    <mergeCell ref="S170:S173"/>
    <mergeCell ref="T170:T173"/>
    <mergeCell ref="M174:M177"/>
    <mergeCell ref="N174:N177"/>
    <mergeCell ref="O174:O177"/>
    <mergeCell ref="P174:P177"/>
    <mergeCell ref="Q174:Q177"/>
    <mergeCell ref="R174:R177"/>
    <mergeCell ref="S174:S177"/>
    <mergeCell ref="N248:N251"/>
    <mergeCell ref="O248:O251"/>
    <mergeCell ref="P248:P251"/>
    <mergeCell ref="Q248:Q251"/>
    <mergeCell ref="R248:R251"/>
    <mergeCell ref="S248:S251"/>
    <mergeCell ref="T248:T251"/>
    <mergeCell ref="M248:M251"/>
    <mergeCell ref="M252:M255"/>
    <mergeCell ref="N252:N255"/>
    <mergeCell ref="O252:O255"/>
    <mergeCell ref="P252:P255"/>
    <mergeCell ref="Q252:Q255"/>
    <mergeCell ref="R252:R255"/>
    <mergeCell ref="N214:N217"/>
    <mergeCell ref="O214:O217"/>
    <mergeCell ref="P214:P217"/>
    <mergeCell ref="Q214:Q217"/>
    <mergeCell ref="R214:R217"/>
    <mergeCell ref="S214:S217"/>
    <mergeCell ref="T214:T217"/>
    <mergeCell ref="M214:M217"/>
    <mergeCell ref="M218:M221"/>
    <mergeCell ref="N218:N221"/>
    <mergeCell ref="Q240:Q243"/>
    <mergeCell ref="R240:R243"/>
    <mergeCell ref="S240:S243"/>
    <mergeCell ref="T240:T243"/>
    <mergeCell ref="M240:M243"/>
    <mergeCell ref="M244:M247"/>
    <mergeCell ref="N244:N247"/>
    <mergeCell ref="O244:O247"/>
    <mergeCell ref="N230:N233"/>
    <mergeCell ref="O230:O233"/>
    <mergeCell ref="P230:P233"/>
    <mergeCell ref="Q230:Q233"/>
    <mergeCell ref="R230:R233"/>
    <mergeCell ref="S230:S233"/>
    <mergeCell ref="T230:T233"/>
    <mergeCell ref="S235:S239"/>
    <mergeCell ref="T235:T239"/>
    <mergeCell ref="M230:M233"/>
    <mergeCell ref="M235:M239"/>
    <mergeCell ref="N235:N239"/>
    <mergeCell ref="O235:O239"/>
    <mergeCell ref="P235:P239"/>
    <mergeCell ref="Q235:Q239"/>
    <mergeCell ref="R235:R239"/>
    <mergeCell ref="O183:O187"/>
    <mergeCell ref="P183:P187"/>
    <mergeCell ref="Q183:Q187"/>
    <mergeCell ref="R183:R187"/>
    <mergeCell ref="S192:S195"/>
    <mergeCell ref="T192:T195"/>
    <mergeCell ref="S200:S203"/>
    <mergeCell ref="T200:T203"/>
    <mergeCell ref="Q196:Q199"/>
    <mergeCell ref="R196:R199"/>
    <mergeCell ref="S196:S199"/>
    <mergeCell ref="T196:T199"/>
    <mergeCell ref="M196:M199"/>
    <mergeCell ref="M200:M203"/>
    <mergeCell ref="N200:N203"/>
    <mergeCell ref="O200:O203"/>
    <mergeCell ref="N188:N191"/>
    <mergeCell ref="O188:O191"/>
    <mergeCell ref="P188:P191"/>
    <mergeCell ref="Q188:Q191"/>
    <mergeCell ref="R188:R191"/>
    <mergeCell ref="S188:S191"/>
    <mergeCell ref="T188:T191"/>
    <mergeCell ref="M188:M191"/>
    <mergeCell ref="M192:M195"/>
    <mergeCell ref="N192:N195"/>
    <mergeCell ref="O192:O195"/>
    <mergeCell ref="P192:P195"/>
    <mergeCell ref="Q192:Q195"/>
    <mergeCell ref="R192:R195"/>
    <mergeCell ref="N204:N207"/>
    <mergeCell ref="O204:O207"/>
    <mergeCell ref="P204:P207"/>
    <mergeCell ref="Q204:Q207"/>
    <mergeCell ref="R204:R207"/>
    <mergeCell ref="S204:S207"/>
    <mergeCell ref="T204:T207"/>
    <mergeCell ref="P200:P203"/>
    <mergeCell ref="Q200:Q203"/>
    <mergeCell ref="R200:R203"/>
    <mergeCell ref="O196:O199"/>
    <mergeCell ref="P196:P199"/>
    <mergeCell ref="S209:S213"/>
    <mergeCell ref="T209:T213"/>
    <mergeCell ref="M204:M207"/>
    <mergeCell ref="M209:M213"/>
    <mergeCell ref="N209:N213"/>
    <mergeCell ref="O209:O213"/>
    <mergeCell ref="P209:P213"/>
    <mergeCell ref="Q209:Q213"/>
    <mergeCell ref="R209:R213"/>
    <mergeCell ref="S218:S221"/>
    <mergeCell ref="T218:T221"/>
    <mergeCell ref="S226:S229"/>
    <mergeCell ref="T226:T229"/>
    <mergeCell ref="N222:N225"/>
    <mergeCell ref="O222:O225"/>
    <mergeCell ref="P222:P225"/>
    <mergeCell ref="Q222:Q225"/>
    <mergeCell ref="R222:R225"/>
    <mergeCell ref="S222:S225"/>
    <mergeCell ref="T222:T225"/>
    <mergeCell ref="M222:M225"/>
    <mergeCell ref="M226:M229"/>
    <mergeCell ref="N226:N229"/>
    <mergeCell ref="O226:O229"/>
    <mergeCell ref="P226:P229"/>
    <mergeCell ref="Q226:Q229"/>
    <mergeCell ref="R226:R229"/>
    <mergeCell ref="Q218:Q221"/>
    <mergeCell ref="R218:R221"/>
    <mergeCell ref="O218:O221"/>
    <mergeCell ref="P218:P221"/>
    <mergeCell ref="AY235:AY239"/>
    <mergeCell ref="AZ235:AZ239"/>
    <mergeCell ref="BA235:BA238"/>
    <mergeCell ref="BB235:BB239"/>
    <mergeCell ref="BC235:BC238"/>
    <mergeCell ref="BD236:BD238"/>
    <mergeCell ref="BE236:BE239"/>
    <mergeCell ref="AJ235:AJ239"/>
    <mergeCell ref="AK235:AK239"/>
    <mergeCell ref="AL235:AL239"/>
    <mergeCell ref="AR235:AR239"/>
    <mergeCell ref="AT235:AT238"/>
    <mergeCell ref="AV235:AV238"/>
    <mergeCell ref="AX235:AX239"/>
    <mergeCell ref="AB235:AB239"/>
    <mergeCell ref="AB240:AB243"/>
    <mergeCell ref="Z235:Z239"/>
    <mergeCell ref="AE235:AE239"/>
    <mergeCell ref="AF235:AF239"/>
    <mergeCell ref="AG235:AG239"/>
    <mergeCell ref="AH235:AH239"/>
    <mergeCell ref="AI235:AI239"/>
    <mergeCell ref="Z240:Z243"/>
    <mergeCell ref="AI240:AI243"/>
    <mergeCell ref="BC240:BC242"/>
    <mergeCell ref="BD240:BD242"/>
    <mergeCell ref="BE240:BE242"/>
    <mergeCell ref="BD243:BD244"/>
    <mergeCell ref="BE243:BE244"/>
    <mergeCell ref="AU240:AU242"/>
    <mergeCell ref="AV240:AV242"/>
    <mergeCell ref="AX240:AX243"/>
    <mergeCell ref="BB240:BB243"/>
    <mergeCell ref="BB248:BB251"/>
    <mergeCell ref="BC248:BC251"/>
    <mergeCell ref="BD251:BD253"/>
    <mergeCell ref="BE251:BE253"/>
    <mergeCell ref="BD255:BD257"/>
    <mergeCell ref="BE255:BE258"/>
    <mergeCell ref="BD259:BD261"/>
    <mergeCell ref="BE259:BE261"/>
    <mergeCell ref="AT256:AT259"/>
    <mergeCell ref="AV256:AV259"/>
    <mergeCell ref="AX256:AX259"/>
    <mergeCell ref="AY256:AY259"/>
    <mergeCell ref="AZ256:AZ259"/>
    <mergeCell ref="BA256:BA259"/>
    <mergeCell ref="BB256:BB259"/>
    <mergeCell ref="BC256:BC259"/>
    <mergeCell ref="BC244:BC247"/>
    <mergeCell ref="BD245:BD247"/>
    <mergeCell ref="BE245:BE247"/>
    <mergeCell ref="BD248:BD250"/>
    <mergeCell ref="BE248:BE250"/>
    <mergeCell ref="AT252:AT255"/>
    <mergeCell ref="AV252:AV255"/>
    <mergeCell ref="AX252:AX255"/>
    <mergeCell ref="AY252:AY255"/>
    <mergeCell ref="AZ252:AZ255"/>
    <mergeCell ref="BA252:BA255"/>
    <mergeCell ref="BB252:BB255"/>
    <mergeCell ref="AT248:AT251"/>
    <mergeCell ref="AV248:AV251"/>
    <mergeCell ref="AX248:AX251"/>
    <mergeCell ref="AY248:AY251"/>
    <mergeCell ref="AZ248:AZ251"/>
    <mergeCell ref="BA248:BA251"/>
    <mergeCell ref="AG240:AG243"/>
    <mergeCell ref="AH240:AH243"/>
    <mergeCell ref="AJ240:AJ243"/>
    <mergeCell ref="AK240:AK243"/>
    <mergeCell ref="AL240:AL243"/>
    <mergeCell ref="AR240:AR243"/>
    <mergeCell ref="AT240:AT242"/>
    <mergeCell ref="AH244:AH247"/>
    <mergeCell ref="AI244:AI247"/>
    <mergeCell ref="AJ244:AJ247"/>
    <mergeCell ref="AK244:AK247"/>
    <mergeCell ref="AL244:AL247"/>
    <mergeCell ref="AR244:AR247"/>
    <mergeCell ref="AT244:AT246"/>
    <mergeCell ref="AK248:AK251"/>
    <mergeCell ref="AL248:AL251"/>
    <mergeCell ref="AY240:AY243"/>
    <mergeCell ref="AZ240:AZ243"/>
    <mergeCell ref="BA240:BA242"/>
    <mergeCell ref="AR256:AR259"/>
    <mergeCell ref="AB244:AB247"/>
    <mergeCell ref="AB248:AB251"/>
    <mergeCell ref="Z252:Z255"/>
    <mergeCell ref="AB252:AB255"/>
    <mergeCell ref="AE240:AE243"/>
    <mergeCell ref="AF240:AF243"/>
    <mergeCell ref="Z244:Z247"/>
    <mergeCell ref="AE244:AE247"/>
    <mergeCell ref="AF244:AF247"/>
    <mergeCell ref="AG244:AG247"/>
    <mergeCell ref="Z248:Z251"/>
    <mergeCell ref="AG248:AG251"/>
    <mergeCell ref="AE248:AE251"/>
    <mergeCell ref="AF248:AF251"/>
    <mergeCell ref="AH248:AH251"/>
    <mergeCell ref="AI248:AI251"/>
    <mergeCell ref="AJ248:AJ251"/>
    <mergeCell ref="AE252:AE255"/>
    <mergeCell ref="AF252:AF255"/>
    <mergeCell ref="AR248:AR251"/>
    <mergeCell ref="AY266:AY269"/>
    <mergeCell ref="AZ266:AZ269"/>
    <mergeCell ref="BA266:BA268"/>
    <mergeCell ref="BB266:BB269"/>
    <mergeCell ref="BC266:BC268"/>
    <mergeCell ref="AK270:AK273"/>
    <mergeCell ref="AL270:AL273"/>
    <mergeCell ref="BC252:BC255"/>
    <mergeCell ref="AU244:AU246"/>
    <mergeCell ref="AV244:AV246"/>
    <mergeCell ref="AX244:AX247"/>
    <mergeCell ref="AY244:AY247"/>
    <mergeCell ref="AZ244:AZ247"/>
    <mergeCell ref="BA244:BA247"/>
    <mergeCell ref="BB244:BB247"/>
    <mergeCell ref="AG261:AG265"/>
    <mergeCell ref="AH261:AH265"/>
    <mergeCell ref="AI261:AI265"/>
    <mergeCell ref="AJ261:AJ265"/>
    <mergeCell ref="AK261:AK265"/>
    <mergeCell ref="AL261:AL265"/>
    <mergeCell ref="AR261:AR265"/>
    <mergeCell ref="AT261:AT264"/>
    <mergeCell ref="AV261:AV264"/>
    <mergeCell ref="AL252:AL255"/>
    <mergeCell ref="AR252:AR255"/>
    <mergeCell ref="AG252:AG255"/>
    <mergeCell ref="AH252:AH255"/>
    <mergeCell ref="AI252:AI255"/>
    <mergeCell ref="AJ252:AJ255"/>
    <mergeCell ref="AK252:AK255"/>
    <mergeCell ref="AJ256:AJ259"/>
    <mergeCell ref="BA282:BA285"/>
    <mergeCell ref="BB282:BB285"/>
    <mergeCell ref="AJ266:AJ269"/>
    <mergeCell ref="AK266:AK269"/>
    <mergeCell ref="AL266:AL269"/>
    <mergeCell ref="AR266:AR269"/>
    <mergeCell ref="AU266:AU268"/>
    <mergeCell ref="AV266:AV268"/>
    <mergeCell ref="AR270:AR273"/>
    <mergeCell ref="BC270:BC273"/>
    <mergeCell ref="BD271:BD273"/>
    <mergeCell ref="BE271:BE273"/>
    <mergeCell ref="AU270:AU272"/>
    <mergeCell ref="AV270:AV272"/>
    <mergeCell ref="AX270:AX273"/>
    <mergeCell ref="AY270:AY273"/>
    <mergeCell ref="AZ270:AZ273"/>
    <mergeCell ref="BA270:BA273"/>
    <mergeCell ref="BB270:BB273"/>
    <mergeCell ref="AZ274:AZ277"/>
    <mergeCell ref="BD264:BD267"/>
    <mergeCell ref="BE264:BE267"/>
    <mergeCell ref="BD268:BD270"/>
    <mergeCell ref="BE268:BE270"/>
    <mergeCell ref="AX261:AX265"/>
    <mergeCell ref="AY261:AY265"/>
    <mergeCell ref="AZ261:AZ265"/>
    <mergeCell ref="BA261:BA264"/>
    <mergeCell ref="BB261:BB265"/>
    <mergeCell ref="BC261:BC264"/>
    <mergeCell ref="BE262:BE263"/>
    <mergeCell ref="AX266:AX269"/>
    <mergeCell ref="BA274:BA277"/>
    <mergeCell ref="BB274:BB277"/>
    <mergeCell ref="BC274:BC277"/>
    <mergeCell ref="BD275:BD278"/>
    <mergeCell ref="BE275:BE278"/>
    <mergeCell ref="AT274:AT277"/>
    <mergeCell ref="AT278:AT281"/>
    <mergeCell ref="AR282:AR285"/>
    <mergeCell ref="AT282:AT285"/>
    <mergeCell ref="AV282:AV285"/>
    <mergeCell ref="AT266:AT268"/>
    <mergeCell ref="AT270:AT272"/>
    <mergeCell ref="AR274:AR277"/>
    <mergeCell ref="AV274:AV277"/>
    <mergeCell ref="AY274:AY277"/>
    <mergeCell ref="AR278:AR281"/>
    <mergeCell ref="AV278:AV281"/>
    <mergeCell ref="BC282:BC285"/>
    <mergeCell ref="BD283:BD286"/>
    <mergeCell ref="BE283:BE286"/>
    <mergeCell ref="AY278:AY281"/>
    <mergeCell ref="AZ278:AZ281"/>
    <mergeCell ref="BA278:BA281"/>
    <mergeCell ref="BB278:BB281"/>
    <mergeCell ref="BC278:BC281"/>
    <mergeCell ref="BE279:BE282"/>
    <mergeCell ref="BD280:BD281"/>
    <mergeCell ref="AX274:AX277"/>
    <mergeCell ref="AX278:AX281"/>
    <mergeCell ref="AX282:AX285"/>
    <mergeCell ref="AY282:AY285"/>
    <mergeCell ref="AZ282:AZ285"/>
    <mergeCell ref="AX360:AX363"/>
    <mergeCell ref="AY360:AY363"/>
    <mergeCell ref="AL356:AL359"/>
    <mergeCell ref="AR356:AR359"/>
    <mergeCell ref="AT356:AT359"/>
    <mergeCell ref="AX356:AX359"/>
    <mergeCell ref="AY356:AY359"/>
    <mergeCell ref="AZ356:AZ359"/>
    <mergeCell ref="AT360:AT363"/>
    <mergeCell ref="AZ360:AZ363"/>
    <mergeCell ref="P356:P359"/>
    <mergeCell ref="Q356:Q359"/>
    <mergeCell ref="R356:R359"/>
    <mergeCell ref="S356:S359"/>
    <mergeCell ref="T356:T359"/>
    <mergeCell ref="Z356:Z359"/>
    <mergeCell ref="AB356:AB359"/>
    <mergeCell ref="AE356:AE359"/>
    <mergeCell ref="AF356:AF359"/>
    <mergeCell ref="AG356:AG359"/>
    <mergeCell ref="AH356:AH359"/>
    <mergeCell ref="AI356:AI359"/>
    <mergeCell ref="AJ356:AJ359"/>
    <mergeCell ref="AK356:AK359"/>
    <mergeCell ref="AF360:AF363"/>
    <mergeCell ref="AG360:AG363"/>
    <mergeCell ref="AH360:AH363"/>
    <mergeCell ref="AI360:AI363"/>
    <mergeCell ref="AJ360:AJ363"/>
    <mergeCell ref="AK360:AK363"/>
    <mergeCell ref="BA356:BA359"/>
    <mergeCell ref="BB356:BB359"/>
    <mergeCell ref="BC356:BC359"/>
    <mergeCell ref="BA360:BA363"/>
    <mergeCell ref="BB360:BB363"/>
    <mergeCell ref="BC360:BC363"/>
    <mergeCell ref="A356:A359"/>
    <mergeCell ref="B356:B359"/>
    <mergeCell ref="H356:H359"/>
    <mergeCell ref="J356:J359"/>
    <mergeCell ref="M356:M359"/>
    <mergeCell ref="N356:N359"/>
    <mergeCell ref="O356:O359"/>
    <mergeCell ref="P360:P363"/>
    <mergeCell ref="Q360:Q363"/>
    <mergeCell ref="R360:R363"/>
    <mergeCell ref="S360:S363"/>
    <mergeCell ref="T360:T363"/>
    <mergeCell ref="Z360:Z363"/>
    <mergeCell ref="AB360:AB363"/>
    <mergeCell ref="AV356:AV359"/>
    <mergeCell ref="AV360:AV363"/>
    <mergeCell ref="A360:A363"/>
    <mergeCell ref="B360:B363"/>
    <mergeCell ref="H360:H363"/>
    <mergeCell ref="J360:J363"/>
    <mergeCell ref="M360:M363"/>
    <mergeCell ref="N360:N363"/>
    <mergeCell ref="O360:O363"/>
    <mergeCell ref="AL360:AL363"/>
    <mergeCell ref="AR360:AR363"/>
    <mergeCell ref="AE360:AE363"/>
    <mergeCell ref="AF365:AF369"/>
    <mergeCell ref="AG365:AG369"/>
    <mergeCell ref="AH365:AH369"/>
    <mergeCell ref="AI365:AI369"/>
    <mergeCell ref="AJ365:AJ369"/>
    <mergeCell ref="AK365:AK369"/>
    <mergeCell ref="BA365:BA368"/>
    <mergeCell ref="BB365:BB369"/>
    <mergeCell ref="BC365:BC368"/>
    <mergeCell ref="AV365:AV368"/>
    <mergeCell ref="AX365:AX369"/>
    <mergeCell ref="AY365:AY369"/>
    <mergeCell ref="AZ365:AZ369"/>
    <mergeCell ref="AL370:AL373"/>
    <mergeCell ref="AR370:AR373"/>
    <mergeCell ref="AE370:AE373"/>
    <mergeCell ref="AF370:AF373"/>
    <mergeCell ref="AG370:AG373"/>
    <mergeCell ref="AH370:AH373"/>
    <mergeCell ref="AI370:AI373"/>
    <mergeCell ref="AJ370:AJ373"/>
    <mergeCell ref="AK370:AK373"/>
    <mergeCell ref="BB370:BB373"/>
    <mergeCell ref="BC370:BC372"/>
    <mergeCell ref="AT370:AT372"/>
    <mergeCell ref="AU370:AU372"/>
    <mergeCell ref="AV370:AV372"/>
    <mergeCell ref="AX370:AX373"/>
    <mergeCell ref="AY370:AY373"/>
    <mergeCell ref="AZ370:AZ373"/>
    <mergeCell ref="BA370:BA372"/>
    <mergeCell ref="A365:A369"/>
    <mergeCell ref="B365:B369"/>
    <mergeCell ref="H365:H369"/>
    <mergeCell ref="J365:J369"/>
    <mergeCell ref="M365:M369"/>
    <mergeCell ref="N365:N369"/>
    <mergeCell ref="O365:O369"/>
    <mergeCell ref="P370:P373"/>
    <mergeCell ref="Q370:Q373"/>
    <mergeCell ref="R370:R373"/>
    <mergeCell ref="S370:S373"/>
    <mergeCell ref="T370:T373"/>
    <mergeCell ref="Z370:Z373"/>
    <mergeCell ref="AB370:AB373"/>
    <mergeCell ref="AL365:AL369"/>
    <mergeCell ref="AR365:AR369"/>
    <mergeCell ref="AT365:AT368"/>
    <mergeCell ref="A370:A373"/>
    <mergeCell ref="B370:B373"/>
    <mergeCell ref="H370:H373"/>
    <mergeCell ref="J370:J373"/>
    <mergeCell ref="M370:M373"/>
    <mergeCell ref="N370:N373"/>
    <mergeCell ref="O370:O373"/>
    <mergeCell ref="P365:P369"/>
    <mergeCell ref="Q365:Q369"/>
    <mergeCell ref="R365:R369"/>
    <mergeCell ref="S365:S369"/>
    <mergeCell ref="T365:T369"/>
    <mergeCell ref="Z365:Z369"/>
    <mergeCell ref="AB365:AB369"/>
    <mergeCell ref="AE365:AE369"/>
    <mergeCell ref="AL378:AL381"/>
    <mergeCell ref="AR378:AR381"/>
    <mergeCell ref="AE378:AE381"/>
    <mergeCell ref="AF378:AF381"/>
    <mergeCell ref="AG378:AG381"/>
    <mergeCell ref="AH378:AH381"/>
    <mergeCell ref="AI378:AI381"/>
    <mergeCell ref="AJ378:AJ381"/>
    <mergeCell ref="AK378:AK381"/>
    <mergeCell ref="P378:P381"/>
    <mergeCell ref="Q378:Q381"/>
    <mergeCell ref="R378:R381"/>
    <mergeCell ref="S378:S381"/>
    <mergeCell ref="T378:T381"/>
    <mergeCell ref="Z378:Z381"/>
    <mergeCell ref="AB378:AB381"/>
    <mergeCell ref="A378:A381"/>
    <mergeCell ref="B378:B381"/>
    <mergeCell ref="H378:H381"/>
    <mergeCell ref="J378:J381"/>
    <mergeCell ref="M378:M381"/>
    <mergeCell ref="N378:N381"/>
    <mergeCell ref="O378:O381"/>
    <mergeCell ref="AX490:AX493"/>
    <mergeCell ref="AY490:AY493"/>
    <mergeCell ref="AL486:AL489"/>
    <mergeCell ref="AR486:AR489"/>
    <mergeCell ref="AT486:AT488"/>
    <mergeCell ref="AX486:AX489"/>
    <mergeCell ref="AY486:AY489"/>
    <mergeCell ref="AZ486:AZ489"/>
    <mergeCell ref="AT490:AT493"/>
    <mergeCell ref="AZ490:AZ493"/>
    <mergeCell ref="P486:P489"/>
    <mergeCell ref="Q486:Q489"/>
    <mergeCell ref="R486:R489"/>
    <mergeCell ref="S486:S489"/>
    <mergeCell ref="T486:T489"/>
    <mergeCell ref="Z486:Z489"/>
    <mergeCell ref="AB486:AB489"/>
    <mergeCell ref="AE486:AE489"/>
    <mergeCell ref="AF486:AF489"/>
    <mergeCell ref="AG486:AG489"/>
    <mergeCell ref="AH486:AH489"/>
    <mergeCell ref="AI486:AI489"/>
    <mergeCell ref="AJ486:AJ489"/>
    <mergeCell ref="AK486:AK489"/>
    <mergeCell ref="AF490:AF493"/>
    <mergeCell ref="AG490:AG493"/>
    <mergeCell ref="AH490:AH493"/>
    <mergeCell ref="AI490:AI493"/>
    <mergeCell ref="AJ490:AJ493"/>
    <mergeCell ref="AK490:AK493"/>
    <mergeCell ref="BA486:BA488"/>
    <mergeCell ref="BB486:BB489"/>
    <mergeCell ref="BC486:BC488"/>
    <mergeCell ref="BA490:BA493"/>
    <mergeCell ref="BB490:BB493"/>
    <mergeCell ref="BC490:BC493"/>
    <mergeCell ref="A486:A489"/>
    <mergeCell ref="B486:B489"/>
    <mergeCell ref="H486:H489"/>
    <mergeCell ref="J486:J489"/>
    <mergeCell ref="M486:M489"/>
    <mergeCell ref="N486:N489"/>
    <mergeCell ref="O486:O489"/>
    <mergeCell ref="A490:A493"/>
    <mergeCell ref="B490:B493"/>
    <mergeCell ref="H490:H493"/>
    <mergeCell ref="J490:J493"/>
    <mergeCell ref="M490:M493"/>
    <mergeCell ref="N490:N493"/>
    <mergeCell ref="O490:O493"/>
    <mergeCell ref="P490:P493"/>
    <mergeCell ref="Q490:Q493"/>
    <mergeCell ref="R490:R493"/>
    <mergeCell ref="S490:S493"/>
    <mergeCell ref="T490:T493"/>
    <mergeCell ref="Z490:Z493"/>
    <mergeCell ref="AB490:AB493"/>
    <mergeCell ref="AV486:AV488"/>
    <mergeCell ref="AV490:AV493"/>
    <mergeCell ref="AL490:AL493"/>
    <mergeCell ref="AR490:AR493"/>
    <mergeCell ref="AE490:AE493"/>
    <mergeCell ref="AF469:AF473"/>
    <mergeCell ref="AG469:AG473"/>
    <mergeCell ref="AH469:AH473"/>
    <mergeCell ref="AI469:AI473"/>
    <mergeCell ref="AJ469:AJ473"/>
    <mergeCell ref="AK469:AK473"/>
    <mergeCell ref="BA469:BA472"/>
    <mergeCell ref="BB469:BB473"/>
    <mergeCell ref="BC469:BC472"/>
    <mergeCell ref="AV469:AV472"/>
    <mergeCell ref="AX469:AX473"/>
    <mergeCell ref="AY469:AY473"/>
    <mergeCell ref="AZ469:AZ473"/>
    <mergeCell ref="AL474:AL477"/>
    <mergeCell ref="AR474:AR477"/>
    <mergeCell ref="AE474:AE477"/>
    <mergeCell ref="AF474:AF477"/>
    <mergeCell ref="AG474:AG477"/>
    <mergeCell ref="AH474:AH477"/>
    <mergeCell ref="AI474:AI477"/>
    <mergeCell ref="AJ474:AJ477"/>
    <mergeCell ref="AK474:AK477"/>
    <mergeCell ref="BB474:BB477"/>
    <mergeCell ref="BC474:BC476"/>
    <mergeCell ref="AT474:AT476"/>
    <mergeCell ref="AU474:AU476"/>
    <mergeCell ref="AV474:AV476"/>
    <mergeCell ref="AX474:AX477"/>
    <mergeCell ref="AY474:AY477"/>
    <mergeCell ref="AZ474:AZ477"/>
    <mergeCell ref="BA474:BA476"/>
    <mergeCell ref="A469:A473"/>
    <mergeCell ref="B469:B473"/>
    <mergeCell ref="H469:H473"/>
    <mergeCell ref="J469:J473"/>
    <mergeCell ref="M469:M473"/>
    <mergeCell ref="N469:N473"/>
    <mergeCell ref="O469:O473"/>
    <mergeCell ref="P474:P477"/>
    <mergeCell ref="Q474:Q477"/>
    <mergeCell ref="R474:R477"/>
    <mergeCell ref="S474:S477"/>
    <mergeCell ref="T474:T477"/>
    <mergeCell ref="Z474:Z477"/>
    <mergeCell ref="AB474:AB477"/>
    <mergeCell ref="AL469:AL473"/>
    <mergeCell ref="AR469:AR473"/>
    <mergeCell ref="AT469:AT472"/>
    <mergeCell ref="A474:A477"/>
    <mergeCell ref="B474:B477"/>
    <mergeCell ref="H474:H477"/>
    <mergeCell ref="J474:J477"/>
    <mergeCell ref="M474:M477"/>
    <mergeCell ref="N474:N477"/>
    <mergeCell ref="O474:O477"/>
    <mergeCell ref="P469:P473"/>
    <mergeCell ref="Q469:Q473"/>
    <mergeCell ref="R469:R473"/>
    <mergeCell ref="S469:S473"/>
    <mergeCell ref="T469:T473"/>
    <mergeCell ref="Z469:Z473"/>
    <mergeCell ref="AB469:AB473"/>
    <mergeCell ref="AE469:AE473"/>
    <mergeCell ref="T478:T481"/>
    <mergeCell ref="Z478:Z481"/>
    <mergeCell ref="AB478:AB481"/>
    <mergeCell ref="AE478:AE481"/>
    <mergeCell ref="AF478:AF481"/>
    <mergeCell ref="AG478:AG481"/>
    <mergeCell ref="AH478:AH481"/>
    <mergeCell ref="AI478:AI481"/>
    <mergeCell ref="AJ478:AJ481"/>
    <mergeCell ref="AK478:AK481"/>
    <mergeCell ref="AZ478:AZ481"/>
    <mergeCell ref="BA478:BA480"/>
    <mergeCell ref="BB478:BB480"/>
    <mergeCell ref="AL482:AL485"/>
    <mergeCell ref="AR482:AR485"/>
    <mergeCell ref="AE482:AE485"/>
    <mergeCell ref="AF482:AF485"/>
    <mergeCell ref="AG482:AG485"/>
    <mergeCell ref="AH482:AH485"/>
    <mergeCell ref="AI482:AI485"/>
    <mergeCell ref="AJ482:AJ485"/>
    <mergeCell ref="AK482:AK485"/>
    <mergeCell ref="AX482:AX485"/>
    <mergeCell ref="AY482:AY485"/>
    <mergeCell ref="AL478:AL481"/>
    <mergeCell ref="AR478:AR481"/>
    <mergeCell ref="AT478:AT480"/>
    <mergeCell ref="AU478:AU480"/>
    <mergeCell ref="AX478:AX481"/>
    <mergeCell ref="AY478:AY481"/>
    <mergeCell ref="AT482:AT485"/>
    <mergeCell ref="BC478:BC480"/>
    <mergeCell ref="AZ482:AZ485"/>
    <mergeCell ref="BA482:BA483"/>
    <mergeCell ref="BB482:BB483"/>
    <mergeCell ref="BC482:BC483"/>
    <mergeCell ref="A478:A481"/>
    <mergeCell ref="B478:B481"/>
    <mergeCell ref="H478:H481"/>
    <mergeCell ref="J478:J481"/>
    <mergeCell ref="M478:M481"/>
    <mergeCell ref="N478:N481"/>
    <mergeCell ref="O478:O481"/>
    <mergeCell ref="P482:P485"/>
    <mergeCell ref="Q482:Q485"/>
    <mergeCell ref="R482:R485"/>
    <mergeCell ref="S482:S485"/>
    <mergeCell ref="T482:T485"/>
    <mergeCell ref="Z482:Z485"/>
    <mergeCell ref="AB482:AB485"/>
    <mergeCell ref="AV478:AV480"/>
    <mergeCell ref="AV482:AV483"/>
    <mergeCell ref="A482:A485"/>
    <mergeCell ref="B482:B485"/>
    <mergeCell ref="H482:H485"/>
    <mergeCell ref="J482:J485"/>
    <mergeCell ref="M482:M485"/>
    <mergeCell ref="N482:N485"/>
    <mergeCell ref="O482:O485"/>
    <mergeCell ref="P478:P481"/>
    <mergeCell ref="Q478:Q481"/>
    <mergeCell ref="R478:R481"/>
    <mergeCell ref="S478:S481"/>
    <mergeCell ref="P495:P499"/>
    <mergeCell ref="Q495:Q499"/>
    <mergeCell ref="R495:R499"/>
    <mergeCell ref="S495:S499"/>
    <mergeCell ref="T495:T499"/>
    <mergeCell ref="Z495:Z499"/>
    <mergeCell ref="AB495:AB499"/>
    <mergeCell ref="AE495:AE499"/>
    <mergeCell ref="AF495:AF499"/>
    <mergeCell ref="AG495:AG499"/>
    <mergeCell ref="AH495:AH499"/>
    <mergeCell ref="AI495:AI499"/>
    <mergeCell ref="AJ495:AJ499"/>
    <mergeCell ref="AK495:AK499"/>
    <mergeCell ref="BA495:BA498"/>
    <mergeCell ref="BB495:BB499"/>
    <mergeCell ref="BC495:BC498"/>
    <mergeCell ref="AL495:AL499"/>
    <mergeCell ref="AR495:AR499"/>
    <mergeCell ref="AT495:AT498"/>
    <mergeCell ref="AV495:AV498"/>
    <mergeCell ref="AX495:AX499"/>
    <mergeCell ref="AY495:AY499"/>
    <mergeCell ref="AZ495:AZ499"/>
    <mergeCell ref="A495:A499"/>
    <mergeCell ref="B495:B499"/>
    <mergeCell ref="H495:H499"/>
    <mergeCell ref="J495:J499"/>
    <mergeCell ref="M495:M499"/>
    <mergeCell ref="N495:N499"/>
    <mergeCell ref="O495:O499"/>
    <mergeCell ref="AL504:AL507"/>
    <mergeCell ref="AR504:AR507"/>
    <mergeCell ref="AE504:AE507"/>
    <mergeCell ref="AF504:AF507"/>
    <mergeCell ref="AG504:AG507"/>
    <mergeCell ref="AH504:AH507"/>
    <mergeCell ref="AI504:AI507"/>
    <mergeCell ref="AJ504:AJ507"/>
    <mergeCell ref="AK504:AK507"/>
    <mergeCell ref="BB504:BB506"/>
    <mergeCell ref="A500:A503"/>
    <mergeCell ref="B500:B503"/>
    <mergeCell ref="H500:H503"/>
    <mergeCell ref="J500:J503"/>
    <mergeCell ref="M500:M503"/>
    <mergeCell ref="N500:N503"/>
    <mergeCell ref="O500:O503"/>
    <mergeCell ref="AB504:AB507"/>
    <mergeCell ref="AL500:AL503"/>
    <mergeCell ref="AR500:AR503"/>
    <mergeCell ref="AT500:AT502"/>
    <mergeCell ref="AU500:AU502"/>
    <mergeCell ref="AV500:AV502"/>
    <mergeCell ref="AX500:AX503"/>
    <mergeCell ref="AY500:AY503"/>
    <mergeCell ref="BC504:BC506"/>
    <mergeCell ref="AT504:AT506"/>
    <mergeCell ref="AU504:AU506"/>
    <mergeCell ref="AV504:AV506"/>
    <mergeCell ref="AX504:AX507"/>
    <mergeCell ref="AY504:AY507"/>
    <mergeCell ref="AZ504:AZ507"/>
    <mergeCell ref="BA504:BA506"/>
    <mergeCell ref="P500:P503"/>
    <mergeCell ref="Q500:Q503"/>
    <mergeCell ref="R500:R503"/>
    <mergeCell ref="S500:S503"/>
    <mergeCell ref="T500:T503"/>
    <mergeCell ref="Z500:Z503"/>
    <mergeCell ref="AB500:AB503"/>
    <mergeCell ref="AE500:AE503"/>
    <mergeCell ref="AF500:AF503"/>
    <mergeCell ref="AG500:AG503"/>
    <mergeCell ref="AH500:AH503"/>
    <mergeCell ref="AI500:AI503"/>
    <mergeCell ref="AJ500:AJ503"/>
    <mergeCell ref="AK500:AK503"/>
    <mergeCell ref="AZ500:AZ503"/>
    <mergeCell ref="BA500:BA502"/>
    <mergeCell ref="BB500:BB503"/>
    <mergeCell ref="BC500:BC502"/>
    <mergeCell ref="P504:P507"/>
    <mergeCell ref="Q504:Q507"/>
    <mergeCell ref="R504:R507"/>
    <mergeCell ref="S504:S507"/>
    <mergeCell ref="T504:T507"/>
    <mergeCell ref="Z504:Z507"/>
    <mergeCell ref="A504:A507"/>
    <mergeCell ref="B504:B507"/>
    <mergeCell ref="H504:H507"/>
    <mergeCell ref="J504:J507"/>
    <mergeCell ref="M504:M507"/>
    <mergeCell ref="N504:N507"/>
    <mergeCell ref="O504:O507"/>
    <mergeCell ref="AL512:AL515"/>
    <mergeCell ref="AR512:AR515"/>
    <mergeCell ref="AE512:AE515"/>
    <mergeCell ref="AF512:AF515"/>
    <mergeCell ref="AG512:AG515"/>
    <mergeCell ref="AH512:AH515"/>
    <mergeCell ref="AI512:AI515"/>
    <mergeCell ref="AJ512:AJ515"/>
    <mergeCell ref="AK512:AK515"/>
    <mergeCell ref="AV508:AV509"/>
    <mergeCell ref="AV512:AV514"/>
    <mergeCell ref="AL508:AL511"/>
    <mergeCell ref="AR508:AR511"/>
    <mergeCell ref="AT508:AT511"/>
    <mergeCell ref="AY508:AY511"/>
    <mergeCell ref="AZ508:AZ511"/>
    <mergeCell ref="AT512:AT514"/>
    <mergeCell ref="P508:P511"/>
    <mergeCell ref="Q508:Q511"/>
    <mergeCell ref="R508:R511"/>
    <mergeCell ref="S508:S511"/>
    <mergeCell ref="T508:T511"/>
    <mergeCell ref="Z508:Z511"/>
    <mergeCell ref="AB508:AB511"/>
    <mergeCell ref="AE508:AE511"/>
    <mergeCell ref="AF508:AF511"/>
    <mergeCell ref="AG508:AG511"/>
    <mergeCell ref="AH508:AH511"/>
    <mergeCell ref="AI508:AI511"/>
    <mergeCell ref="AJ508:AJ511"/>
    <mergeCell ref="AK508:AK511"/>
    <mergeCell ref="AK526:AK529"/>
    <mergeCell ref="BA508:BA509"/>
    <mergeCell ref="BB508:BB509"/>
    <mergeCell ref="BC508:BC509"/>
    <mergeCell ref="A508:A511"/>
    <mergeCell ref="B508:B511"/>
    <mergeCell ref="H508:H511"/>
    <mergeCell ref="J508:J511"/>
    <mergeCell ref="M508:M511"/>
    <mergeCell ref="N508:N511"/>
    <mergeCell ref="O508:O511"/>
    <mergeCell ref="P512:P515"/>
    <mergeCell ref="Q512:Q515"/>
    <mergeCell ref="R512:R515"/>
    <mergeCell ref="S512:S515"/>
    <mergeCell ref="T512:T515"/>
    <mergeCell ref="Z512:Z515"/>
    <mergeCell ref="AB512:AB515"/>
    <mergeCell ref="AX512:AX515"/>
    <mergeCell ref="AY512:AY515"/>
    <mergeCell ref="AZ512:AZ515"/>
    <mergeCell ref="BA512:BA514"/>
    <mergeCell ref="BB512:BB515"/>
    <mergeCell ref="BC512:BC514"/>
    <mergeCell ref="A512:A515"/>
    <mergeCell ref="B512:B515"/>
    <mergeCell ref="H512:H515"/>
    <mergeCell ref="J512:J515"/>
    <mergeCell ref="M512:M515"/>
    <mergeCell ref="N512:N515"/>
    <mergeCell ref="O512:O515"/>
    <mergeCell ref="AX508:AX511"/>
    <mergeCell ref="AV526:AV528"/>
    <mergeCell ref="AX526:AX529"/>
    <mergeCell ref="AY526:AY529"/>
    <mergeCell ref="A526:A529"/>
    <mergeCell ref="B526:B529"/>
    <mergeCell ref="H526:H529"/>
    <mergeCell ref="J526:J529"/>
    <mergeCell ref="M526:M529"/>
    <mergeCell ref="N526:N529"/>
    <mergeCell ref="O526:O529"/>
    <mergeCell ref="AL521:AL525"/>
    <mergeCell ref="AR521:AR525"/>
    <mergeCell ref="AE521:AE525"/>
    <mergeCell ref="AF521:AF525"/>
    <mergeCell ref="AG521:AG525"/>
    <mergeCell ref="AH521:AH525"/>
    <mergeCell ref="AI521:AI525"/>
    <mergeCell ref="AJ521:AJ525"/>
    <mergeCell ref="AK521:AK525"/>
    <mergeCell ref="P526:P529"/>
    <mergeCell ref="Q526:Q529"/>
    <mergeCell ref="R526:R529"/>
    <mergeCell ref="S526:S529"/>
    <mergeCell ref="T526:T529"/>
    <mergeCell ref="Z526:Z529"/>
    <mergeCell ref="AB526:AB529"/>
    <mergeCell ref="AE526:AE529"/>
    <mergeCell ref="AF526:AF529"/>
    <mergeCell ref="AG526:AG529"/>
    <mergeCell ref="AH526:AH529"/>
    <mergeCell ref="AI526:AI529"/>
    <mergeCell ref="AJ526:AJ529"/>
    <mergeCell ref="BA516:BA519"/>
    <mergeCell ref="BB516:BB519"/>
    <mergeCell ref="BC516:BC519"/>
    <mergeCell ref="A542:A545"/>
    <mergeCell ref="B542:B545"/>
    <mergeCell ref="H542:H545"/>
    <mergeCell ref="J542:J545"/>
    <mergeCell ref="M542:M545"/>
    <mergeCell ref="N542:N545"/>
    <mergeCell ref="O542:O545"/>
    <mergeCell ref="AE542:AE545"/>
    <mergeCell ref="AF542:AF545"/>
    <mergeCell ref="AG542:AG545"/>
    <mergeCell ref="AH542:AH545"/>
    <mergeCell ref="AI542:AI545"/>
    <mergeCell ref="AJ542:AJ545"/>
    <mergeCell ref="AK542:AK545"/>
    <mergeCell ref="P542:P545"/>
    <mergeCell ref="Q542:Q545"/>
    <mergeCell ref="R542:R545"/>
    <mergeCell ref="S542:S545"/>
    <mergeCell ref="T542:T545"/>
    <mergeCell ref="Z542:Z545"/>
    <mergeCell ref="AB542:AB545"/>
    <mergeCell ref="AZ526:AZ529"/>
    <mergeCell ref="BA526:BA528"/>
    <mergeCell ref="BB526:BB529"/>
    <mergeCell ref="BC526:BC528"/>
    <mergeCell ref="AL526:AL529"/>
    <mergeCell ref="AR526:AR529"/>
    <mergeCell ref="AT526:AT528"/>
    <mergeCell ref="AU526:AU528"/>
    <mergeCell ref="AB521:AB525"/>
    <mergeCell ref="AX521:AX525"/>
    <mergeCell ref="AY521:AY525"/>
    <mergeCell ref="AZ521:AZ525"/>
    <mergeCell ref="P516:P519"/>
    <mergeCell ref="Q516:Q519"/>
    <mergeCell ref="R516:R519"/>
    <mergeCell ref="S516:S519"/>
    <mergeCell ref="T516:T519"/>
    <mergeCell ref="Z516:Z519"/>
    <mergeCell ref="AB516:AB519"/>
    <mergeCell ref="AE516:AE519"/>
    <mergeCell ref="AF516:AF519"/>
    <mergeCell ref="AG516:AG519"/>
    <mergeCell ref="AH516:AH519"/>
    <mergeCell ref="AI516:AI519"/>
    <mergeCell ref="AJ516:AJ519"/>
    <mergeCell ref="AK516:AK519"/>
    <mergeCell ref="BA521:BA524"/>
    <mergeCell ref="BB521:BB525"/>
    <mergeCell ref="BC521:BC524"/>
    <mergeCell ref="A521:A525"/>
    <mergeCell ref="B521:B525"/>
    <mergeCell ref="H521:H525"/>
    <mergeCell ref="J521:J525"/>
    <mergeCell ref="M521:M525"/>
    <mergeCell ref="N521:N525"/>
    <mergeCell ref="O521:O525"/>
    <mergeCell ref="AL516:AL519"/>
    <mergeCell ref="AR516:AR519"/>
    <mergeCell ref="AT516:AT519"/>
    <mergeCell ref="AX516:AX519"/>
    <mergeCell ref="AY516:AY519"/>
    <mergeCell ref="AZ516:AZ519"/>
    <mergeCell ref="AT521:AT524"/>
    <mergeCell ref="AV516:AV519"/>
    <mergeCell ref="AV521:AV524"/>
    <mergeCell ref="A516:A519"/>
    <mergeCell ref="B516:B519"/>
    <mergeCell ref="H516:H519"/>
    <mergeCell ref="J516:J519"/>
    <mergeCell ref="M516:M519"/>
    <mergeCell ref="N516:N519"/>
    <mergeCell ref="O516:O519"/>
    <mergeCell ref="P521:P525"/>
    <mergeCell ref="Q521:Q525"/>
    <mergeCell ref="R521:R525"/>
    <mergeCell ref="S521:S525"/>
    <mergeCell ref="T521:T525"/>
    <mergeCell ref="Z521:Z525"/>
    <mergeCell ref="CY540:CY545"/>
    <mergeCell ref="CZ540:CZ545"/>
    <mergeCell ref="DA540:DA545"/>
    <mergeCell ref="DB540:DB542"/>
    <mergeCell ref="DC540:DC542"/>
    <mergeCell ref="DB543:DB545"/>
    <mergeCell ref="DC543:DC545"/>
    <mergeCell ref="AL542:AL545"/>
    <mergeCell ref="AR542:AR545"/>
    <mergeCell ref="AT542:AT545"/>
    <mergeCell ref="AY542:AY545"/>
    <mergeCell ref="AZ542:AZ545"/>
    <mergeCell ref="BA542:BA545"/>
    <mergeCell ref="BB542:BB545"/>
    <mergeCell ref="CO540:CO542"/>
    <mergeCell ref="CO543:CO545"/>
    <mergeCell ref="CW543:CW545"/>
    <mergeCell ref="CX543:CX545"/>
    <mergeCell ref="AV542:AV545"/>
    <mergeCell ref="AX542:AX545"/>
    <mergeCell ref="CN540:CN545"/>
    <mergeCell ref="CU540:CU545"/>
    <mergeCell ref="CW540:CW542"/>
    <mergeCell ref="CX540:CX542"/>
    <mergeCell ref="BC542:BC545"/>
    <mergeCell ref="BA538:BA540"/>
    <mergeCell ref="BB538:BB541"/>
    <mergeCell ref="BC538:BC540"/>
    <mergeCell ref="AY538:AY541"/>
    <mergeCell ref="AZ538:AZ541"/>
    <mergeCell ref="CW547:CW549"/>
    <mergeCell ref="CW550:CW552"/>
    <mergeCell ref="CN547:CN552"/>
    <mergeCell ref="CO547:CO549"/>
    <mergeCell ref="CU547:CU552"/>
    <mergeCell ref="CX547:CX549"/>
    <mergeCell ref="CY547:CY552"/>
    <mergeCell ref="CZ547:CZ552"/>
    <mergeCell ref="CO550:CO552"/>
    <mergeCell ref="CX550:CX552"/>
    <mergeCell ref="DB550:DB552"/>
    <mergeCell ref="DC550:DC552"/>
    <mergeCell ref="DM547:DM549"/>
    <mergeCell ref="DM550:DM552"/>
    <mergeCell ref="DA547:DA552"/>
    <mergeCell ref="DB547:DB549"/>
    <mergeCell ref="DC547:DC549"/>
    <mergeCell ref="DD547:DD552"/>
    <mergeCell ref="DE547:DE549"/>
    <mergeCell ref="DK547:DK552"/>
    <mergeCell ref="DE550:DE552"/>
    <mergeCell ref="DN547:DN549"/>
    <mergeCell ref="DO547:DO552"/>
    <mergeCell ref="DP547:DP552"/>
    <mergeCell ref="DQ547:DQ552"/>
    <mergeCell ref="DR547:DR549"/>
    <mergeCell ref="DS547:DS549"/>
    <mergeCell ref="DN550:DN552"/>
    <mergeCell ref="CY553:CY558"/>
    <mergeCell ref="CZ553:CZ558"/>
    <mergeCell ref="DA553:DA558"/>
    <mergeCell ref="DB553:DB555"/>
    <mergeCell ref="DC553:DC555"/>
    <mergeCell ref="DD553:DD558"/>
    <mergeCell ref="DM553:DM555"/>
    <mergeCell ref="DN553:DN555"/>
    <mergeCell ref="DO553:DO558"/>
    <mergeCell ref="DP553:DP558"/>
    <mergeCell ref="DR550:DR552"/>
    <mergeCell ref="DR553:DR555"/>
    <mergeCell ref="DR556:DR558"/>
    <mergeCell ref="DS556:DS558"/>
    <mergeCell ref="DP565:DP570"/>
    <mergeCell ref="DE568:DE570"/>
    <mergeCell ref="DN568:DN570"/>
    <mergeCell ref="CO571:CO573"/>
    <mergeCell ref="CO574:CO576"/>
    <mergeCell ref="CU559:CU564"/>
    <mergeCell ref="CN565:CN570"/>
    <mergeCell ref="CO565:CO567"/>
    <mergeCell ref="CU565:CU570"/>
    <mergeCell ref="CO568:CO570"/>
    <mergeCell ref="CN571:CN576"/>
    <mergeCell ref="CU571:CU576"/>
    <mergeCell ref="DB568:DB570"/>
    <mergeCell ref="DC568:DC570"/>
    <mergeCell ref="DB571:DB573"/>
    <mergeCell ref="DC571:DC573"/>
    <mergeCell ref="DD571:DD576"/>
    <mergeCell ref="DE571:DE573"/>
    <mergeCell ref="DK571:DK576"/>
    <mergeCell ref="DE574:DE576"/>
    <mergeCell ref="CN559:CN564"/>
    <mergeCell ref="DC577:DC579"/>
    <mergeCell ref="DD577:DD582"/>
    <mergeCell ref="DE577:DE579"/>
    <mergeCell ref="DK577:DK582"/>
    <mergeCell ref="DC580:DC582"/>
    <mergeCell ref="DE580:DE582"/>
    <mergeCell ref="DK584:DK589"/>
    <mergeCell ref="CX580:CX582"/>
    <mergeCell ref="CW584:CW586"/>
    <mergeCell ref="CX584:CX586"/>
    <mergeCell ref="CY584:CY589"/>
    <mergeCell ref="CZ584:CZ589"/>
    <mergeCell ref="DA584:DA589"/>
    <mergeCell ref="DB584:DB586"/>
    <mergeCell ref="DD584:DD589"/>
    <mergeCell ref="DB587:DB589"/>
    <mergeCell ref="DC587:DC589"/>
    <mergeCell ref="CN577:CN582"/>
    <mergeCell ref="CO577:CO579"/>
    <mergeCell ref="CU577:CU582"/>
    <mergeCell ref="CX577:CX579"/>
    <mergeCell ref="CU584:CU589"/>
    <mergeCell ref="DC584:DC586"/>
    <mergeCell ref="DA590:DA595"/>
    <mergeCell ref="DB590:DB592"/>
    <mergeCell ref="DC590:DC592"/>
    <mergeCell ref="DD590:DD595"/>
    <mergeCell ref="DE590:DE592"/>
    <mergeCell ref="DB593:DB595"/>
    <mergeCell ref="DC593:DC595"/>
    <mergeCell ref="DE593:DE595"/>
    <mergeCell ref="CN584:CN589"/>
    <mergeCell ref="CO587:CO589"/>
    <mergeCell ref="CN590:CN595"/>
    <mergeCell ref="CO590:CO592"/>
    <mergeCell ref="CO593:CO595"/>
    <mergeCell ref="CY590:CY595"/>
    <mergeCell ref="CZ590:CZ595"/>
    <mergeCell ref="CY577:CY582"/>
    <mergeCell ref="CZ577:CZ582"/>
    <mergeCell ref="DB577:DB579"/>
    <mergeCell ref="CW577:CW579"/>
    <mergeCell ref="CW580:CW582"/>
    <mergeCell ref="DA577:DA582"/>
    <mergeCell ref="DB580:DB582"/>
    <mergeCell ref="CO580:CO582"/>
    <mergeCell ref="CO584:CO586"/>
    <mergeCell ref="DE584:DE586"/>
    <mergeCell ref="DE587:DE589"/>
    <mergeCell ref="CO596:CO598"/>
    <mergeCell ref="CO599:CO601"/>
    <mergeCell ref="CO602:CO604"/>
    <mergeCell ref="DC599:DC601"/>
    <mergeCell ref="DC602:DC604"/>
    <mergeCell ref="DE602:DE604"/>
    <mergeCell ref="DA596:DA601"/>
    <mergeCell ref="DB596:DB598"/>
    <mergeCell ref="DC596:DC598"/>
    <mergeCell ref="DD596:DD601"/>
    <mergeCell ref="DE596:DE598"/>
    <mergeCell ref="DB599:DB601"/>
    <mergeCell ref="DE599:DE601"/>
    <mergeCell ref="DE553:DE555"/>
    <mergeCell ref="DK553:DK558"/>
    <mergeCell ref="DE556:DE558"/>
    <mergeCell ref="CO553:CO555"/>
    <mergeCell ref="CO556:CO558"/>
    <mergeCell ref="CO559:CO561"/>
    <mergeCell ref="CO562:CO564"/>
    <mergeCell ref="CW556:CW558"/>
    <mergeCell ref="CX556:CX558"/>
    <mergeCell ref="CX559:CX561"/>
    <mergeCell ref="CY559:CY564"/>
    <mergeCell ref="CZ559:CZ564"/>
    <mergeCell ref="DA559:DA564"/>
    <mergeCell ref="CX562:CX564"/>
    <mergeCell ref="CW587:CW589"/>
    <mergeCell ref="CX587:CX589"/>
    <mergeCell ref="CU590:CU595"/>
    <mergeCell ref="CW590:CW592"/>
    <mergeCell ref="CX590:CX592"/>
    <mergeCell ref="DR559:DR561"/>
    <mergeCell ref="DS559:DS561"/>
    <mergeCell ref="DR562:DR564"/>
    <mergeCell ref="DS562:DS564"/>
    <mergeCell ref="DS550:DS552"/>
    <mergeCell ref="CN553:CN558"/>
    <mergeCell ref="CU553:CU558"/>
    <mergeCell ref="CW553:CW555"/>
    <mergeCell ref="CX553:CX555"/>
    <mergeCell ref="DQ553:DQ558"/>
    <mergeCell ref="DS553:DS555"/>
    <mergeCell ref="CW559:CW561"/>
    <mergeCell ref="CW562:CW564"/>
    <mergeCell ref="DE559:DE561"/>
    <mergeCell ref="DE562:DE564"/>
    <mergeCell ref="DM559:DM561"/>
    <mergeCell ref="DM562:DM564"/>
    <mergeCell ref="DM556:DM558"/>
    <mergeCell ref="DN556:DN558"/>
    <mergeCell ref="DK559:DK564"/>
    <mergeCell ref="DN559:DN561"/>
    <mergeCell ref="DO559:DO564"/>
    <mergeCell ref="DP559:DP564"/>
    <mergeCell ref="DQ559:DQ564"/>
    <mergeCell ref="DN562:DN564"/>
    <mergeCell ref="DB556:DB558"/>
    <mergeCell ref="DC556:DC558"/>
    <mergeCell ref="DB559:DB561"/>
    <mergeCell ref="DC559:DC561"/>
    <mergeCell ref="DD559:DD564"/>
    <mergeCell ref="DB562:DB564"/>
    <mergeCell ref="DC562:DC564"/>
    <mergeCell ref="DQ565:DQ570"/>
    <mergeCell ref="DR565:DR567"/>
    <mergeCell ref="DS565:DS567"/>
    <mergeCell ref="DR568:DR570"/>
    <mergeCell ref="DS568:DS570"/>
    <mergeCell ref="CW565:CW567"/>
    <mergeCell ref="CX565:CX567"/>
    <mergeCell ref="CY565:CY570"/>
    <mergeCell ref="CZ565:CZ570"/>
    <mergeCell ref="DA565:DA570"/>
    <mergeCell ref="DB565:DB567"/>
    <mergeCell ref="DC565:DC567"/>
    <mergeCell ref="CW574:CW576"/>
    <mergeCell ref="CX574:CX576"/>
    <mergeCell ref="CW568:CW570"/>
    <mergeCell ref="CX568:CX570"/>
    <mergeCell ref="CW571:CW573"/>
    <mergeCell ref="CX571:CX573"/>
    <mergeCell ref="CY571:CY576"/>
    <mergeCell ref="CZ571:CZ576"/>
    <mergeCell ref="DA571:DA576"/>
    <mergeCell ref="DM574:DM576"/>
    <mergeCell ref="DN574:DN576"/>
    <mergeCell ref="DB574:DB576"/>
    <mergeCell ref="DC574:DC576"/>
    <mergeCell ref="DM565:DM567"/>
    <mergeCell ref="DM568:DM570"/>
    <mergeCell ref="DD565:DD570"/>
    <mergeCell ref="DE565:DE567"/>
    <mergeCell ref="DK565:DK570"/>
    <mergeCell ref="DN565:DN567"/>
    <mergeCell ref="DO565:DO570"/>
    <mergeCell ref="CW599:CW601"/>
    <mergeCell ref="CX599:CX601"/>
    <mergeCell ref="CW593:CW595"/>
    <mergeCell ref="CX593:CX595"/>
    <mergeCell ref="CU596:CU601"/>
    <mergeCell ref="CW596:CW598"/>
    <mergeCell ref="CX596:CX598"/>
    <mergeCell ref="CY596:CY601"/>
    <mergeCell ref="CZ596:CZ601"/>
    <mergeCell ref="DR580:DR582"/>
    <mergeCell ref="DS580:DS582"/>
    <mergeCell ref="DR584:DR586"/>
    <mergeCell ref="DS584:DS586"/>
    <mergeCell ref="DR587:DR589"/>
    <mergeCell ref="DS587:DS589"/>
    <mergeCell ref="DS590:DS592"/>
    <mergeCell ref="DR608:DR610"/>
    <mergeCell ref="DS608:DS610"/>
    <mergeCell ref="DP596:DP601"/>
    <mergeCell ref="DK602:DK607"/>
    <mergeCell ref="DM605:DM607"/>
    <mergeCell ref="DN605:DN607"/>
    <mergeCell ref="DK608:DK613"/>
    <mergeCell ref="DN608:DN610"/>
    <mergeCell ref="DO608:DO613"/>
    <mergeCell ref="DP608:DP613"/>
    <mergeCell ref="DQ608:DQ613"/>
    <mergeCell ref="DN611:DN613"/>
    <mergeCell ref="DQ584:DQ589"/>
    <mergeCell ref="DS593:DS595"/>
    <mergeCell ref="DS596:DS598"/>
    <mergeCell ref="DS599:DS601"/>
    <mergeCell ref="DR611:DR613"/>
    <mergeCell ref="DS611:DS613"/>
    <mergeCell ref="DR614:DR616"/>
    <mergeCell ref="DS614:DS616"/>
    <mergeCell ref="DR617:DR619"/>
    <mergeCell ref="DS617:DS619"/>
    <mergeCell ref="DR590:DR592"/>
    <mergeCell ref="DR593:DR595"/>
    <mergeCell ref="DR596:DR598"/>
    <mergeCell ref="DR602:DR604"/>
    <mergeCell ref="DS602:DS604"/>
    <mergeCell ref="DR605:DR607"/>
    <mergeCell ref="DS605:DS607"/>
    <mergeCell ref="DM587:DM589"/>
    <mergeCell ref="DN587:DN589"/>
    <mergeCell ref="DK590:DK595"/>
    <mergeCell ref="DN590:DN592"/>
    <mergeCell ref="DO590:DO595"/>
    <mergeCell ref="DP590:DP595"/>
    <mergeCell ref="DQ590:DQ595"/>
    <mergeCell ref="DN593:DN595"/>
    <mergeCell ref="DN599:DN601"/>
    <mergeCell ref="DM602:DM604"/>
    <mergeCell ref="DN602:DN604"/>
    <mergeCell ref="DO602:DO607"/>
    <mergeCell ref="DP602:DP607"/>
    <mergeCell ref="DQ602:DQ607"/>
    <mergeCell ref="DM590:DM592"/>
    <mergeCell ref="DM593:DM595"/>
    <mergeCell ref="DK596:DK601"/>
    <mergeCell ref="DN596:DN598"/>
    <mergeCell ref="DO596:DO601"/>
    <mergeCell ref="DM614:DM616"/>
    <mergeCell ref="DM617:DM619"/>
    <mergeCell ref="DM608:DM610"/>
    <mergeCell ref="DM611:DM613"/>
    <mergeCell ref="DK614:DK619"/>
    <mergeCell ref="DN614:DN616"/>
    <mergeCell ref="DO614:DO619"/>
    <mergeCell ref="DP614:DP619"/>
    <mergeCell ref="DQ614:DQ619"/>
    <mergeCell ref="DN617:DN619"/>
    <mergeCell ref="DR574:DR576"/>
    <mergeCell ref="DS574:DS576"/>
    <mergeCell ref="DM571:DM573"/>
    <mergeCell ref="DN571:DN573"/>
    <mergeCell ref="DO571:DO576"/>
    <mergeCell ref="DP571:DP576"/>
    <mergeCell ref="DQ571:DQ576"/>
    <mergeCell ref="DR571:DR573"/>
    <mergeCell ref="DS571:DS573"/>
    <mergeCell ref="DM577:DM579"/>
    <mergeCell ref="DN577:DN579"/>
    <mergeCell ref="DO577:DO582"/>
    <mergeCell ref="DP577:DP582"/>
    <mergeCell ref="DQ577:DQ582"/>
    <mergeCell ref="DR577:DR579"/>
    <mergeCell ref="DS577:DS579"/>
    <mergeCell ref="DM580:DM582"/>
    <mergeCell ref="DN580:DN582"/>
    <mergeCell ref="DM584:DM586"/>
    <mergeCell ref="DN584:DN586"/>
    <mergeCell ref="DO584:DO589"/>
    <mergeCell ref="DP584:DP589"/>
    <mergeCell ref="DM596:DM598"/>
    <mergeCell ref="DM599:DM601"/>
    <mergeCell ref="DQ596:DQ601"/>
    <mergeCell ref="DR599:DR601"/>
    <mergeCell ref="DA602:DA607"/>
    <mergeCell ref="DB602:DB604"/>
    <mergeCell ref="DD602:DD607"/>
    <mergeCell ref="DB605:DB607"/>
    <mergeCell ref="DC605:DC607"/>
    <mergeCell ref="DE605:DE607"/>
    <mergeCell ref="CN602:CN607"/>
    <mergeCell ref="CN608:CN613"/>
    <mergeCell ref="CO608:CO610"/>
    <mergeCell ref="CO611:CO613"/>
    <mergeCell ref="CN614:CN619"/>
    <mergeCell ref="CO614:CO616"/>
    <mergeCell ref="CO617:CO619"/>
    <mergeCell ref="CN596:CN601"/>
    <mergeCell ref="CU602:CU607"/>
    <mergeCell ref="CX602:CX604"/>
    <mergeCell ref="CY602:CY607"/>
    <mergeCell ref="CZ602:CZ607"/>
    <mergeCell ref="CO605:CO607"/>
    <mergeCell ref="CX605:CX607"/>
    <mergeCell ref="DA608:DA613"/>
    <mergeCell ref="DB608:DB610"/>
    <mergeCell ref="DC608:DC610"/>
    <mergeCell ref="DD608:DD613"/>
    <mergeCell ref="DE608:DE610"/>
    <mergeCell ref="DB611:DB613"/>
    <mergeCell ref="DC611:DC613"/>
    <mergeCell ref="DE611:DE613"/>
    <mergeCell ref="CW602:CW604"/>
    <mergeCell ref="CW605:CW607"/>
    <mergeCell ref="CU608:CU613"/>
    <mergeCell ref="CW608:CW610"/>
    <mergeCell ref="CX608:CX610"/>
    <mergeCell ref="CY608:CY613"/>
    <mergeCell ref="CZ608:CZ613"/>
    <mergeCell ref="DA614:DA619"/>
    <mergeCell ref="DB614:DB616"/>
    <mergeCell ref="DC614:DC616"/>
    <mergeCell ref="DD614:DD619"/>
    <mergeCell ref="DE614:DE616"/>
    <mergeCell ref="DB617:DB619"/>
    <mergeCell ref="DC617:DC619"/>
    <mergeCell ref="DE617:DE619"/>
    <mergeCell ref="CW617:CW619"/>
    <mergeCell ref="CX617:CX619"/>
    <mergeCell ref="CW611:CW613"/>
    <mergeCell ref="CX611:CX613"/>
    <mergeCell ref="CU614:CU619"/>
    <mergeCell ref="CW614:CW616"/>
    <mergeCell ref="CX614:CX616"/>
    <mergeCell ref="CY614:CY619"/>
    <mergeCell ref="CZ614:CZ619"/>
    <mergeCell ref="AE584:AE589"/>
    <mergeCell ref="AF584:AF589"/>
    <mergeCell ref="AG584:AG589"/>
    <mergeCell ref="P547:P552"/>
    <mergeCell ref="Q547:Q552"/>
    <mergeCell ref="R547:R552"/>
    <mergeCell ref="S547:S552"/>
    <mergeCell ref="T547:T552"/>
    <mergeCell ref="Z547:Z552"/>
    <mergeCell ref="AB547:AB552"/>
    <mergeCell ref="AJ559:AJ564"/>
    <mergeCell ref="AK559:AK564"/>
    <mergeCell ref="AL559:AL564"/>
    <mergeCell ref="AB553:AB558"/>
    <mergeCell ref="AB559:AB564"/>
    <mergeCell ref="AE559:AE564"/>
    <mergeCell ref="AF559:AF564"/>
    <mergeCell ref="AG559:AG564"/>
    <mergeCell ref="AH559:AH564"/>
    <mergeCell ref="AI559:AI564"/>
    <mergeCell ref="P553:P558"/>
    <mergeCell ref="Q553:Q558"/>
    <mergeCell ref="R553:R558"/>
    <mergeCell ref="S553:S558"/>
    <mergeCell ref="T553:T558"/>
    <mergeCell ref="Z553:Z558"/>
    <mergeCell ref="Z559:Z564"/>
    <mergeCell ref="M584:M589"/>
    <mergeCell ref="N584:N589"/>
    <mergeCell ref="O584:O589"/>
    <mergeCell ref="P584:P589"/>
    <mergeCell ref="Q584:Q589"/>
    <mergeCell ref="R584:R589"/>
    <mergeCell ref="S584:S589"/>
    <mergeCell ref="T584:T589"/>
    <mergeCell ref="M590:M595"/>
    <mergeCell ref="N590:N595"/>
    <mergeCell ref="O590:O595"/>
    <mergeCell ref="P590:P595"/>
    <mergeCell ref="AH590:AH595"/>
    <mergeCell ref="AF577:AF582"/>
    <mergeCell ref="AJ565:AJ570"/>
    <mergeCell ref="AK565:AK570"/>
    <mergeCell ref="AL565:AL570"/>
    <mergeCell ref="AE571:AE576"/>
    <mergeCell ref="AF571:AF576"/>
    <mergeCell ref="AI571:AI576"/>
    <mergeCell ref="AJ571:AJ576"/>
    <mergeCell ref="AK571:AK576"/>
    <mergeCell ref="AL571:AL576"/>
    <mergeCell ref="AH584:AH589"/>
    <mergeCell ref="AI584:AI589"/>
    <mergeCell ref="AJ584:AJ589"/>
    <mergeCell ref="AK584:AK589"/>
    <mergeCell ref="AL584:AL589"/>
    <mergeCell ref="AB565:AB570"/>
    <mergeCell ref="AB571:AB576"/>
    <mergeCell ref="Z584:Z589"/>
    <mergeCell ref="AB584:AB589"/>
    <mergeCell ref="AI590:AI595"/>
    <mergeCell ref="AJ590:AJ595"/>
    <mergeCell ref="AK590:AK595"/>
    <mergeCell ref="AL590:AL595"/>
    <mergeCell ref="AB590:AB595"/>
    <mergeCell ref="AB596:AB601"/>
    <mergeCell ref="Z602:Z607"/>
    <mergeCell ref="AB602:AB607"/>
    <mergeCell ref="AG596:AG601"/>
    <mergeCell ref="AH596:AH601"/>
    <mergeCell ref="AI596:AI601"/>
    <mergeCell ref="AJ596:AJ601"/>
    <mergeCell ref="AK596:AK601"/>
    <mergeCell ref="AL596:AL601"/>
    <mergeCell ref="S590:S595"/>
    <mergeCell ref="T590:T595"/>
    <mergeCell ref="Z590:Z595"/>
    <mergeCell ref="AE590:AE595"/>
    <mergeCell ref="AF590:AF595"/>
    <mergeCell ref="AG590:AG595"/>
    <mergeCell ref="Z596:Z601"/>
    <mergeCell ref="AJ602:AJ607"/>
    <mergeCell ref="AK602:AK607"/>
    <mergeCell ref="AL602:AL607"/>
    <mergeCell ref="AE596:AE601"/>
    <mergeCell ref="AF596:AF601"/>
    <mergeCell ref="AE602:AE607"/>
    <mergeCell ref="AF602:AF607"/>
    <mergeCell ref="AG602:AG607"/>
    <mergeCell ref="AH602:AH607"/>
    <mergeCell ref="AI602:AI607"/>
    <mergeCell ref="H596:H601"/>
    <mergeCell ref="H602:H607"/>
    <mergeCell ref="H614:H619"/>
    <mergeCell ref="J602:J607"/>
    <mergeCell ref="J614:J619"/>
    <mergeCell ref="H565:H570"/>
    <mergeCell ref="J565:J570"/>
    <mergeCell ref="H584:H589"/>
    <mergeCell ref="J584:J589"/>
    <mergeCell ref="H590:H595"/>
    <mergeCell ref="J590:J595"/>
    <mergeCell ref="J596:J601"/>
    <mergeCell ref="R596:R601"/>
    <mergeCell ref="S596:S601"/>
    <mergeCell ref="T596:T601"/>
    <mergeCell ref="N602:N607"/>
    <mergeCell ref="O602:O607"/>
    <mergeCell ref="P602:P607"/>
    <mergeCell ref="Q602:Q607"/>
    <mergeCell ref="R602:R607"/>
    <mergeCell ref="S602:S607"/>
    <mergeCell ref="T602:T607"/>
    <mergeCell ref="M596:M601"/>
    <mergeCell ref="N596:N601"/>
    <mergeCell ref="O596:O601"/>
    <mergeCell ref="P596:P601"/>
    <mergeCell ref="Q596:Q601"/>
    <mergeCell ref="Q608:Q613"/>
    <mergeCell ref="R608:R613"/>
    <mergeCell ref="S608:S613"/>
    <mergeCell ref="T608:T613"/>
    <mergeCell ref="M614:M619"/>
    <mergeCell ref="AJ608:AJ613"/>
    <mergeCell ref="AK608:AK613"/>
    <mergeCell ref="AL608:AL613"/>
    <mergeCell ref="AB608:AB613"/>
    <mergeCell ref="AB614:AB619"/>
    <mergeCell ref="AE614:AE619"/>
    <mergeCell ref="AF614:AF619"/>
    <mergeCell ref="AG614:AG619"/>
    <mergeCell ref="AH614:AH619"/>
    <mergeCell ref="AI614:AI619"/>
    <mergeCell ref="AJ614:AJ619"/>
    <mergeCell ref="AK614:AK619"/>
    <mergeCell ref="AL614:AL619"/>
    <mergeCell ref="Z608:Z613"/>
    <mergeCell ref="AE608:AE613"/>
    <mergeCell ref="AF608:AF613"/>
    <mergeCell ref="AG608:AG613"/>
    <mergeCell ref="AH608:AH613"/>
    <mergeCell ref="AI608:AI613"/>
    <mergeCell ref="Z614:Z619"/>
    <mergeCell ref="B608:B613"/>
    <mergeCell ref="B614:B619"/>
    <mergeCell ref="B553:B558"/>
    <mergeCell ref="B571:B576"/>
    <mergeCell ref="A584:A619"/>
    <mergeCell ref="B584:B589"/>
    <mergeCell ref="B590:B595"/>
    <mergeCell ref="B596:B601"/>
    <mergeCell ref="B602:B607"/>
    <mergeCell ref="M559:M564"/>
    <mergeCell ref="N559:N564"/>
    <mergeCell ref="P559:P564"/>
    <mergeCell ref="Q559:Q564"/>
    <mergeCell ref="R559:R564"/>
    <mergeCell ref="S559:S564"/>
    <mergeCell ref="T559:T564"/>
    <mergeCell ref="B559:B564"/>
    <mergeCell ref="B565:B570"/>
    <mergeCell ref="P571:P576"/>
    <mergeCell ref="Q571:Q576"/>
    <mergeCell ref="R571:R576"/>
    <mergeCell ref="S571:S576"/>
    <mergeCell ref="T571:T576"/>
    <mergeCell ref="M565:M570"/>
    <mergeCell ref="N565:N570"/>
    <mergeCell ref="P565:P570"/>
    <mergeCell ref="Q565:Q570"/>
    <mergeCell ref="R565:R570"/>
    <mergeCell ref="S565:S570"/>
    <mergeCell ref="T565:T570"/>
    <mergeCell ref="Q590:Q595"/>
    <mergeCell ref="R590:R595"/>
    <mergeCell ref="N614:N619"/>
    <mergeCell ref="O614:O619"/>
    <mergeCell ref="P614:P619"/>
    <mergeCell ref="Q614:Q619"/>
    <mergeCell ref="R614:R619"/>
    <mergeCell ref="S614:S619"/>
    <mergeCell ref="T614:T619"/>
    <mergeCell ref="M602:M607"/>
    <mergeCell ref="H608:H613"/>
    <mergeCell ref="J608:J613"/>
    <mergeCell ref="M608:M613"/>
    <mergeCell ref="N608:N613"/>
    <mergeCell ref="O608:O613"/>
    <mergeCell ref="P608:P613"/>
    <mergeCell ref="AX534:AX537"/>
    <mergeCell ref="AY534:AY537"/>
    <mergeCell ref="AL530:AL533"/>
    <mergeCell ref="AR530:AR533"/>
    <mergeCell ref="AT530:AT532"/>
    <mergeCell ref="AU530:AU532"/>
    <mergeCell ref="AX530:AX533"/>
    <mergeCell ref="AY530:AY533"/>
    <mergeCell ref="AT534:AT537"/>
    <mergeCell ref="AH538:AH541"/>
    <mergeCell ref="AI538:AI541"/>
    <mergeCell ref="AJ538:AJ541"/>
    <mergeCell ref="AK538:AK541"/>
    <mergeCell ref="AL538:AL541"/>
    <mergeCell ref="AR538:AR541"/>
    <mergeCell ref="AT538:AT540"/>
    <mergeCell ref="AV538:AV540"/>
    <mergeCell ref="AX538:AX541"/>
    <mergeCell ref="AZ530:AZ533"/>
    <mergeCell ref="BA530:BA532"/>
    <mergeCell ref="BB530:BB532"/>
    <mergeCell ref="A538:A541"/>
    <mergeCell ref="B538:B541"/>
    <mergeCell ref="H538:H541"/>
    <mergeCell ref="J538:J541"/>
    <mergeCell ref="M538:M541"/>
    <mergeCell ref="N538:N541"/>
    <mergeCell ref="O538:O541"/>
    <mergeCell ref="P538:P541"/>
    <mergeCell ref="Q538:Q541"/>
    <mergeCell ref="R538:R541"/>
    <mergeCell ref="S538:S541"/>
    <mergeCell ref="T538:T541"/>
    <mergeCell ref="Z538:Z541"/>
    <mergeCell ref="AB538:AB541"/>
    <mergeCell ref="AE538:AE541"/>
    <mergeCell ref="AF538:AF541"/>
    <mergeCell ref="AG538:AG541"/>
    <mergeCell ref="AL534:AL537"/>
    <mergeCell ref="AR534:AR537"/>
    <mergeCell ref="AE534:AE537"/>
    <mergeCell ref="AF534:AF537"/>
    <mergeCell ref="P530:P533"/>
    <mergeCell ref="Q530:Q533"/>
    <mergeCell ref="R530:R533"/>
    <mergeCell ref="S530:S533"/>
    <mergeCell ref="T530:T533"/>
    <mergeCell ref="Z530:Z533"/>
    <mergeCell ref="AB530:AB533"/>
    <mergeCell ref="AE530:AE533"/>
    <mergeCell ref="AF530:AF533"/>
    <mergeCell ref="AG530:AG533"/>
    <mergeCell ref="AH530:AH533"/>
    <mergeCell ref="AI530:AI533"/>
    <mergeCell ref="AJ530:AJ533"/>
    <mergeCell ref="AK530:AK533"/>
    <mergeCell ref="BC565:BC568"/>
    <mergeCell ref="AU559:AU563"/>
    <mergeCell ref="AV559:AV563"/>
    <mergeCell ref="AV565:AV568"/>
    <mergeCell ref="AX565:AX570"/>
    <mergeCell ref="AY565:AY570"/>
    <mergeCell ref="AZ565:AZ570"/>
    <mergeCell ref="BA565:BA568"/>
    <mergeCell ref="BC530:BC532"/>
    <mergeCell ref="AZ534:AZ537"/>
    <mergeCell ref="BA534:BA535"/>
    <mergeCell ref="BB534:BB535"/>
    <mergeCell ref="BC534:BC535"/>
    <mergeCell ref="A530:A533"/>
    <mergeCell ref="B530:B533"/>
    <mergeCell ref="H530:H533"/>
    <mergeCell ref="J530:J533"/>
    <mergeCell ref="M530:M533"/>
    <mergeCell ref="N530:N533"/>
    <mergeCell ref="O530:O533"/>
    <mergeCell ref="P534:P537"/>
    <mergeCell ref="Q534:Q537"/>
    <mergeCell ref="R534:R537"/>
    <mergeCell ref="S534:S537"/>
    <mergeCell ref="T534:T537"/>
    <mergeCell ref="Z534:Z537"/>
    <mergeCell ref="AB534:AB537"/>
    <mergeCell ref="AV530:AV532"/>
    <mergeCell ref="AV534:AV535"/>
    <mergeCell ref="A534:A537"/>
    <mergeCell ref="B534:B537"/>
    <mergeCell ref="H534:H537"/>
    <mergeCell ref="BA547:BA550"/>
    <mergeCell ref="BB547:BB552"/>
    <mergeCell ref="BC547:BC550"/>
    <mergeCell ref="BB553:BB558"/>
    <mergeCell ref="BC553:BC557"/>
    <mergeCell ref="AL547:AL552"/>
    <mergeCell ref="AR547:AR552"/>
    <mergeCell ref="AT547:AT550"/>
    <mergeCell ref="AV547:AV550"/>
    <mergeCell ref="AX547:AX552"/>
    <mergeCell ref="AY547:AY552"/>
    <mergeCell ref="AZ547:AZ552"/>
    <mergeCell ref="AZ553:AZ558"/>
    <mergeCell ref="BA553:BA557"/>
    <mergeCell ref="AT553:AT557"/>
    <mergeCell ref="AT559:AT563"/>
    <mergeCell ref="AR565:AR570"/>
    <mergeCell ref="AT565:AT570"/>
    <mergeCell ref="AX559:AX564"/>
    <mergeCell ref="AY559:AY564"/>
    <mergeCell ref="AZ559:AZ564"/>
    <mergeCell ref="BA559:BA563"/>
    <mergeCell ref="BB559:BB563"/>
    <mergeCell ref="BC559:BC563"/>
    <mergeCell ref="AL553:AL558"/>
    <mergeCell ref="AR553:AR558"/>
    <mergeCell ref="AU553:AU557"/>
    <mergeCell ref="AV553:AV557"/>
    <mergeCell ref="AX553:AX558"/>
    <mergeCell ref="AY553:AY558"/>
    <mergeCell ref="AR559:AR564"/>
    <mergeCell ref="BB565:BB568"/>
    <mergeCell ref="AE553:AE558"/>
    <mergeCell ref="AF553:AF558"/>
    <mergeCell ref="AG553:AG558"/>
    <mergeCell ref="AH553:AH558"/>
    <mergeCell ref="AI553:AI558"/>
    <mergeCell ref="AJ553:AJ558"/>
    <mergeCell ref="AK553:AK558"/>
    <mergeCell ref="J553:J558"/>
    <mergeCell ref="H559:H564"/>
    <mergeCell ref="J559:J564"/>
    <mergeCell ref="H571:H576"/>
    <mergeCell ref="J571:J576"/>
    <mergeCell ref="M571:M576"/>
    <mergeCell ref="N571:N576"/>
    <mergeCell ref="B547:B552"/>
    <mergeCell ref="AG534:AG537"/>
    <mergeCell ref="AH534:AH537"/>
    <mergeCell ref="AI534:AI537"/>
    <mergeCell ref="AJ534:AJ537"/>
    <mergeCell ref="AK534:AK537"/>
    <mergeCell ref="AE547:AE552"/>
    <mergeCell ref="AF547:AF552"/>
    <mergeCell ref="AG547:AG552"/>
    <mergeCell ref="AH547:AH552"/>
    <mergeCell ref="AI547:AI552"/>
    <mergeCell ref="AJ547:AJ552"/>
    <mergeCell ref="AK547:AK552"/>
    <mergeCell ref="J534:J537"/>
    <mergeCell ref="M534:M537"/>
    <mergeCell ref="N534:N537"/>
    <mergeCell ref="O534:O537"/>
    <mergeCell ref="N553:N558"/>
    <mergeCell ref="B577:B582"/>
    <mergeCell ref="H577:H582"/>
    <mergeCell ref="J577:J582"/>
    <mergeCell ref="M577:M582"/>
    <mergeCell ref="N577:N582"/>
    <mergeCell ref="P577:P582"/>
    <mergeCell ref="Q577:Q582"/>
    <mergeCell ref="R577:R582"/>
    <mergeCell ref="S577:S582"/>
    <mergeCell ref="T577:T582"/>
    <mergeCell ref="A547:A582"/>
    <mergeCell ref="J547:J552"/>
    <mergeCell ref="N547:N552"/>
    <mergeCell ref="O547:O552"/>
    <mergeCell ref="O559:O564"/>
    <mergeCell ref="O565:O570"/>
    <mergeCell ref="O571:O576"/>
    <mergeCell ref="O577:O582"/>
    <mergeCell ref="H547:H552"/>
    <mergeCell ref="H553:H558"/>
    <mergeCell ref="O553:O558"/>
    <mergeCell ref="M547:M552"/>
    <mergeCell ref="M553:M558"/>
    <mergeCell ref="AR590:AR595"/>
    <mergeCell ref="AT590:AT594"/>
    <mergeCell ref="AU590:AU594"/>
    <mergeCell ref="AV590:AV594"/>
    <mergeCell ref="AV596:AV600"/>
    <mergeCell ref="BA602:BA605"/>
    <mergeCell ref="BB602:BB605"/>
    <mergeCell ref="BC602:BC605"/>
    <mergeCell ref="AT602:AT607"/>
    <mergeCell ref="AT608:AT612"/>
    <mergeCell ref="AR614:AR619"/>
    <mergeCell ref="AT614:AT619"/>
    <mergeCell ref="AV614:AV619"/>
    <mergeCell ref="AX602:AX607"/>
    <mergeCell ref="AX608:AX613"/>
    <mergeCell ref="AX614:AX619"/>
    <mergeCell ref="AY614:AY619"/>
    <mergeCell ref="AZ614:AZ619"/>
    <mergeCell ref="BA614:BA619"/>
    <mergeCell ref="BB614:BB619"/>
    <mergeCell ref="BC614:BC619"/>
    <mergeCell ref="AY608:AY613"/>
    <mergeCell ref="AZ608:AZ613"/>
    <mergeCell ref="BA608:BA612"/>
    <mergeCell ref="BB608:BB613"/>
    <mergeCell ref="BC608:BC612"/>
    <mergeCell ref="AR596:AR601"/>
    <mergeCell ref="AR602:AR607"/>
    <mergeCell ref="AV602:AV605"/>
    <mergeCell ref="AY602:AY607"/>
    <mergeCell ref="AZ602:AZ607"/>
    <mergeCell ref="AR608:AR613"/>
    <mergeCell ref="AV608:AV612"/>
    <mergeCell ref="AV400:AV402"/>
    <mergeCell ref="AV404:AV405"/>
    <mergeCell ref="AL400:AL403"/>
    <mergeCell ref="AR400:AR403"/>
    <mergeCell ref="AT400:AT402"/>
    <mergeCell ref="AU400:AU402"/>
    <mergeCell ref="AX400:AX403"/>
    <mergeCell ref="AY400:AY403"/>
    <mergeCell ref="AT404:AT406"/>
    <mergeCell ref="P400:P403"/>
    <mergeCell ref="Q400:Q403"/>
    <mergeCell ref="R400:R403"/>
    <mergeCell ref="S400:S403"/>
    <mergeCell ref="T400:T403"/>
    <mergeCell ref="Z400:Z403"/>
    <mergeCell ref="AB400:AB403"/>
    <mergeCell ref="AE400:AE403"/>
    <mergeCell ref="AF400:AF403"/>
    <mergeCell ref="AG400:AG403"/>
    <mergeCell ref="AH400:AH403"/>
    <mergeCell ref="AI400:AI403"/>
    <mergeCell ref="AJ400:AJ403"/>
    <mergeCell ref="AK400:AK403"/>
    <mergeCell ref="AZ400:AZ403"/>
    <mergeCell ref="AE404:AE407"/>
    <mergeCell ref="AF404:AF407"/>
    <mergeCell ref="AG404:AG407"/>
    <mergeCell ref="AH404:AH407"/>
    <mergeCell ref="AI404:AI407"/>
    <mergeCell ref="BA400:BA402"/>
    <mergeCell ref="BB400:BB402"/>
    <mergeCell ref="BC400:BC402"/>
    <mergeCell ref="A400:A403"/>
    <mergeCell ref="B400:B403"/>
    <mergeCell ref="H400:H403"/>
    <mergeCell ref="J400:J403"/>
    <mergeCell ref="M400:M403"/>
    <mergeCell ref="N400:N403"/>
    <mergeCell ref="O400:O403"/>
    <mergeCell ref="A404:A407"/>
    <mergeCell ref="B404:B407"/>
    <mergeCell ref="H404:H407"/>
    <mergeCell ref="J404:J407"/>
    <mergeCell ref="M404:M407"/>
    <mergeCell ref="N404:N407"/>
    <mergeCell ref="O404:O407"/>
    <mergeCell ref="P404:P407"/>
    <mergeCell ref="Q404:Q407"/>
    <mergeCell ref="R404:R407"/>
    <mergeCell ref="S404:S407"/>
    <mergeCell ref="T404:T407"/>
    <mergeCell ref="Z404:Z407"/>
    <mergeCell ref="AB404:AB407"/>
    <mergeCell ref="AX404:AX407"/>
    <mergeCell ref="AY404:AY407"/>
    <mergeCell ref="AZ404:AZ407"/>
    <mergeCell ref="BA404:BA405"/>
    <mergeCell ref="BB404:BB405"/>
    <mergeCell ref="BC404:BC405"/>
    <mergeCell ref="AL404:AL407"/>
    <mergeCell ref="AR404:AR407"/>
    <mergeCell ref="BA382:BA385"/>
    <mergeCell ref="BB382:BB385"/>
    <mergeCell ref="AL382:AL385"/>
    <mergeCell ref="AR382:AR385"/>
    <mergeCell ref="AT382:AT385"/>
    <mergeCell ref="AV382:AV385"/>
    <mergeCell ref="AX382:AX385"/>
    <mergeCell ref="AY382:AY385"/>
    <mergeCell ref="AZ382:AZ385"/>
    <mergeCell ref="P374:P377"/>
    <mergeCell ref="Q374:Q377"/>
    <mergeCell ref="R374:R377"/>
    <mergeCell ref="S374:S377"/>
    <mergeCell ref="T374:T377"/>
    <mergeCell ref="Z374:Z377"/>
    <mergeCell ref="AB374:AB377"/>
    <mergeCell ref="AE374:AE377"/>
    <mergeCell ref="AF374:AF377"/>
    <mergeCell ref="AG374:AG377"/>
    <mergeCell ref="AH374:AH377"/>
    <mergeCell ref="AI374:AI377"/>
    <mergeCell ref="AJ374:AJ377"/>
    <mergeCell ref="AK374:AK377"/>
    <mergeCell ref="AZ374:AZ377"/>
    <mergeCell ref="BA374:BA376"/>
    <mergeCell ref="BB374:BB376"/>
    <mergeCell ref="Q382:Q385"/>
    <mergeCell ref="R382:R385"/>
    <mergeCell ref="S382:S385"/>
    <mergeCell ref="T382:T385"/>
    <mergeCell ref="Z382:Z385"/>
    <mergeCell ref="AB382:AB385"/>
    <mergeCell ref="BC374:BC376"/>
    <mergeCell ref="A374:A377"/>
    <mergeCell ref="B374:B377"/>
    <mergeCell ref="H374:H377"/>
    <mergeCell ref="J374:J377"/>
    <mergeCell ref="M374:M377"/>
    <mergeCell ref="N374:N377"/>
    <mergeCell ref="O374:O377"/>
    <mergeCell ref="AL374:AL377"/>
    <mergeCell ref="AR374:AR377"/>
    <mergeCell ref="AT374:AT376"/>
    <mergeCell ref="AU374:AU376"/>
    <mergeCell ref="AX374:AX377"/>
    <mergeCell ref="AY374:AY377"/>
    <mergeCell ref="AT378:AT379"/>
    <mergeCell ref="AE382:AE385"/>
    <mergeCell ref="AF382:AF385"/>
    <mergeCell ref="AG382:AG385"/>
    <mergeCell ref="AH382:AH385"/>
    <mergeCell ref="AI382:AI385"/>
    <mergeCell ref="AJ382:AJ385"/>
    <mergeCell ref="AK382:AK385"/>
    <mergeCell ref="BC378:BC379"/>
    <mergeCell ref="BC382:BC385"/>
    <mergeCell ref="AV374:AV376"/>
    <mergeCell ref="AV378:AV379"/>
    <mergeCell ref="AX378:AX381"/>
    <mergeCell ref="AY378:AY381"/>
    <mergeCell ref="AZ378:AZ381"/>
    <mergeCell ref="BA378:BA379"/>
    <mergeCell ref="BB378:BB379"/>
    <mergeCell ref="P382:P385"/>
    <mergeCell ref="A382:A385"/>
    <mergeCell ref="B382:B385"/>
    <mergeCell ref="H382:H385"/>
    <mergeCell ref="J382:J385"/>
    <mergeCell ref="M382:M385"/>
    <mergeCell ref="N382:N385"/>
    <mergeCell ref="O382:O385"/>
    <mergeCell ref="P386:P389"/>
    <mergeCell ref="Q386:Q389"/>
    <mergeCell ref="R386:R389"/>
    <mergeCell ref="S386:S389"/>
    <mergeCell ref="T386:T389"/>
    <mergeCell ref="Z386:Z389"/>
    <mergeCell ref="AB386:AB389"/>
    <mergeCell ref="AE386:AE389"/>
    <mergeCell ref="AF386:AF389"/>
    <mergeCell ref="AG386:AG389"/>
    <mergeCell ref="AH386:AH389"/>
    <mergeCell ref="AI386:AI389"/>
    <mergeCell ref="AJ386:AJ389"/>
    <mergeCell ref="AK386:AK389"/>
    <mergeCell ref="BA386:BA389"/>
    <mergeCell ref="BB386:BB389"/>
    <mergeCell ref="BC386:BC389"/>
    <mergeCell ref="AL386:AL389"/>
    <mergeCell ref="AR386:AR389"/>
    <mergeCell ref="AT386:AT389"/>
    <mergeCell ref="AV386:AV389"/>
    <mergeCell ref="AX386:AX389"/>
    <mergeCell ref="AY386:AY389"/>
    <mergeCell ref="AZ386:AZ389"/>
    <mergeCell ref="A386:A389"/>
    <mergeCell ref="B386:B389"/>
    <mergeCell ref="H386:H389"/>
    <mergeCell ref="J386:J389"/>
    <mergeCell ref="M386:M389"/>
    <mergeCell ref="N386:N389"/>
    <mergeCell ref="O386:O389"/>
    <mergeCell ref="AF391:AF395"/>
    <mergeCell ref="AG391:AG395"/>
    <mergeCell ref="AH391:AH395"/>
    <mergeCell ref="AI391:AI395"/>
    <mergeCell ref="AJ391:AJ395"/>
    <mergeCell ref="AK391:AK395"/>
    <mergeCell ref="BA391:BA394"/>
    <mergeCell ref="BB391:BB395"/>
    <mergeCell ref="BC391:BC394"/>
    <mergeCell ref="AV391:AV394"/>
    <mergeCell ref="AX391:AX395"/>
    <mergeCell ref="AY391:AY395"/>
    <mergeCell ref="AZ391:AZ395"/>
    <mergeCell ref="AL396:AL399"/>
    <mergeCell ref="AR396:AR399"/>
    <mergeCell ref="AE396:AE399"/>
    <mergeCell ref="AF396:AF399"/>
    <mergeCell ref="AG396:AG399"/>
    <mergeCell ref="AH396:AH399"/>
    <mergeCell ref="AI396:AI399"/>
    <mergeCell ref="AJ396:AJ399"/>
    <mergeCell ref="AK396:AK399"/>
    <mergeCell ref="BB396:BB399"/>
    <mergeCell ref="BC396:BC398"/>
    <mergeCell ref="AT396:AT398"/>
    <mergeCell ref="AU396:AU398"/>
    <mergeCell ref="AV396:AV398"/>
    <mergeCell ref="AX396:AX399"/>
    <mergeCell ref="AY396:AY399"/>
    <mergeCell ref="AZ396:AZ399"/>
    <mergeCell ref="BA396:BA398"/>
    <mergeCell ref="A391:A395"/>
    <mergeCell ref="B391:B395"/>
    <mergeCell ref="H391:H395"/>
    <mergeCell ref="J391:J395"/>
    <mergeCell ref="M391:M395"/>
    <mergeCell ref="N391:N395"/>
    <mergeCell ref="O391:O395"/>
    <mergeCell ref="P396:P399"/>
    <mergeCell ref="Q396:Q399"/>
    <mergeCell ref="R396:R399"/>
    <mergeCell ref="S396:S399"/>
    <mergeCell ref="T396:T399"/>
    <mergeCell ref="Z396:Z399"/>
    <mergeCell ref="AB396:AB399"/>
    <mergeCell ref="AL391:AL395"/>
    <mergeCell ref="AR391:AR395"/>
    <mergeCell ref="AT391:AT394"/>
    <mergeCell ref="A396:A399"/>
    <mergeCell ref="B396:B399"/>
    <mergeCell ref="H396:H399"/>
    <mergeCell ref="J396:J399"/>
    <mergeCell ref="M396:M399"/>
    <mergeCell ref="N396:N399"/>
    <mergeCell ref="O396:O399"/>
    <mergeCell ref="P391:P395"/>
    <mergeCell ref="Q391:Q395"/>
    <mergeCell ref="R391:R395"/>
    <mergeCell ref="S391:S395"/>
    <mergeCell ref="T391:T395"/>
    <mergeCell ref="Z391:Z395"/>
    <mergeCell ref="AB391:AB395"/>
    <mergeCell ref="AE391:AE395"/>
    <mergeCell ref="AJ404:AJ407"/>
    <mergeCell ref="AK404:AK407"/>
    <mergeCell ref="P408:P411"/>
    <mergeCell ref="Q408:Q411"/>
    <mergeCell ref="R408:R411"/>
    <mergeCell ref="S408:S411"/>
    <mergeCell ref="T408:T411"/>
    <mergeCell ref="Z408:Z411"/>
    <mergeCell ref="AB408:AB411"/>
    <mergeCell ref="AE408:AE411"/>
    <mergeCell ref="AF408:AF411"/>
    <mergeCell ref="AG408:AG411"/>
    <mergeCell ref="AH408:AH411"/>
    <mergeCell ref="AI408:AI411"/>
    <mergeCell ref="AJ408:AJ411"/>
    <mergeCell ref="AK408:AK411"/>
    <mergeCell ref="BA408:BA411"/>
    <mergeCell ref="BA412:BA415"/>
    <mergeCell ref="BB408:BB411"/>
    <mergeCell ref="BC408:BC411"/>
    <mergeCell ref="AL408:AL411"/>
    <mergeCell ref="AR408:AR411"/>
    <mergeCell ref="AT408:AT411"/>
    <mergeCell ref="AV408:AV411"/>
    <mergeCell ref="AX408:AX411"/>
    <mergeCell ref="AY408:AY411"/>
    <mergeCell ref="AZ408:AZ411"/>
    <mergeCell ref="A408:A411"/>
    <mergeCell ref="B408:B411"/>
    <mergeCell ref="H408:H411"/>
    <mergeCell ref="J408:J411"/>
    <mergeCell ref="M408:M411"/>
    <mergeCell ref="N408:N411"/>
    <mergeCell ref="O408:O411"/>
    <mergeCell ref="AV412:AV415"/>
    <mergeCell ref="AL412:AL415"/>
    <mergeCell ref="AR412:AR415"/>
    <mergeCell ref="AT412:AT415"/>
    <mergeCell ref="AX412:AX415"/>
    <mergeCell ref="AY412:AY415"/>
    <mergeCell ref="H417:H421"/>
    <mergeCell ref="J417:J421"/>
    <mergeCell ref="M417:M421"/>
    <mergeCell ref="N417:N421"/>
    <mergeCell ref="O417:O421"/>
    <mergeCell ref="AZ412:AZ415"/>
    <mergeCell ref="AT417:AT420"/>
    <mergeCell ref="P412:P415"/>
    <mergeCell ref="Q412:Q415"/>
    <mergeCell ref="R412:R415"/>
    <mergeCell ref="S412:S415"/>
    <mergeCell ref="T412:T415"/>
    <mergeCell ref="Z412:Z415"/>
    <mergeCell ref="AB412:AB415"/>
    <mergeCell ref="AE412:AE415"/>
    <mergeCell ref="AF412:AF415"/>
    <mergeCell ref="AG412:AG415"/>
    <mergeCell ref="AH412:AH415"/>
    <mergeCell ref="AI412:AI415"/>
    <mergeCell ref="AJ412:AJ415"/>
    <mergeCell ref="AK412:AK415"/>
    <mergeCell ref="AL417:AL421"/>
    <mergeCell ref="AR417:AR421"/>
    <mergeCell ref="AE417:AE421"/>
    <mergeCell ref="AF417:AF421"/>
    <mergeCell ref="AG417:AG421"/>
    <mergeCell ref="AH417:AH421"/>
    <mergeCell ref="AI417:AI421"/>
    <mergeCell ref="AJ417:AJ421"/>
    <mergeCell ref="AK417:AK421"/>
    <mergeCell ref="AV417:AV420"/>
    <mergeCell ref="BC426:BC428"/>
    <mergeCell ref="AT426:AT428"/>
    <mergeCell ref="AU426:AU428"/>
    <mergeCell ref="AV426:AV428"/>
    <mergeCell ref="AX426:AX429"/>
    <mergeCell ref="AY426:AY429"/>
    <mergeCell ref="AZ426:AZ429"/>
    <mergeCell ref="BA426:BA428"/>
    <mergeCell ref="BB412:BB415"/>
    <mergeCell ref="BC412:BC415"/>
    <mergeCell ref="A412:A415"/>
    <mergeCell ref="B412:B415"/>
    <mergeCell ref="H412:H415"/>
    <mergeCell ref="J412:J415"/>
    <mergeCell ref="M412:M415"/>
    <mergeCell ref="N412:N415"/>
    <mergeCell ref="O412:O415"/>
    <mergeCell ref="P417:P421"/>
    <mergeCell ref="Q417:Q421"/>
    <mergeCell ref="R417:R421"/>
    <mergeCell ref="S417:S421"/>
    <mergeCell ref="T417:T421"/>
    <mergeCell ref="Z417:Z421"/>
    <mergeCell ref="AB417:AB421"/>
    <mergeCell ref="AX417:AX421"/>
    <mergeCell ref="AY417:AY421"/>
    <mergeCell ref="AZ417:AZ421"/>
    <mergeCell ref="BA417:BA420"/>
    <mergeCell ref="BB417:BB421"/>
    <mergeCell ref="BC417:BC420"/>
    <mergeCell ref="A417:A421"/>
    <mergeCell ref="B417:B421"/>
    <mergeCell ref="S422:S425"/>
    <mergeCell ref="T422:T425"/>
    <mergeCell ref="Z422:Z425"/>
    <mergeCell ref="AB422:AB425"/>
    <mergeCell ref="AE422:AE425"/>
    <mergeCell ref="AF422:AF425"/>
    <mergeCell ref="AG422:AG425"/>
    <mergeCell ref="AH422:AH425"/>
    <mergeCell ref="AI422:AI425"/>
    <mergeCell ref="AJ422:AJ425"/>
    <mergeCell ref="AK422:AK425"/>
    <mergeCell ref="AZ422:AZ425"/>
    <mergeCell ref="BA422:BA424"/>
    <mergeCell ref="BB422:BB425"/>
    <mergeCell ref="AL426:AL429"/>
    <mergeCell ref="AR426:AR429"/>
    <mergeCell ref="AE426:AE429"/>
    <mergeCell ref="AF426:AF429"/>
    <mergeCell ref="AG426:AG429"/>
    <mergeCell ref="AH426:AH429"/>
    <mergeCell ref="AI426:AI429"/>
    <mergeCell ref="AJ426:AJ429"/>
    <mergeCell ref="AK426:AK429"/>
    <mergeCell ref="BB426:BB428"/>
    <mergeCell ref="BC422:BC424"/>
    <mergeCell ref="A422:A425"/>
    <mergeCell ref="B422:B425"/>
    <mergeCell ref="H422:H425"/>
    <mergeCell ref="J422:J425"/>
    <mergeCell ref="M422:M425"/>
    <mergeCell ref="N422:N425"/>
    <mergeCell ref="O422:O425"/>
    <mergeCell ref="P426:P429"/>
    <mergeCell ref="Q426:Q429"/>
    <mergeCell ref="R426:R429"/>
    <mergeCell ref="S426:S429"/>
    <mergeCell ref="T426:T429"/>
    <mergeCell ref="Z426:Z429"/>
    <mergeCell ref="AB426:AB429"/>
    <mergeCell ref="AL422:AL425"/>
    <mergeCell ref="AR422:AR425"/>
    <mergeCell ref="AT422:AT424"/>
    <mergeCell ref="AU422:AU424"/>
    <mergeCell ref="AV422:AV424"/>
    <mergeCell ref="AX422:AX425"/>
    <mergeCell ref="AY422:AY425"/>
    <mergeCell ref="A426:A429"/>
    <mergeCell ref="B426:B429"/>
    <mergeCell ref="H426:H429"/>
    <mergeCell ref="J426:J429"/>
    <mergeCell ref="M426:M429"/>
    <mergeCell ref="N426:N429"/>
    <mergeCell ref="O426:O429"/>
    <mergeCell ref="P422:P425"/>
    <mergeCell ref="Q422:Q425"/>
    <mergeCell ref="R422:R425"/>
    <mergeCell ref="BC435:BC436"/>
    <mergeCell ref="BA430:BA431"/>
    <mergeCell ref="BB430:BB431"/>
    <mergeCell ref="BC430:BC431"/>
    <mergeCell ref="AX434:AX437"/>
    <mergeCell ref="AY434:AY437"/>
    <mergeCell ref="AZ434:AZ437"/>
    <mergeCell ref="BB434:BB437"/>
    <mergeCell ref="AL452:AL455"/>
    <mergeCell ref="AR452:AR455"/>
    <mergeCell ref="AE452:AE455"/>
    <mergeCell ref="AF452:AF455"/>
    <mergeCell ref="AG452:AG455"/>
    <mergeCell ref="AH452:AH455"/>
    <mergeCell ref="AI452:AI455"/>
    <mergeCell ref="AJ452:AJ455"/>
    <mergeCell ref="AK452:AK455"/>
    <mergeCell ref="BC448:BC450"/>
    <mergeCell ref="AL434:AL437"/>
    <mergeCell ref="AR434:AR437"/>
    <mergeCell ref="AE434:AE437"/>
    <mergeCell ref="AF434:AF437"/>
    <mergeCell ref="AG434:AG437"/>
    <mergeCell ref="AH434:AH437"/>
    <mergeCell ref="AI434:AI437"/>
    <mergeCell ref="AJ434:AJ437"/>
    <mergeCell ref="AK434:AK437"/>
    <mergeCell ref="AV430:AV431"/>
    <mergeCell ref="AX430:AX433"/>
    <mergeCell ref="AY430:AY433"/>
    <mergeCell ref="AZ430:AZ433"/>
    <mergeCell ref="Z448:Z451"/>
    <mergeCell ref="AB448:AB451"/>
    <mergeCell ref="AE448:AE451"/>
    <mergeCell ref="AF448:AF451"/>
    <mergeCell ref="AG448:AG451"/>
    <mergeCell ref="AH448:AH451"/>
    <mergeCell ref="AI448:AI451"/>
    <mergeCell ref="AJ448:AJ451"/>
    <mergeCell ref="AK448:AK451"/>
    <mergeCell ref="AZ448:AZ451"/>
    <mergeCell ref="BA448:BA450"/>
    <mergeCell ref="BB448:BB451"/>
    <mergeCell ref="AU448:AU450"/>
    <mergeCell ref="AV448:AV450"/>
    <mergeCell ref="AX448:AX451"/>
    <mergeCell ref="AY448:AY451"/>
    <mergeCell ref="BA435:BA436"/>
    <mergeCell ref="AE456:AE459"/>
    <mergeCell ref="AF456:AF459"/>
    <mergeCell ref="AG456:AG459"/>
    <mergeCell ref="AH456:AH459"/>
    <mergeCell ref="AI456:AI459"/>
    <mergeCell ref="AJ456:AJ459"/>
    <mergeCell ref="AK456:AK459"/>
    <mergeCell ref="Z460:Z463"/>
    <mergeCell ref="AB460:AB461"/>
    <mergeCell ref="AL460:AL463"/>
    <mergeCell ref="AR460:AR463"/>
    <mergeCell ref="AE460:AE461"/>
    <mergeCell ref="AF460:AF463"/>
    <mergeCell ref="AG460:AG463"/>
    <mergeCell ref="AH460:AH463"/>
    <mergeCell ref="AI460:AI461"/>
    <mergeCell ref="A448:A451"/>
    <mergeCell ref="B448:B451"/>
    <mergeCell ref="H448:H451"/>
    <mergeCell ref="J448:J451"/>
    <mergeCell ref="M448:M451"/>
    <mergeCell ref="N448:N451"/>
    <mergeCell ref="O448:O451"/>
    <mergeCell ref="P452:P455"/>
    <mergeCell ref="Q452:Q455"/>
    <mergeCell ref="R452:R455"/>
    <mergeCell ref="S452:S455"/>
    <mergeCell ref="T452:T455"/>
    <mergeCell ref="Z452:Z455"/>
    <mergeCell ref="AB452:AB455"/>
    <mergeCell ref="AL448:AL451"/>
    <mergeCell ref="AR448:AR451"/>
    <mergeCell ref="A460:A463"/>
    <mergeCell ref="B460:B463"/>
    <mergeCell ref="H460:H463"/>
    <mergeCell ref="J460:J463"/>
    <mergeCell ref="M460:M463"/>
    <mergeCell ref="N460:N463"/>
    <mergeCell ref="O460:O463"/>
    <mergeCell ref="AX460:AX463"/>
    <mergeCell ref="AY460:AY463"/>
    <mergeCell ref="AZ460:AZ463"/>
    <mergeCell ref="BA460:BA462"/>
    <mergeCell ref="BB460:BB463"/>
    <mergeCell ref="BC460:BC462"/>
    <mergeCell ref="AB462:AB463"/>
    <mergeCell ref="AE462:AE463"/>
    <mergeCell ref="AI462:AI463"/>
    <mergeCell ref="AK462:AK463"/>
    <mergeCell ref="P460:P463"/>
    <mergeCell ref="Q460:Q463"/>
    <mergeCell ref="R460:R463"/>
    <mergeCell ref="S460:S463"/>
    <mergeCell ref="T460:T463"/>
    <mergeCell ref="AV460:AV462"/>
    <mergeCell ref="AT460:AT462"/>
    <mergeCell ref="AG430:AG433"/>
    <mergeCell ref="AH430:AH433"/>
    <mergeCell ref="AI430:AI433"/>
    <mergeCell ref="AJ430:AJ433"/>
    <mergeCell ref="AK430:AK433"/>
    <mergeCell ref="AL430:AL433"/>
    <mergeCell ref="AR430:AR433"/>
    <mergeCell ref="AT430:AT432"/>
    <mergeCell ref="BA456:BA457"/>
    <mergeCell ref="BB456:BB457"/>
    <mergeCell ref="BC456:BC457"/>
    <mergeCell ref="A456:A459"/>
    <mergeCell ref="B456:B459"/>
    <mergeCell ref="H456:H459"/>
    <mergeCell ref="J456:J459"/>
    <mergeCell ref="M456:M459"/>
    <mergeCell ref="N456:N459"/>
    <mergeCell ref="O456:O459"/>
    <mergeCell ref="AV456:AV457"/>
    <mergeCell ref="AL456:AL459"/>
    <mergeCell ref="AR456:AR459"/>
    <mergeCell ref="AT456:AT459"/>
    <mergeCell ref="AX456:AX459"/>
    <mergeCell ref="AY456:AY459"/>
    <mergeCell ref="AZ456:AZ459"/>
    <mergeCell ref="P456:P459"/>
    <mergeCell ref="Q456:Q459"/>
    <mergeCell ref="R456:R459"/>
    <mergeCell ref="S456:S459"/>
    <mergeCell ref="T456:T459"/>
    <mergeCell ref="Z456:Z459"/>
    <mergeCell ref="AB456:AB459"/>
    <mergeCell ref="A430:A433"/>
    <mergeCell ref="B430:B433"/>
    <mergeCell ref="H430:H433"/>
    <mergeCell ref="J430:J433"/>
    <mergeCell ref="M430:M433"/>
    <mergeCell ref="N430:N433"/>
    <mergeCell ref="O430:O433"/>
    <mergeCell ref="P434:P437"/>
    <mergeCell ref="Q434:Q437"/>
    <mergeCell ref="R434:R437"/>
    <mergeCell ref="S434:S437"/>
    <mergeCell ref="T434:T437"/>
    <mergeCell ref="Z434:Z437"/>
    <mergeCell ref="AB434:AB437"/>
    <mergeCell ref="AT435:AT436"/>
    <mergeCell ref="AV435:AV436"/>
    <mergeCell ref="A434:A437"/>
    <mergeCell ref="B434:B437"/>
    <mergeCell ref="H434:H437"/>
    <mergeCell ref="J434:J437"/>
    <mergeCell ref="M434:M437"/>
    <mergeCell ref="N434:N437"/>
    <mergeCell ref="O434:O437"/>
    <mergeCell ref="P430:P433"/>
    <mergeCell ref="Q430:Q433"/>
    <mergeCell ref="R430:R433"/>
    <mergeCell ref="S430:S433"/>
    <mergeCell ref="T430:T433"/>
    <mergeCell ref="Z430:Z433"/>
    <mergeCell ref="AB430:AB433"/>
    <mergeCell ref="AE430:AE433"/>
    <mergeCell ref="AF430:AF433"/>
    <mergeCell ref="BA438:BA441"/>
    <mergeCell ref="BB438:BB441"/>
    <mergeCell ref="BC438:BC441"/>
    <mergeCell ref="AL443:AL447"/>
    <mergeCell ref="AR443:AR447"/>
    <mergeCell ref="AE443:AE447"/>
    <mergeCell ref="AF443:AF447"/>
    <mergeCell ref="AG443:AG447"/>
    <mergeCell ref="AH443:AH447"/>
    <mergeCell ref="AI443:AI447"/>
    <mergeCell ref="AJ443:AJ447"/>
    <mergeCell ref="AK443:AK447"/>
    <mergeCell ref="AV438:AV441"/>
    <mergeCell ref="AV443:AV446"/>
    <mergeCell ref="AL438:AL441"/>
    <mergeCell ref="AR438:AR441"/>
    <mergeCell ref="AT438:AT441"/>
    <mergeCell ref="AX438:AX441"/>
    <mergeCell ref="AY438:AY441"/>
    <mergeCell ref="AZ438:AZ441"/>
    <mergeCell ref="AT443:AT446"/>
    <mergeCell ref="A438:A441"/>
    <mergeCell ref="B438:B441"/>
    <mergeCell ref="H438:H441"/>
    <mergeCell ref="J438:J441"/>
    <mergeCell ref="M438:M441"/>
    <mergeCell ref="N438:N441"/>
    <mergeCell ref="O438:O441"/>
    <mergeCell ref="P443:P447"/>
    <mergeCell ref="Q443:Q447"/>
    <mergeCell ref="R443:R447"/>
    <mergeCell ref="S443:S447"/>
    <mergeCell ref="T443:T447"/>
    <mergeCell ref="Z443:Z447"/>
    <mergeCell ref="AB443:AB447"/>
    <mergeCell ref="AX443:AX447"/>
    <mergeCell ref="AY443:AY447"/>
    <mergeCell ref="AZ443:AZ447"/>
    <mergeCell ref="P438:P441"/>
    <mergeCell ref="Q438:Q441"/>
    <mergeCell ref="R438:R441"/>
    <mergeCell ref="S438:S441"/>
    <mergeCell ref="T438:T441"/>
    <mergeCell ref="Z438:Z441"/>
    <mergeCell ref="AB438:AB441"/>
    <mergeCell ref="AE438:AE441"/>
    <mergeCell ref="AF438:AF441"/>
    <mergeCell ref="AG438:AG441"/>
    <mergeCell ref="AH438:AH441"/>
    <mergeCell ref="AI438:AI441"/>
    <mergeCell ref="AJ438:AJ441"/>
    <mergeCell ref="AK438:AK441"/>
    <mergeCell ref="BA443:BA446"/>
    <mergeCell ref="BB443:BB447"/>
    <mergeCell ref="BC443:BC446"/>
    <mergeCell ref="A443:A447"/>
    <mergeCell ref="B443:B447"/>
    <mergeCell ref="H443:H447"/>
    <mergeCell ref="J443:J447"/>
    <mergeCell ref="M443:M447"/>
    <mergeCell ref="N443:N447"/>
    <mergeCell ref="O443:O447"/>
    <mergeCell ref="BB452:BB454"/>
    <mergeCell ref="BC452:BC454"/>
    <mergeCell ref="AT452:AT454"/>
    <mergeCell ref="AU452:AU454"/>
    <mergeCell ref="AV452:AV454"/>
    <mergeCell ref="AX452:AX455"/>
    <mergeCell ref="AY452:AY455"/>
    <mergeCell ref="AZ452:AZ455"/>
    <mergeCell ref="BA452:BA454"/>
    <mergeCell ref="AT448:AT450"/>
    <mergeCell ref="A452:A455"/>
    <mergeCell ref="B452:B455"/>
    <mergeCell ref="H452:H455"/>
    <mergeCell ref="J452:J455"/>
    <mergeCell ref="M452:M455"/>
    <mergeCell ref="N452:N455"/>
    <mergeCell ref="O452:O455"/>
    <mergeCell ref="P448:P451"/>
    <mergeCell ref="Q448:Q451"/>
    <mergeCell ref="R448:R451"/>
    <mergeCell ref="S448:S451"/>
    <mergeCell ref="T448:T451"/>
    <mergeCell ref="AJ460:AJ463"/>
    <mergeCell ref="AK460:AK461"/>
    <mergeCell ref="P464:P467"/>
    <mergeCell ref="Q464:Q467"/>
    <mergeCell ref="R464:R467"/>
    <mergeCell ref="S464:S467"/>
    <mergeCell ref="T464:T467"/>
    <mergeCell ref="Z464:Z467"/>
    <mergeCell ref="AB464:AB467"/>
    <mergeCell ref="AE464:AE467"/>
    <mergeCell ref="AF464:AF467"/>
    <mergeCell ref="AG464:AG467"/>
    <mergeCell ref="AH464:AH467"/>
    <mergeCell ref="AI464:AI467"/>
    <mergeCell ref="AJ464:AJ467"/>
    <mergeCell ref="AK464:AK467"/>
    <mergeCell ref="BA464:BA467"/>
    <mergeCell ref="BB464:BB467"/>
    <mergeCell ref="BC464:BC467"/>
    <mergeCell ref="AL464:AL467"/>
    <mergeCell ref="AR464:AR467"/>
    <mergeCell ref="AT464:AT467"/>
    <mergeCell ref="AV464:AV467"/>
    <mergeCell ref="AX464:AX467"/>
    <mergeCell ref="AY464:AY467"/>
    <mergeCell ref="AZ464:AZ467"/>
    <mergeCell ref="A464:A467"/>
    <mergeCell ref="B464:B467"/>
    <mergeCell ref="H464:H467"/>
    <mergeCell ref="J464:J467"/>
    <mergeCell ref="M464:M467"/>
    <mergeCell ref="N464:N467"/>
    <mergeCell ref="O464:O467"/>
    <mergeCell ref="AY577:AY582"/>
    <mergeCell ref="AZ577:AZ582"/>
    <mergeCell ref="BA577:BA582"/>
    <mergeCell ref="BB577:BB582"/>
    <mergeCell ref="BC577:BC582"/>
    <mergeCell ref="AX577:AX582"/>
    <mergeCell ref="Z565:Z570"/>
    <mergeCell ref="AE565:AE570"/>
    <mergeCell ref="AF565:AF570"/>
    <mergeCell ref="AG565:AG570"/>
    <mergeCell ref="AH565:AH570"/>
    <mergeCell ref="AI565:AI570"/>
    <mergeCell ref="Z571:Z576"/>
    <mergeCell ref="Z577:Z582"/>
    <mergeCell ref="AB577:AB582"/>
    <mergeCell ref="AE577:AE582"/>
    <mergeCell ref="AX584:AX589"/>
    <mergeCell ref="AY584:AY589"/>
    <mergeCell ref="AZ584:AZ589"/>
    <mergeCell ref="BA584:BA587"/>
    <mergeCell ref="BB584:BB589"/>
    <mergeCell ref="BC584:BC587"/>
    <mergeCell ref="AZ571:AZ576"/>
    <mergeCell ref="BA571:BA575"/>
    <mergeCell ref="BB571:BB576"/>
    <mergeCell ref="BC571:BC575"/>
    <mergeCell ref="AG571:AG576"/>
    <mergeCell ref="AH571:AH576"/>
    <mergeCell ref="AR571:AR576"/>
    <mergeCell ref="AT571:AT575"/>
    <mergeCell ref="AV571:AV575"/>
    <mergeCell ref="AX571:AX576"/>
    <mergeCell ref="AY571:AY576"/>
    <mergeCell ref="AG577:AG582"/>
    <mergeCell ref="AH577:AH582"/>
    <mergeCell ref="AI577:AI582"/>
    <mergeCell ref="AJ577:AJ582"/>
    <mergeCell ref="AK577:AK582"/>
    <mergeCell ref="AL577:AL582"/>
    <mergeCell ref="AR577:AR582"/>
    <mergeCell ref="AV577:AV582"/>
    <mergeCell ref="AR584:AR589"/>
    <mergeCell ref="AV584:AV587"/>
    <mergeCell ref="AT577:AT582"/>
    <mergeCell ref="AT584:AT587"/>
    <mergeCell ref="AX590:AX595"/>
    <mergeCell ref="AY590:AY595"/>
    <mergeCell ref="AZ590:AZ595"/>
    <mergeCell ref="BA590:BA594"/>
    <mergeCell ref="BB590:BB595"/>
    <mergeCell ref="BC590:BC594"/>
    <mergeCell ref="AT596:AT600"/>
    <mergeCell ref="AU596:AU600"/>
    <mergeCell ref="AX596:AX601"/>
    <mergeCell ref="AY596:AY601"/>
    <mergeCell ref="AZ596:AZ601"/>
    <mergeCell ref="BA596:BA600"/>
    <mergeCell ref="BB596:BB600"/>
    <mergeCell ref="BC596:BC600"/>
    <mergeCell ref="CI48:CI51"/>
    <mergeCell ref="CJ48:CJ51"/>
    <mergeCell ref="BV48:BV51"/>
    <mergeCell ref="BV58:BV61"/>
    <mergeCell ref="BT48:BT51"/>
    <mergeCell ref="BU48:BU51"/>
    <mergeCell ref="CB48:CB51"/>
    <mergeCell ref="CD48:CD51"/>
    <mergeCell ref="CG48:CG51"/>
    <mergeCell ref="CH48:CH51"/>
    <mergeCell ref="BS58:BS59"/>
    <mergeCell ref="CD70:CD73"/>
    <mergeCell ref="CG70:CG73"/>
    <mergeCell ref="CH70:CH73"/>
    <mergeCell ref="CI70:CI73"/>
    <mergeCell ref="CJ70:CJ73"/>
    <mergeCell ref="BO67:BO68"/>
    <mergeCell ref="BR65:BR66"/>
    <mergeCell ref="CM58:CM61"/>
    <mergeCell ref="CB58:CB61"/>
    <mergeCell ref="CD58:CD61"/>
    <mergeCell ref="CG58:CG61"/>
    <mergeCell ref="CH58:CH61"/>
    <mergeCell ref="CI58:CI61"/>
    <mergeCell ref="CJ58:CJ61"/>
    <mergeCell ref="CK58:CK61"/>
    <mergeCell ref="BC48:BC51"/>
    <mergeCell ref="BD48:BD51"/>
    <mergeCell ref="BJ48:BJ51"/>
    <mergeCell ref="BL48:BL51"/>
    <mergeCell ref="BO48:BO51"/>
    <mergeCell ref="BP48:BP51"/>
    <mergeCell ref="BQ48:BQ51"/>
    <mergeCell ref="CK53:CK57"/>
    <mergeCell ref="CL53:CL57"/>
    <mergeCell ref="CM53:CM57"/>
    <mergeCell ref="DT40:DT43"/>
    <mergeCell ref="DU40:DU43"/>
    <mergeCell ref="DV40:DV43"/>
    <mergeCell ref="DW40:DW43"/>
    <mergeCell ref="BU40:BU43"/>
    <mergeCell ref="BV44:BV47"/>
    <mergeCell ref="CK48:CK51"/>
    <mergeCell ref="DT53:DT57"/>
    <mergeCell ref="DU53:DU57"/>
    <mergeCell ref="DV53:DV57"/>
    <mergeCell ref="DW53:DW57"/>
    <mergeCell ref="BV53:BV57"/>
    <mergeCell ref="BU55:BU57"/>
    <mergeCell ref="CB53:CB57"/>
    <mergeCell ref="CD53:CD57"/>
    <mergeCell ref="CG53:CG57"/>
    <mergeCell ref="CH53:CH57"/>
    <mergeCell ref="CI53:CI57"/>
    <mergeCell ref="CJ53:CJ57"/>
    <mergeCell ref="CL48:CL51"/>
    <mergeCell ref="CM48:CM51"/>
    <mergeCell ref="DT48:DT51"/>
    <mergeCell ref="DU48:DU51"/>
    <mergeCell ref="DV48:DV51"/>
    <mergeCell ref="DW48:DW51"/>
    <mergeCell ref="BQ63:BQ64"/>
    <mergeCell ref="BR63:BR64"/>
    <mergeCell ref="BS64:BS65"/>
    <mergeCell ref="BO61:BO62"/>
    <mergeCell ref="BP61:BP62"/>
    <mergeCell ref="BU61:BU62"/>
    <mergeCell ref="BD63:BD64"/>
    <mergeCell ref="BL63:BL64"/>
    <mergeCell ref="BO63:BO64"/>
    <mergeCell ref="BP63:BP64"/>
    <mergeCell ref="BU63:BU64"/>
    <mergeCell ref="BV40:BV43"/>
    <mergeCell ref="CB40:CB43"/>
    <mergeCell ref="CD40:CD43"/>
    <mergeCell ref="CG40:CG43"/>
    <mergeCell ref="CH40:CH43"/>
    <mergeCell ref="CI40:CI43"/>
    <mergeCell ref="BS55:BS57"/>
    <mergeCell ref="BR48:BR51"/>
    <mergeCell ref="BS48:BS51"/>
    <mergeCell ref="BO53:BO54"/>
    <mergeCell ref="BP53:BP54"/>
    <mergeCell ref="BQ53:BQ54"/>
    <mergeCell ref="BR53:BR54"/>
    <mergeCell ref="BS53:BS54"/>
    <mergeCell ref="P40:P43"/>
    <mergeCell ref="Q40:Q43"/>
    <mergeCell ref="R40:R43"/>
    <mergeCell ref="S40:S43"/>
    <mergeCell ref="T40:T43"/>
    <mergeCell ref="Z40:Z43"/>
    <mergeCell ref="AB40:AB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R40:AR43"/>
    <mergeCell ref="AT40:AT42"/>
    <mergeCell ref="AY44:AY47"/>
    <mergeCell ref="AZ44:AZ47"/>
    <mergeCell ref="CL44:CL47"/>
    <mergeCell ref="CM44:CM47"/>
    <mergeCell ref="DT44:DT47"/>
    <mergeCell ref="DU44:DU47"/>
    <mergeCell ref="DV44:DV47"/>
    <mergeCell ref="DW44:DW47"/>
    <mergeCell ref="BS44:BS47"/>
    <mergeCell ref="BT44:BT47"/>
    <mergeCell ref="BU44:BU47"/>
    <mergeCell ref="AU40:AU42"/>
    <mergeCell ref="AV40:AV42"/>
    <mergeCell ref="AX40:AX43"/>
    <mergeCell ref="AY40:AY43"/>
    <mergeCell ref="AZ40:AZ43"/>
    <mergeCell ref="BA40:BA42"/>
    <mergeCell ref="BB40:BB43"/>
    <mergeCell ref="BC40:BC42"/>
    <mergeCell ref="BD40:BD43"/>
    <mergeCell ref="BJ40:BJ43"/>
    <mergeCell ref="BL40:BL43"/>
    <mergeCell ref="BO40:BO43"/>
    <mergeCell ref="BP40:BP43"/>
    <mergeCell ref="BQ40:BQ43"/>
    <mergeCell ref="BR40:BR43"/>
    <mergeCell ref="BS40:BS43"/>
    <mergeCell ref="BT40:BT43"/>
    <mergeCell ref="CJ40:CJ43"/>
    <mergeCell ref="CK40:CK43"/>
    <mergeCell ref="CL40:CL43"/>
    <mergeCell ref="CM40:CM43"/>
    <mergeCell ref="BA44:BA46"/>
    <mergeCell ref="BB44:BB47"/>
    <mergeCell ref="BC44:BC46"/>
    <mergeCell ref="BD44:BD47"/>
    <mergeCell ref="BJ44:BJ47"/>
    <mergeCell ref="BL44:BL47"/>
    <mergeCell ref="BO44:BO47"/>
    <mergeCell ref="BP44:BP47"/>
    <mergeCell ref="BQ44:BQ47"/>
    <mergeCell ref="BR44:BR47"/>
    <mergeCell ref="AT48:AT51"/>
    <mergeCell ref="DY40:DY42"/>
    <mergeCell ref="DZ40:DZ42"/>
    <mergeCell ref="A40:A43"/>
    <mergeCell ref="B40:B43"/>
    <mergeCell ref="H40:H43"/>
    <mergeCell ref="J40:J43"/>
    <mergeCell ref="M40:M43"/>
    <mergeCell ref="N40:N43"/>
    <mergeCell ref="O40:O43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R44:AR47"/>
    <mergeCell ref="AT44:AT46"/>
    <mergeCell ref="AV44:AV46"/>
    <mergeCell ref="AX44:AX47"/>
    <mergeCell ref="CB44:CB47"/>
    <mergeCell ref="CD44:CD47"/>
    <mergeCell ref="CG44:CG47"/>
    <mergeCell ref="CH44:CH47"/>
    <mergeCell ref="CI44:CI47"/>
    <mergeCell ref="CJ44:CJ47"/>
    <mergeCell ref="CK44:CK47"/>
    <mergeCell ref="DY58:DY60"/>
    <mergeCell ref="DY61:DY62"/>
    <mergeCell ref="DZ61:DZ62"/>
    <mergeCell ref="DY63:DY65"/>
    <mergeCell ref="DZ63:DZ65"/>
    <mergeCell ref="DY66:DY68"/>
    <mergeCell ref="DZ66:DZ68"/>
    <mergeCell ref="DT66:DT69"/>
    <mergeCell ref="DU66:DU69"/>
    <mergeCell ref="DV66:DV69"/>
    <mergeCell ref="DW66:DW69"/>
    <mergeCell ref="CL66:CL69"/>
    <mergeCell ref="CM66:CM69"/>
    <mergeCell ref="CB66:CB69"/>
    <mergeCell ref="CD66:CD69"/>
    <mergeCell ref="CG66:CG69"/>
    <mergeCell ref="CH66:CH69"/>
    <mergeCell ref="CI66:CI69"/>
    <mergeCell ref="CJ66:CJ69"/>
    <mergeCell ref="CK66:CK69"/>
    <mergeCell ref="DT62:DT65"/>
    <mergeCell ref="DU62:DU65"/>
    <mergeCell ref="DV62:DV65"/>
    <mergeCell ref="DW62:DW65"/>
    <mergeCell ref="CL58:CL61"/>
    <mergeCell ref="BD69:BD70"/>
    <mergeCell ref="AX48:AX51"/>
    <mergeCell ref="AX53:AX57"/>
    <mergeCell ref="AX58:AX61"/>
    <mergeCell ref="DT70:DT73"/>
    <mergeCell ref="DU70:DU73"/>
    <mergeCell ref="DV70:DV73"/>
    <mergeCell ref="DW70:DW73"/>
    <mergeCell ref="DY53:DY57"/>
    <mergeCell ref="DZ53:DZ57"/>
    <mergeCell ref="DT58:DT61"/>
    <mergeCell ref="DU58:DU61"/>
    <mergeCell ref="DV58:DV61"/>
    <mergeCell ref="DW58:DW61"/>
    <mergeCell ref="DZ58:DZ60"/>
    <mergeCell ref="AT62:AT64"/>
    <mergeCell ref="AU62:AU64"/>
    <mergeCell ref="AX62:AX65"/>
    <mergeCell ref="AY62:AY65"/>
    <mergeCell ref="AZ62:AZ65"/>
    <mergeCell ref="BA62:BA65"/>
    <mergeCell ref="BB62:BB65"/>
    <mergeCell ref="BC62:BC65"/>
    <mergeCell ref="BB66:BB69"/>
    <mergeCell ref="BC66:BC68"/>
    <mergeCell ref="BL69:BL70"/>
    <mergeCell ref="BO69:BO70"/>
    <mergeCell ref="BP69:BP70"/>
    <mergeCell ref="BQ69:BQ70"/>
    <mergeCell ref="BR69:BR70"/>
    <mergeCell ref="BS70:BS71"/>
    <mergeCell ref="AY58:AY61"/>
    <mergeCell ref="BA48:BA51"/>
    <mergeCell ref="BB48:BB51"/>
    <mergeCell ref="AY53:AY57"/>
    <mergeCell ref="AZ53:AZ57"/>
    <mergeCell ref="BA53:BA56"/>
    <mergeCell ref="BB53:BB57"/>
    <mergeCell ref="BC53:BC56"/>
    <mergeCell ref="BD53:BD54"/>
    <mergeCell ref="BD55:BD57"/>
    <mergeCell ref="AL48:AL51"/>
    <mergeCell ref="AR48:AR51"/>
    <mergeCell ref="AV48:AV51"/>
    <mergeCell ref="AY48:AY51"/>
    <mergeCell ref="AZ48:AZ51"/>
    <mergeCell ref="AR53:AR57"/>
    <mergeCell ref="AV53:AV56"/>
    <mergeCell ref="BC58:BC60"/>
    <mergeCell ref="BD59:BD60"/>
    <mergeCell ref="AZ58:AZ61"/>
    <mergeCell ref="BA58:BA60"/>
    <mergeCell ref="BB58:BB61"/>
    <mergeCell ref="AT53:AT56"/>
    <mergeCell ref="Z70:Z73"/>
    <mergeCell ref="AB70:AB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R70:AR73"/>
    <mergeCell ref="AT70:AT72"/>
    <mergeCell ref="AV70:AV72"/>
    <mergeCell ref="AX70:AX73"/>
    <mergeCell ref="AR62:AR65"/>
    <mergeCell ref="AR66:AR69"/>
    <mergeCell ref="AT66:AT68"/>
    <mergeCell ref="AU66:AU68"/>
    <mergeCell ref="AV66:AV68"/>
    <mergeCell ref="AX66:AX69"/>
    <mergeCell ref="AE66:AE69"/>
    <mergeCell ref="AF66:AF69"/>
    <mergeCell ref="P3:P6"/>
    <mergeCell ref="Q3:Q6"/>
    <mergeCell ref="R3:R6"/>
    <mergeCell ref="S3:S6"/>
    <mergeCell ref="T3:T6"/>
    <mergeCell ref="Z3:Z6"/>
    <mergeCell ref="AB3:AB6"/>
    <mergeCell ref="A3:A6"/>
    <mergeCell ref="B3:B6"/>
    <mergeCell ref="H3:H6"/>
    <mergeCell ref="J3:J6"/>
    <mergeCell ref="M3:M6"/>
    <mergeCell ref="N3:N6"/>
    <mergeCell ref="O3:O6"/>
    <mergeCell ref="CK70:CK73"/>
    <mergeCell ref="CL70:CL73"/>
    <mergeCell ref="CM70:CM73"/>
    <mergeCell ref="BD72:BD73"/>
    <mergeCell ref="BL72:BL73"/>
    <mergeCell ref="BO72:BO73"/>
    <mergeCell ref="BP72:BP73"/>
    <mergeCell ref="BQ72:BQ73"/>
    <mergeCell ref="BR72:BR73"/>
    <mergeCell ref="AY70:AY73"/>
    <mergeCell ref="AZ70:AZ73"/>
    <mergeCell ref="BA70:BA72"/>
    <mergeCell ref="BB70:BB73"/>
    <mergeCell ref="BC70:BC72"/>
    <mergeCell ref="BV70:BV73"/>
    <mergeCell ref="CB70:CB73"/>
    <mergeCell ref="BS72:BS73"/>
    <mergeCell ref="AR58:AR61"/>
    <mergeCell ref="DY12:DY14"/>
    <mergeCell ref="DY7:DY9"/>
    <mergeCell ref="DZ7:DZ9"/>
    <mergeCell ref="DZ10:DZ11"/>
    <mergeCell ref="DU11:DU14"/>
    <mergeCell ref="DV11:DV14"/>
    <mergeCell ref="DW11:DW14"/>
    <mergeCell ref="DZ12:DZ14"/>
    <mergeCell ref="DV23:DV26"/>
    <mergeCell ref="DW23:DW26"/>
    <mergeCell ref="DT11:DT14"/>
    <mergeCell ref="DT19:DT22"/>
    <mergeCell ref="DU19:DU22"/>
    <mergeCell ref="DV19:DV22"/>
    <mergeCell ref="DW19:DW22"/>
    <mergeCell ref="DT23:DT26"/>
    <mergeCell ref="DU23:DU26"/>
    <mergeCell ref="DY15:DY17"/>
    <mergeCell ref="DZ15:DZ17"/>
    <mergeCell ref="DT7:DT10"/>
    <mergeCell ref="DU7:DU10"/>
    <mergeCell ref="DV7:DV10"/>
    <mergeCell ref="DW7:DW10"/>
    <mergeCell ref="DY10:DY11"/>
    <mergeCell ref="B1:R1"/>
    <mergeCell ref="T1:AK1"/>
    <mergeCell ref="AL1:BA1"/>
    <mergeCell ref="BD1:BS1"/>
    <mergeCell ref="BV1:CM1"/>
    <mergeCell ref="CN1:DC1"/>
    <mergeCell ref="DD1:DS1"/>
    <mergeCell ref="AE3:AE6"/>
    <mergeCell ref="AF3:AF6"/>
    <mergeCell ref="AG3:AG6"/>
    <mergeCell ref="AH3:AH6"/>
    <mergeCell ref="AI3:AI6"/>
    <mergeCell ref="AJ3:AJ6"/>
    <mergeCell ref="AK3:AK6"/>
    <mergeCell ref="AL3:AL6"/>
    <mergeCell ref="AR3:AR6"/>
    <mergeCell ref="AT3:AT4"/>
    <mergeCell ref="AU3:AU4"/>
    <mergeCell ref="AV3:AV4"/>
    <mergeCell ref="AX3:AX6"/>
    <mergeCell ref="AY3:AY6"/>
    <mergeCell ref="AZ3:AZ6"/>
    <mergeCell ref="BA3:BA4"/>
    <mergeCell ref="BB3:BB6"/>
    <mergeCell ref="BC3:BC4"/>
    <mergeCell ref="BD3:BD6"/>
    <mergeCell ref="BJ3:BJ6"/>
    <mergeCell ref="BL3:BL6"/>
    <mergeCell ref="CM3:CM6"/>
    <mergeCell ref="CK3:CK6"/>
    <mergeCell ref="CL3:CL6"/>
    <mergeCell ref="BV3:BV6"/>
    <mergeCell ref="DW3:DW6"/>
    <mergeCell ref="DY3:DY6"/>
    <mergeCell ref="DZ3:DZ6"/>
    <mergeCell ref="BO3:BO6"/>
    <mergeCell ref="BP3:BP6"/>
    <mergeCell ref="BQ3:BQ6"/>
    <mergeCell ref="BR3:BR6"/>
    <mergeCell ref="BS3:BS6"/>
    <mergeCell ref="BT3:BT6"/>
    <mergeCell ref="BU3:BU6"/>
    <mergeCell ref="BJ7:BJ10"/>
    <mergeCell ref="BL7:BL10"/>
    <mergeCell ref="BO7:BO10"/>
    <mergeCell ref="BP7:BP10"/>
    <mergeCell ref="BQ7:BQ10"/>
    <mergeCell ref="BR7:BR10"/>
    <mergeCell ref="BS7:BS10"/>
    <mergeCell ref="CI7:CI10"/>
    <mergeCell ref="CJ7:CJ10"/>
    <mergeCell ref="BT7:BT10"/>
    <mergeCell ref="BU7:BU10"/>
    <mergeCell ref="BV7:BV10"/>
    <mergeCell ref="CB7:CB10"/>
    <mergeCell ref="CD7:CD10"/>
    <mergeCell ref="CG7:CG10"/>
    <mergeCell ref="CH7:CH10"/>
    <mergeCell ref="CK7:CK10"/>
    <mergeCell ref="CL7:CL10"/>
    <mergeCell ref="CM7:CM10"/>
    <mergeCell ref="CB3:CB6"/>
    <mergeCell ref="CD3:CD6"/>
    <mergeCell ref="CG3:CG6"/>
    <mergeCell ref="BR11:BR14"/>
    <mergeCell ref="BS11:BS14"/>
    <mergeCell ref="BT11:BT14"/>
    <mergeCell ref="BU11:BU14"/>
    <mergeCell ref="CK11:CK14"/>
    <mergeCell ref="CL11:CL14"/>
    <mergeCell ref="CM11:CM14"/>
    <mergeCell ref="BV11:BV14"/>
    <mergeCell ref="CB11:CB14"/>
    <mergeCell ref="CD11:CD14"/>
    <mergeCell ref="CG11:CG14"/>
    <mergeCell ref="CH11:CH14"/>
    <mergeCell ref="CI11:CI14"/>
    <mergeCell ref="CJ11:CJ14"/>
    <mergeCell ref="DT3:DT6"/>
    <mergeCell ref="DU3:DU6"/>
    <mergeCell ref="DV3:DV6"/>
    <mergeCell ref="CH3:CH6"/>
    <mergeCell ref="CI3:CI6"/>
    <mergeCell ref="CJ3:CJ6"/>
    <mergeCell ref="A15:A18"/>
    <mergeCell ref="B15:B18"/>
    <mergeCell ref="H15:H18"/>
    <mergeCell ref="J15:J18"/>
    <mergeCell ref="M15:M18"/>
    <mergeCell ref="N15:N18"/>
    <mergeCell ref="O15:O18"/>
    <mergeCell ref="P15:P18"/>
    <mergeCell ref="Q15:Q18"/>
    <mergeCell ref="R15:R18"/>
    <mergeCell ref="S15:S18"/>
    <mergeCell ref="T15:T18"/>
    <mergeCell ref="Z15:Z18"/>
    <mergeCell ref="AB15:AB18"/>
    <mergeCell ref="AE15:AE18"/>
    <mergeCell ref="AF15:AF18"/>
    <mergeCell ref="AG15:AG18"/>
    <mergeCell ref="BR15:BR18"/>
    <mergeCell ref="BS15:BS18"/>
    <mergeCell ref="BT15:BT18"/>
    <mergeCell ref="BU15:BU18"/>
    <mergeCell ref="BV15:BV18"/>
    <mergeCell ref="CB15:CB18"/>
    <mergeCell ref="CD15:CD18"/>
    <mergeCell ref="CG15:CG18"/>
    <mergeCell ref="CH15:CH18"/>
    <mergeCell ref="DV15:DV18"/>
    <mergeCell ref="DW15:DW18"/>
    <mergeCell ref="CI15:CI18"/>
    <mergeCell ref="CJ15:CJ18"/>
    <mergeCell ref="CK15:CK18"/>
    <mergeCell ref="CL15:CL18"/>
    <mergeCell ref="CM15:CM18"/>
    <mergeCell ref="DT15:DT18"/>
    <mergeCell ref="DU15:DU18"/>
    <mergeCell ref="AU8:AU9"/>
    <mergeCell ref="BB7:BB10"/>
    <mergeCell ref="BA8:BA9"/>
    <mergeCell ref="AL7:AL10"/>
    <mergeCell ref="AR7:AR10"/>
    <mergeCell ref="AX7:AX10"/>
    <mergeCell ref="AY7:AY10"/>
    <mergeCell ref="AZ7:AZ10"/>
    <mergeCell ref="BD7:BD10"/>
    <mergeCell ref="AV8:AV9"/>
    <mergeCell ref="BC8:BC9"/>
    <mergeCell ref="AK15:AK18"/>
    <mergeCell ref="BJ15:BJ18"/>
    <mergeCell ref="BL15:BL18"/>
    <mergeCell ref="BO15:BO18"/>
    <mergeCell ref="BP15:BP18"/>
    <mergeCell ref="BQ15:BQ18"/>
    <mergeCell ref="AT16:AT17"/>
    <mergeCell ref="AU16:AU17"/>
    <mergeCell ref="BB15:BB18"/>
    <mergeCell ref="BA16:BA17"/>
    <mergeCell ref="AL15:AL18"/>
    <mergeCell ref="AR15:AR18"/>
    <mergeCell ref="AX15:AX18"/>
    <mergeCell ref="AY15:AY18"/>
    <mergeCell ref="AZ15:AZ18"/>
    <mergeCell ref="BD15:BD18"/>
    <mergeCell ref="AV16:AV17"/>
    <mergeCell ref="BC16:BC17"/>
    <mergeCell ref="BO11:BO14"/>
    <mergeCell ref="BP11:BP14"/>
    <mergeCell ref="BQ11:BQ14"/>
    <mergeCell ref="AZ11:AZ14"/>
    <mergeCell ref="BA11:BA14"/>
    <mergeCell ref="BB11:BB14"/>
    <mergeCell ref="P7:P10"/>
    <mergeCell ref="Q7:Q10"/>
    <mergeCell ref="R7:R10"/>
    <mergeCell ref="S7:S10"/>
    <mergeCell ref="T7:T10"/>
    <mergeCell ref="Z7:Z10"/>
    <mergeCell ref="AB7:AB10"/>
    <mergeCell ref="A7:A10"/>
    <mergeCell ref="B7:B10"/>
    <mergeCell ref="H7:H10"/>
    <mergeCell ref="J7:J10"/>
    <mergeCell ref="M7:M10"/>
    <mergeCell ref="N7:N10"/>
    <mergeCell ref="O7:O10"/>
    <mergeCell ref="P11:P14"/>
    <mergeCell ref="Q11:Q14"/>
    <mergeCell ref="R11:R14"/>
    <mergeCell ref="S11:S14"/>
    <mergeCell ref="T11:T14"/>
    <mergeCell ref="Z11:Z14"/>
    <mergeCell ref="AB11:AB14"/>
    <mergeCell ref="AE7:AE10"/>
    <mergeCell ref="AF7:AF10"/>
    <mergeCell ref="AG7:AG10"/>
    <mergeCell ref="AH7:AH10"/>
    <mergeCell ref="AI7:AI10"/>
    <mergeCell ref="AJ7:AJ10"/>
    <mergeCell ref="AK7:AK10"/>
    <mergeCell ref="AT8:AT9"/>
    <mergeCell ref="M19:M22"/>
    <mergeCell ref="N19:N22"/>
    <mergeCell ref="O19:O22"/>
    <mergeCell ref="AE11:AE14"/>
    <mergeCell ref="AF11:AF14"/>
    <mergeCell ref="AG11:AG14"/>
    <mergeCell ref="AH11:AH14"/>
    <mergeCell ref="AI11:AI14"/>
    <mergeCell ref="AJ11:AJ14"/>
    <mergeCell ref="AK11:AK14"/>
    <mergeCell ref="AL11:AL14"/>
    <mergeCell ref="AR11:AR14"/>
    <mergeCell ref="AT11:AT14"/>
    <mergeCell ref="AU11:AU14"/>
    <mergeCell ref="AV11:AV14"/>
    <mergeCell ref="AX11:AX14"/>
    <mergeCell ref="AY11:AY14"/>
    <mergeCell ref="AH15:AH18"/>
    <mergeCell ref="AI15:AI18"/>
    <mergeCell ref="AJ15:AJ18"/>
    <mergeCell ref="AZ23:AZ26"/>
    <mergeCell ref="BR23:BR26"/>
    <mergeCell ref="BS23:BS26"/>
    <mergeCell ref="BC23:BC26"/>
    <mergeCell ref="BD23:BD26"/>
    <mergeCell ref="BJ23:BJ26"/>
    <mergeCell ref="BL23:BL26"/>
    <mergeCell ref="BO23:BO26"/>
    <mergeCell ref="BP23:BP26"/>
    <mergeCell ref="BQ23:BQ26"/>
    <mergeCell ref="BC11:BC14"/>
    <mergeCell ref="BD11:BD14"/>
    <mergeCell ref="BJ11:BJ14"/>
    <mergeCell ref="BL11:BL14"/>
    <mergeCell ref="A11:A14"/>
    <mergeCell ref="B11:B14"/>
    <mergeCell ref="H11:H14"/>
    <mergeCell ref="J11:J14"/>
    <mergeCell ref="M11:M14"/>
    <mergeCell ref="N11:N14"/>
    <mergeCell ref="O11:O14"/>
    <mergeCell ref="P19:P22"/>
    <mergeCell ref="Q19:Q22"/>
    <mergeCell ref="R19:R22"/>
    <mergeCell ref="S19:S22"/>
    <mergeCell ref="T19:T22"/>
    <mergeCell ref="Z19:Z22"/>
    <mergeCell ref="AB19:AB22"/>
    <mergeCell ref="A19:A22"/>
    <mergeCell ref="B19:B22"/>
    <mergeCell ref="H19:H22"/>
    <mergeCell ref="J19:J22"/>
    <mergeCell ref="CI23:CI26"/>
    <mergeCell ref="CJ23:CJ26"/>
    <mergeCell ref="BT23:BT26"/>
    <mergeCell ref="BU23:BU26"/>
    <mergeCell ref="BV23:BV26"/>
    <mergeCell ref="CB23:CB26"/>
    <mergeCell ref="CD23:CD26"/>
    <mergeCell ref="CG23:CG26"/>
    <mergeCell ref="CH23:CH26"/>
    <mergeCell ref="AE19:AE22"/>
    <mergeCell ref="AF19:AF22"/>
    <mergeCell ref="AG19:AG22"/>
    <mergeCell ref="AH19:AH22"/>
    <mergeCell ref="AI19:AI22"/>
    <mergeCell ref="AJ19:AJ22"/>
    <mergeCell ref="AK19:AK22"/>
    <mergeCell ref="AL19:AL22"/>
    <mergeCell ref="AR19:AR22"/>
    <mergeCell ref="AT19:AT22"/>
    <mergeCell ref="AV19:AV22"/>
    <mergeCell ref="AX19:AX22"/>
    <mergeCell ref="AY19:AY22"/>
    <mergeCell ref="AZ19:AZ22"/>
    <mergeCell ref="BV19:BV22"/>
    <mergeCell ref="BA23:BA26"/>
    <mergeCell ref="BB23:BB26"/>
    <mergeCell ref="AL23:AL26"/>
    <mergeCell ref="AR23:AR26"/>
    <mergeCell ref="AT23:AT26"/>
    <mergeCell ref="AV23:AV26"/>
    <mergeCell ref="AX23:AX26"/>
    <mergeCell ref="AY23:AY26"/>
    <mergeCell ref="CL19:CL22"/>
    <mergeCell ref="CM19:CM22"/>
    <mergeCell ref="CK23:CK26"/>
    <mergeCell ref="CL23:CL26"/>
    <mergeCell ref="CM23:CM26"/>
    <mergeCell ref="CB19:CB22"/>
    <mergeCell ref="CD19:CD22"/>
    <mergeCell ref="CG19:CG22"/>
    <mergeCell ref="CH19:CH22"/>
    <mergeCell ref="CI19:CI22"/>
    <mergeCell ref="CJ19:CJ22"/>
    <mergeCell ref="CK19:CK22"/>
    <mergeCell ref="AE23:AE26"/>
    <mergeCell ref="AF23:AF26"/>
    <mergeCell ref="AG23:AG26"/>
    <mergeCell ref="AH23:AH26"/>
    <mergeCell ref="AI23:AI26"/>
    <mergeCell ref="AJ23:AJ26"/>
    <mergeCell ref="AK23:AK26"/>
    <mergeCell ref="BA19:BA22"/>
    <mergeCell ref="BB19:BB22"/>
    <mergeCell ref="BC19:BC22"/>
    <mergeCell ref="BD19:BD22"/>
    <mergeCell ref="BJ19:BJ22"/>
    <mergeCell ref="BL19:BL22"/>
    <mergeCell ref="BO19:BO22"/>
    <mergeCell ref="BP19:BP22"/>
    <mergeCell ref="BQ19:BQ22"/>
    <mergeCell ref="BR19:BR22"/>
    <mergeCell ref="BS19:BS22"/>
    <mergeCell ref="BT19:BT22"/>
    <mergeCell ref="BU19:BU22"/>
    <mergeCell ref="BA28:BA31"/>
    <mergeCell ref="BB28:BB31"/>
    <mergeCell ref="BC28:BC31"/>
    <mergeCell ref="BD28:BD31"/>
    <mergeCell ref="BJ28:BJ31"/>
    <mergeCell ref="BL28:BL31"/>
    <mergeCell ref="BO28:BO31"/>
    <mergeCell ref="DT28:DT31"/>
    <mergeCell ref="DU28:DU31"/>
    <mergeCell ref="DV28:DV31"/>
    <mergeCell ref="DW28:DW31"/>
    <mergeCell ref="DY28:DY31"/>
    <mergeCell ref="DZ28:DZ31"/>
    <mergeCell ref="BP28:BP31"/>
    <mergeCell ref="BQ28:BQ31"/>
    <mergeCell ref="BR28:BR31"/>
    <mergeCell ref="BS28:BS31"/>
    <mergeCell ref="BT28:BT31"/>
    <mergeCell ref="BU28:BU31"/>
    <mergeCell ref="BV28:BV31"/>
    <mergeCell ref="CB28:CB31"/>
    <mergeCell ref="CD28:CD31"/>
    <mergeCell ref="CG28:CG31"/>
    <mergeCell ref="CH28:CH31"/>
    <mergeCell ref="CI28:CI31"/>
    <mergeCell ref="CJ28:CJ31"/>
    <mergeCell ref="CK28:CK31"/>
    <mergeCell ref="P28:P31"/>
    <mergeCell ref="Q28:Q31"/>
    <mergeCell ref="R28:R31"/>
    <mergeCell ref="S28:S31"/>
    <mergeCell ref="T28:T31"/>
    <mergeCell ref="Z28:Z31"/>
    <mergeCell ref="AB28:AB31"/>
    <mergeCell ref="A28:A31"/>
    <mergeCell ref="B28:B31"/>
    <mergeCell ref="H28:H31"/>
    <mergeCell ref="J28:J31"/>
    <mergeCell ref="M28:M31"/>
    <mergeCell ref="N28:N31"/>
    <mergeCell ref="O28:O31"/>
    <mergeCell ref="AE32:AE35"/>
    <mergeCell ref="AF32:AF35"/>
    <mergeCell ref="AG32:AG35"/>
    <mergeCell ref="P32:P35"/>
    <mergeCell ref="Q32:Q35"/>
    <mergeCell ref="R32:R35"/>
    <mergeCell ref="S32:S35"/>
    <mergeCell ref="T32:T35"/>
    <mergeCell ref="Z32:Z35"/>
    <mergeCell ref="AB32:AB35"/>
    <mergeCell ref="A32:A35"/>
    <mergeCell ref="B32:B35"/>
    <mergeCell ref="H32:H35"/>
    <mergeCell ref="J32:J35"/>
    <mergeCell ref="M32:M35"/>
    <mergeCell ref="N32:N35"/>
    <mergeCell ref="O32:O35"/>
    <mergeCell ref="BB32:BB35"/>
    <mergeCell ref="BA33:BA34"/>
    <mergeCell ref="AL32:AL35"/>
    <mergeCell ref="AR32:AR35"/>
    <mergeCell ref="AX32:AX35"/>
    <mergeCell ref="AY32:AY35"/>
    <mergeCell ref="AZ32:AZ35"/>
    <mergeCell ref="BD32:BD35"/>
    <mergeCell ref="AV33:AV34"/>
    <mergeCell ref="BC33:BC34"/>
    <mergeCell ref="BT32:BT35"/>
    <mergeCell ref="BJ32:BJ35"/>
    <mergeCell ref="BL32:BL35"/>
    <mergeCell ref="BO32:BO35"/>
    <mergeCell ref="BP32:BP35"/>
    <mergeCell ref="BQ32:BQ35"/>
    <mergeCell ref="BR32:BR35"/>
    <mergeCell ref="BS32:BS35"/>
    <mergeCell ref="DY32:DY34"/>
    <mergeCell ref="DY35:DY36"/>
    <mergeCell ref="DZ35:DZ36"/>
    <mergeCell ref="CI32:CI35"/>
    <mergeCell ref="CJ32:CJ35"/>
    <mergeCell ref="DT32:DT35"/>
    <mergeCell ref="DU32:DU35"/>
    <mergeCell ref="DV32:DV35"/>
    <mergeCell ref="DW32:DW35"/>
    <mergeCell ref="DZ32:DZ34"/>
    <mergeCell ref="P23:P26"/>
    <mergeCell ref="Q23:Q26"/>
    <mergeCell ref="R23:R26"/>
    <mergeCell ref="S23:S26"/>
    <mergeCell ref="T23:T26"/>
    <mergeCell ref="Z23:Z26"/>
    <mergeCell ref="AB23:AB26"/>
    <mergeCell ref="AV28:AV31"/>
    <mergeCell ref="AX28:AX31"/>
    <mergeCell ref="AY28:AY31"/>
    <mergeCell ref="AZ28:AZ31"/>
    <mergeCell ref="CL28:CL31"/>
    <mergeCell ref="CM28:CM31"/>
    <mergeCell ref="CK32:CK35"/>
    <mergeCell ref="CL32:CL35"/>
    <mergeCell ref="CM32:CM35"/>
    <mergeCell ref="AH32:AH35"/>
    <mergeCell ref="AI32:AI35"/>
    <mergeCell ref="AJ32:AJ35"/>
    <mergeCell ref="AK32:AK35"/>
    <mergeCell ref="AT33:AT34"/>
    <mergeCell ref="AU33:AU34"/>
    <mergeCell ref="DY37:DY39"/>
    <mergeCell ref="DZ37:DZ39"/>
    <mergeCell ref="CK36:CK39"/>
    <mergeCell ref="CL36:CL39"/>
    <mergeCell ref="CM36:CM39"/>
    <mergeCell ref="DT36:DT39"/>
    <mergeCell ref="DU36:DU39"/>
    <mergeCell ref="DV36:DV39"/>
    <mergeCell ref="DW36:DW39"/>
    <mergeCell ref="A23:A26"/>
    <mergeCell ref="B23:B26"/>
    <mergeCell ref="H23:H26"/>
    <mergeCell ref="J23:J26"/>
    <mergeCell ref="M23:M26"/>
    <mergeCell ref="N23:N26"/>
    <mergeCell ref="O23:O26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R28:AR31"/>
    <mergeCell ref="AT28:AT31"/>
    <mergeCell ref="BU32:BU35"/>
    <mergeCell ref="BV32:BV35"/>
    <mergeCell ref="CB32:CB35"/>
    <mergeCell ref="CD32:CD35"/>
    <mergeCell ref="CG32:CG35"/>
    <mergeCell ref="CH32:CH35"/>
    <mergeCell ref="AL36:AL39"/>
    <mergeCell ref="AR36:AR39"/>
    <mergeCell ref="AT36:AT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CB36:CB39"/>
    <mergeCell ref="CD36:CD39"/>
    <mergeCell ref="CG36:CG39"/>
    <mergeCell ref="CH36:CH39"/>
    <mergeCell ref="CI36:CI39"/>
    <mergeCell ref="CJ36:CJ39"/>
    <mergeCell ref="AU36:AU39"/>
    <mergeCell ref="AV36:AV39"/>
    <mergeCell ref="AX36:AX39"/>
    <mergeCell ref="AY36:AY39"/>
    <mergeCell ref="AZ36:AZ39"/>
    <mergeCell ref="BA36:BA39"/>
    <mergeCell ref="BB36:BB39"/>
    <mergeCell ref="BC36:BC39"/>
    <mergeCell ref="BD36:BD39"/>
    <mergeCell ref="BJ36:BJ39"/>
    <mergeCell ref="BL36:BL39"/>
    <mergeCell ref="A36:A39"/>
    <mergeCell ref="B36:B39"/>
    <mergeCell ref="H36:H39"/>
    <mergeCell ref="J36:J39"/>
    <mergeCell ref="M36:M39"/>
    <mergeCell ref="N36:N39"/>
    <mergeCell ref="O36:O39"/>
    <mergeCell ref="P36:P39"/>
    <mergeCell ref="Q36:Q39"/>
    <mergeCell ref="R36:R39"/>
    <mergeCell ref="S36:S39"/>
    <mergeCell ref="T36:T39"/>
    <mergeCell ref="Z36:Z39"/>
    <mergeCell ref="AB36:AB39"/>
    <mergeCell ref="AE36:AE37"/>
    <mergeCell ref="AF36:AF39"/>
    <mergeCell ref="AG36:AG39"/>
    <mergeCell ref="AH36:AH39"/>
    <mergeCell ref="AI36:AI37"/>
    <mergeCell ref="AJ36:AJ39"/>
    <mergeCell ref="AK36:AK37"/>
    <mergeCell ref="A44:A47"/>
    <mergeCell ref="B44:B47"/>
    <mergeCell ref="H44:H47"/>
    <mergeCell ref="J44:J47"/>
    <mergeCell ref="M44:M47"/>
    <mergeCell ref="N44:N47"/>
    <mergeCell ref="O44:O47"/>
    <mergeCell ref="AG58:AG61"/>
    <mergeCell ref="AH58:AH61"/>
    <mergeCell ref="AE58:AE59"/>
    <mergeCell ref="AE60:AE61"/>
    <mergeCell ref="R58:R61"/>
    <mergeCell ref="S58:S61"/>
    <mergeCell ref="T58:T61"/>
    <mergeCell ref="Z58:Z61"/>
    <mergeCell ref="AB58:AB59"/>
    <mergeCell ref="AF58:AF61"/>
    <mergeCell ref="AB60:AB61"/>
    <mergeCell ref="P48:P51"/>
    <mergeCell ref="Q48:Q51"/>
    <mergeCell ref="R48:R51"/>
    <mergeCell ref="S48:S51"/>
    <mergeCell ref="T48:T51"/>
    <mergeCell ref="Z48:Z51"/>
    <mergeCell ref="AB48:AB51"/>
    <mergeCell ref="AE48:AE51"/>
    <mergeCell ref="AF48:AF51"/>
    <mergeCell ref="AG48:AG51"/>
    <mergeCell ref="AH48:AH51"/>
    <mergeCell ref="M48:M51"/>
    <mergeCell ref="N48:N51"/>
    <mergeCell ref="O48:O51"/>
    <mergeCell ref="H58:H61"/>
    <mergeCell ref="J58:J61"/>
    <mergeCell ref="M58:M61"/>
    <mergeCell ref="N58:N61"/>
    <mergeCell ref="O58:O61"/>
    <mergeCell ref="P58:P61"/>
    <mergeCell ref="Q58:Q61"/>
    <mergeCell ref="AK58:AK59"/>
    <mergeCell ref="AK60:AK61"/>
    <mergeCell ref="AJ53:AJ57"/>
    <mergeCell ref="AK53:AK57"/>
    <mergeCell ref="P44:P47"/>
    <mergeCell ref="Q44:Q47"/>
    <mergeCell ref="R44:R47"/>
    <mergeCell ref="S44:S47"/>
    <mergeCell ref="T44:T47"/>
    <mergeCell ref="Z44:Z47"/>
    <mergeCell ref="AB44:AB47"/>
    <mergeCell ref="AI48:AI51"/>
    <mergeCell ref="AJ48:AJ51"/>
    <mergeCell ref="AK48:AK51"/>
    <mergeCell ref="H48:H51"/>
    <mergeCell ref="CG62:CG65"/>
    <mergeCell ref="BL59:BL60"/>
    <mergeCell ref="BO59:BO60"/>
    <mergeCell ref="BP59:BP60"/>
    <mergeCell ref="BQ59:BQ60"/>
    <mergeCell ref="BR59:BR60"/>
    <mergeCell ref="BS60:BS61"/>
    <mergeCell ref="BL61:BL62"/>
    <mergeCell ref="BO65:BO66"/>
    <mergeCell ref="BV66:BV69"/>
    <mergeCell ref="BU67:BU68"/>
    <mergeCell ref="BS68:BS69"/>
    <mergeCell ref="BL65:BL66"/>
    <mergeCell ref="BP65:BP66"/>
    <mergeCell ref="BQ65:BQ66"/>
    <mergeCell ref="Z53:Z57"/>
    <mergeCell ref="AB53:AB57"/>
    <mergeCell ref="AE53:AE57"/>
    <mergeCell ref="AF53:AF57"/>
    <mergeCell ref="AG53:AG57"/>
    <mergeCell ref="AH53:AH57"/>
    <mergeCell ref="AI53:AI57"/>
    <mergeCell ref="AT58:AT60"/>
    <mergeCell ref="AU58:AU60"/>
    <mergeCell ref="AV58:AV60"/>
    <mergeCell ref="AV62:AV64"/>
    <mergeCell ref="AZ66:AZ69"/>
    <mergeCell ref="BA66:BA68"/>
    <mergeCell ref="AY66:AY69"/>
    <mergeCell ref="BD61:BD62"/>
    <mergeCell ref="BD65:BD66"/>
    <mergeCell ref="BD67:BD68"/>
    <mergeCell ref="CM74:CM77"/>
    <mergeCell ref="DT74:DT77"/>
    <mergeCell ref="DU74:DU77"/>
    <mergeCell ref="DV74:DV77"/>
    <mergeCell ref="DW74:DW77"/>
    <mergeCell ref="BS74:BS75"/>
    <mergeCell ref="BV74:BV77"/>
    <mergeCell ref="CB74:CB77"/>
    <mergeCell ref="CD74:CD77"/>
    <mergeCell ref="CG74:CG77"/>
    <mergeCell ref="CH74:CH77"/>
    <mergeCell ref="CI74:CI77"/>
    <mergeCell ref="BS76:BS77"/>
    <mergeCell ref="BO74:BO75"/>
    <mergeCell ref="BO76:BO77"/>
    <mergeCell ref="AL53:AL57"/>
    <mergeCell ref="AI58:AI59"/>
    <mergeCell ref="AJ58:AJ61"/>
    <mergeCell ref="AL58:AL61"/>
    <mergeCell ref="AI60:AI61"/>
    <mergeCell ref="CH62:CH65"/>
    <mergeCell ref="CI62:CI65"/>
    <mergeCell ref="CJ62:CJ65"/>
    <mergeCell ref="CK62:CK65"/>
    <mergeCell ref="CL62:CL65"/>
    <mergeCell ref="CM62:CM65"/>
    <mergeCell ref="BQ61:BQ62"/>
    <mergeCell ref="BR61:BR62"/>
    <mergeCell ref="BS62:BS63"/>
    <mergeCell ref="BV62:BV65"/>
    <mergeCell ref="CB62:CB65"/>
    <mergeCell ref="CD62:CD65"/>
    <mergeCell ref="BP67:BP68"/>
    <mergeCell ref="BQ67:BQ68"/>
    <mergeCell ref="BL74:BL75"/>
    <mergeCell ref="BP74:BP75"/>
    <mergeCell ref="BQ74:BQ75"/>
    <mergeCell ref="BR74:BR75"/>
    <mergeCell ref="BR76:BR77"/>
    <mergeCell ref="BP80:BP81"/>
    <mergeCell ref="BP82:BP83"/>
    <mergeCell ref="BQ82:BQ83"/>
    <mergeCell ref="BR82:BR83"/>
    <mergeCell ref="BS66:BS67"/>
    <mergeCell ref="BL67:BL68"/>
    <mergeCell ref="BR67:BR68"/>
    <mergeCell ref="CJ74:CJ77"/>
    <mergeCell ref="CK74:CK77"/>
    <mergeCell ref="CL74:CL77"/>
    <mergeCell ref="BQ106:BQ107"/>
    <mergeCell ref="BR106:BR107"/>
    <mergeCell ref="BE113:BV113"/>
    <mergeCell ref="BF114:BV118"/>
    <mergeCell ref="BQ102:BQ103"/>
    <mergeCell ref="BR102:BR103"/>
    <mergeCell ref="BW103:BW104"/>
    <mergeCell ref="BV105:BV106"/>
    <mergeCell ref="BO106:BO107"/>
    <mergeCell ref="BP106:BP107"/>
    <mergeCell ref="BV107:BV108"/>
    <mergeCell ref="BV109:BV110"/>
    <mergeCell ref="BP76:BP77"/>
    <mergeCell ref="BQ76:BQ77"/>
    <mergeCell ref="BP78:BP79"/>
    <mergeCell ref="BQ78:BQ79"/>
    <mergeCell ref="BR78:BR79"/>
    <mergeCell ref="BV79:BV80"/>
    <mergeCell ref="BV81:BV82"/>
    <mergeCell ref="BV83:BV84"/>
    <mergeCell ref="BL106:BL107"/>
    <mergeCell ref="BL108:BL109"/>
    <mergeCell ref="BO108:BO109"/>
    <mergeCell ref="BP108:BP109"/>
    <mergeCell ref="BQ108:BQ109"/>
    <mergeCell ref="BR108:BR109"/>
    <mergeCell ref="BO78:BO79"/>
    <mergeCell ref="BO80:BO81"/>
    <mergeCell ref="BO82:BO83"/>
    <mergeCell ref="BL76:BL77"/>
    <mergeCell ref="BL78:BL79"/>
    <mergeCell ref="BL80:BL81"/>
    <mergeCell ref="CK96:CK97"/>
    <mergeCell ref="CM96:CM97"/>
    <mergeCell ref="DT96:DT97"/>
    <mergeCell ref="BQ80:BQ81"/>
    <mergeCell ref="BR80:BR81"/>
    <mergeCell ref="BE87:BV87"/>
    <mergeCell ref="BF88:BV92"/>
    <mergeCell ref="BW96:BW97"/>
    <mergeCell ref="CC96:CC97"/>
    <mergeCell ref="CH96:CH97"/>
    <mergeCell ref="BV101:BV102"/>
    <mergeCell ref="BW101:BW102"/>
    <mergeCell ref="CC101:CC102"/>
    <mergeCell ref="CH101:CH102"/>
    <mergeCell ref="CI101:CI102"/>
    <mergeCell ref="CJ101:CJ102"/>
    <mergeCell ref="CM101:CM102"/>
    <mergeCell ref="DT101:DT102"/>
    <mergeCell ref="BP98:BP99"/>
    <mergeCell ref="BS98:BS99"/>
    <mergeCell ref="BU98:BU99"/>
    <mergeCell ref="BV98:BV99"/>
    <mergeCell ref="BP101:BP102"/>
    <mergeCell ref="BS101:BS102"/>
    <mergeCell ref="BU101:BU102"/>
    <mergeCell ref="BL82:BL83"/>
    <mergeCell ref="BE96:BE97"/>
    <mergeCell ref="BE98:BE99"/>
    <mergeCell ref="AL92:AL95"/>
    <mergeCell ref="AR92:AR95"/>
    <mergeCell ref="AU92:AU95"/>
    <mergeCell ref="AV92:AV95"/>
    <mergeCell ref="AY92:AY95"/>
    <mergeCell ref="AR96:AR99"/>
    <mergeCell ref="AV96:AV98"/>
    <mergeCell ref="BC100:BC103"/>
    <mergeCell ref="BD100:BD101"/>
    <mergeCell ref="BE101:BE102"/>
    <mergeCell ref="BD103:BD104"/>
    <mergeCell ref="BE103:BE104"/>
    <mergeCell ref="AR100:AR103"/>
    <mergeCell ref="CI96:CI97"/>
    <mergeCell ref="CJ96:CJ97"/>
    <mergeCell ref="AX105:AX109"/>
    <mergeCell ref="AY105:AY109"/>
    <mergeCell ref="AZ105:AZ109"/>
    <mergeCell ref="BA105:BA108"/>
    <mergeCell ref="BB105:BB109"/>
    <mergeCell ref="BC105:BC108"/>
    <mergeCell ref="BD106:BD107"/>
    <mergeCell ref="BD108:BD109"/>
    <mergeCell ref="AX92:AX95"/>
    <mergeCell ref="AX96:AX99"/>
    <mergeCell ref="AX100:AX103"/>
    <mergeCell ref="AY100:AY103"/>
    <mergeCell ref="AZ100:AZ103"/>
    <mergeCell ref="BA100:BA103"/>
    <mergeCell ref="BB100:BB103"/>
    <mergeCell ref="AT92:AT95"/>
    <mergeCell ref="AT96:AT98"/>
    <mergeCell ref="AT100:AT103"/>
    <mergeCell ref="AV100:AV103"/>
    <mergeCell ref="AT105:AT108"/>
    <mergeCell ref="AV105:AV108"/>
    <mergeCell ref="AZ96:AZ99"/>
    <mergeCell ref="BA96:BA98"/>
    <mergeCell ref="BB96:BB99"/>
    <mergeCell ref="BC96:BC98"/>
    <mergeCell ref="R88:R91"/>
    <mergeCell ref="S88:S91"/>
    <mergeCell ref="T88:T91"/>
    <mergeCell ref="N92:N95"/>
    <mergeCell ref="O92:O95"/>
    <mergeCell ref="P92:P95"/>
    <mergeCell ref="Q92:Q95"/>
    <mergeCell ref="R92:R95"/>
    <mergeCell ref="S92:S95"/>
    <mergeCell ref="T92:T95"/>
    <mergeCell ref="AJ96:AJ99"/>
    <mergeCell ref="AK96:AK99"/>
    <mergeCell ref="AL96:AL99"/>
    <mergeCell ref="AB96:AB99"/>
    <mergeCell ref="AB100:AB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Z96:Z99"/>
    <mergeCell ref="AE96:AE99"/>
    <mergeCell ref="AF96:AF99"/>
    <mergeCell ref="AG96:AG99"/>
    <mergeCell ref="AH96:AH99"/>
    <mergeCell ref="AI96:AI99"/>
    <mergeCell ref="Z100:Z103"/>
    <mergeCell ref="S96:S99"/>
    <mergeCell ref="T96:T99"/>
    <mergeCell ref="Z131:Z135"/>
    <mergeCell ref="AB131:AB135"/>
    <mergeCell ref="AE131:AE135"/>
    <mergeCell ref="AF131:AF135"/>
    <mergeCell ref="AG131:AG135"/>
    <mergeCell ref="M92:M95"/>
    <mergeCell ref="M96:M99"/>
    <mergeCell ref="N96:N99"/>
    <mergeCell ref="O96:O99"/>
    <mergeCell ref="P96:P99"/>
    <mergeCell ref="Q96:Q99"/>
    <mergeCell ref="R96:R99"/>
    <mergeCell ref="AI105:AI109"/>
    <mergeCell ref="AJ105:AJ109"/>
    <mergeCell ref="AK105:AK109"/>
    <mergeCell ref="AL105:AL109"/>
    <mergeCell ref="T105:T109"/>
    <mergeCell ref="Z105:Z109"/>
    <mergeCell ref="AB105:AB109"/>
    <mergeCell ref="AE105:AE109"/>
    <mergeCell ref="AF105:AF109"/>
    <mergeCell ref="AG105:AG109"/>
    <mergeCell ref="AH105:AH109"/>
    <mergeCell ref="M105:M109"/>
    <mergeCell ref="N105:N109"/>
    <mergeCell ref="O105:O109"/>
    <mergeCell ref="P105:P109"/>
    <mergeCell ref="Q105:Q109"/>
    <mergeCell ref="R105:R109"/>
    <mergeCell ref="S105:S109"/>
    <mergeCell ref="M118:M121"/>
    <mergeCell ref="R118:R121"/>
    <mergeCell ref="BS127:BS128"/>
    <mergeCell ref="BU127:BU128"/>
    <mergeCell ref="BV127:BV128"/>
    <mergeCell ref="BV131:BV132"/>
    <mergeCell ref="BV133:BV134"/>
    <mergeCell ref="BD129:BD130"/>
    <mergeCell ref="BE129:BE130"/>
    <mergeCell ref="BA131:BA134"/>
    <mergeCell ref="BB131:BB135"/>
    <mergeCell ref="AI110:AI111"/>
    <mergeCell ref="AJ110:AJ113"/>
    <mergeCell ref="AK110:AK111"/>
    <mergeCell ref="AL110:AL113"/>
    <mergeCell ref="AI112:AI113"/>
    <mergeCell ref="AK112:AK113"/>
    <mergeCell ref="M110:M113"/>
    <mergeCell ref="N110:N113"/>
    <mergeCell ref="O110:O113"/>
    <mergeCell ref="P110:P113"/>
    <mergeCell ref="Q110:Q113"/>
    <mergeCell ref="R110:R113"/>
    <mergeCell ref="S110:S113"/>
    <mergeCell ref="BP134:BP135"/>
    <mergeCell ref="BQ134:BQ135"/>
    <mergeCell ref="BV135:BV136"/>
    <mergeCell ref="BC131:BC134"/>
    <mergeCell ref="BD132:BD133"/>
    <mergeCell ref="BD134:BD135"/>
    <mergeCell ref="AZ126:AZ129"/>
    <mergeCell ref="BA126:BA129"/>
    <mergeCell ref="BB126:BB129"/>
    <mergeCell ref="BC126:BC129"/>
    <mergeCell ref="BQ128:BQ129"/>
    <mergeCell ref="BR128:BR129"/>
    <mergeCell ref="BL132:BL133"/>
    <mergeCell ref="BP132:BP133"/>
    <mergeCell ref="BQ132:BQ133"/>
    <mergeCell ref="BR132:BR133"/>
    <mergeCell ref="BL134:BL135"/>
    <mergeCell ref="BR134:BR135"/>
    <mergeCell ref="AB126:AB129"/>
    <mergeCell ref="AE126:AE129"/>
    <mergeCell ref="AF126:AF129"/>
    <mergeCell ref="AG126:AG129"/>
    <mergeCell ref="AH126:AH129"/>
    <mergeCell ref="AI126:AI129"/>
    <mergeCell ref="AJ126:AJ129"/>
    <mergeCell ref="AK126:AK129"/>
    <mergeCell ref="AL126:AL129"/>
    <mergeCell ref="AR126:AR129"/>
    <mergeCell ref="AT126:AT129"/>
    <mergeCell ref="AV126:AV129"/>
    <mergeCell ref="AX126:AX129"/>
    <mergeCell ref="AY126:AY129"/>
    <mergeCell ref="BD126:BD127"/>
    <mergeCell ref="BE127:BE128"/>
    <mergeCell ref="BP127:BP128"/>
    <mergeCell ref="AH131:AH135"/>
    <mergeCell ref="AI131:AI135"/>
    <mergeCell ref="BO132:BO133"/>
    <mergeCell ref="BO134:BO135"/>
    <mergeCell ref="AJ136:AJ139"/>
    <mergeCell ref="AK136:AK137"/>
    <mergeCell ref="AL136:AL139"/>
    <mergeCell ref="AR136:AR139"/>
    <mergeCell ref="AT136:AT138"/>
    <mergeCell ref="AU136:AU138"/>
    <mergeCell ref="AV136:AV138"/>
    <mergeCell ref="AK138:AK139"/>
    <mergeCell ref="AJ140:AJ143"/>
    <mergeCell ref="AK140:AK143"/>
    <mergeCell ref="AL140:AL143"/>
    <mergeCell ref="AR140:AR143"/>
    <mergeCell ref="AT140:AT142"/>
    <mergeCell ref="AU140:AU142"/>
    <mergeCell ref="AV140:AV142"/>
    <mergeCell ref="BF140:BV144"/>
    <mergeCell ref="BE139:BV139"/>
    <mergeCell ref="BA144:BA147"/>
    <mergeCell ref="BB144:BB147"/>
    <mergeCell ref="BC144:BC147"/>
    <mergeCell ref="AX140:AX143"/>
    <mergeCell ref="AY140:AY143"/>
    <mergeCell ref="AZ140:AZ143"/>
    <mergeCell ref="BA140:BA143"/>
    <mergeCell ref="BB140:BB143"/>
    <mergeCell ref="BC140:BC143"/>
    <mergeCell ref="AT144:AT147"/>
    <mergeCell ref="AY131:AY135"/>
    <mergeCell ref="AZ131:AZ135"/>
    <mergeCell ref="AJ131:AJ135"/>
    <mergeCell ref="AK131:AK135"/>
    <mergeCell ref="AL131:AL135"/>
    <mergeCell ref="AR131:AR135"/>
    <mergeCell ref="AT131:AT134"/>
    <mergeCell ref="AV131:AV134"/>
    <mergeCell ref="AX131:AX135"/>
    <mergeCell ref="AX136:AX139"/>
    <mergeCell ref="AY136:AY139"/>
    <mergeCell ref="AZ136:AZ139"/>
    <mergeCell ref="BA136:BA138"/>
    <mergeCell ref="BB136:BB139"/>
    <mergeCell ref="BC136:BC138"/>
    <mergeCell ref="AU144:AU147"/>
    <mergeCell ref="AV144:AV147"/>
    <mergeCell ref="BV159:BV160"/>
    <mergeCell ref="BV161:BV162"/>
    <mergeCell ref="BP158:BP159"/>
    <mergeCell ref="BQ158:BQ159"/>
    <mergeCell ref="BL160:BL161"/>
    <mergeCell ref="BO160:BO161"/>
    <mergeCell ref="BP160:BP161"/>
    <mergeCell ref="BQ160:BQ161"/>
    <mergeCell ref="BR160:BR161"/>
    <mergeCell ref="BR158:BR159"/>
    <mergeCell ref="Z136:Z139"/>
    <mergeCell ref="Z140:Z143"/>
    <mergeCell ref="AB140:AB143"/>
    <mergeCell ref="Z144:Z147"/>
    <mergeCell ref="AB144:AB147"/>
    <mergeCell ref="AB136:AB137"/>
    <mergeCell ref="AF136:AF139"/>
    <mergeCell ref="AG136:AG139"/>
    <mergeCell ref="AH136:AH139"/>
    <mergeCell ref="AI136:AI137"/>
    <mergeCell ref="AB138:AB139"/>
    <mergeCell ref="AI138:AI139"/>
    <mergeCell ref="AE136:AE137"/>
    <mergeCell ref="AE138:AE139"/>
    <mergeCell ref="AE140:AE143"/>
    <mergeCell ref="AF140:AF143"/>
    <mergeCell ref="AG140:AG143"/>
    <mergeCell ref="AH140:AH143"/>
    <mergeCell ref="AI140:AI143"/>
    <mergeCell ref="AX144:AX147"/>
    <mergeCell ref="AY144:AY147"/>
    <mergeCell ref="AZ144:AZ147"/>
    <mergeCell ref="AL144:AL147"/>
    <mergeCell ref="AR144:AR147"/>
    <mergeCell ref="AE144:AE147"/>
    <mergeCell ref="AF144:AF147"/>
    <mergeCell ref="AG144:AG147"/>
    <mergeCell ref="AH144:AH147"/>
    <mergeCell ref="AI144:AI147"/>
    <mergeCell ref="AJ144:AJ147"/>
    <mergeCell ref="AK144:AK147"/>
    <mergeCell ref="AJ148:AJ151"/>
    <mergeCell ref="AK148:AK151"/>
    <mergeCell ref="AL148:AL151"/>
    <mergeCell ref="AR148:AR151"/>
    <mergeCell ref="AT148:AT150"/>
    <mergeCell ref="AV148:AV150"/>
    <mergeCell ref="AX148:AX151"/>
    <mergeCell ref="AY148:AY151"/>
    <mergeCell ref="BP153:BP154"/>
    <mergeCell ref="BQ154:BQ155"/>
    <mergeCell ref="BR154:BR155"/>
    <mergeCell ref="BP150:BP151"/>
    <mergeCell ref="BS150:BS151"/>
    <mergeCell ref="BU150:BU151"/>
    <mergeCell ref="BV150:BV151"/>
    <mergeCell ref="BS153:BS154"/>
    <mergeCell ref="BU153:BU154"/>
    <mergeCell ref="BV153:BV154"/>
    <mergeCell ref="AG152:AG155"/>
    <mergeCell ref="AH152:AH155"/>
    <mergeCell ref="BE165:BV165"/>
    <mergeCell ref="BF166:BV170"/>
    <mergeCell ref="BD152:BD153"/>
    <mergeCell ref="BE153:BE154"/>
    <mergeCell ref="BD155:BD156"/>
    <mergeCell ref="BE155:BE156"/>
    <mergeCell ref="BV157:BV158"/>
    <mergeCell ref="BL158:BL159"/>
    <mergeCell ref="BO158:BO159"/>
    <mergeCell ref="AZ148:AZ151"/>
    <mergeCell ref="BA148:BA150"/>
    <mergeCell ref="BB148:BB151"/>
    <mergeCell ref="BC148:BC150"/>
    <mergeCell ref="BE148:BE149"/>
    <mergeCell ref="BE150:BE151"/>
    <mergeCell ref="AV152:AV155"/>
    <mergeCell ref="AX152:AX155"/>
    <mergeCell ref="AY152:AY155"/>
    <mergeCell ref="AZ152:AZ155"/>
    <mergeCell ref="BA152:BA155"/>
    <mergeCell ref="Z148:Z151"/>
    <mergeCell ref="AE148:AE151"/>
    <mergeCell ref="AF148:AF151"/>
    <mergeCell ref="AG148:AG151"/>
    <mergeCell ref="AH148:AH151"/>
    <mergeCell ref="AI148:AI151"/>
    <mergeCell ref="AI152:AI155"/>
    <mergeCell ref="AX157:AX161"/>
    <mergeCell ref="AY157:AY161"/>
    <mergeCell ref="AZ157:AZ161"/>
    <mergeCell ref="BA157:BA160"/>
    <mergeCell ref="BB157:BB161"/>
    <mergeCell ref="BC157:BC160"/>
    <mergeCell ref="BD158:BD159"/>
    <mergeCell ref="BD160:BD161"/>
    <mergeCell ref="AI157:AI161"/>
    <mergeCell ref="AJ157:AJ161"/>
    <mergeCell ref="AK157:AK161"/>
    <mergeCell ref="AL157:AL161"/>
    <mergeCell ref="AR157:AR161"/>
    <mergeCell ref="AT157:AT160"/>
    <mergeCell ref="AV157:AV160"/>
    <mergeCell ref="AB157:AB161"/>
    <mergeCell ref="AB148:AB151"/>
    <mergeCell ref="AB152:AB155"/>
    <mergeCell ref="AE152:AE155"/>
    <mergeCell ref="AF152:AF155"/>
    <mergeCell ref="AJ152:AJ155"/>
    <mergeCell ref="AK152:AK155"/>
    <mergeCell ref="AL152:AL155"/>
    <mergeCell ref="AR152:AR155"/>
    <mergeCell ref="AT152:AT155"/>
    <mergeCell ref="AB162:AB165"/>
    <mergeCell ref="Z152:Z155"/>
    <mergeCell ref="Z157:Z161"/>
    <mergeCell ref="AE157:AE161"/>
    <mergeCell ref="AF157:AF161"/>
    <mergeCell ref="AG157:AG161"/>
    <mergeCell ref="AH157:AH161"/>
    <mergeCell ref="Z162:Z165"/>
    <mergeCell ref="BB162:BB165"/>
    <mergeCell ref="BC162:BC164"/>
    <mergeCell ref="AT162:AT164"/>
    <mergeCell ref="AU162:AU164"/>
    <mergeCell ref="AV162:AV164"/>
    <mergeCell ref="AX162:AX165"/>
    <mergeCell ref="AY162:AY165"/>
    <mergeCell ref="AZ162:AZ165"/>
    <mergeCell ref="BA162:BA164"/>
    <mergeCell ref="AG162:AG165"/>
    <mergeCell ref="AH162:AH165"/>
    <mergeCell ref="AI162:AI165"/>
    <mergeCell ref="AJ162:AJ165"/>
    <mergeCell ref="AK162:AK165"/>
    <mergeCell ref="AL162:AL165"/>
    <mergeCell ref="AR162:AR165"/>
    <mergeCell ref="BB152:BB155"/>
    <mergeCell ref="BC152:BC155"/>
    <mergeCell ref="AR170:AR173"/>
    <mergeCell ref="AT170:AT173"/>
    <mergeCell ref="AU170:AU173"/>
    <mergeCell ref="AV170:AV173"/>
    <mergeCell ref="AX170:AX173"/>
    <mergeCell ref="AY170:AY173"/>
    <mergeCell ref="AZ170:AZ173"/>
    <mergeCell ref="AE170:AE173"/>
    <mergeCell ref="AF170:AF173"/>
    <mergeCell ref="AH170:AH173"/>
    <mergeCell ref="AI170:AI173"/>
    <mergeCell ref="AJ170:AJ173"/>
    <mergeCell ref="AK170:AK173"/>
    <mergeCell ref="AL170:AL173"/>
    <mergeCell ref="BA174:BA176"/>
    <mergeCell ref="BB174:BB177"/>
    <mergeCell ref="BE174:BE175"/>
    <mergeCell ref="BE176:BE177"/>
    <mergeCell ref="BA170:BA173"/>
    <mergeCell ref="BB170:BB173"/>
    <mergeCell ref="BC170:BC173"/>
    <mergeCell ref="BP176:BP177"/>
    <mergeCell ref="BS176:BS177"/>
    <mergeCell ref="BU176:BU177"/>
    <mergeCell ref="BV176:BV177"/>
    <mergeCell ref="AL174:AL177"/>
    <mergeCell ref="AR174:AR177"/>
    <mergeCell ref="AT174:AT176"/>
    <mergeCell ref="AV174:AV176"/>
    <mergeCell ref="AX174:AX177"/>
    <mergeCell ref="AY174:AY177"/>
    <mergeCell ref="AZ174:AZ177"/>
    <mergeCell ref="BA178:BA181"/>
    <mergeCell ref="BB178:BB181"/>
    <mergeCell ref="BD178:BD179"/>
    <mergeCell ref="BE179:BE180"/>
    <mergeCell ref="BD181:BD182"/>
    <mergeCell ref="BE181:BE182"/>
    <mergeCell ref="BC174:BC176"/>
    <mergeCell ref="AT178:AT181"/>
    <mergeCell ref="AV178:AV181"/>
    <mergeCell ref="AX178:AX181"/>
    <mergeCell ref="BC178:BC181"/>
    <mergeCell ref="BP179:BP180"/>
    <mergeCell ref="BS179:BS180"/>
    <mergeCell ref="BU179:BU180"/>
    <mergeCell ref="BQ180:BQ181"/>
    <mergeCell ref="BR180:BR181"/>
    <mergeCell ref="AU166:AU168"/>
    <mergeCell ref="AV166:AV168"/>
    <mergeCell ref="AX166:AX169"/>
    <mergeCell ref="AY166:AY169"/>
    <mergeCell ref="AZ166:AZ169"/>
    <mergeCell ref="BA166:BA169"/>
    <mergeCell ref="BB166:BB169"/>
    <mergeCell ref="BC166:BC169"/>
    <mergeCell ref="AH166:AH169"/>
    <mergeCell ref="AI166:AI169"/>
    <mergeCell ref="AJ166:AJ169"/>
    <mergeCell ref="AK166:AK169"/>
    <mergeCell ref="AL166:AL169"/>
    <mergeCell ref="AR166:AR169"/>
    <mergeCell ref="AT166:AT168"/>
    <mergeCell ref="AE162:AE165"/>
    <mergeCell ref="AF162:AF165"/>
    <mergeCell ref="Z166:Z169"/>
    <mergeCell ref="AE166:AE169"/>
    <mergeCell ref="AF166:AF169"/>
    <mergeCell ref="AG166:AG169"/>
    <mergeCell ref="Z170:Z173"/>
    <mergeCell ref="AG170:AG173"/>
    <mergeCell ref="AE174:AE177"/>
    <mergeCell ref="AF174:AF177"/>
    <mergeCell ref="AG174:AG177"/>
    <mergeCell ref="AH174:AH177"/>
    <mergeCell ref="AI174:AI177"/>
    <mergeCell ref="AJ174:AJ177"/>
    <mergeCell ref="AK174:AK177"/>
    <mergeCell ref="AB166:AB169"/>
    <mergeCell ref="AB170:AB173"/>
    <mergeCell ref="Z174:Z177"/>
    <mergeCell ref="AB174:AB177"/>
    <mergeCell ref="Z178:Z181"/>
    <mergeCell ref="AB178:AB181"/>
    <mergeCell ref="Z183:Z187"/>
    <mergeCell ref="AZ183:AZ187"/>
    <mergeCell ref="BA183:BA186"/>
    <mergeCell ref="BB183:BB187"/>
    <mergeCell ref="BC183:BC186"/>
    <mergeCell ref="BD184:BD185"/>
    <mergeCell ref="BD186:BD187"/>
    <mergeCell ref="AY178:AY181"/>
    <mergeCell ref="AZ178:AZ181"/>
    <mergeCell ref="AR183:AR187"/>
    <mergeCell ref="AT183:AT186"/>
    <mergeCell ref="AV183:AV186"/>
    <mergeCell ref="AX183:AX187"/>
    <mergeCell ref="AY183:AY187"/>
    <mergeCell ref="AX204:AX207"/>
    <mergeCell ref="AY204:AY207"/>
    <mergeCell ref="BD207:BD208"/>
    <mergeCell ref="AE178:AE181"/>
    <mergeCell ref="AF178:AF181"/>
    <mergeCell ref="AG178:AG181"/>
    <mergeCell ref="AH178:AH181"/>
    <mergeCell ref="AI178:AI181"/>
    <mergeCell ref="AJ178:AJ181"/>
    <mergeCell ref="AK178:AK181"/>
    <mergeCell ref="AL178:AL181"/>
    <mergeCell ref="AR178:AR181"/>
    <mergeCell ref="AR188:AR191"/>
    <mergeCell ref="AR192:AR195"/>
    <mergeCell ref="AR196:AR199"/>
    <mergeCell ref="AB183:AB187"/>
    <mergeCell ref="AV204:AV207"/>
    <mergeCell ref="BQ206:BQ207"/>
    <mergeCell ref="BR206:BR207"/>
    <mergeCell ref="BS202:BS203"/>
    <mergeCell ref="BU202:BU203"/>
    <mergeCell ref="BV202:BV203"/>
    <mergeCell ref="BP205:BP206"/>
    <mergeCell ref="BS205:BS206"/>
    <mergeCell ref="BU205:BU206"/>
    <mergeCell ref="BV205:BV206"/>
    <mergeCell ref="AJ200:AJ203"/>
    <mergeCell ref="AK200:AK203"/>
    <mergeCell ref="AR200:AR203"/>
    <mergeCell ref="AT200:AT202"/>
    <mergeCell ref="AV200:AV202"/>
    <mergeCell ref="AX200:AX203"/>
    <mergeCell ref="AY200:AY203"/>
    <mergeCell ref="BL184:BL185"/>
    <mergeCell ref="BL186:BL187"/>
    <mergeCell ref="BO186:BO187"/>
    <mergeCell ref="BP186:BP187"/>
    <mergeCell ref="BQ186:BQ187"/>
    <mergeCell ref="BR186:BR187"/>
    <mergeCell ref="BE191:BV191"/>
    <mergeCell ref="BF192:BV196"/>
    <mergeCell ref="BV179:BV180"/>
    <mergeCell ref="BV183:BV184"/>
    <mergeCell ref="BO184:BO185"/>
    <mergeCell ref="BP184:BP185"/>
    <mergeCell ref="BQ184:BQ185"/>
    <mergeCell ref="BR184:BR185"/>
    <mergeCell ref="BV185:BV186"/>
    <mergeCell ref="BV187:BV188"/>
    <mergeCell ref="AU196:AU199"/>
    <mergeCell ref="AV196:AV199"/>
    <mergeCell ref="AX196:AX199"/>
    <mergeCell ref="AY196:AY199"/>
    <mergeCell ref="AU192:AU194"/>
    <mergeCell ref="AV192:AV194"/>
    <mergeCell ref="AX192:AX195"/>
    <mergeCell ref="AY192:AY195"/>
    <mergeCell ref="AZ192:AZ195"/>
    <mergeCell ref="BA192:BA195"/>
    <mergeCell ref="BB192:BB195"/>
    <mergeCell ref="BC192:BC195"/>
    <mergeCell ref="AZ196:AZ199"/>
    <mergeCell ref="BA196:BA199"/>
    <mergeCell ref="BB196:BB199"/>
    <mergeCell ref="BC196:BC199"/>
    <mergeCell ref="AB188:AB189"/>
    <mergeCell ref="Z192:Z195"/>
    <mergeCell ref="AB192:AB195"/>
    <mergeCell ref="Z196:Z199"/>
    <mergeCell ref="AB196:AB199"/>
    <mergeCell ref="AF183:AF187"/>
    <mergeCell ref="AF188:AF191"/>
    <mergeCell ref="AF192:AF195"/>
    <mergeCell ref="AG192:AG195"/>
    <mergeCell ref="AH192:AH195"/>
    <mergeCell ref="AI192:AI195"/>
    <mergeCell ref="AJ183:AJ187"/>
    <mergeCell ref="AJ188:AJ191"/>
    <mergeCell ref="AJ192:AJ195"/>
    <mergeCell ref="AJ196:AJ199"/>
    <mergeCell ref="AE188:AE189"/>
    <mergeCell ref="AE190:AE191"/>
    <mergeCell ref="AE192:AE195"/>
    <mergeCell ref="AE196:AE199"/>
    <mergeCell ref="AF196:AF199"/>
    <mergeCell ref="AG196:AG199"/>
    <mergeCell ref="AH196:AH199"/>
    <mergeCell ref="AI196:AI199"/>
    <mergeCell ref="AE183:AE187"/>
    <mergeCell ref="AG183:AG187"/>
    <mergeCell ref="AH183:AH187"/>
    <mergeCell ref="AI183:AI187"/>
    <mergeCell ref="Z188:Z191"/>
    <mergeCell ref="AI188:AI189"/>
    <mergeCell ref="AB190:AB191"/>
    <mergeCell ref="AT192:AT194"/>
    <mergeCell ref="AT196:AT199"/>
    <mergeCell ref="AY188:AY191"/>
    <mergeCell ref="AZ188:AZ191"/>
    <mergeCell ref="BA188:BA190"/>
    <mergeCell ref="BB188:BB191"/>
    <mergeCell ref="BC188:BC190"/>
    <mergeCell ref="AG188:AG191"/>
    <mergeCell ref="AH188:AH191"/>
    <mergeCell ref="AT188:AT190"/>
    <mergeCell ref="AU188:AU190"/>
    <mergeCell ref="AV188:AV190"/>
    <mergeCell ref="AX188:AX191"/>
    <mergeCell ref="AI190:AI191"/>
    <mergeCell ref="AK183:AK187"/>
    <mergeCell ref="AL183:AL187"/>
    <mergeCell ref="AK188:AK189"/>
    <mergeCell ref="AL188:AL191"/>
    <mergeCell ref="AK190:AK191"/>
    <mergeCell ref="AK192:AK195"/>
    <mergeCell ref="AL192:AL195"/>
    <mergeCell ref="AK196:AK199"/>
    <mergeCell ref="AL196:AL199"/>
    <mergeCell ref="AZ200:AZ203"/>
    <mergeCell ref="BA200:BA202"/>
    <mergeCell ref="BB200:BB203"/>
    <mergeCell ref="BC200:BC202"/>
    <mergeCell ref="BE200:BE201"/>
    <mergeCell ref="BE202:BE203"/>
    <mergeCell ref="BP202:BP203"/>
    <mergeCell ref="AB204:AB207"/>
    <mergeCell ref="AB209:AB213"/>
    <mergeCell ref="AH200:AH203"/>
    <mergeCell ref="AI200:AI203"/>
    <mergeCell ref="AI209:AI213"/>
    <mergeCell ref="AJ209:AJ213"/>
    <mergeCell ref="AK209:AK213"/>
    <mergeCell ref="AL209:AL213"/>
    <mergeCell ref="AR209:AR213"/>
    <mergeCell ref="AZ204:AZ207"/>
    <mergeCell ref="BA204:BA207"/>
    <mergeCell ref="BB204:BB207"/>
    <mergeCell ref="BC204:BC207"/>
    <mergeCell ref="BD204:BD205"/>
    <mergeCell ref="BE205:BE206"/>
    <mergeCell ref="BE211:BE213"/>
    <mergeCell ref="AG209:AG213"/>
    <mergeCell ref="AH209:AH213"/>
    <mergeCell ref="BE207:BE208"/>
    <mergeCell ref="AI204:AI207"/>
    <mergeCell ref="AJ204:AJ207"/>
    <mergeCell ref="AK204:AK207"/>
    <mergeCell ref="AL204:AL207"/>
    <mergeCell ref="AR204:AR207"/>
    <mergeCell ref="AT204:AT207"/>
    <mergeCell ref="AY218:AY221"/>
    <mergeCell ref="AX222:AX225"/>
    <mergeCell ref="AY222:AY225"/>
    <mergeCell ref="AZ222:AZ225"/>
    <mergeCell ref="AE222:AE225"/>
    <mergeCell ref="AF222:AF225"/>
    <mergeCell ref="AG222:AG225"/>
    <mergeCell ref="AH222:AH225"/>
    <mergeCell ref="AI222:AI225"/>
    <mergeCell ref="AJ222:AJ225"/>
    <mergeCell ref="AK222:AK225"/>
    <mergeCell ref="AL222:AL225"/>
    <mergeCell ref="AF226:AF229"/>
    <mergeCell ref="AG226:AG229"/>
    <mergeCell ref="AH226:AH229"/>
    <mergeCell ref="AI226:AI229"/>
    <mergeCell ref="AJ226:AJ229"/>
    <mergeCell ref="AK226:AK229"/>
    <mergeCell ref="AL226:AL229"/>
    <mergeCell ref="AR226:AR229"/>
    <mergeCell ref="Z200:Z203"/>
    <mergeCell ref="Z204:Z207"/>
    <mergeCell ref="AE204:AE207"/>
    <mergeCell ref="AF204:AF207"/>
    <mergeCell ref="AG204:AG207"/>
    <mergeCell ref="AH204:AH207"/>
    <mergeCell ref="Z209:Z213"/>
    <mergeCell ref="AH218:AH221"/>
    <mergeCell ref="AI218:AI221"/>
    <mergeCell ref="AJ218:AJ221"/>
    <mergeCell ref="AK218:AK221"/>
    <mergeCell ref="AL218:AL221"/>
    <mergeCell ref="AE209:AE213"/>
    <mergeCell ref="AF209:AF213"/>
    <mergeCell ref="AE214:AE217"/>
    <mergeCell ref="AF214:AF217"/>
    <mergeCell ref="AE218:AE221"/>
    <mergeCell ref="AF218:AF221"/>
    <mergeCell ref="AG218:AG221"/>
    <mergeCell ref="AG214:AG217"/>
    <mergeCell ref="AH214:AH217"/>
    <mergeCell ref="AI214:AI217"/>
    <mergeCell ref="AJ214:AJ217"/>
    <mergeCell ref="AK214:AK217"/>
    <mergeCell ref="AL214:AL217"/>
    <mergeCell ref="AB200:AB203"/>
    <mergeCell ref="AE200:AE203"/>
    <mergeCell ref="AF200:AF203"/>
    <mergeCell ref="AG200:AG203"/>
    <mergeCell ref="AL200:AL203"/>
    <mergeCell ref="Z226:Z229"/>
    <mergeCell ref="Z230:Z233"/>
    <mergeCell ref="Z214:Z217"/>
    <mergeCell ref="AB214:AB217"/>
    <mergeCell ref="Z218:Z221"/>
    <mergeCell ref="AB218:AB221"/>
    <mergeCell ref="Z222:Z225"/>
    <mergeCell ref="AB222:AB225"/>
    <mergeCell ref="AB226:AB229"/>
    <mergeCell ref="AB230:AB233"/>
    <mergeCell ref="AK230:AK233"/>
    <mergeCell ref="AL230:AL233"/>
    <mergeCell ref="AE226:AE229"/>
    <mergeCell ref="AE230:AE233"/>
    <mergeCell ref="AF230:AF233"/>
    <mergeCell ref="AG230:AG233"/>
    <mergeCell ref="AH230:AH233"/>
    <mergeCell ref="AI230:AI233"/>
    <mergeCell ref="AJ230:AJ233"/>
    <mergeCell ref="AR230:AR233"/>
    <mergeCell ref="AT209:AT212"/>
    <mergeCell ref="AT214:AT216"/>
    <mergeCell ref="AR218:AR221"/>
    <mergeCell ref="AT218:AT220"/>
    <mergeCell ref="AR222:AR225"/>
    <mergeCell ref="AT222:AT225"/>
    <mergeCell ref="AT226:AT229"/>
    <mergeCell ref="AT230:AT233"/>
    <mergeCell ref="BR232:BR234"/>
    <mergeCell ref="BS232:BS234"/>
    <mergeCell ref="BU232:BU234"/>
    <mergeCell ref="BV232:BV234"/>
    <mergeCell ref="AX230:AX233"/>
    <mergeCell ref="AY230:AY233"/>
    <mergeCell ref="AZ230:AZ233"/>
    <mergeCell ref="BA230:BA233"/>
    <mergeCell ref="BB230:BB233"/>
    <mergeCell ref="BC230:BC233"/>
    <mergeCell ref="BQ232:BQ234"/>
    <mergeCell ref="BD233:BD234"/>
    <mergeCell ref="BC209:BC212"/>
    <mergeCell ref="BD211:BD212"/>
    <mergeCell ref="AV209:AV212"/>
    <mergeCell ref="AX209:AX213"/>
    <mergeCell ref="AY209:AY213"/>
    <mergeCell ref="AZ209:AZ213"/>
    <mergeCell ref="BA209:BA212"/>
    <mergeCell ref="BB209:BB213"/>
    <mergeCell ref="AR214:AR217"/>
    <mergeCell ref="BB214:BB217"/>
    <mergeCell ref="BA218:BA221"/>
    <mergeCell ref="BQ275:BQ278"/>
    <mergeCell ref="BR275:BR278"/>
    <mergeCell ref="BS275:BS278"/>
    <mergeCell ref="BU275:BU278"/>
    <mergeCell ref="BV275:BV278"/>
    <mergeCell ref="BP229:BP231"/>
    <mergeCell ref="BP232:BP234"/>
    <mergeCell ref="BP236:BP239"/>
    <mergeCell ref="BQ236:BQ239"/>
    <mergeCell ref="BR236:BR239"/>
    <mergeCell ref="BS236:BS239"/>
    <mergeCell ref="BS240:BS242"/>
    <mergeCell ref="BQ240:BQ242"/>
    <mergeCell ref="BR240:BR242"/>
    <mergeCell ref="BQ245:BQ247"/>
    <mergeCell ref="BR245:BR247"/>
    <mergeCell ref="BB218:BB221"/>
    <mergeCell ref="BB222:BB225"/>
    <mergeCell ref="BB226:BB229"/>
    <mergeCell ref="BE217:BE220"/>
    <mergeCell ref="BC226:BC229"/>
    <mergeCell ref="BD229:BD230"/>
    <mergeCell ref="BE229:BE231"/>
    <mergeCell ref="BE232:BE234"/>
    <mergeCell ref="BC218:BC221"/>
    <mergeCell ref="BD218:BD219"/>
    <mergeCell ref="BD221:BD223"/>
    <mergeCell ref="BE221:BE223"/>
    <mergeCell ref="BC222:BC225"/>
    <mergeCell ref="BE224:BE225"/>
    <mergeCell ref="BE226:BE228"/>
    <mergeCell ref="BD262:BD263"/>
    <mergeCell ref="BQ255:BQ258"/>
    <mergeCell ref="BR255:BR258"/>
    <mergeCell ref="AU214:AU216"/>
    <mergeCell ref="AV214:AV216"/>
    <mergeCell ref="AU218:AU220"/>
    <mergeCell ref="AV218:AV220"/>
    <mergeCell ref="AV222:AV225"/>
    <mergeCell ref="AV226:AV229"/>
    <mergeCell ref="AV230:AV233"/>
    <mergeCell ref="BP268:BP270"/>
    <mergeCell ref="BP271:BP273"/>
    <mergeCell ref="BQ271:BQ273"/>
    <mergeCell ref="BR271:BR273"/>
    <mergeCell ref="BS271:BS273"/>
    <mergeCell ref="BU271:BU273"/>
    <mergeCell ref="BV271:BV273"/>
    <mergeCell ref="BQ268:BQ270"/>
    <mergeCell ref="BR268:BR270"/>
    <mergeCell ref="BA222:BA225"/>
    <mergeCell ref="BA226:BA229"/>
    <mergeCell ref="AZ214:AZ217"/>
    <mergeCell ref="BA214:BA216"/>
    <mergeCell ref="BC214:BC216"/>
    <mergeCell ref="BD214:BD215"/>
    <mergeCell ref="BE214:BE215"/>
    <mergeCell ref="AZ218:AZ221"/>
    <mergeCell ref="AX226:AX229"/>
    <mergeCell ref="AY226:AY229"/>
    <mergeCell ref="AZ226:AZ229"/>
    <mergeCell ref="AX214:AX217"/>
    <mergeCell ref="AY214:AY217"/>
    <mergeCell ref="AX218:AX221"/>
    <mergeCell ref="BP262:BP263"/>
    <mergeCell ref="BS262:BS263"/>
    <mergeCell ref="BQ262:BQ263"/>
    <mergeCell ref="BR262:BR263"/>
    <mergeCell ref="BP264:BP267"/>
    <mergeCell ref="BQ264:BQ267"/>
    <mergeCell ref="BR264:BR267"/>
    <mergeCell ref="BS264:BS267"/>
    <mergeCell ref="BS268:BS270"/>
    <mergeCell ref="BP275:BP278"/>
    <mergeCell ref="BP279:BP282"/>
    <mergeCell ref="BQ279:BQ282"/>
    <mergeCell ref="BR279:BR282"/>
    <mergeCell ref="BS279:BS282"/>
    <mergeCell ref="BS245:BS247"/>
    <mergeCell ref="BU245:BU247"/>
    <mergeCell ref="BV245:BV247"/>
    <mergeCell ref="BP245:BP247"/>
    <mergeCell ref="BP248:BP250"/>
    <mergeCell ref="BQ248:BQ250"/>
    <mergeCell ref="BR248:BR250"/>
    <mergeCell ref="BS248:BS250"/>
    <mergeCell ref="BU248:BU250"/>
    <mergeCell ref="BV248:BV250"/>
    <mergeCell ref="BP251:BP253"/>
    <mergeCell ref="BQ251:BQ253"/>
    <mergeCell ref="BR251:BR253"/>
    <mergeCell ref="BS251:BS253"/>
    <mergeCell ref="BV251:BV253"/>
    <mergeCell ref="BP255:BP258"/>
    <mergeCell ref="BS255:BS258"/>
    <mergeCell ref="BV255:BV258"/>
    <mergeCell ref="BU279:BU282"/>
    <mergeCell ref="BV279:BV282"/>
    <mergeCell ref="BQ214:BQ215"/>
    <mergeCell ref="BR214:BR215"/>
    <mergeCell ref="BQ217:BQ220"/>
    <mergeCell ref="BR217:BR220"/>
    <mergeCell ref="BS217:BS220"/>
    <mergeCell ref="BQ221:BQ223"/>
    <mergeCell ref="BR221:BR223"/>
    <mergeCell ref="BP211:BP213"/>
    <mergeCell ref="BP214:BP215"/>
    <mergeCell ref="BP217:BP220"/>
    <mergeCell ref="BP221:BP223"/>
    <mergeCell ref="BQ229:BQ231"/>
    <mergeCell ref="BR229:BR231"/>
    <mergeCell ref="BS229:BS231"/>
    <mergeCell ref="BK211:BK213"/>
    <mergeCell ref="BN211:BN213"/>
    <mergeCell ref="BQ211:BQ213"/>
    <mergeCell ref="BR211:BR213"/>
    <mergeCell ref="BS211:BS213"/>
    <mergeCell ref="BK214:BK215"/>
    <mergeCell ref="BN214:BN215"/>
    <mergeCell ref="BS214:BS215"/>
    <mergeCell ref="BS221:BS223"/>
    <mergeCell ref="BF224:BV225"/>
    <mergeCell ref="BF226:BV228"/>
    <mergeCell ref="BU211:BU213"/>
    <mergeCell ref="BV211:BV213"/>
    <mergeCell ref="BU214:BU215"/>
    <mergeCell ref="BV214:BV215"/>
    <mergeCell ref="BU217:BU220"/>
    <mergeCell ref="BV217:BV220"/>
    <mergeCell ref="BV221:BV223"/>
    <mergeCell ref="BM232:BM234"/>
    <mergeCell ref="BM236:BM239"/>
    <mergeCell ref="BM240:BM242"/>
    <mergeCell ref="BN240:BN242"/>
    <mergeCell ref="BK236:BK239"/>
    <mergeCell ref="BK240:BK242"/>
    <mergeCell ref="BP240:BP242"/>
    <mergeCell ref="BP243:BP244"/>
    <mergeCell ref="BQ243:BQ244"/>
    <mergeCell ref="BR243:BR244"/>
    <mergeCell ref="BS243:BS244"/>
    <mergeCell ref="BU243:BU244"/>
    <mergeCell ref="BV243:BV244"/>
    <mergeCell ref="BU221:BU223"/>
    <mergeCell ref="BU229:BU231"/>
    <mergeCell ref="BV229:BV231"/>
    <mergeCell ref="BU236:BU239"/>
    <mergeCell ref="BV236:BV239"/>
    <mergeCell ref="BU240:BU242"/>
    <mergeCell ref="BV240:BV242"/>
    <mergeCell ref="BU264:BU267"/>
    <mergeCell ref="BU268:BU270"/>
    <mergeCell ref="BU251:BU253"/>
    <mergeCell ref="BU255:BU258"/>
    <mergeCell ref="BU259:BU261"/>
    <mergeCell ref="BV259:BV261"/>
    <mergeCell ref="BU262:BU263"/>
    <mergeCell ref="BV262:BV263"/>
    <mergeCell ref="BV264:BV267"/>
    <mergeCell ref="BV268:BV270"/>
    <mergeCell ref="BM268:BM270"/>
    <mergeCell ref="BN268:BN270"/>
    <mergeCell ref="BK262:BK263"/>
    <mergeCell ref="BM262:BM263"/>
    <mergeCell ref="BN262:BN263"/>
    <mergeCell ref="BK264:BK267"/>
    <mergeCell ref="BM264:BM267"/>
    <mergeCell ref="BN264:BN267"/>
    <mergeCell ref="BK268:BK270"/>
    <mergeCell ref="BM259:BM261"/>
    <mergeCell ref="BN259:BN261"/>
    <mergeCell ref="BK251:BK253"/>
    <mergeCell ref="BM251:BM253"/>
    <mergeCell ref="BN251:BN253"/>
    <mergeCell ref="BK255:BK258"/>
    <mergeCell ref="BM255:BM258"/>
    <mergeCell ref="BN255:BN258"/>
    <mergeCell ref="BK259:BK261"/>
    <mergeCell ref="BP259:BP261"/>
    <mergeCell ref="BQ259:BQ261"/>
    <mergeCell ref="BR259:BR261"/>
    <mergeCell ref="BS259:BS261"/>
    <mergeCell ref="BM279:BM282"/>
    <mergeCell ref="BM283:BM286"/>
    <mergeCell ref="BK271:BK273"/>
    <mergeCell ref="BM271:BM273"/>
    <mergeCell ref="BN271:BN273"/>
    <mergeCell ref="BK275:BK278"/>
    <mergeCell ref="BM275:BM278"/>
    <mergeCell ref="BK279:BK282"/>
    <mergeCell ref="BK283:BK286"/>
    <mergeCell ref="BM211:BM213"/>
    <mergeCell ref="BM214:BM215"/>
    <mergeCell ref="BK217:BK220"/>
    <mergeCell ref="BM217:BM220"/>
    <mergeCell ref="BN217:BN220"/>
    <mergeCell ref="BM221:BM223"/>
    <mergeCell ref="BN221:BN223"/>
    <mergeCell ref="BK221:BK223"/>
    <mergeCell ref="BK229:BK231"/>
    <mergeCell ref="BM229:BM231"/>
    <mergeCell ref="BN229:BN231"/>
    <mergeCell ref="BK232:BK234"/>
    <mergeCell ref="BN232:BN234"/>
    <mergeCell ref="BN236:BN239"/>
    <mergeCell ref="BM248:BM250"/>
    <mergeCell ref="BN248:BN250"/>
    <mergeCell ref="BK243:BK244"/>
    <mergeCell ref="BM243:BM244"/>
    <mergeCell ref="BN243:BN244"/>
    <mergeCell ref="BK245:BK247"/>
    <mergeCell ref="BM245:BM247"/>
    <mergeCell ref="BN245:BN247"/>
    <mergeCell ref="BK248:BK250"/>
    <mergeCell ref="BK288:BK289"/>
    <mergeCell ref="BM288:BM289"/>
    <mergeCell ref="BN288:BN289"/>
    <mergeCell ref="BQ288:BQ289"/>
    <mergeCell ref="BR288:BR289"/>
    <mergeCell ref="BU283:BU286"/>
    <mergeCell ref="BU288:BU289"/>
    <mergeCell ref="BP283:BP286"/>
    <mergeCell ref="BQ283:BQ286"/>
    <mergeCell ref="BR283:BR286"/>
    <mergeCell ref="BS283:BS286"/>
    <mergeCell ref="BV283:BV286"/>
    <mergeCell ref="BP288:BP289"/>
    <mergeCell ref="BS288:BS289"/>
    <mergeCell ref="BV288:BV289"/>
    <mergeCell ref="AB292:AB295"/>
    <mergeCell ref="AB296:AB299"/>
    <mergeCell ref="AU292:AU294"/>
    <mergeCell ref="AV292:AV294"/>
    <mergeCell ref="AX292:AX295"/>
    <mergeCell ref="AY292:AY295"/>
    <mergeCell ref="AZ292:AZ295"/>
    <mergeCell ref="BA292:BA294"/>
    <mergeCell ref="BB292:BB295"/>
    <mergeCell ref="BQ294:BQ296"/>
    <mergeCell ref="BR294:BR296"/>
    <mergeCell ref="BS294:BS296"/>
    <mergeCell ref="BU294:BU296"/>
    <mergeCell ref="BV294:BV296"/>
    <mergeCell ref="BC292:BC294"/>
    <mergeCell ref="BD294:BD296"/>
    <mergeCell ref="BE294:BE296"/>
    <mergeCell ref="AB318:AB321"/>
    <mergeCell ref="AB322:AB325"/>
    <mergeCell ref="AB270:AB273"/>
    <mergeCell ref="AB274:AB277"/>
    <mergeCell ref="Z278:Z281"/>
    <mergeCell ref="AB278:AB281"/>
    <mergeCell ref="Z282:Z285"/>
    <mergeCell ref="AB282:AB285"/>
    <mergeCell ref="AB287:AB291"/>
    <mergeCell ref="Z318:Z321"/>
    <mergeCell ref="Z322:Z325"/>
    <mergeCell ref="Z287:Z291"/>
    <mergeCell ref="Z292:Z295"/>
    <mergeCell ref="Z296:Z299"/>
    <mergeCell ref="Z300:Z303"/>
    <mergeCell ref="Z304:Z307"/>
    <mergeCell ref="Z308:Z311"/>
    <mergeCell ref="Z313:Z317"/>
    <mergeCell ref="Z256:Z259"/>
    <mergeCell ref="AE256:AE259"/>
    <mergeCell ref="AF256:AF259"/>
    <mergeCell ref="AG256:AG259"/>
    <mergeCell ref="AH256:AH259"/>
    <mergeCell ref="AI256:AI259"/>
    <mergeCell ref="Z261:Z265"/>
    <mergeCell ref="AJ270:AJ273"/>
    <mergeCell ref="AI274:AI277"/>
    <mergeCell ref="AJ274:AJ277"/>
    <mergeCell ref="AK313:AK317"/>
    <mergeCell ref="AL313:AL317"/>
    <mergeCell ref="AE308:AE311"/>
    <mergeCell ref="AE313:AE317"/>
    <mergeCell ref="AF313:AF317"/>
    <mergeCell ref="AG313:AG317"/>
    <mergeCell ref="AH313:AH317"/>
    <mergeCell ref="AI313:AI317"/>
    <mergeCell ref="AJ313:AJ317"/>
    <mergeCell ref="AB300:AB303"/>
    <mergeCell ref="AB304:AB307"/>
    <mergeCell ref="AB308:AB311"/>
    <mergeCell ref="AB313:AB317"/>
    <mergeCell ref="AB256:AB259"/>
    <mergeCell ref="AB261:AB265"/>
    <mergeCell ref="Z266:Z269"/>
    <mergeCell ref="AB266:AB269"/>
    <mergeCell ref="AK256:AK259"/>
    <mergeCell ref="AL256:AL259"/>
    <mergeCell ref="AJ296:AJ299"/>
    <mergeCell ref="AK296:AK299"/>
    <mergeCell ref="AL296:AL299"/>
    <mergeCell ref="AF300:AF303"/>
    <mergeCell ref="AG300:AG303"/>
    <mergeCell ref="AH300:AH303"/>
    <mergeCell ref="AI300:AI303"/>
    <mergeCell ref="AJ300:AJ303"/>
    <mergeCell ref="AE322:AE325"/>
    <mergeCell ref="AF322:AF325"/>
    <mergeCell ref="AG322:AG325"/>
    <mergeCell ref="AH322:AH325"/>
    <mergeCell ref="AI322:AI325"/>
    <mergeCell ref="AJ322:AJ325"/>
    <mergeCell ref="AE261:AE265"/>
    <mergeCell ref="AF261:AF265"/>
    <mergeCell ref="AE266:AE269"/>
    <mergeCell ref="AF266:AF269"/>
    <mergeCell ref="AG266:AG269"/>
    <mergeCell ref="AH266:AH269"/>
    <mergeCell ref="AI266:AI269"/>
    <mergeCell ref="AF318:AF321"/>
    <mergeCell ref="AG318:AG321"/>
    <mergeCell ref="AH318:AH321"/>
    <mergeCell ref="AI318:AI321"/>
    <mergeCell ref="AJ318:AJ321"/>
    <mergeCell ref="AK318:AK321"/>
    <mergeCell ref="AL318:AL321"/>
    <mergeCell ref="AE318:AE321"/>
    <mergeCell ref="BB287:BB291"/>
    <mergeCell ref="BC287:BC290"/>
    <mergeCell ref="BE288:BE289"/>
    <mergeCell ref="AF292:AF295"/>
    <mergeCell ref="AG292:AG295"/>
    <mergeCell ref="AH292:AH295"/>
    <mergeCell ref="AI292:AI295"/>
    <mergeCell ref="AR296:AR299"/>
    <mergeCell ref="AT296:AT298"/>
    <mergeCell ref="AU296:AU298"/>
    <mergeCell ref="AK274:AK277"/>
    <mergeCell ref="AL274:AL277"/>
    <mergeCell ref="Z270:Z273"/>
    <mergeCell ref="AE270:AE273"/>
    <mergeCell ref="AF270:AF273"/>
    <mergeCell ref="AG270:AG273"/>
    <mergeCell ref="AH270:AH273"/>
    <mergeCell ref="AI270:AI273"/>
    <mergeCell ref="Z274:Z277"/>
    <mergeCell ref="AH282:AH285"/>
    <mergeCell ref="AI282:AI285"/>
    <mergeCell ref="AE287:AE291"/>
    <mergeCell ref="AF287:AF291"/>
    <mergeCell ref="AG287:AG291"/>
    <mergeCell ref="AH287:AH291"/>
    <mergeCell ref="AI287:AI291"/>
    <mergeCell ref="AE292:AE295"/>
    <mergeCell ref="AE296:AE299"/>
    <mergeCell ref="AF296:AF299"/>
    <mergeCell ref="AG296:AG299"/>
    <mergeCell ref="AH296:AH299"/>
    <mergeCell ref="AI296:AI299"/>
    <mergeCell ref="AE274:AE277"/>
    <mergeCell ref="AF274:AF277"/>
    <mergeCell ref="AE278:AE281"/>
    <mergeCell ref="AF278:AF281"/>
    <mergeCell ref="AE282:AE285"/>
    <mergeCell ref="AF282:AF285"/>
    <mergeCell ref="AG282:AG285"/>
    <mergeCell ref="AG274:AG277"/>
    <mergeCell ref="AH274:AH277"/>
    <mergeCell ref="AG278:AG281"/>
    <mergeCell ref="AH278:AH281"/>
    <mergeCell ref="AI278:AI281"/>
    <mergeCell ref="AK278:AK281"/>
    <mergeCell ref="AL278:AL281"/>
    <mergeCell ref="AX287:AX291"/>
    <mergeCell ref="AY287:AY291"/>
    <mergeCell ref="AZ287:AZ291"/>
    <mergeCell ref="BQ290:BQ293"/>
    <mergeCell ref="BR290:BR293"/>
    <mergeCell ref="BS290:BS293"/>
    <mergeCell ref="BU290:BU293"/>
    <mergeCell ref="BV290:BV293"/>
    <mergeCell ref="BD288:BD289"/>
    <mergeCell ref="BD290:BD293"/>
    <mergeCell ref="BE290:BE293"/>
    <mergeCell ref="BK290:BK293"/>
    <mergeCell ref="BM290:BM293"/>
    <mergeCell ref="BN290:BN293"/>
    <mergeCell ref="BP290:BP293"/>
    <mergeCell ref="AT287:AT290"/>
    <mergeCell ref="AT292:AT294"/>
    <mergeCell ref="AJ278:AJ281"/>
    <mergeCell ref="AJ282:AJ285"/>
    <mergeCell ref="AK282:AK285"/>
    <mergeCell ref="AL282:AL285"/>
    <mergeCell ref="AR287:AR291"/>
    <mergeCell ref="AV287:AV290"/>
    <mergeCell ref="AR292:AR295"/>
    <mergeCell ref="AJ287:AJ291"/>
    <mergeCell ref="AK287:AK291"/>
    <mergeCell ref="AL287:AL291"/>
    <mergeCell ref="AJ292:AJ295"/>
    <mergeCell ref="AK292:AK295"/>
    <mergeCell ref="AL292:AL295"/>
    <mergeCell ref="BK294:BK296"/>
    <mergeCell ref="BM294:BM296"/>
    <mergeCell ref="BN294:BN296"/>
    <mergeCell ref="BP294:BP296"/>
    <mergeCell ref="BA287:BA290"/>
    <mergeCell ref="AV296:AV298"/>
    <mergeCell ref="AX296:AX299"/>
    <mergeCell ref="AY296:AY299"/>
    <mergeCell ref="AZ296:AZ299"/>
    <mergeCell ref="BN297:BN299"/>
    <mergeCell ref="BP297:BP299"/>
    <mergeCell ref="BQ297:BQ299"/>
    <mergeCell ref="BR297:BR299"/>
    <mergeCell ref="BS297:BS299"/>
    <mergeCell ref="BU297:BU299"/>
    <mergeCell ref="BV297:BV299"/>
    <mergeCell ref="BA296:BA299"/>
    <mergeCell ref="BB296:BB299"/>
    <mergeCell ref="BC296:BC299"/>
    <mergeCell ref="BD297:BD299"/>
    <mergeCell ref="BE297:BE299"/>
    <mergeCell ref="BK297:BK299"/>
    <mergeCell ref="BM297:BM299"/>
    <mergeCell ref="AR300:AR303"/>
    <mergeCell ref="AT300:AT303"/>
    <mergeCell ref="AV300:AV303"/>
    <mergeCell ref="AX300:AX303"/>
    <mergeCell ref="AY300:AY303"/>
    <mergeCell ref="BM301:BM304"/>
    <mergeCell ref="BP301:BP304"/>
    <mergeCell ref="BQ301:BQ304"/>
    <mergeCell ref="BR301:BR304"/>
    <mergeCell ref="BS301:BS304"/>
    <mergeCell ref="BU301:BU304"/>
    <mergeCell ref="BV301:BV304"/>
    <mergeCell ref="AZ300:AZ303"/>
    <mergeCell ref="BA300:BA303"/>
    <mergeCell ref="BB300:BB303"/>
    <mergeCell ref="BC300:BC303"/>
    <mergeCell ref="BD301:BD304"/>
    <mergeCell ref="BE301:BE304"/>
    <mergeCell ref="BK301:BK304"/>
    <mergeCell ref="AK300:AK303"/>
    <mergeCell ref="AL300:AL303"/>
    <mergeCell ref="AE300:AE303"/>
    <mergeCell ref="AE304:AE307"/>
    <mergeCell ref="AF304:AF307"/>
    <mergeCell ref="AG304:AG307"/>
    <mergeCell ref="AH304:AH307"/>
    <mergeCell ref="AI304:AI307"/>
    <mergeCell ref="AJ304:AJ307"/>
    <mergeCell ref="BR305:BR308"/>
    <mergeCell ref="BS305:BS308"/>
    <mergeCell ref="BU305:BU308"/>
    <mergeCell ref="BV305:BV308"/>
    <mergeCell ref="BB304:BB307"/>
    <mergeCell ref="BC304:BC307"/>
    <mergeCell ref="BE305:BE308"/>
    <mergeCell ref="BK305:BK308"/>
    <mergeCell ref="BM305:BM308"/>
    <mergeCell ref="BP305:BP308"/>
    <mergeCell ref="BQ305:BQ308"/>
    <mergeCell ref="BD306:BD307"/>
    <mergeCell ref="AT304:AT307"/>
    <mergeCell ref="AT308:AT311"/>
    <mergeCell ref="AX304:AX307"/>
    <mergeCell ref="AX308:AX311"/>
    <mergeCell ref="BR309:BR312"/>
    <mergeCell ref="BS309:BS312"/>
    <mergeCell ref="BU309:BU312"/>
    <mergeCell ref="BV309:BV312"/>
    <mergeCell ref="BA308:BA311"/>
    <mergeCell ref="BB308:BB311"/>
    <mergeCell ref="BC308:BC311"/>
    <mergeCell ref="AK304:AK307"/>
    <mergeCell ref="AL304:AL307"/>
    <mergeCell ref="AF308:AF311"/>
    <mergeCell ref="AG308:AG311"/>
    <mergeCell ref="AH308:AH311"/>
    <mergeCell ref="AI308:AI311"/>
    <mergeCell ref="AL308:AL311"/>
    <mergeCell ref="AY308:AY311"/>
    <mergeCell ref="AZ308:AZ311"/>
    <mergeCell ref="BD309:BD312"/>
    <mergeCell ref="BE309:BE312"/>
    <mergeCell ref="AR304:AR307"/>
    <mergeCell ref="AV304:AV307"/>
    <mergeCell ref="AY304:AY307"/>
    <mergeCell ref="AZ304:AZ307"/>
    <mergeCell ref="BA304:BA307"/>
    <mergeCell ref="AR308:AR311"/>
    <mergeCell ref="AV308:AV311"/>
    <mergeCell ref="BQ320:BQ323"/>
    <mergeCell ref="BR320:BR323"/>
    <mergeCell ref="BS320:BS323"/>
    <mergeCell ref="BU320:BU323"/>
    <mergeCell ref="BV320:BV323"/>
    <mergeCell ref="BB313:BB317"/>
    <mergeCell ref="BC313:BC316"/>
    <mergeCell ref="BD313:BD314"/>
    <mergeCell ref="BD316:BD319"/>
    <mergeCell ref="BE316:BE319"/>
    <mergeCell ref="BK316:BK319"/>
    <mergeCell ref="BK320:BK323"/>
    <mergeCell ref="BK309:BK312"/>
    <mergeCell ref="BM309:BM312"/>
    <mergeCell ref="BP309:BP312"/>
    <mergeCell ref="BQ309:BQ312"/>
    <mergeCell ref="AJ308:AJ311"/>
    <mergeCell ref="AK308:AK311"/>
    <mergeCell ref="AK322:AK325"/>
    <mergeCell ref="AL322:AL325"/>
    <mergeCell ref="AZ326:AZ329"/>
    <mergeCell ref="BA326:BA329"/>
    <mergeCell ref="BB326:BB329"/>
    <mergeCell ref="BC326:BC329"/>
    <mergeCell ref="BP325:BP328"/>
    <mergeCell ref="BQ325:BQ328"/>
    <mergeCell ref="BR325:BR328"/>
    <mergeCell ref="BS325:BS328"/>
    <mergeCell ref="BU325:BU328"/>
    <mergeCell ref="BV325:BV328"/>
    <mergeCell ref="A326:A329"/>
    <mergeCell ref="AZ318:AZ321"/>
    <mergeCell ref="BA318:BA320"/>
    <mergeCell ref="BD320:BD323"/>
    <mergeCell ref="BE320:BE323"/>
    <mergeCell ref="BP316:BP319"/>
    <mergeCell ref="BQ316:BQ319"/>
    <mergeCell ref="BR316:BR319"/>
    <mergeCell ref="BS316:BS319"/>
    <mergeCell ref="BU316:BU319"/>
    <mergeCell ref="BV316:BV319"/>
    <mergeCell ref="AT313:AT316"/>
    <mergeCell ref="AT318:AT320"/>
    <mergeCell ref="AU318:AU320"/>
    <mergeCell ref="AV318:AV320"/>
    <mergeCell ref="AX318:AX321"/>
    <mergeCell ref="AY318:AY321"/>
    <mergeCell ref="BB318:BB321"/>
    <mergeCell ref="BC318:BC320"/>
    <mergeCell ref="BM316:BM319"/>
    <mergeCell ref="BM320:BM323"/>
    <mergeCell ref="BP320:BP323"/>
    <mergeCell ref="AR313:AR317"/>
    <mergeCell ref="AV313:AV316"/>
    <mergeCell ref="AX313:AX317"/>
    <mergeCell ref="AY313:AY317"/>
    <mergeCell ref="AZ313:AZ317"/>
    <mergeCell ref="BA313:BA316"/>
    <mergeCell ref="AR318:AR321"/>
    <mergeCell ref="BA322:BA325"/>
    <mergeCell ref="BB322:BB325"/>
    <mergeCell ref="BC322:BC325"/>
    <mergeCell ref="BD325:BD328"/>
    <mergeCell ref="BE325:BE328"/>
    <mergeCell ref="BK325:BK328"/>
    <mergeCell ref="BM325:BM328"/>
    <mergeCell ref="J326:J329"/>
    <mergeCell ref="M326:M329"/>
    <mergeCell ref="N326:N329"/>
    <mergeCell ref="O326:O329"/>
    <mergeCell ref="P326:P329"/>
    <mergeCell ref="Q326:Q329"/>
    <mergeCell ref="AV322:AV324"/>
    <mergeCell ref="AV326:AV329"/>
    <mergeCell ref="AH326:AH329"/>
    <mergeCell ref="AI326:AI329"/>
    <mergeCell ref="AR322:AR325"/>
    <mergeCell ref="AT322:AT324"/>
    <mergeCell ref="AU322:AU324"/>
    <mergeCell ref="AX322:AX325"/>
    <mergeCell ref="AY322:AY325"/>
    <mergeCell ref="AZ322:AZ325"/>
    <mergeCell ref="AL326:AL329"/>
    <mergeCell ref="AR326:AR329"/>
    <mergeCell ref="N330:N333"/>
    <mergeCell ref="O330:O333"/>
    <mergeCell ref="P330:P333"/>
    <mergeCell ref="Q330:Q333"/>
    <mergeCell ref="R330:R333"/>
    <mergeCell ref="S330:S333"/>
    <mergeCell ref="T330:T333"/>
    <mergeCell ref="R326:R329"/>
    <mergeCell ref="S326:S329"/>
    <mergeCell ref="T326:T329"/>
    <mergeCell ref="Z326:Z329"/>
    <mergeCell ref="AB326:AB329"/>
    <mergeCell ref="AE326:AE329"/>
    <mergeCell ref="AF326:AF329"/>
    <mergeCell ref="AG326:AG329"/>
    <mergeCell ref="AE330:AE333"/>
    <mergeCell ref="AF330:AF333"/>
    <mergeCell ref="AG330:AG333"/>
    <mergeCell ref="AH330:AH333"/>
    <mergeCell ref="AI330:AI333"/>
    <mergeCell ref="AJ326:AJ329"/>
    <mergeCell ref="AK326:AK329"/>
    <mergeCell ref="AJ330:AJ333"/>
    <mergeCell ref="AK330:AK333"/>
    <mergeCell ref="AL330:AL333"/>
    <mergeCell ref="B326:B329"/>
    <mergeCell ref="H326:H329"/>
    <mergeCell ref="A330:A333"/>
    <mergeCell ref="B330:B333"/>
    <mergeCell ref="H330:H333"/>
    <mergeCell ref="J330:J333"/>
    <mergeCell ref="M330:M333"/>
    <mergeCell ref="BM333:BM336"/>
    <mergeCell ref="BP333:BP336"/>
    <mergeCell ref="BQ333:BQ336"/>
    <mergeCell ref="AT326:AT329"/>
    <mergeCell ref="AT330:AT333"/>
    <mergeCell ref="AV330:AV333"/>
    <mergeCell ref="AR330:AR333"/>
    <mergeCell ref="BC330:BC333"/>
    <mergeCell ref="BE333:BE336"/>
    <mergeCell ref="A334:A337"/>
    <mergeCell ref="B334:B337"/>
    <mergeCell ref="H334:H337"/>
    <mergeCell ref="J334:J337"/>
    <mergeCell ref="M334:M337"/>
    <mergeCell ref="N334:N337"/>
    <mergeCell ref="O334:O337"/>
    <mergeCell ref="Z330:Z333"/>
    <mergeCell ref="AB330:AB333"/>
    <mergeCell ref="BR333:BR336"/>
    <mergeCell ref="BS333:BS336"/>
    <mergeCell ref="BU333:BU336"/>
    <mergeCell ref="BV333:BV336"/>
    <mergeCell ref="BK333:BK336"/>
    <mergeCell ref="BK337:BK340"/>
    <mergeCell ref="BM337:BM340"/>
    <mergeCell ref="BP337:BP340"/>
    <mergeCell ref="BQ337:BQ340"/>
    <mergeCell ref="BR337:BR340"/>
    <mergeCell ref="BS337:BS340"/>
    <mergeCell ref="BR329:BR332"/>
    <mergeCell ref="BS329:BS332"/>
    <mergeCell ref="BU329:BU332"/>
    <mergeCell ref="BV329:BV332"/>
    <mergeCell ref="AX326:AX329"/>
    <mergeCell ref="AY326:AY329"/>
    <mergeCell ref="BE329:BE332"/>
    <mergeCell ref="BK329:BK332"/>
    <mergeCell ref="BM329:BM332"/>
    <mergeCell ref="BP329:BP332"/>
    <mergeCell ref="BQ329:BQ332"/>
    <mergeCell ref="BD330:BD331"/>
    <mergeCell ref="AX330:AX333"/>
    <mergeCell ref="BU337:BU340"/>
    <mergeCell ref="BV337:BV340"/>
    <mergeCell ref="BD333:BD336"/>
    <mergeCell ref="BD338:BD339"/>
    <mergeCell ref="AY330:AY333"/>
    <mergeCell ref="AZ330:AZ333"/>
    <mergeCell ref="BA330:BA333"/>
    <mergeCell ref="BB330:BB333"/>
    <mergeCell ref="BE337:BE340"/>
    <mergeCell ref="AL339:AL343"/>
    <mergeCell ref="AR339:AR343"/>
    <mergeCell ref="AE339:AE343"/>
    <mergeCell ref="AF339:AF343"/>
    <mergeCell ref="AG339:AG343"/>
    <mergeCell ref="AH339:AH343"/>
    <mergeCell ref="AI339:AI343"/>
    <mergeCell ref="AJ339:AJ343"/>
    <mergeCell ref="AK339:AK343"/>
    <mergeCell ref="AV334:AV337"/>
    <mergeCell ref="AV339:AV342"/>
    <mergeCell ref="AL334:AL337"/>
    <mergeCell ref="AR334:AR337"/>
    <mergeCell ref="AT334:AT337"/>
    <mergeCell ref="AX334:AX337"/>
    <mergeCell ref="AY334:AY337"/>
    <mergeCell ref="AZ334:AZ337"/>
    <mergeCell ref="AT339:AT342"/>
    <mergeCell ref="BU341:BU344"/>
    <mergeCell ref="BV341:BV344"/>
    <mergeCell ref="BE341:BE344"/>
    <mergeCell ref="BK341:BK344"/>
    <mergeCell ref="BM341:BM344"/>
    <mergeCell ref="BP341:BP344"/>
    <mergeCell ref="BQ341:BQ344"/>
    <mergeCell ref="BR341:BR344"/>
    <mergeCell ref="BS341:BS344"/>
    <mergeCell ref="P334:P337"/>
    <mergeCell ref="Q334:Q337"/>
    <mergeCell ref="R334:R337"/>
    <mergeCell ref="S334:S337"/>
    <mergeCell ref="T334:T337"/>
    <mergeCell ref="Z334:Z337"/>
    <mergeCell ref="AB334:AB337"/>
    <mergeCell ref="AE334:AE337"/>
    <mergeCell ref="AF334:AF337"/>
    <mergeCell ref="AG334:AG337"/>
    <mergeCell ref="AH334:AH337"/>
    <mergeCell ref="AI334:AI337"/>
    <mergeCell ref="AJ334:AJ337"/>
    <mergeCell ref="AK334:AK337"/>
    <mergeCell ref="BA334:BA337"/>
    <mergeCell ref="BB334:BB337"/>
    <mergeCell ref="BC334:BC337"/>
    <mergeCell ref="P339:P343"/>
    <mergeCell ref="Q339:Q343"/>
    <mergeCell ref="R339:R343"/>
    <mergeCell ref="S339:S343"/>
    <mergeCell ref="T339:T343"/>
    <mergeCell ref="Z339:Z343"/>
    <mergeCell ref="AB339:AB343"/>
    <mergeCell ref="AX339:AX343"/>
    <mergeCell ref="AY339:AY343"/>
    <mergeCell ref="AZ339:AZ343"/>
    <mergeCell ref="BA339:BA342"/>
    <mergeCell ref="BB339:BB343"/>
    <mergeCell ref="BC339:BC342"/>
    <mergeCell ref="BD341:BD344"/>
    <mergeCell ref="A339:A343"/>
    <mergeCell ref="B339:B343"/>
    <mergeCell ref="H339:H343"/>
    <mergeCell ref="J339:J343"/>
    <mergeCell ref="M339:M343"/>
    <mergeCell ref="N339:N343"/>
    <mergeCell ref="O339:O343"/>
    <mergeCell ref="AZ348:AZ351"/>
    <mergeCell ref="BA348:BA350"/>
    <mergeCell ref="AL348:AL351"/>
    <mergeCell ref="AR348:AR351"/>
    <mergeCell ref="AT348:AT350"/>
    <mergeCell ref="AU348:AU350"/>
    <mergeCell ref="AV348:AV350"/>
    <mergeCell ref="AX348:AX351"/>
    <mergeCell ref="AY348:AY351"/>
    <mergeCell ref="P344:P347"/>
    <mergeCell ref="Q344:Q347"/>
    <mergeCell ref="R344:R347"/>
    <mergeCell ref="S344:S347"/>
    <mergeCell ref="T344:T347"/>
    <mergeCell ref="Z344:Z347"/>
    <mergeCell ref="AB344:AB347"/>
    <mergeCell ref="AE344:AE347"/>
    <mergeCell ref="AF344:AF347"/>
    <mergeCell ref="AG344:AG347"/>
    <mergeCell ref="AH344:AH347"/>
    <mergeCell ref="AI344:AI347"/>
    <mergeCell ref="AJ344:AJ347"/>
    <mergeCell ref="AK344:AK347"/>
    <mergeCell ref="AL344:AL347"/>
    <mergeCell ref="AR344:AR347"/>
    <mergeCell ref="AT344:AT346"/>
    <mergeCell ref="AU344:AU346"/>
    <mergeCell ref="AV344:AV346"/>
    <mergeCell ref="AX344:AX347"/>
    <mergeCell ref="AY344:AY347"/>
    <mergeCell ref="BM345:BM348"/>
    <mergeCell ref="BP345:BP348"/>
    <mergeCell ref="BQ345:BQ348"/>
    <mergeCell ref="BR345:BR348"/>
    <mergeCell ref="BS345:BS348"/>
    <mergeCell ref="BU345:BU348"/>
    <mergeCell ref="BV345:BV348"/>
    <mergeCell ref="A344:A347"/>
    <mergeCell ref="B344:B347"/>
    <mergeCell ref="H344:H347"/>
    <mergeCell ref="J344:J347"/>
    <mergeCell ref="M344:M347"/>
    <mergeCell ref="N344:N347"/>
    <mergeCell ref="O344:O347"/>
    <mergeCell ref="AE348:AE351"/>
    <mergeCell ref="AF348:AF351"/>
    <mergeCell ref="AG348:AG351"/>
    <mergeCell ref="AH348:AH351"/>
    <mergeCell ref="AI348:AI351"/>
    <mergeCell ref="AJ348:AJ351"/>
    <mergeCell ref="AK348:AK351"/>
    <mergeCell ref="BB348:BB350"/>
    <mergeCell ref="BC348:BC350"/>
    <mergeCell ref="AZ344:AZ347"/>
    <mergeCell ref="BA344:BA346"/>
    <mergeCell ref="BB344:BB347"/>
    <mergeCell ref="BC344:BC346"/>
    <mergeCell ref="BD345:BD348"/>
    <mergeCell ref="BE345:BE348"/>
    <mergeCell ref="BK345:BK348"/>
    <mergeCell ref="P348:P351"/>
    <mergeCell ref="Q348:Q351"/>
    <mergeCell ref="R348:R351"/>
    <mergeCell ref="S348:S351"/>
    <mergeCell ref="T348:T351"/>
    <mergeCell ref="Z348:Z351"/>
    <mergeCell ref="AB348:AB351"/>
    <mergeCell ref="A348:A351"/>
    <mergeCell ref="B348:B351"/>
    <mergeCell ref="H348:H351"/>
    <mergeCell ref="J348:J351"/>
    <mergeCell ref="M348:M351"/>
    <mergeCell ref="N348:N351"/>
    <mergeCell ref="O348:O351"/>
    <mergeCell ref="P352:P355"/>
    <mergeCell ref="Q352:Q355"/>
    <mergeCell ref="R352:R355"/>
    <mergeCell ref="S352:S355"/>
    <mergeCell ref="T352:T355"/>
    <mergeCell ref="Z352:Z355"/>
    <mergeCell ref="AB352:AB355"/>
    <mergeCell ref="AE352:AE355"/>
    <mergeCell ref="AF352:AF355"/>
    <mergeCell ref="AG352:AG355"/>
    <mergeCell ref="AH352:AH355"/>
    <mergeCell ref="AI352:AI355"/>
    <mergeCell ref="AJ352:AJ355"/>
    <mergeCell ref="AK352:AK355"/>
    <mergeCell ref="BA352:BA353"/>
    <mergeCell ref="BB352:BB353"/>
    <mergeCell ref="BC352:BC353"/>
    <mergeCell ref="AL352:AL355"/>
    <mergeCell ref="AR352:AR355"/>
    <mergeCell ref="AT352:AT353"/>
    <mergeCell ref="AV352:AV353"/>
    <mergeCell ref="AX352:AX355"/>
    <mergeCell ref="AY352:AY355"/>
    <mergeCell ref="AZ352:AZ355"/>
    <mergeCell ref="A352:A355"/>
    <mergeCell ref="B352:B355"/>
    <mergeCell ref="H352:H355"/>
    <mergeCell ref="J352:J355"/>
    <mergeCell ref="M352:M355"/>
    <mergeCell ref="N352:N355"/>
    <mergeCell ref="O352:O355"/>
  </mergeCells>
  <conditionalFormatting sqref="S3:S1016">
    <cfRule type="expression" dxfId="11" priority="1">
      <formula>AND(ISNUMBER(S3),S3&gt;=R3)</formula>
    </cfRule>
  </conditionalFormatting>
  <conditionalFormatting sqref="AK3:AK1016">
    <cfRule type="expression" dxfId="10" priority="2">
      <formula>AND(ISNUMBER(AK3),AK3&gt;=AJ3)</formula>
    </cfRule>
  </conditionalFormatting>
  <conditionalFormatting sqref="BU3:BU52 BU81:BU112 BU119:BU138 BU145:BU164 BU171:BU190 BU197:BU518 BU551:BU1016">
    <cfRule type="expression" dxfId="9" priority="3">
      <formula>AND(ISNUMBER(BU3),BU3&gt;=BT3)</formula>
    </cfRule>
  </conditionalFormatting>
  <conditionalFormatting sqref="CM3:CM104">
    <cfRule type="expression" dxfId="8" priority="4">
      <formula>AND(ISNUMBER(CM3),CM3&gt;=CL3)</formula>
    </cfRule>
  </conditionalFormatting>
  <conditionalFormatting sqref="DC540:DC542 DC547:DC549 DS547:DS549 DC553:DC555 DS553:DS555 DC559:DC561 DS559:DS561 DC565:DC567 DS565:DS567 DC571:DC573 DS571:DS573 DC577:DC579 DS577:DS579">
    <cfRule type="cellIs" dxfId="7" priority="5" operator="equal">
      <formula>0</formula>
    </cfRule>
  </conditionalFormatting>
  <conditionalFormatting sqref="DC540:DC542 DC547:DC549 DS547:DS549 DC553:DC555 DS553:DS555 DC559:DC561 DS559:DS561 DC565:DC567 DS565:DS567 DC571:DC573 DS571:DS573 DC577:DC579 DS577:DS579">
    <cfRule type="cellIs" dxfId="6" priority="6" operator="lessThan">
      <formula>2</formula>
    </cfRule>
  </conditionalFormatting>
  <conditionalFormatting sqref="DC540:DC542 DC547:DC549 DS547:DS549 DC553:DC555 DS553:DS555 DC559:DC561 DS559:DS561 DC565:DC567 DS565:DS567 DC571:DC573 DS571:DS573 DC577:DC579 DS577:DS579">
    <cfRule type="cellIs" dxfId="5" priority="7" operator="greaterThanOrEqual">
      <formula>2</formula>
    </cfRule>
  </conditionalFormatting>
  <conditionalFormatting sqref="DC543:DC545 DC550:DC552 DS550:DS552 DC556:DC558 DS556:DS558 DC562:DC564 DS562:DS564 DC568:DC570 DS568:DS570 DC574:DC576 DS574:DS576 DC580:DC582 DS580:DS582 DS590 DS593">
    <cfRule type="cellIs" dxfId="4" priority="8" operator="equal">
      <formula>0</formula>
    </cfRule>
  </conditionalFormatting>
  <conditionalFormatting sqref="DC543:DC545 DC550:DC552 DS550:DS552 DC556:DC558 DS556:DS558 DC562:DC564 DS562:DS564 DC568:DC570 DS568:DS570 DC574:DC576 DS574:DS576 DC580:DC582 DS580:DS582 DS590 DS593">
    <cfRule type="cellIs" dxfId="3" priority="9" operator="lessThan">
      <formula>1.8</formula>
    </cfRule>
  </conditionalFormatting>
  <conditionalFormatting sqref="DC543:DC545 DC550:DC552 DS550:DS552 DC556:DC558 DS556:DS558 DC562:DC564 DS562:DS564 DC568:DC570 DS568:DS570 DC574:DC576 DS574:DS576 DC580:DC582 DS580:DS582 DS590 DS593">
    <cfRule type="cellIs" dxfId="2" priority="10" operator="greaterThanOrEqual">
      <formula>1.8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882"/>
  <sheetViews>
    <sheetView tabSelected="1" topLeftCell="C1" workbookViewId="0">
      <selection activeCell="G6" sqref="G6"/>
    </sheetView>
  </sheetViews>
  <sheetFormatPr baseColWidth="10" defaultColWidth="12.5703125" defaultRowHeight="15.75" customHeight="1" x14ac:dyDescent="0.2"/>
  <cols>
    <col min="5" max="5" width="15.85546875" hidden="1" customWidth="1"/>
    <col min="6" max="6" width="23.42578125" customWidth="1"/>
  </cols>
  <sheetData>
    <row r="1" spans="1:6" ht="15.75" customHeight="1" x14ac:dyDescent="0.25">
      <c r="A1" s="127"/>
      <c r="B1" s="128"/>
      <c r="C1" s="128"/>
      <c r="D1" s="128"/>
      <c r="E1" s="127"/>
      <c r="F1" s="127"/>
    </row>
    <row r="2" spans="1:6" ht="36" customHeight="1" x14ac:dyDescent="0.45">
      <c r="A2" s="127"/>
      <c r="B2" s="800" t="s">
        <v>61</v>
      </c>
      <c r="C2" s="662"/>
      <c r="D2" s="662"/>
      <c r="E2" s="662"/>
      <c r="F2" s="662"/>
    </row>
    <row r="3" spans="1:6" ht="37.5" customHeight="1" x14ac:dyDescent="0.25">
      <c r="A3" s="127"/>
      <c r="B3" s="129" t="s">
        <v>2</v>
      </c>
      <c r="C3" s="129" t="s">
        <v>0</v>
      </c>
      <c r="D3" s="129" t="s">
        <v>62</v>
      </c>
      <c r="E3" s="129" t="s">
        <v>63</v>
      </c>
      <c r="F3" s="129" t="s">
        <v>3</v>
      </c>
    </row>
    <row r="4" spans="1:6" ht="15.75" customHeight="1" x14ac:dyDescent="0.25">
      <c r="A4" s="127"/>
      <c r="B4" s="130">
        <v>1</v>
      </c>
      <c r="C4" s="131">
        <v>1995</v>
      </c>
      <c r="D4" s="131" t="s">
        <v>64</v>
      </c>
      <c r="E4" s="131" t="s">
        <v>51</v>
      </c>
      <c r="F4" s="132" t="s">
        <v>65</v>
      </c>
    </row>
    <row r="5" spans="1:6" ht="15.75" customHeight="1" x14ac:dyDescent="0.25">
      <c r="A5" s="127"/>
      <c r="B5" s="130">
        <v>2</v>
      </c>
      <c r="C5" s="131">
        <v>1996</v>
      </c>
      <c r="D5" s="131" t="s">
        <v>66</v>
      </c>
      <c r="E5" s="131" t="s">
        <v>51</v>
      </c>
      <c r="F5" s="132" t="s">
        <v>65</v>
      </c>
    </row>
    <row r="6" spans="1:6" ht="15.75" customHeight="1" x14ac:dyDescent="0.25">
      <c r="A6" s="127"/>
      <c r="B6" s="130">
        <v>3</v>
      </c>
      <c r="C6" s="131">
        <v>1996</v>
      </c>
      <c r="D6" s="131" t="s">
        <v>67</v>
      </c>
      <c r="E6" s="131" t="s">
        <v>51</v>
      </c>
      <c r="F6" s="132" t="s">
        <v>65</v>
      </c>
    </row>
    <row r="7" spans="1:6" ht="15.75" customHeight="1" x14ac:dyDescent="0.25">
      <c r="A7" s="127"/>
      <c r="B7" s="130">
        <v>4</v>
      </c>
      <c r="C7" s="131">
        <v>1996</v>
      </c>
      <c r="D7" s="131" t="s">
        <v>68</v>
      </c>
      <c r="E7" s="131" t="s">
        <v>51</v>
      </c>
      <c r="F7" s="132" t="s">
        <v>65</v>
      </c>
    </row>
    <row r="8" spans="1:6" ht="15.75" customHeight="1" x14ac:dyDescent="0.25">
      <c r="A8" s="127"/>
      <c r="B8" s="130">
        <v>5</v>
      </c>
      <c r="C8" s="131">
        <v>1996</v>
      </c>
      <c r="D8" s="131" t="s">
        <v>69</v>
      </c>
      <c r="E8" s="131" t="s">
        <v>51</v>
      </c>
      <c r="F8" s="132" t="s">
        <v>65</v>
      </c>
    </row>
    <row r="9" spans="1:6" ht="15.75" customHeight="1" x14ac:dyDescent="0.25">
      <c r="A9" s="127"/>
      <c r="B9" s="130">
        <v>6</v>
      </c>
      <c r="C9" s="131">
        <v>1996</v>
      </c>
      <c r="D9" s="131" t="s">
        <v>70</v>
      </c>
      <c r="E9" s="131" t="s">
        <v>51</v>
      </c>
      <c r="F9" s="132" t="s">
        <v>65</v>
      </c>
    </row>
    <row r="10" spans="1:6" ht="15.75" customHeight="1" x14ac:dyDescent="0.25">
      <c r="A10" s="127"/>
      <c r="B10" s="130">
        <v>7</v>
      </c>
      <c r="C10" s="131">
        <v>1996</v>
      </c>
      <c r="D10" s="131" t="s">
        <v>71</v>
      </c>
      <c r="E10" s="131" t="s">
        <v>51</v>
      </c>
      <c r="F10" s="132" t="s">
        <v>65</v>
      </c>
    </row>
    <row r="11" spans="1:6" ht="15.75" customHeight="1" x14ac:dyDescent="0.25">
      <c r="A11" s="127"/>
      <c r="B11" s="130">
        <v>8</v>
      </c>
      <c r="C11" s="131">
        <v>1997</v>
      </c>
      <c r="D11" s="131" t="s">
        <v>72</v>
      </c>
      <c r="E11" s="131" t="s">
        <v>51</v>
      </c>
      <c r="F11" s="132" t="s">
        <v>65</v>
      </c>
    </row>
    <row r="12" spans="1:6" ht="15.75" customHeight="1" x14ac:dyDescent="0.25">
      <c r="A12" s="127"/>
      <c r="B12" s="130">
        <v>9</v>
      </c>
      <c r="C12" s="131">
        <v>1997</v>
      </c>
      <c r="D12" s="131" t="s">
        <v>73</v>
      </c>
      <c r="E12" s="131" t="s">
        <v>51</v>
      </c>
      <c r="F12" s="132" t="s">
        <v>65</v>
      </c>
    </row>
    <row r="13" spans="1:6" ht="15.75" customHeight="1" x14ac:dyDescent="0.25">
      <c r="A13" s="127"/>
      <c r="B13" s="130">
        <v>10</v>
      </c>
      <c r="C13" s="131">
        <v>1997</v>
      </c>
      <c r="D13" s="131" t="s">
        <v>74</v>
      </c>
      <c r="E13" s="131" t="s">
        <v>51</v>
      </c>
      <c r="F13" s="132" t="s">
        <v>65</v>
      </c>
    </row>
    <row r="14" spans="1:6" ht="15.75" customHeight="1" x14ac:dyDescent="0.25">
      <c r="A14" s="127"/>
      <c r="B14" s="130">
        <v>11</v>
      </c>
      <c r="C14" s="131">
        <v>1997</v>
      </c>
      <c r="D14" s="131" t="s">
        <v>75</v>
      </c>
      <c r="E14" s="131" t="s">
        <v>51</v>
      </c>
      <c r="F14" s="132" t="s">
        <v>65</v>
      </c>
    </row>
    <row r="15" spans="1:6" ht="15.75" customHeight="1" x14ac:dyDescent="0.25">
      <c r="A15" s="127"/>
      <c r="B15" s="130">
        <v>12</v>
      </c>
      <c r="C15" s="131">
        <v>1997</v>
      </c>
      <c r="D15" s="131" t="s">
        <v>76</v>
      </c>
      <c r="E15" s="131" t="s">
        <v>51</v>
      </c>
      <c r="F15" s="132" t="s">
        <v>65</v>
      </c>
    </row>
    <row r="16" spans="1:6" ht="15.75" customHeight="1" x14ac:dyDescent="0.25">
      <c r="A16" s="127"/>
      <c r="B16" s="130">
        <v>13</v>
      </c>
      <c r="C16" s="131">
        <v>1997</v>
      </c>
      <c r="D16" s="131" t="s">
        <v>77</v>
      </c>
      <c r="E16" s="131" t="s">
        <v>51</v>
      </c>
      <c r="F16" s="132" t="s">
        <v>65</v>
      </c>
    </row>
    <row r="17" spans="1:6" ht="15.75" customHeight="1" x14ac:dyDescent="0.25">
      <c r="A17" s="127"/>
      <c r="B17" s="130">
        <v>14</v>
      </c>
      <c r="C17" s="131">
        <v>1997</v>
      </c>
      <c r="D17" s="131" t="s">
        <v>78</v>
      </c>
      <c r="E17" s="131" t="s">
        <v>51</v>
      </c>
      <c r="F17" s="132" t="s">
        <v>65</v>
      </c>
    </row>
    <row r="18" spans="1:6" ht="15.75" customHeight="1" x14ac:dyDescent="0.25">
      <c r="A18" s="127"/>
      <c r="B18" s="130">
        <v>15</v>
      </c>
      <c r="C18" s="131">
        <v>1997</v>
      </c>
      <c r="D18" s="131" t="s">
        <v>79</v>
      </c>
      <c r="E18" s="131" t="s">
        <v>51</v>
      </c>
      <c r="F18" s="132" t="s">
        <v>65</v>
      </c>
    </row>
    <row r="19" spans="1:6" ht="15.75" customHeight="1" x14ac:dyDescent="0.25">
      <c r="A19" s="127"/>
      <c r="B19" s="130">
        <v>16</v>
      </c>
      <c r="C19" s="131">
        <v>1997</v>
      </c>
      <c r="D19" s="131" t="s">
        <v>80</v>
      </c>
      <c r="E19" s="131" t="s">
        <v>51</v>
      </c>
      <c r="F19" s="132" t="s">
        <v>65</v>
      </c>
    </row>
    <row r="20" spans="1:6" ht="15.75" customHeight="1" x14ac:dyDescent="0.25">
      <c r="A20" s="127"/>
      <c r="B20" s="130">
        <v>17</v>
      </c>
      <c r="C20" s="131">
        <v>1998</v>
      </c>
      <c r="D20" s="131" t="s">
        <v>81</v>
      </c>
      <c r="E20" s="131" t="s">
        <v>51</v>
      </c>
      <c r="F20" s="132" t="s">
        <v>65</v>
      </c>
    </row>
    <row r="21" spans="1:6" ht="15.75" customHeight="1" x14ac:dyDescent="0.25">
      <c r="A21" s="127"/>
      <c r="B21" s="130">
        <v>18</v>
      </c>
      <c r="C21" s="131">
        <v>1998</v>
      </c>
      <c r="D21" s="131" t="s">
        <v>82</v>
      </c>
      <c r="E21" s="131" t="s">
        <v>51</v>
      </c>
      <c r="F21" s="132" t="s">
        <v>65</v>
      </c>
    </row>
    <row r="22" spans="1:6" ht="15.75" customHeight="1" x14ac:dyDescent="0.25">
      <c r="A22" s="127"/>
      <c r="B22" s="130">
        <v>19</v>
      </c>
      <c r="C22" s="131">
        <v>1998</v>
      </c>
      <c r="D22" s="131" t="s">
        <v>83</v>
      </c>
      <c r="E22" s="131" t="s">
        <v>51</v>
      </c>
      <c r="F22" s="132" t="s">
        <v>65</v>
      </c>
    </row>
    <row r="23" spans="1:6" ht="15.75" customHeight="1" x14ac:dyDescent="0.25">
      <c r="A23" s="127"/>
      <c r="B23" s="130">
        <v>20</v>
      </c>
      <c r="C23" s="131">
        <v>1998</v>
      </c>
      <c r="D23" s="131" t="s">
        <v>84</v>
      </c>
      <c r="E23" s="131" t="s">
        <v>51</v>
      </c>
      <c r="F23" s="132" t="s">
        <v>65</v>
      </c>
    </row>
    <row r="24" spans="1:6" ht="15.75" customHeight="1" x14ac:dyDescent="0.25">
      <c r="A24" s="127"/>
      <c r="B24" s="130">
        <v>21</v>
      </c>
      <c r="C24" s="131">
        <v>1998</v>
      </c>
      <c r="D24" s="131" t="s">
        <v>85</v>
      </c>
      <c r="E24" s="131" t="s">
        <v>51</v>
      </c>
      <c r="F24" s="132" t="s">
        <v>65</v>
      </c>
    </row>
    <row r="25" spans="1:6" ht="15.75" customHeight="1" x14ac:dyDescent="0.25">
      <c r="A25" s="127"/>
      <c r="B25" s="130">
        <v>22</v>
      </c>
      <c r="C25" s="131">
        <v>1998</v>
      </c>
      <c r="D25" s="131" t="s">
        <v>86</v>
      </c>
      <c r="E25" s="131" t="s">
        <v>51</v>
      </c>
      <c r="F25" s="132" t="s">
        <v>65</v>
      </c>
    </row>
    <row r="26" spans="1:6" ht="15.75" customHeight="1" x14ac:dyDescent="0.25">
      <c r="A26" s="127"/>
      <c r="B26" s="130">
        <v>23</v>
      </c>
      <c r="C26" s="131">
        <v>1998</v>
      </c>
      <c r="D26" s="131" t="s">
        <v>87</v>
      </c>
      <c r="E26" s="131" t="s">
        <v>51</v>
      </c>
      <c r="F26" s="132" t="s">
        <v>65</v>
      </c>
    </row>
    <row r="27" spans="1:6" ht="15.75" customHeight="1" x14ac:dyDescent="0.25">
      <c r="A27" s="127"/>
      <c r="B27" s="130">
        <v>24</v>
      </c>
      <c r="C27" s="131">
        <v>1998</v>
      </c>
      <c r="D27" s="131" t="s">
        <v>88</v>
      </c>
      <c r="E27" s="131" t="s">
        <v>51</v>
      </c>
      <c r="F27" s="132" t="s">
        <v>65</v>
      </c>
    </row>
    <row r="28" spans="1:6" ht="15.75" customHeight="1" x14ac:dyDescent="0.25">
      <c r="A28" s="127"/>
      <c r="B28" s="130">
        <v>25</v>
      </c>
      <c r="C28" s="131">
        <v>1998</v>
      </c>
      <c r="D28" s="131" t="s">
        <v>89</v>
      </c>
      <c r="E28" s="131" t="s">
        <v>51</v>
      </c>
      <c r="F28" s="132" t="s">
        <v>65</v>
      </c>
    </row>
    <row r="29" spans="1:6" ht="15" x14ac:dyDescent="0.25">
      <c r="A29" s="127"/>
      <c r="B29" s="130">
        <v>26</v>
      </c>
      <c r="C29" s="131">
        <v>1998</v>
      </c>
      <c r="D29" s="131" t="s">
        <v>90</v>
      </c>
      <c r="E29" s="131" t="s">
        <v>51</v>
      </c>
      <c r="F29" s="132" t="s">
        <v>65</v>
      </c>
    </row>
    <row r="30" spans="1:6" ht="15" x14ac:dyDescent="0.25">
      <c r="A30" s="127"/>
      <c r="B30" s="130">
        <v>27</v>
      </c>
      <c r="C30" s="131">
        <v>1998</v>
      </c>
      <c r="D30" s="131" t="s">
        <v>91</v>
      </c>
      <c r="E30" s="131" t="s">
        <v>51</v>
      </c>
      <c r="F30" s="132" t="s">
        <v>65</v>
      </c>
    </row>
    <row r="31" spans="1:6" ht="15" x14ac:dyDescent="0.25">
      <c r="A31" s="127"/>
      <c r="B31" s="130">
        <v>28</v>
      </c>
      <c r="C31" s="131">
        <v>1998</v>
      </c>
      <c r="D31" s="131" t="s">
        <v>92</v>
      </c>
      <c r="E31" s="131" t="s">
        <v>51</v>
      </c>
      <c r="F31" s="132" t="s">
        <v>65</v>
      </c>
    </row>
    <row r="32" spans="1:6" ht="15" x14ac:dyDescent="0.25">
      <c r="A32" s="127"/>
      <c r="B32" s="130">
        <v>29</v>
      </c>
      <c r="C32" s="131">
        <v>1998</v>
      </c>
      <c r="D32" s="131" t="s">
        <v>93</v>
      </c>
      <c r="E32" s="131" t="s">
        <v>51</v>
      </c>
      <c r="F32" s="132" t="s">
        <v>65</v>
      </c>
    </row>
    <row r="33" spans="1:6" ht="15" x14ac:dyDescent="0.25">
      <c r="A33" s="127"/>
      <c r="B33" s="130">
        <v>30</v>
      </c>
      <c r="C33" s="131">
        <v>1998</v>
      </c>
      <c r="D33" s="131" t="s">
        <v>94</v>
      </c>
      <c r="E33" s="131" t="s">
        <v>51</v>
      </c>
      <c r="F33" s="132" t="s">
        <v>65</v>
      </c>
    </row>
    <row r="34" spans="1:6" ht="15" x14ac:dyDescent="0.25">
      <c r="A34" s="127"/>
      <c r="B34" s="130">
        <v>31</v>
      </c>
      <c r="C34" s="131">
        <v>1998</v>
      </c>
      <c r="D34" s="131" t="s">
        <v>95</v>
      </c>
      <c r="E34" s="131" t="s">
        <v>51</v>
      </c>
      <c r="F34" s="132" t="s">
        <v>65</v>
      </c>
    </row>
    <row r="35" spans="1:6" ht="15" x14ac:dyDescent="0.25">
      <c r="A35" s="127"/>
      <c r="B35" s="130">
        <v>32</v>
      </c>
      <c r="C35" s="131">
        <v>1998</v>
      </c>
      <c r="D35" s="131" t="s">
        <v>96</v>
      </c>
      <c r="E35" s="131" t="s">
        <v>51</v>
      </c>
      <c r="F35" s="132" t="s">
        <v>65</v>
      </c>
    </row>
    <row r="36" spans="1:6" ht="15" x14ac:dyDescent="0.25">
      <c r="A36" s="127"/>
      <c r="B36" s="130">
        <v>33</v>
      </c>
      <c r="C36" s="131">
        <v>1999</v>
      </c>
      <c r="D36" s="131" t="s">
        <v>64</v>
      </c>
      <c r="E36" s="131" t="s">
        <v>51</v>
      </c>
      <c r="F36" s="132" t="s">
        <v>65</v>
      </c>
    </row>
    <row r="37" spans="1:6" ht="15" x14ac:dyDescent="0.25">
      <c r="A37" s="127"/>
      <c r="B37" s="130">
        <v>34</v>
      </c>
      <c r="C37" s="131">
        <v>1999</v>
      </c>
      <c r="D37" s="131" t="s">
        <v>66</v>
      </c>
      <c r="E37" s="131" t="s">
        <v>51</v>
      </c>
      <c r="F37" s="132" t="s">
        <v>65</v>
      </c>
    </row>
    <row r="38" spans="1:6" ht="15" x14ac:dyDescent="0.25">
      <c r="A38" s="127"/>
      <c r="B38" s="130">
        <v>35</v>
      </c>
      <c r="C38" s="131">
        <v>1999</v>
      </c>
      <c r="D38" s="131" t="s">
        <v>67</v>
      </c>
      <c r="E38" s="131" t="s">
        <v>51</v>
      </c>
      <c r="F38" s="132" t="s">
        <v>65</v>
      </c>
    </row>
    <row r="39" spans="1:6" ht="15" x14ac:dyDescent="0.25">
      <c r="A39" s="127"/>
      <c r="B39" s="130">
        <v>36</v>
      </c>
      <c r="C39" s="131">
        <v>1999</v>
      </c>
      <c r="D39" s="131" t="s">
        <v>68</v>
      </c>
      <c r="E39" s="131" t="s">
        <v>51</v>
      </c>
      <c r="F39" s="132" t="s">
        <v>65</v>
      </c>
    </row>
    <row r="40" spans="1:6" ht="15" x14ac:dyDescent="0.25">
      <c r="A40" s="127"/>
      <c r="B40" s="130">
        <v>37</v>
      </c>
      <c r="C40" s="131">
        <v>1999</v>
      </c>
      <c r="D40" s="131" t="s">
        <v>69</v>
      </c>
      <c r="E40" s="131" t="s">
        <v>51</v>
      </c>
      <c r="F40" s="132" t="s">
        <v>65</v>
      </c>
    </row>
    <row r="41" spans="1:6" ht="15" x14ac:dyDescent="0.25">
      <c r="A41" s="127"/>
      <c r="B41" s="130">
        <v>38</v>
      </c>
      <c r="C41" s="131">
        <v>1999</v>
      </c>
      <c r="D41" s="131" t="s">
        <v>70</v>
      </c>
      <c r="E41" s="131" t="s">
        <v>51</v>
      </c>
      <c r="F41" s="132" t="s">
        <v>65</v>
      </c>
    </row>
    <row r="42" spans="1:6" ht="15" x14ac:dyDescent="0.25">
      <c r="A42" s="127"/>
      <c r="B42" s="130">
        <v>39</v>
      </c>
      <c r="C42" s="131">
        <v>1999</v>
      </c>
      <c r="D42" s="131" t="s">
        <v>97</v>
      </c>
      <c r="E42" s="131" t="s">
        <v>51</v>
      </c>
      <c r="F42" s="132" t="s">
        <v>65</v>
      </c>
    </row>
    <row r="43" spans="1:6" ht="15" x14ac:dyDescent="0.25">
      <c r="A43" s="127"/>
      <c r="B43" s="130">
        <v>40</v>
      </c>
      <c r="C43" s="131">
        <v>1999</v>
      </c>
      <c r="D43" s="131" t="s">
        <v>98</v>
      </c>
      <c r="E43" s="131" t="s">
        <v>51</v>
      </c>
      <c r="F43" s="132" t="s">
        <v>65</v>
      </c>
    </row>
    <row r="44" spans="1:6" ht="15" x14ac:dyDescent="0.25">
      <c r="A44" s="127"/>
      <c r="B44" s="130">
        <v>41</v>
      </c>
      <c r="C44" s="131">
        <v>1999</v>
      </c>
      <c r="D44" s="131" t="s">
        <v>99</v>
      </c>
      <c r="E44" s="131" t="s">
        <v>51</v>
      </c>
      <c r="F44" s="132" t="s">
        <v>65</v>
      </c>
    </row>
    <row r="45" spans="1:6" ht="15" x14ac:dyDescent="0.25">
      <c r="A45" s="127"/>
      <c r="B45" s="130">
        <v>42</v>
      </c>
      <c r="C45" s="131">
        <v>1999</v>
      </c>
      <c r="D45" s="131" t="s">
        <v>100</v>
      </c>
      <c r="E45" s="131" t="s">
        <v>51</v>
      </c>
      <c r="F45" s="132" t="s">
        <v>65</v>
      </c>
    </row>
    <row r="46" spans="1:6" ht="15" x14ac:dyDescent="0.25">
      <c r="A46" s="127"/>
      <c r="B46" s="130">
        <v>43</v>
      </c>
      <c r="C46" s="131">
        <v>1999</v>
      </c>
      <c r="D46" s="131" t="s">
        <v>101</v>
      </c>
      <c r="E46" s="131" t="s">
        <v>51</v>
      </c>
      <c r="F46" s="132" t="s">
        <v>65</v>
      </c>
    </row>
    <row r="47" spans="1:6" ht="15" x14ac:dyDescent="0.25">
      <c r="A47" s="127"/>
      <c r="B47" s="130">
        <v>44</v>
      </c>
      <c r="C47" s="131">
        <v>1999</v>
      </c>
      <c r="D47" s="131" t="s">
        <v>102</v>
      </c>
      <c r="E47" s="131" t="s">
        <v>51</v>
      </c>
      <c r="F47" s="132" t="s">
        <v>65</v>
      </c>
    </row>
    <row r="48" spans="1:6" ht="15" x14ac:dyDescent="0.25">
      <c r="A48" s="127"/>
      <c r="B48" s="130">
        <v>45</v>
      </c>
      <c r="C48" s="131">
        <v>1999</v>
      </c>
      <c r="D48" s="131" t="s">
        <v>103</v>
      </c>
      <c r="E48" s="131" t="s">
        <v>51</v>
      </c>
      <c r="F48" s="132" t="s">
        <v>65</v>
      </c>
    </row>
    <row r="49" spans="1:6" ht="15" x14ac:dyDescent="0.25">
      <c r="A49" s="127"/>
      <c r="B49" s="130">
        <v>46</v>
      </c>
      <c r="C49" s="131">
        <v>1999</v>
      </c>
      <c r="D49" s="131" t="s">
        <v>104</v>
      </c>
      <c r="E49" s="131" t="s">
        <v>51</v>
      </c>
      <c r="F49" s="132" t="s">
        <v>65</v>
      </c>
    </row>
    <row r="50" spans="1:6" ht="15" x14ac:dyDescent="0.25">
      <c r="A50" s="127"/>
      <c r="B50" s="130">
        <v>47</v>
      </c>
      <c r="C50" s="131">
        <v>1999</v>
      </c>
      <c r="D50" s="131" t="s">
        <v>105</v>
      </c>
      <c r="E50" s="131" t="s">
        <v>51</v>
      </c>
      <c r="F50" s="132" t="s">
        <v>65</v>
      </c>
    </row>
    <row r="51" spans="1:6" ht="15" x14ac:dyDescent="0.25">
      <c r="A51" s="127"/>
      <c r="B51" s="130">
        <v>48</v>
      </c>
      <c r="C51" s="131">
        <v>1999</v>
      </c>
      <c r="D51" s="131" t="s">
        <v>106</v>
      </c>
      <c r="E51" s="131" t="s">
        <v>51</v>
      </c>
      <c r="F51" s="132" t="s">
        <v>65</v>
      </c>
    </row>
    <row r="52" spans="1:6" ht="15" x14ac:dyDescent="0.25">
      <c r="A52" s="127"/>
      <c r="B52" s="130">
        <v>49</v>
      </c>
      <c r="C52" s="131">
        <v>2000</v>
      </c>
      <c r="D52" s="131" t="s">
        <v>107</v>
      </c>
      <c r="E52" s="131" t="s">
        <v>51</v>
      </c>
      <c r="F52" s="132" t="s">
        <v>65</v>
      </c>
    </row>
    <row r="53" spans="1:6" ht="15" x14ac:dyDescent="0.25">
      <c r="A53" s="127"/>
      <c r="B53" s="130">
        <v>50</v>
      </c>
      <c r="C53" s="131">
        <v>2000</v>
      </c>
      <c r="D53" s="131" t="s">
        <v>108</v>
      </c>
      <c r="E53" s="131" t="s">
        <v>51</v>
      </c>
      <c r="F53" s="132" t="s">
        <v>65</v>
      </c>
    </row>
    <row r="54" spans="1:6" ht="15" x14ac:dyDescent="0.25">
      <c r="A54" s="127"/>
      <c r="B54" s="130">
        <v>51</v>
      </c>
      <c r="C54" s="131">
        <v>2000</v>
      </c>
      <c r="D54" s="131" t="s">
        <v>109</v>
      </c>
      <c r="E54" s="131" t="s">
        <v>51</v>
      </c>
      <c r="F54" s="132" t="s">
        <v>65</v>
      </c>
    </row>
    <row r="55" spans="1:6" ht="15" x14ac:dyDescent="0.25">
      <c r="A55" s="127"/>
      <c r="B55" s="130">
        <v>52</v>
      </c>
      <c r="C55" s="131">
        <v>2000</v>
      </c>
      <c r="D55" s="131" t="s">
        <v>110</v>
      </c>
      <c r="E55" s="131" t="s">
        <v>51</v>
      </c>
      <c r="F55" s="132" t="s">
        <v>65</v>
      </c>
    </row>
    <row r="56" spans="1:6" ht="15" x14ac:dyDescent="0.25">
      <c r="A56" s="127"/>
      <c r="B56" s="130">
        <v>53</v>
      </c>
      <c r="C56" s="131">
        <v>2000</v>
      </c>
      <c r="D56" s="131" t="s">
        <v>111</v>
      </c>
      <c r="E56" s="131" t="s">
        <v>51</v>
      </c>
      <c r="F56" s="132" t="s">
        <v>65</v>
      </c>
    </row>
    <row r="57" spans="1:6" ht="15" x14ac:dyDescent="0.25">
      <c r="A57" s="127"/>
      <c r="B57" s="130">
        <v>54</v>
      </c>
      <c r="C57" s="131">
        <v>2000</v>
      </c>
      <c r="D57" s="131" t="s">
        <v>112</v>
      </c>
      <c r="E57" s="131" t="s">
        <v>51</v>
      </c>
      <c r="F57" s="132" t="s">
        <v>65</v>
      </c>
    </row>
    <row r="58" spans="1:6" ht="15" x14ac:dyDescent="0.25">
      <c r="A58" s="127"/>
      <c r="B58" s="130">
        <v>55</v>
      </c>
      <c r="C58" s="131">
        <v>2000</v>
      </c>
      <c r="D58" s="131" t="s">
        <v>113</v>
      </c>
      <c r="E58" s="131" t="s">
        <v>51</v>
      </c>
      <c r="F58" s="132" t="s">
        <v>65</v>
      </c>
    </row>
    <row r="59" spans="1:6" ht="15" x14ac:dyDescent="0.25">
      <c r="A59" s="127"/>
      <c r="B59" s="130">
        <v>56</v>
      </c>
      <c r="C59" s="131">
        <v>2000</v>
      </c>
      <c r="D59" s="131" t="s">
        <v>114</v>
      </c>
      <c r="E59" s="131" t="s">
        <v>51</v>
      </c>
      <c r="F59" s="132" t="s">
        <v>65</v>
      </c>
    </row>
    <row r="60" spans="1:6" ht="15" x14ac:dyDescent="0.25">
      <c r="A60" s="127"/>
      <c r="B60" s="130">
        <v>57</v>
      </c>
      <c r="C60" s="131">
        <v>2000</v>
      </c>
      <c r="D60" s="131" t="s">
        <v>115</v>
      </c>
      <c r="E60" s="131" t="s">
        <v>51</v>
      </c>
      <c r="F60" s="132" t="s">
        <v>65</v>
      </c>
    </row>
    <row r="61" spans="1:6" ht="15" x14ac:dyDescent="0.25">
      <c r="A61" s="127"/>
      <c r="B61" s="130">
        <v>58</v>
      </c>
      <c r="C61" s="131">
        <v>2000</v>
      </c>
      <c r="D61" s="131" t="s">
        <v>116</v>
      </c>
      <c r="E61" s="131" t="s">
        <v>51</v>
      </c>
      <c r="F61" s="132" t="s">
        <v>65</v>
      </c>
    </row>
    <row r="62" spans="1:6" ht="15" x14ac:dyDescent="0.25">
      <c r="A62" s="127"/>
      <c r="B62" s="130">
        <v>59</v>
      </c>
      <c r="C62" s="131">
        <v>2000</v>
      </c>
      <c r="D62" s="131" t="s">
        <v>117</v>
      </c>
      <c r="E62" s="131" t="s">
        <v>51</v>
      </c>
      <c r="F62" s="132" t="s">
        <v>65</v>
      </c>
    </row>
    <row r="63" spans="1:6" ht="15" x14ac:dyDescent="0.25">
      <c r="A63" s="127"/>
      <c r="B63" s="130">
        <v>60</v>
      </c>
      <c r="C63" s="131">
        <v>2000</v>
      </c>
      <c r="D63" s="131" t="s">
        <v>118</v>
      </c>
      <c r="E63" s="131" t="s">
        <v>51</v>
      </c>
      <c r="F63" s="132" t="s">
        <v>65</v>
      </c>
    </row>
    <row r="64" spans="1:6" ht="15" x14ac:dyDescent="0.25">
      <c r="A64" s="127"/>
      <c r="B64" s="130">
        <v>61</v>
      </c>
      <c r="C64" s="131">
        <v>2000</v>
      </c>
      <c r="D64" s="131" t="s">
        <v>119</v>
      </c>
      <c r="E64" s="131" t="s">
        <v>51</v>
      </c>
      <c r="F64" s="132" t="s">
        <v>65</v>
      </c>
    </row>
    <row r="65" spans="1:6" ht="15" x14ac:dyDescent="0.25">
      <c r="A65" s="127"/>
      <c r="B65" s="130">
        <v>62</v>
      </c>
      <c r="C65" s="131">
        <v>2001</v>
      </c>
      <c r="D65" s="131" t="s">
        <v>64</v>
      </c>
      <c r="E65" s="131" t="s">
        <v>48</v>
      </c>
      <c r="F65" s="132" t="s">
        <v>65</v>
      </c>
    </row>
    <row r="66" spans="1:6" ht="15" x14ac:dyDescent="0.25">
      <c r="A66" s="127"/>
      <c r="B66" s="130">
        <v>63</v>
      </c>
      <c r="C66" s="131">
        <v>2001</v>
      </c>
      <c r="D66" s="131" t="s">
        <v>66</v>
      </c>
      <c r="E66" s="131" t="s">
        <v>51</v>
      </c>
      <c r="F66" s="132" t="s">
        <v>65</v>
      </c>
    </row>
    <row r="67" spans="1:6" ht="15" x14ac:dyDescent="0.25">
      <c r="A67" s="127"/>
      <c r="B67" s="130">
        <v>64</v>
      </c>
      <c r="C67" s="131">
        <v>2001</v>
      </c>
      <c r="D67" s="131" t="s">
        <v>67</v>
      </c>
      <c r="E67" s="131" t="s">
        <v>51</v>
      </c>
      <c r="F67" s="132" t="s">
        <v>65</v>
      </c>
    </row>
    <row r="68" spans="1:6" ht="15" x14ac:dyDescent="0.25">
      <c r="A68" s="127"/>
      <c r="B68" s="130">
        <v>65</v>
      </c>
      <c r="C68" s="131">
        <v>2001</v>
      </c>
      <c r="D68" s="131" t="s">
        <v>68</v>
      </c>
      <c r="E68" s="131" t="s">
        <v>51</v>
      </c>
      <c r="F68" s="132" t="s">
        <v>65</v>
      </c>
    </row>
    <row r="69" spans="1:6" ht="15" x14ac:dyDescent="0.25">
      <c r="A69" s="127"/>
      <c r="B69" s="130">
        <v>66</v>
      </c>
      <c r="C69" s="131">
        <v>2001</v>
      </c>
      <c r="D69" s="131" t="s">
        <v>69</v>
      </c>
      <c r="E69" s="131" t="s">
        <v>51</v>
      </c>
      <c r="F69" s="132" t="s">
        <v>65</v>
      </c>
    </row>
    <row r="70" spans="1:6" ht="15" x14ac:dyDescent="0.25">
      <c r="A70" s="127"/>
      <c r="B70" s="130">
        <v>67</v>
      </c>
      <c r="C70" s="131">
        <v>2001</v>
      </c>
      <c r="D70" s="131" t="s">
        <v>70</v>
      </c>
      <c r="E70" s="131" t="s">
        <v>51</v>
      </c>
      <c r="F70" s="132" t="s">
        <v>65</v>
      </c>
    </row>
    <row r="71" spans="1:6" ht="15" x14ac:dyDescent="0.25">
      <c r="A71" s="127"/>
      <c r="B71" s="130">
        <v>68</v>
      </c>
      <c r="C71" s="131">
        <v>2001</v>
      </c>
      <c r="D71" s="131" t="s">
        <v>97</v>
      </c>
      <c r="E71" s="131" t="s">
        <v>51</v>
      </c>
      <c r="F71" s="132" t="s">
        <v>65</v>
      </c>
    </row>
    <row r="72" spans="1:6" ht="15" x14ac:dyDescent="0.25">
      <c r="A72" s="127"/>
      <c r="B72" s="130">
        <v>69</v>
      </c>
      <c r="C72" s="131">
        <v>2001</v>
      </c>
      <c r="D72" s="131" t="s">
        <v>98</v>
      </c>
      <c r="E72" s="131" t="s">
        <v>51</v>
      </c>
      <c r="F72" s="132" t="s">
        <v>65</v>
      </c>
    </row>
    <row r="73" spans="1:6" ht="15" x14ac:dyDescent="0.25">
      <c r="A73" s="127"/>
      <c r="B73" s="130">
        <v>70</v>
      </c>
      <c r="C73" s="131">
        <v>2001</v>
      </c>
      <c r="D73" s="131" t="s">
        <v>99</v>
      </c>
      <c r="E73" s="131" t="s">
        <v>51</v>
      </c>
      <c r="F73" s="132" t="s">
        <v>65</v>
      </c>
    </row>
    <row r="74" spans="1:6" ht="15" x14ac:dyDescent="0.25">
      <c r="A74" s="127"/>
      <c r="B74" s="130">
        <v>71</v>
      </c>
      <c r="C74" s="131">
        <v>2001</v>
      </c>
      <c r="D74" s="131" t="s">
        <v>100</v>
      </c>
      <c r="E74" s="131" t="s">
        <v>51</v>
      </c>
      <c r="F74" s="132" t="s">
        <v>65</v>
      </c>
    </row>
    <row r="75" spans="1:6" ht="15" x14ac:dyDescent="0.25">
      <c r="A75" s="127"/>
      <c r="B75" s="130">
        <v>72</v>
      </c>
      <c r="C75" s="131">
        <v>2001</v>
      </c>
      <c r="D75" s="131" t="s">
        <v>101</v>
      </c>
      <c r="E75" s="131" t="s">
        <v>51</v>
      </c>
      <c r="F75" s="132" t="s">
        <v>65</v>
      </c>
    </row>
    <row r="76" spans="1:6" ht="15" x14ac:dyDescent="0.25">
      <c r="A76" s="127"/>
      <c r="B76" s="130">
        <v>73</v>
      </c>
      <c r="C76" s="131">
        <v>2001</v>
      </c>
      <c r="D76" s="131" t="s">
        <v>102</v>
      </c>
      <c r="E76" s="131" t="s">
        <v>48</v>
      </c>
      <c r="F76" s="132" t="s">
        <v>65</v>
      </c>
    </row>
    <row r="77" spans="1:6" ht="15" x14ac:dyDescent="0.25">
      <c r="A77" s="127"/>
      <c r="B77" s="130">
        <v>74</v>
      </c>
      <c r="C77" s="131">
        <v>2001</v>
      </c>
      <c r="D77" s="131" t="s">
        <v>103</v>
      </c>
      <c r="E77" s="131" t="s">
        <v>51</v>
      </c>
      <c r="F77" s="132" t="s">
        <v>65</v>
      </c>
    </row>
    <row r="78" spans="1:6" ht="15" x14ac:dyDescent="0.25">
      <c r="A78" s="127"/>
      <c r="B78" s="130">
        <v>75</v>
      </c>
      <c r="C78" s="131">
        <v>2002</v>
      </c>
      <c r="D78" s="131" t="s">
        <v>104</v>
      </c>
      <c r="E78" s="131" t="s">
        <v>51</v>
      </c>
      <c r="F78" s="132" t="s">
        <v>65</v>
      </c>
    </row>
    <row r="79" spans="1:6" ht="15" x14ac:dyDescent="0.25">
      <c r="A79" s="127"/>
      <c r="B79" s="130">
        <v>76</v>
      </c>
      <c r="C79" s="131">
        <v>2002</v>
      </c>
      <c r="D79" s="131" t="s">
        <v>105</v>
      </c>
      <c r="E79" s="131" t="s">
        <v>51</v>
      </c>
      <c r="F79" s="132" t="s">
        <v>65</v>
      </c>
    </row>
    <row r="80" spans="1:6" ht="15" x14ac:dyDescent="0.25">
      <c r="A80" s="127"/>
      <c r="B80" s="130">
        <v>77</v>
      </c>
      <c r="C80" s="131">
        <v>2002</v>
      </c>
      <c r="D80" s="131" t="s">
        <v>106</v>
      </c>
      <c r="E80" s="131" t="s">
        <v>51</v>
      </c>
      <c r="F80" s="132" t="s">
        <v>65</v>
      </c>
    </row>
    <row r="81" spans="1:6" ht="15" x14ac:dyDescent="0.25">
      <c r="A81" s="127"/>
      <c r="B81" s="130">
        <v>78</v>
      </c>
      <c r="C81" s="131">
        <v>2002</v>
      </c>
      <c r="D81" s="131" t="s">
        <v>107</v>
      </c>
      <c r="E81" s="131" t="s">
        <v>51</v>
      </c>
      <c r="F81" s="132" t="s">
        <v>65</v>
      </c>
    </row>
    <row r="82" spans="1:6" ht="15" x14ac:dyDescent="0.25">
      <c r="A82" s="127"/>
      <c r="B82" s="130">
        <v>79</v>
      </c>
      <c r="C82" s="131">
        <v>2002</v>
      </c>
      <c r="D82" s="131" t="s">
        <v>108</v>
      </c>
      <c r="E82" s="131" t="s">
        <v>51</v>
      </c>
      <c r="F82" s="132" t="s">
        <v>65</v>
      </c>
    </row>
    <row r="83" spans="1:6" ht="15" x14ac:dyDescent="0.25">
      <c r="A83" s="127"/>
      <c r="B83" s="130">
        <v>80</v>
      </c>
      <c r="C83" s="131">
        <v>2002</v>
      </c>
      <c r="D83" s="131" t="s">
        <v>109</v>
      </c>
      <c r="E83" s="131" t="s">
        <v>51</v>
      </c>
      <c r="F83" s="132" t="s">
        <v>65</v>
      </c>
    </row>
    <row r="84" spans="1:6" ht="15" x14ac:dyDescent="0.25">
      <c r="A84" s="127"/>
      <c r="B84" s="130">
        <v>81</v>
      </c>
      <c r="C84" s="131">
        <v>2002</v>
      </c>
      <c r="D84" s="131" t="s">
        <v>110</v>
      </c>
      <c r="E84" s="131" t="s">
        <v>51</v>
      </c>
      <c r="F84" s="132" t="s">
        <v>65</v>
      </c>
    </row>
    <row r="85" spans="1:6" ht="15" x14ac:dyDescent="0.25">
      <c r="A85" s="127"/>
      <c r="B85" s="130">
        <v>82</v>
      </c>
      <c r="C85" s="131">
        <v>2002</v>
      </c>
      <c r="D85" s="131" t="s">
        <v>111</v>
      </c>
      <c r="E85" s="131" t="s">
        <v>51</v>
      </c>
      <c r="F85" s="132" t="s">
        <v>65</v>
      </c>
    </row>
    <row r="86" spans="1:6" ht="15" x14ac:dyDescent="0.25">
      <c r="A86" s="127"/>
      <c r="B86" s="130">
        <v>83</v>
      </c>
      <c r="C86" s="131">
        <v>2002</v>
      </c>
      <c r="D86" s="131" t="s">
        <v>112</v>
      </c>
      <c r="E86" s="131" t="s">
        <v>51</v>
      </c>
      <c r="F86" s="132" t="s">
        <v>65</v>
      </c>
    </row>
    <row r="87" spans="1:6" ht="15" x14ac:dyDescent="0.25">
      <c r="A87" s="127"/>
      <c r="B87" s="130">
        <v>84</v>
      </c>
      <c r="C87" s="131">
        <v>2002</v>
      </c>
      <c r="D87" s="131" t="s">
        <v>113</v>
      </c>
      <c r="E87" s="131" t="s">
        <v>51</v>
      </c>
      <c r="F87" s="132" t="s">
        <v>65</v>
      </c>
    </row>
    <row r="88" spans="1:6" ht="15" x14ac:dyDescent="0.25">
      <c r="A88" s="127"/>
      <c r="B88" s="130">
        <v>85</v>
      </c>
      <c r="C88" s="131">
        <v>2002</v>
      </c>
      <c r="D88" s="131" t="s">
        <v>114</v>
      </c>
      <c r="E88" s="131" t="s">
        <v>51</v>
      </c>
      <c r="F88" s="132" t="s">
        <v>65</v>
      </c>
    </row>
    <row r="89" spans="1:6" ht="15" x14ac:dyDescent="0.25">
      <c r="A89" s="127"/>
      <c r="B89" s="130">
        <v>86</v>
      </c>
      <c r="C89" s="131">
        <v>2002</v>
      </c>
      <c r="D89" s="131" t="s">
        <v>115</v>
      </c>
      <c r="E89" s="131" t="s">
        <v>51</v>
      </c>
      <c r="F89" s="132" t="s">
        <v>65</v>
      </c>
    </row>
    <row r="90" spans="1:6" ht="15" x14ac:dyDescent="0.25">
      <c r="A90" s="127"/>
      <c r="B90" s="130">
        <v>87</v>
      </c>
      <c r="C90" s="131">
        <v>2002</v>
      </c>
      <c r="D90" s="131" t="s">
        <v>120</v>
      </c>
      <c r="E90" s="131" t="s">
        <v>51</v>
      </c>
      <c r="F90" s="132" t="s">
        <v>65</v>
      </c>
    </row>
    <row r="91" spans="1:6" ht="15" x14ac:dyDescent="0.25">
      <c r="A91" s="127"/>
      <c r="B91" s="130">
        <v>88</v>
      </c>
      <c r="C91" s="131">
        <v>2003</v>
      </c>
      <c r="D91" s="131" t="s">
        <v>64</v>
      </c>
      <c r="E91" s="131" t="s">
        <v>51</v>
      </c>
      <c r="F91" s="132" t="s">
        <v>65</v>
      </c>
    </row>
    <row r="92" spans="1:6" ht="15" x14ac:dyDescent="0.25">
      <c r="A92" s="127"/>
      <c r="B92" s="130">
        <v>89</v>
      </c>
      <c r="C92" s="131">
        <v>2003</v>
      </c>
      <c r="D92" s="131" t="s">
        <v>66</v>
      </c>
      <c r="E92" s="131" t="s">
        <v>51</v>
      </c>
      <c r="F92" s="132" t="s">
        <v>65</v>
      </c>
    </row>
    <row r="93" spans="1:6" ht="15" x14ac:dyDescent="0.25">
      <c r="A93" s="127"/>
      <c r="B93" s="130">
        <v>90</v>
      </c>
      <c r="C93" s="131">
        <v>2003</v>
      </c>
      <c r="D93" s="131" t="s">
        <v>67</v>
      </c>
      <c r="E93" s="131" t="s">
        <v>51</v>
      </c>
      <c r="F93" s="132" t="s">
        <v>65</v>
      </c>
    </row>
    <row r="94" spans="1:6" ht="15" x14ac:dyDescent="0.25">
      <c r="A94" s="127"/>
      <c r="B94" s="130">
        <v>91</v>
      </c>
      <c r="C94" s="131">
        <v>2003</v>
      </c>
      <c r="D94" s="131" t="s">
        <v>68</v>
      </c>
      <c r="E94" s="131" t="s">
        <v>51</v>
      </c>
      <c r="F94" s="132" t="s">
        <v>65</v>
      </c>
    </row>
    <row r="95" spans="1:6" ht="15" x14ac:dyDescent="0.25">
      <c r="A95" s="127"/>
      <c r="B95" s="130">
        <v>92</v>
      </c>
      <c r="C95" s="131">
        <v>2003</v>
      </c>
      <c r="D95" s="131" t="s">
        <v>69</v>
      </c>
      <c r="E95" s="131" t="s">
        <v>51</v>
      </c>
      <c r="F95" s="132" t="s">
        <v>65</v>
      </c>
    </row>
    <row r="96" spans="1:6" ht="15" x14ac:dyDescent="0.25">
      <c r="A96" s="127"/>
      <c r="B96" s="130">
        <v>93</v>
      </c>
      <c r="C96" s="131">
        <v>2003</v>
      </c>
      <c r="D96" s="131" t="s">
        <v>70</v>
      </c>
      <c r="E96" s="131" t="s">
        <v>51</v>
      </c>
      <c r="F96" s="132" t="s">
        <v>65</v>
      </c>
    </row>
    <row r="97" spans="1:6" ht="15" x14ac:dyDescent="0.25">
      <c r="A97" s="127"/>
      <c r="B97" s="130">
        <v>94</v>
      </c>
      <c r="C97" s="131">
        <v>2003</v>
      </c>
      <c r="D97" s="131" t="s">
        <v>97</v>
      </c>
      <c r="E97" s="131" t="s">
        <v>51</v>
      </c>
      <c r="F97" s="132" t="s">
        <v>65</v>
      </c>
    </row>
    <row r="98" spans="1:6" ht="15" x14ac:dyDescent="0.25">
      <c r="A98" s="127"/>
      <c r="B98" s="130">
        <v>95</v>
      </c>
      <c r="C98" s="131">
        <v>2003</v>
      </c>
      <c r="D98" s="131" t="s">
        <v>98</v>
      </c>
      <c r="E98" s="131" t="s">
        <v>51</v>
      </c>
      <c r="F98" s="132" t="s">
        <v>65</v>
      </c>
    </row>
    <row r="99" spans="1:6" ht="15" x14ac:dyDescent="0.25">
      <c r="A99" s="127"/>
      <c r="B99" s="130">
        <v>96</v>
      </c>
      <c r="C99" s="131">
        <v>2003</v>
      </c>
      <c r="D99" s="131" t="s">
        <v>99</v>
      </c>
      <c r="E99" s="131" t="s">
        <v>51</v>
      </c>
      <c r="F99" s="132" t="s">
        <v>65</v>
      </c>
    </row>
    <row r="100" spans="1:6" ht="15" x14ac:dyDescent="0.25">
      <c r="A100" s="127"/>
      <c r="B100" s="130">
        <v>97</v>
      </c>
      <c r="C100" s="131">
        <v>2003</v>
      </c>
      <c r="D100" s="131" t="s">
        <v>100</v>
      </c>
      <c r="E100" s="131" t="s">
        <v>51</v>
      </c>
      <c r="F100" s="132" t="s">
        <v>65</v>
      </c>
    </row>
    <row r="101" spans="1:6" ht="15" x14ac:dyDescent="0.25">
      <c r="A101" s="127"/>
      <c r="B101" s="130">
        <v>98</v>
      </c>
      <c r="C101" s="131">
        <v>2003</v>
      </c>
      <c r="D101" s="131" t="s">
        <v>101</v>
      </c>
      <c r="E101" s="131" t="s">
        <v>51</v>
      </c>
      <c r="F101" s="132" t="s">
        <v>65</v>
      </c>
    </row>
    <row r="102" spans="1:6" ht="15" x14ac:dyDescent="0.25">
      <c r="A102" s="127"/>
      <c r="B102" s="130">
        <v>99</v>
      </c>
      <c r="C102" s="131">
        <v>2003</v>
      </c>
      <c r="D102" s="131" t="s">
        <v>102</v>
      </c>
      <c r="E102" s="131" t="s">
        <v>51</v>
      </c>
      <c r="F102" s="132" t="s">
        <v>65</v>
      </c>
    </row>
    <row r="103" spans="1:6" ht="15" x14ac:dyDescent="0.25">
      <c r="A103" s="127"/>
      <c r="B103" s="130">
        <v>100</v>
      </c>
      <c r="C103" s="131">
        <v>2003</v>
      </c>
      <c r="D103" s="131" t="s">
        <v>103</v>
      </c>
      <c r="E103" s="131" t="s">
        <v>51</v>
      </c>
      <c r="F103" s="132" t="s">
        <v>65</v>
      </c>
    </row>
    <row r="104" spans="1:6" ht="15" x14ac:dyDescent="0.25">
      <c r="A104" s="127"/>
      <c r="B104" s="130">
        <v>101</v>
      </c>
      <c r="C104" s="131">
        <v>2003</v>
      </c>
      <c r="D104" s="131" t="s">
        <v>104</v>
      </c>
      <c r="E104" s="131" t="s">
        <v>51</v>
      </c>
      <c r="F104" s="132" t="s">
        <v>65</v>
      </c>
    </row>
    <row r="105" spans="1:6" ht="15" x14ac:dyDescent="0.25">
      <c r="A105" s="127"/>
      <c r="B105" s="130">
        <v>102</v>
      </c>
      <c r="C105" s="131">
        <v>2003</v>
      </c>
      <c r="D105" s="131" t="s">
        <v>105</v>
      </c>
      <c r="E105" s="131" t="s">
        <v>51</v>
      </c>
      <c r="F105" s="132" t="s">
        <v>65</v>
      </c>
    </row>
    <row r="106" spans="1:6" ht="15" x14ac:dyDescent="0.25">
      <c r="A106" s="127"/>
      <c r="B106" s="130">
        <v>103</v>
      </c>
      <c r="C106" s="131">
        <v>2003</v>
      </c>
      <c r="D106" s="131" t="s">
        <v>106</v>
      </c>
      <c r="E106" s="131" t="s">
        <v>51</v>
      </c>
      <c r="F106" s="132" t="s">
        <v>65</v>
      </c>
    </row>
    <row r="107" spans="1:6" ht="15" x14ac:dyDescent="0.25">
      <c r="A107" s="127"/>
      <c r="B107" s="130">
        <v>104</v>
      </c>
      <c r="C107" s="131">
        <v>2003</v>
      </c>
      <c r="D107" s="131" t="s">
        <v>107</v>
      </c>
      <c r="E107" s="131" t="s">
        <v>51</v>
      </c>
      <c r="F107" s="132" t="s">
        <v>65</v>
      </c>
    </row>
    <row r="108" spans="1:6" ht="15" x14ac:dyDescent="0.25">
      <c r="A108" s="127"/>
      <c r="B108" s="130">
        <v>105</v>
      </c>
      <c r="C108" s="131">
        <v>2004</v>
      </c>
      <c r="D108" s="131" t="s">
        <v>108</v>
      </c>
      <c r="E108" s="131" t="s">
        <v>51</v>
      </c>
      <c r="F108" s="132" t="s">
        <v>65</v>
      </c>
    </row>
    <row r="109" spans="1:6" ht="15" x14ac:dyDescent="0.25">
      <c r="A109" s="127"/>
      <c r="B109" s="130">
        <v>106</v>
      </c>
      <c r="C109" s="131">
        <v>2004</v>
      </c>
      <c r="D109" s="131" t="s">
        <v>109</v>
      </c>
      <c r="E109" s="131" t="s">
        <v>51</v>
      </c>
      <c r="F109" s="132" t="s">
        <v>65</v>
      </c>
    </row>
    <row r="110" spans="1:6" ht="15" x14ac:dyDescent="0.25">
      <c r="A110" s="127"/>
      <c r="B110" s="130">
        <v>107</v>
      </c>
      <c r="C110" s="131">
        <v>2004</v>
      </c>
      <c r="D110" s="131" t="s">
        <v>110</v>
      </c>
      <c r="E110" s="131" t="s">
        <v>51</v>
      </c>
      <c r="F110" s="132" t="s">
        <v>65</v>
      </c>
    </row>
    <row r="111" spans="1:6" ht="15" x14ac:dyDescent="0.25">
      <c r="A111" s="127"/>
      <c r="B111" s="130">
        <v>108</v>
      </c>
      <c r="C111" s="131">
        <v>2004</v>
      </c>
      <c r="D111" s="131" t="s">
        <v>111</v>
      </c>
      <c r="E111" s="131" t="s">
        <v>51</v>
      </c>
      <c r="F111" s="132" t="s">
        <v>65</v>
      </c>
    </row>
    <row r="112" spans="1:6" ht="15" x14ac:dyDescent="0.25">
      <c r="A112" s="127"/>
      <c r="B112" s="130">
        <v>109</v>
      </c>
      <c r="C112" s="131">
        <v>2004</v>
      </c>
      <c r="D112" s="131" t="s">
        <v>112</v>
      </c>
      <c r="E112" s="131" t="s">
        <v>51</v>
      </c>
      <c r="F112" s="132" t="s">
        <v>65</v>
      </c>
    </row>
    <row r="113" spans="1:6" ht="15" x14ac:dyDescent="0.25">
      <c r="A113" s="127"/>
      <c r="B113" s="130">
        <v>110</v>
      </c>
      <c r="C113" s="131">
        <v>2004</v>
      </c>
      <c r="D113" s="131" t="s">
        <v>113</v>
      </c>
      <c r="E113" s="131" t="s">
        <v>51</v>
      </c>
      <c r="F113" s="132" t="s">
        <v>65</v>
      </c>
    </row>
    <row r="114" spans="1:6" ht="15" x14ac:dyDescent="0.25">
      <c r="A114" s="127"/>
      <c r="B114" s="130">
        <v>111</v>
      </c>
      <c r="C114" s="131">
        <v>2004</v>
      </c>
      <c r="D114" s="131" t="s">
        <v>114</v>
      </c>
      <c r="E114" s="131" t="s">
        <v>51</v>
      </c>
      <c r="F114" s="132" t="s">
        <v>65</v>
      </c>
    </row>
    <row r="115" spans="1:6" ht="15" x14ac:dyDescent="0.25">
      <c r="A115" s="127"/>
      <c r="B115" s="130">
        <v>112</v>
      </c>
      <c r="C115" s="131">
        <v>2004</v>
      </c>
      <c r="D115" s="131" t="s">
        <v>115</v>
      </c>
      <c r="E115" s="131" t="s">
        <v>51</v>
      </c>
      <c r="F115" s="132" t="s">
        <v>65</v>
      </c>
    </row>
    <row r="116" spans="1:6" ht="15" x14ac:dyDescent="0.25">
      <c r="A116" s="127"/>
      <c r="B116" s="130">
        <v>113</v>
      </c>
      <c r="C116" s="131">
        <v>2004</v>
      </c>
      <c r="D116" s="131" t="s">
        <v>116</v>
      </c>
      <c r="E116" s="131" t="s">
        <v>51</v>
      </c>
      <c r="F116" s="132" t="s">
        <v>65</v>
      </c>
    </row>
    <row r="117" spans="1:6" ht="15" x14ac:dyDescent="0.25">
      <c r="A117" s="127"/>
      <c r="B117" s="130">
        <v>114</v>
      </c>
      <c r="C117" s="131">
        <v>2004</v>
      </c>
      <c r="D117" s="131" t="s">
        <v>117</v>
      </c>
      <c r="E117" s="131" t="s">
        <v>51</v>
      </c>
      <c r="F117" s="132" t="s">
        <v>65</v>
      </c>
    </row>
    <row r="118" spans="1:6" ht="15" x14ac:dyDescent="0.25">
      <c r="A118" s="127"/>
      <c r="B118" s="130">
        <v>115</v>
      </c>
      <c r="C118" s="131">
        <v>2004</v>
      </c>
      <c r="D118" s="131" t="s">
        <v>118</v>
      </c>
      <c r="E118" s="131" t="s">
        <v>51</v>
      </c>
      <c r="F118" s="132" t="s">
        <v>65</v>
      </c>
    </row>
    <row r="119" spans="1:6" ht="15" x14ac:dyDescent="0.25">
      <c r="A119" s="127"/>
      <c r="B119" s="130">
        <v>116</v>
      </c>
      <c r="C119" s="131">
        <v>2004</v>
      </c>
      <c r="D119" s="131" t="s">
        <v>119</v>
      </c>
      <c r="E119" s="131" t="s">
        <v>51</v>
      </c>
      <c r="F119" s="132" t="s">
        <v>65</v>
      </c>
    </row>
    <row r="120" spans="1:6" ht="15" x14ac:dyDescent="0.25">
      <c r="A120" s="127"/>
      <c r="B120" s="130">
        <v>117</v>
      </c>
      <c r="C120" s="131">
        <v>2004</v>
      </c>
      <c r="D120" s="131" t="s">
        <v>121</v>
      </c>
      <c r="E120" s="131" t="s">
        <v>51</v>
      </c>
      <c r="F120" s="132" t="s">
        <v>65</v>
      </c>
    </row>
    <row r="121" spans="1:6" ht="15" x14ac:dyDescent="0.25">
      <c r="A121" s="127"/>
      <c r="B121" s="130">
        <v>118</v>
      </c>
      <c r="C121" s="131">
        <v>2004</v>
      </c>
      <c r="D121" s="131" t="s">
        <v>122</v>
      </c>
      <c r="E121" s="131" t="s">
        <v>51</v>
      </c>
      <c r="F121" s="132" t="s">
        <v>65</v>
      </c>
    </row>
    <row r="122" spans="1:6" ht="15" x14ac:dyDescent="0.25">
      <c r="A122" s="127"/>
      <c r="B122" s="130">
        <v>119</v>
      </c>
      <c r="C122" s="131">
        <v>2004</v>
      </c>
      <c r="D122" s="131" t="s">
        <v>123</v>
      </c>
      <c r="E122" s="131" t="s">
        <v>51</v>
      </c>
      <c r="F122" s="132" t="s">
        <v>65</v>
      </c>
    </row>
    <row r="123" spans="1:6" ht="15" x14ac:dyDescent="0.25">
      <c r="A123" s="127"/>
      <c r="B123" s="130">
        <v>120</v>
      </c>
      <c r="C123" s="131">
        <v>2004</v>
      </c>
      <c r="D123" s="131" t="s">
        <v>124</v>
      </c>
      <c r="E123" s="131" t="s">
        <v>51</v>
      </c>
      <c r="F123" s="132" t="s">
        <v>65</v>
      </c>
    </row>
    <row r="124" spans="1:6" ht="15" x14ac:dyDescent="0.25">
      <c r="A124" s="127"/>
      <c r="B124" s="130">
        <v>121</v>
      </c>
      <c r="C124" s="131">
        <v>2004</v>
      </c>
      <c r="D124" s="131" t="s">
        <v>125</v>
      </c>
      <c r="E124" s="131" t="s">
        <v>51</v>
      </c>
      <c r="F124" s="132" t="s">
        <v>65</v>
      </c>
    </row>
    <row r="125" spans="1:6" ht="15" x14ac:dyDescent="0.25">
      <c r="A125" s="127"/>
      <c r="B125" s="130">
        <v>122</v>
      </c>
      <c r="C125" s="131">
        <v>2004</v>
      </c>
      <c r="D125" s="131" t="s">
        <v>126</v>
      </c>
      <c r="E125" s="131" t="s">
        <v>51</v>
      </c>
      <c r="F125" s="132" t="s">
        <v>65</v>
      </c>
    </row>
    <row r="126" spans="1:6" ht="15" x14ac:dyDescent="0.25">
      <c r="A126" s="127"/>
      <c r="B126" s="130">
        <v>123</v>
      </c>
      <c r="C126" s="131">
        <v>2004</v>
      </c>
      <c r="D126" s="131" t="s">
        <v>127</v>
      </c>
      <c r="E126" s="131" t="s">
        <v>51</v>
      </c>
      <c r="F126" s="132" t="s">
        <v>65</v>
      </c>
    </row>
    <row r="127" spans="1:6" ht="15" x14ac:dyDescent="0.25">
      <c r="A127" s="127"/>
      <c r="B127" s="130">
        <v>124</v>
      </c>
      <c r="C127" s="131">
        <v>2005</v>
      </c>
      <c r="D127" s="131" t="s">
        <v>64</v>
      </c>
      <c r="E127" s="131" t="s">
        <v>51</v>
      </c>
      <c r="F127" s="132" t="s">
        <v>65</v>
      </c>
    </row>
    <row r="128" spans="1:6" ht="15" x14ac:dyDescent="0.25">
      <c r="A128" s="127"/>
      <c r="B128" s="130">
        <v>125</v>
      </c>
      <c r="C128" s="131">
        <v>2005</v>
      </c>
      <c r="D128" s="131" t="s">
        <v>66</v>
      </c>
      <c r="E128" s="131" t="s">
        <v>51</v>
      </c>
      <c r="F128" s="132" t="s">
        <v>65</v>
      </c>
    </row>
    <row r="129" spans="1:6" ht="15" x14ac:dyDescent="0.25">
      <c r="A129" s="127"/>
      <c r="B129" s="130">
        <v>126</v>
      </c>
      <c r="C129" s="131">
        <v>2005</v>
      </c>
      <c r="D129" s="131" t="s">
        <v>67</v>
      </c>
      <c r="E129" s="131" t="s">
        <v>48</v>
      </c>
      <c r="F129" s="132" t="s">
        <v>65</v>
      </c>
    </row>
    <row r="130" spans="1:6" ht="15" x14ac:dyDescent="0.25">
      <c r="A130" s="127"/>
      <c r="B130" s="130">
        <v>127</v>
      </c>
      <c r="C130" s="131">
        <v>2005</v>
      </c>
      <c r="D130" s="131" t="s">
        <v>68</v>
      </c>
      <c r="E130" s="131" t="s">
        <v>51</v>
      </c>
      <c r="F130" s="132" t="s">
        <v>65</v>
      </c>
    </row>
    <row r="131" spans="1:6" ht="15" x14ac:dyDescent="0.25">
      <c r="A131" s="127"/>
      <c r="B131" s="130">
        <v>128</v>
      </c>
      <c r="C131" s="131">
        <v>2005</v>
      </c>
      <c r="D131" s="131" t="s">
        <v>69</v>
      </c>
      <c r="E131" s="131" t="s">
        <v>51</v>
      </c>
      <c r="F131" s="132" t="s">
        <v>65</v>
      </c>
    </row>
    <row r="132" spans="1:6" ht="15" x14ac:dyDescent="0.25">
      <c r="A132" s="127"/>
      <c r="B132" s="130">
        <v>129</v>
      </c>
      <c r="C132" s="131">
        <v>2005</v>
      </c>
      <c r="D132" s="131" t="s">
        <v>70</v>
      </c>
      <c r="E132" s="131" t="s">
        <v>48</v>
      </c>
      <c r="F132" s="132" t="s">
        <v>65</v>
      </c>
    </row>
    <row r="133" spans="1:6" ht="15" x14ac:dyDescent="0.25">
      <c r="A133" s="127"/>
      <c r="B133" s="130">
        <v>130</v>
      </c>
      <c r="C133" s="131">
        <v>2005</v>
      </c>
      <c r="D133" s="131" t="s">
        <v>97</v>
      </c>
      <c r="E133" s="131" t="s">
        <v>54</v>
      </c>
      <c r="F133" s="132" t="s">
        <v>65</v>
      </c>
    </row>
    <row r="134" spans="1:6" ht="15" x14ac:dyDescent="0.25">
      <c r="A134" s="127"/>
      <c r="B134" s="130">
        <v>131</v>
      </c>
      <c r="C134" s="131">
        <v>2005</v>
      </c>
      <c r="D134" s="131" t="s">
        <v>98</v>
      </c>
      <c r="E134" s="131" t="s">
        <v>54</v>
      </c>
      <c r="F134" s="132" t="s">
        <v>65</v>
      </c>
    </row>
    <row r="135" spans="1:6" ht="15" x14ac:dyDescent="0.25">
      <c r="A135" s="127"/>
      <c r="B135" s="130">
        <v>132</v>
      </c>
      <c r="C135" s="131">
        <v>2005</v>
      </c>
      <c r="D135" s="131" t="s">
        <v>99</v>
      </c>
      <c r="E135" s="131" t="str">
        <f ca="1">IFERROR(__xludf.DUMMYFUNCTION("IF(
  MAX(
    IFERROR(MAX(FILTER('REGISTRO PROD. v1'!F:F,'REGISTRO PROD. v1'!D:D=B135)),0),
    IFERROR(MAX(FILTER('REGISTRO PROD. v1'!W:W,'REGISTRO PROD. v1'!U:U=B135)),0),
    IFERROR(MAX(FILTER('REGISTRO PROD. v1'!AN:AN,'REGISTRO PROD. v1'!AL:AL=B135)"&amp;"),0),
    IFERROR(MAX(FILTER('REGISTRO PROD. v1'!BE:BE,'REGISTRO PROD. v1'!BC:BC=B135)),0),
    IFERROR(MAX(FILTER('REGISTRO PROD. v1'!BV:BV,'REGISTRO PROD. v1'!BT:BT=B135)),0)
  )=0,
  ""NO"",
  IF(
    MAX(
      IFERROR(MAX(FILTER('REGISTRO PROD. v1'!F"&amp;":F,'REGISTRO PROD. v1'!D:D=B135)),0),
      IFERROR(MAX(FILTER('REGISTRO PROD. v1'!W:W,'REGISTRO PROD. v1'!U:U=B135)),0),
      IFERROR(MAX(FILTER('REGISTRO PROD. v1'!AN:AN,'REGISTRO PROD. v1'!AL:AL=B135)),0),
      IFERROR(MAX(FILTER('REGISTRO PROD. v1'!"&amp;"BE:BE,'REGISTRO PROD. v1'!BC:BC=B135)),0),
      IFERROR(MAX(FILTER('REGISTRO PROD. v1'!BV:BV,'REGISTRO PROD. v1'!BT:BT=B135)),0)
    )&gt;=F135,
    ""SI"",
    ""EN PROCESO""
  )
)
"),"NO")</f>
        <v>NO</v>
      </c>
      <c r="F135" s="132" t="s">
        <v>65</v>
      </c>
    </row>
    <row r="136" spans="1:6" ht="15" x14ac:dyDescent="0.25">
      <c r="A136" s="127"/>
      <c r="B136" s="130">
        <v>133</v>
      </c>
      <c r="C136" s="131">
        <v>2005</v>
      </c>
      <c r="D136" s="131" t="s">
        <v>100</v>
      </c>
      <c r="E136" s="131" t="str">
        <f ca="1">IFERROR(__xludf.DUMMYFUNCTION("IF(
  MAX(
    IFERROR(MAX(FILTER('REGISTRO PROD. v1'!F:F,'REGISTRO PROD. v1'!D:D=B136)),0),
    IFERROR(MAX(FILTER('REGISTRO PROD. v1'!W:W,'REGISTRO PROD. v1'!U:U=B136)),0),
    IFERROR(MAX(FILTER('REGISTRO PROD. v1'!AN:AN,'REGISTRO PROD. v1'!AL:AL=B136)"&amp;"),0),
    IFERROR(MAX(FILTER('REGISTRO PROD. v1'!BE:BE,'REGISTRO PROD. v1'!BC:BC=B136)),0),
    IFERROR(MAX(FILTER('REGISTRO PROD. v1'!BV:BV,'REGISTRO PROD. v1'!BT:BT=B136)),0)
  )=0,
  ""NO"",
  IF(
    MAX(
      IFERROR(MAX(FILTER('REGISTRO PROD. v1'!F"&amp;":F,'REGISTRO PROD. v1'!D:D=B136)),0),
      IFERROR(MAX(FILTER('REGISTRO PROD. v1'!W:W,'REGISTRO PROD. v1'!U:U=B136)),0),
      IFERROR(MAX(FILTER('REGISTRO PROD. v1'!AN:AN,'REGISTRO PROD. v1'!AL:AL=B136)),0),
      IFERROR(MAX(FILTER('REGISTRO PROD. v1'!"&amp;"BE:BE,'REGISTRO PROD. v1'!BC:BC=B136)),0),
      IFERROR(MAX(FILTER('REGISTRO PROD. v1'!BV:BV,'REGISTRO PROD. v1'!BT:BT=B136)),0)
    )&gt;=F136,
    ""SI"",
    ""EN PROCESO""
  )
)
"),"NO")</f>
        <v>NO</v>
      </c>
      <c r="F136" s="132" t="s">
        <v>65</v>
      </c>
    </row>
    <row r="137" spans="1:6" ht="15" x14ac:dyDescent="0.25">
      <c r="A137" s="127"/>
      <c r="B137" s="130">
        <v>134</v>
      </c>
      <c r="C137" s="131">
        <v>2005</v>
      </c>
      <c r="D137" s="131" t="s">
        <v>101</v>
      </c>
      <c r="E137" s="131" t="s">
        <v>54</v>
      </c>
      <c r="F137" s="132" t="s">
        <v>65</v>
      </c>
    </row>
    <row r="138" spans="1:6" ht="15" x14ac:dyDescent="0.25">
      <c r="A138" s="127"/>
      <c r="B138" s="130">
        <v>135</v>
      </c>
      <c r="C138" s="131">
        <v>2005</v>
      </c>
      <c r="D138" s="131" t="s">
        <v>102</v>
      </c>
      <c r="E138" s="131" t="str">
        <f ca="1">IFERROR(__xludf.DUMMYFUNCTION("IF(
  MAX(
    IFERROR(MAX(FILTER('REGISTRO PROD. v1'!F:F,'REGISTRO PROD. v1'!D:D=B138)),0),
    IFERROR(MAX(FILTER('REGISTRO PROD. v1'!W:W,'REGISTRO PROD. v1'!U:U=B138)),0),
    IFERROR(MAX(FILTER('REGISTRO PROD. v1'!AN:AN,'REGISTRO PROD. v1'!AL:AL=B138)"&amp;"),0),
    IFERROR(MAX(FILTER('REGISTRO PROD. v1'!BE:BE,'REGISTRO PROD. v1'!BC:BC=B138)),0),
    IFERROR(MAX(FILTER('REGISTRO PROD. v1'!BV:BV,'REGISTRO PROD. v1'!BT:BT=B138)),0)
  )=0,
  ""NO"",
  IF(
    MAX(
      IFERROR(MAX(FILTER('REGISTRO PROD. v1'!F"&amp;":F,'REGISTRO PROD. v1'!D:D=B138)),0),
      IFERROR(MAX(FILTER('REGISTRO PROD. v1'!W:W,'REGISTRO PROD. v1'!U:U=B138)),0),
      IFERROR(MAX(FILTER('REGISTRO PROD. v1'!AN:AN,'REGISTRO PROD. v1'!AL:AL=B138)),0),
      IFERROR(MAX(FILTER('REGISTRO PROD. v1'!"&amp;"BE:BE,'REGISTRO PROD. v1'!BC:BC=B138)),0),
      IFERROR(MAX(FILTER('REGISTRO PROD. v1'!BV:BV,'REGISTRO PROD. v1'!BT:BT=B138)),0)
    )&gt;=F138,
    ""SI"",
    ""EN PROCESO""
  )
)
"),"SI")</f>
        <v>SI</v>
      </c>
      <c r="F138" s="132" t="s">
        <v>65</v>
      </c>
    </row>
    <row r="139" spans="1:6" ht="15" x14ac:dyDescent="0.25">
      <c r="A139" s="127"/>
      <c r="B139" s="130">
        <v>136</v>
      </c>
      <c r="C139" s="131">
        <v>2005</v>
      </c>
      <c r="D139" s="131" t="s">
        <v>103</v>
      </c>
      <c r="E139" s="131" t="s">
        <v>54</v>
      </c>
      <c r="F139" s="132" t="s">
        <v>65</v>
      </c>
    </row>
    <row r="140" spans="1:6" ht="15" x14ac:dyDescent="0.25">
      <c r="A140" s="127"/>
      <c r="B140" s="130">
        <v>137</v>
      </c>
      <c r="C140" s="131">
        <v>2005</v>
      </c>
      <c r="D140" s="131" t="s">
        <v>104</v>
      </c>
      <c r="E140" s="131" t="str">
        <f ca="1">IFERROR(__xludf.DUMMYFUNCTION("IF(
  MAX(
    IFERROR(MAX(FILTER('REGISTRO PROD. v1'!F:F,'REGISTRO PROD. v1'!D:D=B140)),0),
    IFERROR(MAX(FILTER('REGISTRO PROD. v1'!W:W,'REGISTRO PROD. v1'!U:U=B140)),0),
    IFERROR(MAX(FILTER('REGISTRO PROD. v1'!AN:AN,'REGISTRO PROD. v1'!AL:AL=B140)"&amp;"),0),
    IFERROR(MAX(FILTER('REGISTRO PROD. v1'!BE:BE,'REGISTRO PROD. v1'!BC:BC=B140)),0),
    IFERROR(MAX(FILTER('REGISTRO PROD. v1'!BV:BV,'REGISTRO PROD. v1'!BT:BT=B140)),0)
  )=0,
  ""NO"",
  IF(
    MAX(
      IFERROR(MAX(FILTER('REGISTRO PROD. v1'!F"&amp;":F,'REGISTRO PROD. v1'!D:D=B140)),0),
      IFERROR(MAX(FILTER('REGISTRO PROD. v1'!W:W,'REGISTRO PROD. v1'!U:U=B140)),0),
      IFERROR(MAX(FILTER('REGISTRO PROD. v1'!AN:AN,'REGISTRO PROD. v1'!AL:AL=B140)),0),
      IFERROR(MAX(FILTER('REGISTRO PROD. v1'!"&amp;"BE:BE,'REGISTRO PROD. v1'!BC:BC=B140)),0),
      IFERROR(MAX(FILTER('REGISTRO PROD. v1'!BV:BV,'REGISTRO PROD. v1'!BT:BT=B140)),0)
    )&gt;=F140,
    ""SI"",
    ""EN PROCESO""
  )
)
"),"NO")</f>
        <v>NO</v>
      </c>
      <c r="F140" s="132" t="s">
        <v>65</v>
      </c>
    </row>
    <row r="141" spans="1:6" ht="15" x14ac:dyDescent="0.25">
      <c r="A141" s="127"/>
      <c r="B141" s="130">
        <v>138</v>
      </c>
      <c r="C141" s="131">
        <v>2005</v>
      </c>
      <c r="D141" s="131" t="s">
        <v>105</v>
      </c>
      <c r="E141" s="131" t="str">
        <f ca="1">IFERROR(__xludf.DUMMYFUNCTION("IF(
  MAX(
    IFERROR(MAX(FILTER('REGISTRO PROD. v1'!F:F,'REGISTRO PROD. v1'!D:D=B141)),0),
    IFERROR(MAX(FILTER('REGISTRO PROD. v1'!W:W,'REGISTRO PROD. v1'!U:U=B141)),0),
    IFERROR(MAX(FILTER('REGISTRO PROD. v1'!AN:AN,'REGISTRO PROD. v1'!AL:AL=B141)"&amp;"),0),
    IFERROR(MAX(FILTER('REGISTRO PROD. v1'!BE:BE,'REGISTRO PROD. v1'!BC:BC=B141)),0),
    IFERROR(MAX(FILTER('REGISTRO PROD. v1'!BV:BV,'REGISTRO PROD. v1'!BT:BT=B141)),0)
  )=0,
  ""NO"",
  IF(
    MAX(
      IFERROR(MAX(FILTER('REGISTRO PROD. v1'!F"&amp;":F,'REGISTRO PROD. v1'!D:D=B141)),0),
      IFERROR(MAX(FILTER('REGISTRO PROD. v1'!W:W,'REGISTRO PROD. v1'!U:U=B141)),0),
      IFERROR(MAX(FILTER('REGISTRO PROD. v1'!AN:AN,'REGISTRO PROD. v1'!AL:AL=B141)),0),
      IFERROR(MAX(FILTER('REGISTRO PROD. v1'!"&amp;"BE:BE,'REGISTRO PROD. v1'!BC:BC=B141)),0),
      IFERROR(MAX(FILTER('REGISTRO PROD. v1'!BV:BV,'REGISTRO PROD. v1'!BT:BT=B141)),0)
    )&gt;=F141,
    ""SI"",
    ""EN PROCESO""
  )
)
"),"NO")</f>
        <v>NO</v>
      </c>
      <c r="F141" s="132" t="s">
        <v>65</v>
      </c>
    </row>
    <row r="142" spans="1:6" ht="15" x14ac:dyDescent="0.25">
      <c r="A142" s="127"/>
      <c r="B142" s="130">
        <v>139</v>
      </c>
      <c r="C142" s="131">
        <v>2005</v>
      </c>
      <c r="D142" s="131" t="s">
        <v>106</v>
      </c>
      <c r="E142" s="131" t="str">
        <f ca="1">IFERROR(__xludf.DUMMYFUNCTION("IF(
  MAX(
    IFERROR(MAX(FILTER('REGISTRO PROD. v1'!F:F,'REGISTRO PROD. v1'!D:D=B142)),0),
    IFERROR(MAX(FILTER('REGISTRO PROD. v1'!W:W,'REGISTRO PROD. v1'!U:U=B142)),0),
    IFERROR(MAX(FILTER('REGISTRO PROD. v1'!AN:AN,'REGISTRO PROD. v1'!AL:AL=B142)"&amp;"),0),
    IFERROR(MAX(FILTER('REGISTRO PROD. v1'!BE:BE,'REGISTRO PROD. v1'!BC:BC=B142)),0),
    IFERROR(MAX(FILTER('REGISTRO PROD. v1'!BV:BV,'REGISTRO PROD. v1'!BT:BT=B142)),0)
  )=0,
  ""NO"",
  IF(
    MAX(
      IFERROR(MAX(FILTER('REGISTRO PROD. v1'!F"&amp;":F,'REGISTRO PROD. v1'!D:D=B142)),0),
      IFERROR(MAX(FILTER('REGISTRO PROD. v1'!W:W,'REGISTRO PROD. v1'!U:U=B142)),0),
      IFERROR(MAX(FILTER('REGISTRO PROD. v1'!AN:AN,'REGISTRO PROD. v1'!AL:AL=B142)),0),
      IFERROR(MAX(FILTER('REGISTRO PROD. v1'!"&amp;"BE:BE,'REGISTRO PROD. v1'!BC:BC=B142)),0),
      IFERROR(MAX(FILTER('REGISTRO PROD. v1'!BV:BV,'REGISTRO PROD. v1'!BT:BT=B142)),0)
    )&gt;=F142,
    ""SI"",
    ""EN PROCESO""
  )
)
"),"NO")</f>
        <v>NO</v>
      </c>
      <c r="F142" s="132" t="s">
        <v>65</v>
      </c>
    </row>
    <row r="143" spans="1:6" ht="15" x14ac:dyDescent="0.25">
      <c r="A143" s="127"/>
      <c r="B143" s="130">
        <v>140</v>
      </c>
      <c r="C143" s="131">
        <v>2005</v>
      </c>
      <c r="D143" s="131" t="s">
        <v>107</v>
      </c>
      <c r="E143" s="131" t="s">
        <v>51</v>
      </c>
      <c r="F143" s="132" t="s">
        <v>65</v>
      </c>
    </row>
    <row r="144" spans="1:6" ht="15" x14ac:dyDescent="0.25">
      <c r="A144" s="127"/>
      <c r="B144" s="130">
        <v>141</v>
      </c>
      <c r="C144" s="131">
        <v>2005</v>
      </c>
      <c r="D144" s="131" t="s">
        <v>108</v>
      </c>
      <c r="E144" s="131" t="s">
        <v>54</v>
      </c>
      <c r="F144" s="132" t="s">
        <v>65</v>
      </c>
    </row>
    <row r="145" spans="1:6" ht="15" x14ac:dyDescent="0.25">
      <c r="A145" s="127"/>
      <c r="B145" s="130">
        <v>142</v>
      </c>
      <c r="C145" s="131">
        <v>2005</v>
      </c>
      <c r="D145" s="131" t="s">
        <v>109</v>
      </c>
      <c r="E145" s="131" t="str">
        <f ca="1">IFERROR(__xludf.DUMMYFUNCTION("IF(
  MAX(
    IFERROR(MAX(FILTER('REGISTRO PROD. v1'!F:F,'REGISTRO PROD. v1'!D:D=B145)),0),
    IFERROR(MAX(FILTER('REGISTRO PROD. v1'!W:W,'REGISTRO PROD. v1'!U:U=B145)),0),
    IFERROR(MAX(FILTER('REGISTRO PROD. v1'!AN:AN,'REGISTRO PROD. v1'!AL:AL=B145)"&amp;"),0),
    IFERROR(MAX(FILTER('REGISTRO PROD. v1'!BE:BE,'REGISTRO PROD. v1'!BC:BC=B145)),0),
    IFERROR(MAX(FILTER('REGISTRO PROD. v1'!BV:BV,'REGISTRO PROD. v1'!BT:BT=B145)),0)
  )=0,
  ""NO"",
  IF(
    MAX(
      IFERROR(MAX(FILTER('REGISTRO PROD. v1'!F"&amp;":F,'REGISTRO PROD. v1'!D:D=B145)),0),
      IFERROR(MAX(FILTER('REGISTRO PROD. v1'!W:W,'REGISTRO PROD. v1'!U:U=B145)),0),
      IFERROR(MAX(FILTER('REGISTRO PROD. v1'!AN:AN,'REGISTRO PROD. v1'!AL:AL=B145)),0),
      IFERROR(MAX(FILTER('REGISTRO PROD. v1'!"&amp;"BE:BE,'REGISTRO PROD. v1'!BC:BC=B145)),0),
      IFERROR(MAX(FILTER('REGISTRO PROD. v1'!BV:BV,'REGISTRO PROD. v1'!BT:BT=B145)),0)
    )&gt;=F145,
    ""SI"",
    ""EN PROCESO""
  )
)
"),"NO")</f>
        <v>NO</v>
      </c>
      <c r="F145" s="132" t="s">
        <v>65</v>
      </c>
    </row>
    <row r="146" spans="1:6" ht="15" x14ac:dyDescent="0.25">
      <c r="A146" s="127"/>
      <c r="B146" s="130">
        <v>143</v>
      </c>
      <c r="C146" s="131">
        <v>2005</v>
      </c>
      <c r="D146" s="131" t="s">
        <v>110</v>
      </c>
      <c r="E146" s="131" t="str">
        <f ca="1">IFERROR(__xludf.DUMMYFUNCTION("IF(
  MAX(
    IFERROR(MAX(FILTER('REGISTRO PROD. v1'!F:F,'REGISTRO PROD. v1'!D:D=B146)),0),
    IFERROR(MAX(FILTER('REGISTRO PROD. v1'!W:W,'REGISTRO PROD. v1'!U:U=B146)),0),
    IFERROR(MAX(FILTER('REGISTRO PROD. v1'!AN:AN,'REGISTRO PROD. v1'!AL:AL=B146)"&amp;"),0),
    IFERROR(MAX(FILTER('REGISTRO PROD. v1'!BE:BE,'REGISTRO PROD. v1'!BC:BC=B146)),0),
    IFERROR(MAX(FILTER('REGISTRO PROD. v1'!BV:BV,'REGISTRO PROD. v1'!BT:BT=B146)),0)
  )=0,
  ""NO"",
  IF(
    MAX(
      IFERROR(MAX(FILTER('REGISTRO PROD. v1'!F"&amp;":F,'REGISTRO PROD. v1'!D:D=B146)),0),
      IFERROR(MAX(FILTER('REGISTRO PROD. v1'!W:W,'REGISTRO PROD. v1'!U:U=B146)),0),
      IFERROR(MAX(FILTER('REGISTRO PROD. v1'!AN:AN,'REGISTRO PROD. v1'!AL:AL=B146)),0),
      IFERROR(MAX(FILTER('REGISTRO PROD. v1'!"&amp;"BE:BE,'REGISTRO PROD. v1'!BC:BC=B146)),0),
      IFERROR(MAX(FILTER('REGISTRO PROD. v1'!BV:BV,'REGISTRO PROD. v1'!BT:BT=B146)),0)
    )&gt;=F146,
    ""SI"",
    ""EN PROCESO""
  )
)
"),"NO")</f>
        <v>NO</v>
      </c>
      <c r="F146" s="132" t="s">
        <v>65</v>
      </c>
    </row>
    <row r="147" spans="1:6" ht="15" x14ac:dyDescent="0.25">
      <c r="A147" s="127"/>
      <c r="B147" s="130">
        <v>144</v>
      </c>
      <c r="C147" s="131">
        <v>2005</v>
      </c>
      <c r="D147" s="131" t="s">
        <v>111</v>
      </c>
      <c r="E147" s="131" t="str">
        <f ca="1">IFERROR(__xludf.DUMMYFUNCTION("IF(
  MAX(
    IFERROR(MAX(FILTER('REGISTRO PROD. v1'!F:F,'REGISTRO PROD. v1'!D:D=B147)),0),
    IFERROR(MAX(FILTER('REGISTRO PROD. v1'!W:W,'REGISTRO PROD. v1'!U:U=B147)),0),
    IFERROR(MAX(FILTER('REGISTRO PROD. v1'!AN:AN,'REGISTRO PROD. v1'!AL:AL=B147)"&amp;"),0),
    IFERROR(MAX(FILTER('REGISTRO PROD. v1'!BE:BE,'REGISTRO PROD. v1'!BC:BC=B147)),0),
    IFERROR(MAX(FILTER('REGISTRO PROD. v1'!BV:BV,'REGISTRO PROD. v1'!BT:BT=B147)),0)
  )=0,
  ""NO"",
  IF(
    MAX(
      IFERROR(MAX(FILTER('REGISTRO PROD. v1'!F"&amp;":F,'REGISTRO PROD. v1'!D:D=B147)),0),
      IFERROR(MAX(FILTER('REGISTRO PROD. v1'!W:W,'REGISTRO PROD. v1'!U:U=B147)),0),
      IFERROR(MAX(FILTER('REGISTRO PROD. v1'!AN:AN,'REGISTRO PROD. v1'!AL:AL=B147)),0),
      IFERROR(MAX(FILTER('REGISTRO PROD. v1'!"&amp;"BE:BE,'REGISTRO PROD. v1'!BC:BC=B147)),0),
      IFERROR(MAX(FILTER('REGISTRO PROD. v1'!BV:BV,'REGISTRO PROD. v1'!BT:BT=B147)),0)
    )&gt;=F147,
    ""SI"",
    ""EN PROCESO""
  )
)
"),"NO")</f>
        <v>NO</v>
      </c>
      <c r="F147" s="132" t="s">
        <v>65</v>
      </c>
    </row>
    <row r="148" spans="1:6" ht="15" x14ac:dyDescent="0.25">
      <c r="A148" s="127"/>
      <c r="B148" s="130">
        <v>145</v>
      </c>
      <c r="C148" s="131">
        <v>2005</v>
      </c>
      <c r="D148" s="131" t="s">
        <v>112</v>
      </c>
      <c r="E148" s="131" t="str">
        <f ca="1">IFERROR(__xludf.DUMMYFUNCTION("IF(
  MAX(
    IFERROR(MAX(FILTER('REGISTRO PROD. v1'!F:F,'REGISTRO PROD. v1'!D:D=B148)),0),
    IFERROR(MAX(FILTER('REGISTRO PROD. v1'!W:W,'REGISTRO PROD. v1'!U:U=B148)),0),
    IFERROR(MAX(FILTER('REGISTRO PROD. v1'!AN:AN,'REGISTRO PROD. v1'!AL:AL=B148)"&amp;"),0),
    IFERROR(MAX(FILTER('REGISTRO PROD. v1'!BE:BE,'REGISTRO PROD. v1'!BC:BC=B148)),0),
    IFERROR(MAX(FILTER('REGISTRO PROD. v1'!BV:BV,'REGISTRO PROD. v1'!BT:BT=B148)),0)
  )=0,
  ""NO"",
  IF(
    MAX(
      IFERROR(MAX(FILTER('REGISTRO PROD. v1'!F"&amp;":F,'REGISTRO PROD. v1'!D:D=B148)),0),
      IFERROR(MAX(FILTER('REGISTRO PROD. v1'!W:W,'REGISTRO PROD. v1'!U:U=B148)),0),
      IFERROR(MAX(FILTER('REGISTRO PROD. v1'!AN:AN,'REGISTRO PROD. v1'!AL:AL=B148)),0),
      IFERROR(MAX(FILTER('REGISTRO PROD. v1'!"&amp;"BE:BE,'REGISTRO PROD. v1'!BC:BC=B148)),0),
      IFERROR(MAX(FILTER('REGISTRO PROD. v1'!BV:BV,'REGISTRO PROD. v1'!BT:BT=B148)),0)
    )&gt;=F148,
    ""SI"",
    ""EN PROCESO""
  )
)
"),"NO")</f>
        <v>NO</v>
      </c>
      <c r="F148" s="132" t="s">
        <v>65</v>
      </c>
    </row>
    <row r="149" spans="1:6" ht="15" x14ac:dyDescent="0.25">
      <c r="A149" s="127"/>
      <c r="B149" s="130">
        <v>146</v>
      </c>
      <c r="C149" s="131">
        <v>2005</v>
      </c>
      <c r="D149" s="131" t="s">
        <v>113</v>
      </c>
      <c r="E149" s="131" t="str">
        <f ca="1">IFERROR(__xludf.DUMMYFUNCTION("IF(
  MAX(
    IFERROR(MAX(FILTER('REGISTRO PROD. v1'!F:F,'REGISTRO PROD. v1'!D:D=B149)),0),
    IFERROR(MAX(FILTER('REGISTRO PROD. v1'!W:W,'REGISTRO PROD. v1'!U:U=B149)),0),
    IFERROR(MAX(FILTER('REGISTRO PROD. v1'!AN:AN,'REGISTRO PROD. v1'!AL:AL=B149)"&amp;"),0),
    IFERROR(MAX(FILTER('REGISTRO PROD. v1'!BE:BE,'REGISTRO PROD. v1'!BC:BC=B149)),0),
    IFERROR(MAX(FILTER('REGISTRO PROD. v1'!BV:BV,'REGISTRO PROD. v1'!BT:BT=B149)),0)
  )=0,
  ""NO"",
  IF(
    MAX(
      IFERROR(MAX(FILTER('REGISTRO PROD. v1'!F"&amp;":F,'REGISTRO PROD. v1'!D:D=B149)),0),
      IFERROR(MAX(FILTER('REGISTRO PROD. v1'!W:W,'REGISTRO PROD. v1'!U:U=B149)),0),
      IFERROR(MAX(FILTER('REGISTRO PROD. v1'!AN:AN,'REGISTRO PROD. v1'!AL:AL=B149)),0),
      IFERROR(MAX(FILTER('REGISTRO PROD. v1'!"&amp;"BE:BE,'REGISTRO PROD. v1'!BC:BC=B149)),0),
      IFERROR(MAX(FILTER('REGISTRO PROD. v1'!BV:BV,'REGISTRO PROD. v1'!BT:BT=B149)),0)
    )&gt;=F149,
    ""SI"",
    ""EN PROCESO""
  )
)
"),"NO")</f>
        <v>NO</v>
      </c>
      <c r="F149" s="132" t="s">
        <v>65</v>
      </c>
    </row>
    <row r="150" spans="1:6" ht="15" x14ac:dyDescent="0.25">
      <c r="A150" s="127"/>
      <c r="B150" s="130">
        <v>147</v>
      </c>
      <c r="C150" s="131">
        <v>2006</v>
      </c>
      <c r="D150" s="131" t="s">
        <v>114</v>
      </c>
      <c r="E150" s="131" t="str">
        <f ca="1">IFERROR(__xludf.DUMMYFUNCTION("IF(
  MAX(
    IFERROR(MAX(FILTER('REGISTRO PROD. v1'!F:F,'REGISTRO PROD. v1'!D:D=B150)),0),
    IFERROR(MAX(FILTER('REGISTRO PROD. v1'!W:W,'REGISTRO PROD. v1'!U:U=B150)),0),
    IFERROR(MAX(FILTER('REGISTRO PROD. v1'!AN:AN,'REGISTRO PROD. v1'!AL:AL=B150)"&amp;"),0),
    IFERROR(MAX(FILTER('REGISTRO PROD. v1'!BE:BE,'REGISTRO PROD. v1'!BC:BC=B150)),0),
    IFERROR(MAX(FILTER('REGISTRO PROD. v1'!BV:BV,'REGISTRO PROD. v1'!BT:BT=B150)),0)
  )=0,
  ""NO"",
  IF(
    MAX(
      IFERROR(MAX(FILTER('REGISTRO PROD. v1'!F"&amp;":F,'REGISTRO PROD. v1'!D:D=B150)),0),
      IFERROR(MAX(FILTER('REGISTRO PROD. v1'!W:W,'REGISTRO PROD. v1'!U:U=B150)),0),
      IFERROR(MAX(FILTER('REGISTRO PROD. v1'!AN:AN,'REGISTRO PROD. v1'!AL:AL=B150)),0),
      IFERROR(MAX(FILTER('REGISTRO PROD. v1'!"&amp;"BE:BE,'REGISTRO PROD. v1'!BC:BC=B150)),0),
      IFERROR(MAX(FILTER('REGISTRO PROD. v1'!BV:BV,'REGISTRO PROD. v1'!BT:BT=B150)),0)
    )&gt;=F150,
    ""SI"",
    ""EN PROCESO""
  )
)
"),"NO")</f>
        <v>NO</v>
      </c>
      <c r="F150" s="132" t="s">
        <v>65</v>
      </c>
    </row>
    <row r="151" spans="1:6" ht="15" x14ac:dyDescent="0.25">
      <c r="A151" s="127"/>
      <c r="B151" s="130">
        <v>148</v>
      </c>
      <c r="C151" s="131">
        <v>2006</v>
      </c>
      <c r="D151" s="131" t="s">
        <v>115</v>
      </c>
      <c r="E151" s="131" t="str">
        <f ca="1">IFERROR(__xludf.DUMMYFUNCTION("IF(
  MAX(
    IFERROR(MAX(FILTER('REGISTRO PROD. v1'!F:F,'REGISTRO PROD. v1'!D:D=B151)),0),
    IFERROR(MAX(FILTER('REGISTRO PROD. v1'!W:W,'REGISTRO PROD. v1'!U:U=B151)),0),
    IFERROR(MAX(FILTER('REGISTRO PROD. v1'!AN:AN,'REGISTRO PROD. v1'!AL:AL=B151)"&amp;"),0),
    IFERROR(MAX(FILTER('REGISTRO PROD. v1'!BE:BE,'REGISTRO PROD. v1'!BC:BC=B151)),0),
    IFERROR(MAX(FILTER('REGISTRO PROD. v1'!BV:BV,'REGISTRO PROD. v1'!BT:BT=B151)),0)
  )=0,
  ""NO"",
  IF(
    MAX(
      IFERROR(MAX(FILTER('REGISTRO PROD. v1'!F"&amp;":F,'REGISTRO PROD. v1'!D:D=B151)),0),
      IFERROR(MAX(FILTER('REGISTRO PROD. v1'!W:W,'REGISTRO PROD. v1'!U:U=B151)),0),
      IFERROR(MAX(FILTER('REGISTRO PROD. v1'!AN:AN,'REGISTRO PROD. v1'!AL:AL=B151)),0),
      IFERROR(MAX(FILTER('REGISTRO PROD. v1'!"&amp;"BE:BE,'REGISTRO PROD. v1'!BC:BC=B151)),0),
      IFERROR(MAX(FILTER('REGISTRO PROD. v1'!BV:BV,'REGISTRO PROD. v1'!BT:BT=B151)),0)
    )&gt;=F151,
    ""SI"",
    ""EN PROCESO""
  )
)
"),"NO")</f>
        <v>NO</v>
      </c>
      <c r="F151" s="132" t="s">
        <v>65</v>
      </c>
    </row>
    <row r="152" spans="1:6" ht="15" x14ac:dyDescent="0.25">
      <c r="A152" s="127"/>
      <c r="B152" s="130">
        <v>149</v>
      </c>
      <c r="C152" s="131">
        <v>2006</v>
      </c>
      <c r="D152" s="131" t="s">
        <v>116</v>
      </c>
      <c r="E152" s="131" t="str">
        <f ca="1">IFERROR(__xludf.DUMMYFUNCTION("IF(
  MAX(
    IFERROR(MAX(FILTER('REGISTRO PROD. v1'!F:F,'REGISTRO PROD. v1'!D:D=B152)),0),
    IFERROR(MAX(FILTER('REGISTRO PROD. v1'!W:W,'REGISTRO PROD. v1'!U:U=B152)),0),
    IFERROR(MAX(FILTER('REGISTRO PROD. v1'!AN:AN,'REGISTRO PROD. v1'!AL:AL=B152)"&amp;"),0),
    IFERROR(MAX(FILTER('REGISTRO PROD. v1'!BE:BE,'REGISTRO PROD. v1'!BC:BC=B152)),0),
    IFERROR(MAX(FILTER('REGISTRO PROD. v1'!BV:BV,'REGISTRO PROD. v1'!BT:BT=B152)),0)
  )=0,
  ""NO"",
  IF(
    MAX(
      IFERROR(MAX(FILTER('REGISTRO PROD. v1'!F"&amp;":F,'REGISTRO PROD. v1'!D:D=B152)),0),
      IFERROR(MAX(FILTER('REGISTRO PROD. v1'!W:W,'REGISTRO PROD. v1'!U:U=B152)),0),
      IFERROR(MAX(FILTER('REGISTRO PROD. v1'!AN:AN,'REGISTRO PROD. v1'!AL:AL=B152)),0),
      IFERROR(MAX(FILTER('REGISTRO PROD. v1'!"&amp;"BE:BE,'REGISTRO PROD. v1'!BC:BC=B152)),0),
      IFERROR(MAX(FILTER('REGISTRO PROD. v1'!BV:BV,'REGISTRO PROD. v1'!BT:BT=B152)),0)
    )&gt;=F152,
    ""SI"",
    ""EN PROCESO""
  )
)
"),"NO")</f>
        <v>NO</v>
      </c>
      <c r="F152" s="132" t="s">
        <v>65</v>
      </c>
    </row>
    <row r="153" spans="1:6" ht="15" x14ac:dyDescent="0.25">
      <c r="A153" s="127"/>
      <c r="B153" s="130">
        <v>150</v>
      </c>
      <c r="C153" s="131">
        <v>2006</v>
      </c>
      <c r="D153" s="131" t="s">
        <v>117</v>
      </c>
      <c r="E153" s="131" t="str">
        <f ca="1">IFERROR(__xludf.DUMMYFUNCTION("IF(
  MAX(
    IFERROR(MAX(FILTER('REGISTRO PROD. v1'!F:F,'REGISTRO PROD. v1'!D:D=B153)),0),
    IFERROR(MAX(FILTER('REGISTRO PROD. v1'!W:W,'REGISTRO PROD. v1'!U:U=B153)),0),
    IFERROR(MAX(FILTER('REGISTRO PROD. v1'!AN:AN,'REGISTRO PROD. v1'!AL:AL=B153)"&amp;"),0),
    IFERROR(MAX(FILTER('REGISTRO PROD. v1'!BE:BE,'REGISTRO PROD. v1'!BC:BC=B153)),0),
    IFERROR(MAX(FILTER('REGISTRO PROD. v1'!BV:BV,'REGISTRO PROD. v1'!BT:BT=B153)),0)
  )=0,
  ""NO"",
  IF(
    MAX(
      IFERROR(MAX(FILTER('REGISTRO PROD. v1'!F"&amp;":F,'REGISTRO PROD. v1'!D:D=B153)),0),
      IFERROR(MAX(FILTER('REGISTRO PROD. v1'!W:W,'REGISTRO PROD. v1'!U:U=B153)),0),
      IFERROR(MAX(FILTER('REGISTRO PROD. v1'!AN:AN,'REGISTRO PROD. v1'!AL:AL=B153)),0),
      IFERROR(MAX(FILTER('REGISTRO PROD. v1'!"&amp;"BE:BE,'REGISTRO PROD. v1'!BC:BC=B153)),0),
      IFERROR(MAX(FILTER('REGISTRO PROD. v1'!BV:BV,'REGISTRO PROD. v1'!BT:BT=B153)),0)
    )&gt;=F153,
    ""SI"",
    ""EN PROCESO""
  )
)
"),"NO")</f>
        <v>NO</v>
      </c>
      <c r="F153" s="132" t="s">
        <v>65</v>
      </c>
    </row>
    <row r="154" spans="1:6" ht="15" x14ac:dyDescent="0.25">
      <c r="A154" s="127"/>
      <c r="B154" s="130">
        <v>151</v>
      </c>
      <c r="C154" s="131">
        <v>2006</v>
      </c>
      <c r="D154" s="131" t="s">
        <v>118</v>
      </c>
      <c r="E154" s="131" t="str">
        <f ca="1">IFERROR(__xludf.DUMMYFUNCTION("IF(
  MAX(
    IFERROR(MAX(FILTER('REGISTRO PROD. v1'!F:F,'REGISTRO PROD. v1'!D:D=B154)),0),
    IFERROR(MAX(FILTER('REGISTRO PROD. v1'!W:W,'REGISTRO PROD. v1'!U:U=B154)),0),
    IFERROR(MAX(FILTER('REGISTRO PROD. v1'!AN:AN,'REGISTRO PROD. v1'!AL:AL=B154)"&amp;"),0),
    IFERROR(MAX(FILTER('REGISTRO PROD. v1'!BE:BE,'REGISTRO PROD. v1'!BC:BC=B154)),0),
    IFERROR(MAX(FILTER('REGISTRO PROD. v1'!BV:BV,'REGISTRO PROD. v1'!BT:BT=B154)),0)
  )=0,
  ""NO"",
  IF(
    MAX(
      IFERROR(MAX(FILTER('REGISTRO PROD. v1'!F"&amp;":F,'REGISTRO PROD. v1'!D:D=B154)),0),
      IFERROR(MAX(FILTER('REGISTRO PROD. v1'!W:W,'REGISTRO PROD. v1'!U:U=B154)),0),
      IFERROR(MAX(FILTER('REGISTRO PROD. v1'!AN:AN,'REGISTRO PROD. v1'!AL:AL=B154)),0),
      IFERROR(MAX(FILTER('REGISTRO PROD. v1'!"&amp;"BE:BE,'REGISTRO PROD. v1'!BC:BC=B154)),0),
      IFERROR(MAX(FILTER('REGISTRO PROD. v1'!BV:BV,'REGISTRO PROD. v1'!BT:BT=B154)),0)
    )&gt;=F154,
    ""SI"",
    ""EN PROCESO""
  )
)
"),"NO")</f>
        <v>NO</v>
      </c>
      <c r="F154" s="132" t="s">
        <v>65</v>
      </c>
    </row>
    <row r="155" spans="1:6" ht="15" x14ac:dyDescent="0.25">
      <c r="A155" s="127"/>
      <c r="B155" s="130">
        <v>152</v>
      </c>
      <c r="C155" s="131">
        <v>2006</v>
      </c>
      <c r="D155" s="131" t="s">
        <v>119</v>
      </c>
      <c r="E155" s="131" t="str">
        <f ca="1">IFERROR(__xludf.DUMMYFUNCTION("IF(
  MAX(
    IFERROR(MAX(FILTER('REGISTRO PROD. v1'!F:F,'REGISTRO PROD. v1'!D:D=B155)),0),
    IFERROR(MAX(FILTER('REGISTRO PROD. v1'!W:W,'REGISTRO PROD. v1'!U:U=B155)),0),
    IFERROR(MAX(FILTER('REGISTRO PROD. v1'!AN:AN,'REGISTRO PROD. v1'!AL:AL=B155)"&amp;"),0),
    IFERROR(MAX(FILTER('REGISTRO PROD. v1'!BE:BE,'REGISTRO PROD. v1'!BC:BC=B155)),0),
    IFERROR(MAX(FILTER('REGISTRO PROD. v1'!BV:BV,'REGISTRO PROD. v1'!BT:BT=B155)),0)
  )=0,
  ""NO"",
  IF(
    MAX(
      IFERROR(MAX(FILTER('REGISTRO PROD. v1'!F"&amp;":F,'REGISTRO PROD. v1'!D:D=B155)),0),
      IFERROR(MAX(FILTER('REGISTRO PROD. v1'!W:W,'REGISTRO PROD. v1'!U:U=B155)),0),
      IFERROR(MAX(FILTER('REGISTRO PROD. v1'!AN:AN,'REGISTRO PROD. v1'!AL:AL=B155)),0),
      IFERROR(MAX(FILTER('REGISTRO PROD. v1'!"&amp;"BE:BE,'REGISTRO PROD. v1'!BC:BC=B155)),0),
      IFERROR(MAX(FILTER('REGISTRO PROD. v1'!BV:BV,'REGISTRO PROD. v1'!BT:BT=B155)),0)
    )&gt;=F155,
    ""SI"",
    ""EN PROCESO""
  )
)
"),"NO")</f>
        <v>NO</v>
      </c>
      <c r="F155" s="132" t="s">
        <v>65</v>
      </c>
    </row>
    <row r="156" spans="1:6" ht="15" x14ac:dyDescent="0.25">
      <c r="A156" s="127"/>
      <c r="B156" s="130">
        <v>153</v>
      </c>
      <c r="C156" s="131">
        <v>2006</v>
      </c>
      <c r="D156" s="131" t="s">
        <v>121</v>
      </c>
      <c r="E156" s="131" t="str">
        <f ca="1">IFERROR(__xludf.DUMMYFUNCTION("IF(
  MAX(
    IFERROR(MAX(FILTER('REGISTRO PROD. v1'!F:F,'REGISTRO PROD. v1'!D:D=B156)),0),
    IFERROR(MAX(FILTER('REGISTRO PROD. v1'!W:W,'REGISTRO PROD. v1'!U:U=B156)),0),
    IFERROR(MAX(FILTER('REGISTRO PROD. v1'!AN:AN,'REGISTRO PROD. v1'!AL:AL=B156)"&amp;"),0),
    IFERROR(MAX(FILTER('REGISTRO PROD. v1'!BE:BE,'REGISTRO PROD. v1'!BC:BC=B156)),0),
    IFERROR(MAX(FILTER('REGISTRO PROD. v1'!BV:BV,'REGISTRO PROD. v1'!BT:BT=B156)),0)
  )=0,
  ""NO"",
  IF(
    MAX(
      IFERROR(MAX(FILTER('REGISTRO PROD. v1'!F"&amp;":F,'REGISTRO PROD. v1'!D:D=B156)),0),
      IFERROR(MAX(FILTER('REGISTRO PROD. v1'!W:W,'REGISTRO PROD. v1'!U:U=B156)),0),
      IFERROR(MAX(FILTER('REGISTRO PROD. v1'!AN:AN,'REGISTRO PROD. v1'!AL:AL=B156)),0),
      IFERROR(MAX(FILTER('REGISTRO PROD. v1'!"&amp;"BE:BE,'REGISTRO PROD. v1'!BC:BC=B156)),0),
      IFERROR(MAX(FILTER('REGISTRO PROD. v1'!BV:BV,'REGISTRO PROD. v1'!BT:BT=B156)),0)
    )&gt;=F156,
    ""SI"",
    ""EN PROCESO""
  )
)
"),"SI")</f>
        <v>SI</v>
      </c>
      <c r="F156" s="132" t="s">
        <v>65</v>
      </c>
    </row>
    <row r="157" spans="1:6" ht="15" x14ac:dyDescent="0.25">
      <c r="A157" s="127"/>
      <c r="B157" s="130">
        <v>154</v>
      </c>
      <c r="C157" s="131">
        <v>2006</v>
      </c>
      <c r="D157" s="131" t="s">
        <v>122</v>
      </c>
      <c r="E157" s="131" t="str">
        <f ca="1">IFERROR(__xludf.DUMMYFUNCTION("IF(
  MAX(
    IFERROR(MAX(FILTER('REGISTRO PROD. v1'!F:F,'REGISTRO PROD. v1'!D:D=B157)),0),
    IFERROR(MAX(FILTER('REGISTRO PROD. v1'!W:W,'REGISTRO PROD. v1'!U:U=B157)),0),
    IFERROR(MAX(FILTER('REGISTRO PROD. v1'!AN:AN,'REGISTRO PROD. v1'!AL:AL=B157)"&amp;"),0),
    IFERROR(MAX(FILTER('REGISTRO PROD. v1'!BE:BE,'REGISTRO PROD. v1'!BC:BC=B157)),0),
    IFERROR(MAX(FILTER('REGISTRO PROD. v1'!BV:BV,'REGISTRO PROD. v1'!BT:BT=B157)),0)
  )=0,
  ""NO"",
  IF(
    MAX(
      IFERROR(MAX(FILTER('REGISTRO PROD. v1'!F"&amp;":F,'REGISTRO PROD. v1'!D:D=B157)),0),
      IFERROR(MAX(FILTER('REGISTRO PROD. v1'!W:W,'REGISTRO PROD. v1'!U:U=B157)),0),
      IFERROR(MAX(FILTER('REGISTRO PROD. v1'!AN:AN,'REGISTRO PROD. v1'!AL:AL=B157)),0),
      IFERROR(MAX(FILTER('REGISTRO PROD. v1'!"&amp;"BE:BE,'REGISTRO PROD. v1'!BC:BC=B157)),0),
      IFERROR(MAX(FILTER('REGISTRO PROD. v1'!BV:BV,'REGISTRO PROD. v1'!BT:BT=B157)),0)
    )&gt;=F157,
    ""SI"",
    ""EN PROCESO""
  )
)
"),"NO")</f>
        <v>NO</v>
      </c>
      <c r="F157" s="132" t="s">
        <v>65</v>
      </c>
    </row>
    <row r="158" spans="1:6" ht="15" x14ac:dyDescent="0.25">
      <c r="A158" s="127"/>
      <c r="B158" s="130">
        <v>155</v>
      </c>
      <c r="C158" s="131">
        <v>2006</v>
      </c>
      <c r="D158" s="131" t="s">
        <v>123</v>
      </c>
      <c r="E158" s="131" t="str">
        <f ca="1">IFERROR(__xludf.DUMMYFUNCTION("IF(
  MAX(
    IFERROR(MAX(FILTER('REGISTRO PROD. v1'!F:F,'REGISTRO PROD. v1'!D:D=B158)),0),
    IFERROR(MAX(FILTER('REGISTRO PROD. v1'!W:W,'REGISTRO PROD. v1'!U:U=B158)),0),
    IFERROR(MAX(FILTER('REGISTRO PROD. v1'!AN:AN,'REGISTRO PROD. v1'!AL:AL=B158)"&amp;"),0),
    IFERROR(MAX(FILTER('REGISTRO PROD. v1'!BE:BE,'REGISTRO PROD. v1'!BC:BC=B158)),0),
    IFERROR(MAX(FILTER('REGISTRO PROD. v1'!BV:BV,'REGISTRO PROD. v1'!BT:BT=B158)),0)
  )=0,
  ""NO"",
  IF(
    MAX(
      IFERROR(MAX(FILTER('REGISTRO PROD. v1'!F"&amp;":F,'REGISTRO PROD. v1'!D:D=B158)),0),
      IFERROR(MAX(FILTER('REGISTRO PROD. v1'!W:W,'REGISTRO PROD. v1'!U:U=B158)),0),
      IFERROR(MAX(FILTER('REGISTRO PROD. v1'!AN:AN,'REGISTRO PROD. v1'!AL:AL=B158)),0),
      IFERROR(MAX(FILTER('REGISTRO PROD. v1'!"&amp;"BE:BE,'REGISTRO PROD. v1'!BC:BC=B158)),0),
      IFERROR(MAX(FILTER('REGISTRO PROD. v1'!BV:BV,'REGISTRO PROD. v1'!BT:BT=B158)),0)
    )&gt;=F158,
    ""SI"",
    ""EN PROCESO""
  )
)
"),"NO")</f>
        <v>NO</v>
      </c>
      <c r="F158" s="132" t="s">
        <v>65</v>
      </c>
    </row>
    <row r="159" spans="1:6" ht="15" x14ac:dyDescent="0.25">
      <c r="A159" s="127"/>
      <c r="B159" s="130">
        <v>156</v>
      </c>
      <c r="C159" s="131">
        <v>2006</v>
      </c>
      <c r="D159" s="131" t="s">
        <v>124</v>
      </c>
      <c r="E159" s="131" t="str">
        <f ca="1">IFERROR(__xludf.DUMMYFUNCTION("IF(
  MAX(
    IFERROR(MAX(FILTER('REGISTRO PROD. v1'!F:F,'REGISTRO PROD. v1'!D:D=B159)),0),
    IFERROR(MAX(FILTER('REGISTRO PROD. v1'!W:W,'REGISTRO PROD. v1'!U:U=B159)),0),
    IFERROR(MAX(FILTER('REGISTRO PROD. v1'!AN:AN,'REGISTRO PROD. v1'!AL:AL=B159)"&amp;"),0),
    IFERROR(MAX(FILTER('REGISTRO PROD. v1'!BE:BE,'REGISTRO PROD. v1'!BC:BC=B159)),0),
    IFERROR(MAX(FILTER('REGISTRO PROD. v1'!BV:BV,'REGISTRO PROD. v1'!BT:BT=B159)),0)
  )=0,
  ""NO"",
  IF(
    MAX(
      IFERROR(MAX(FILTER('REGISTRO PROD. v1'!F"&amp;":F,'REGISTRO PROD. v1'!D:D=B159)),0),
      IFERROR(MAX(FILTER('REGISTRO PROD. v1'!W:W,'REGISTRO PROD. v1'!U:U=B159)),0),
      IFERROR(MAX(FILTER('REGISTRO PROD. v1'!AN:AN,'REGISTRO PROD. v1'!AL:AL=B159)),0),
      IFERROR(MAX(FILTER('REGISTRO PROD. v1'!"&amp;"BE:BE,'REGISTRO PROD. v1'!BC:BC=B159)),0),
      IFERROR(MAX(FILTER('REGISTRO PROD. v1'!BV:BV,'REGISTRO PROD. v1'!BT:BT=B159)),0)
    )&gt;=F159,
    ""SI"",
    ""EN PROCESO""
  )
)
"),"NO")</f>
        <v>NO</v>
      </c>
      <c r="F159" s="132" t="s">
        <v>65</v>
      </c>
    </row>
    <row r="160" spans="1:6" ht="15" x14ac:dyDescent="0.25">
      <c r="A160" s="127"/>
      <c r="B160" s="130">
        <v>157</v>
      </c>
      <c r="C160" s="131">
        <v>2006</v>
      </c>
      <c r="D160" s="131" t="s">
        <v>125</v>
      </c>
      <c r="E160" s="131" t="str">
        <f ca="1">IFERROR(__xludf.DUMMYFUNCTION("IF(
  MAX(
    IFERROR(MAX(FILTER('REGISTRO PROD. v1'!F:F,'REGISTRO PROD. v1'!D:D=B160)),0),
    IFERROR(MAX(FILTER('REGISTRO PROD. v1'!W:W,'REGISTRO PROD. v1'!U:U=B160)),0),
    IFERROR(MAX(FILTER('REGISTRO PROD. v1'!AN:AN,'REGISTRO PROD. v1'!AL:AL=B160)"&amp;"),0),
    IFERROR(MAX(FILTER('REGISTRO PROD. v1'!BE:BE,'REGISTRO PROD. v1'!BC:BC=B160)),0),
    IFERROR(MAX(FILTER('REGISTRO PROD. v1'!BV:BV,'REGISTRO PROD. v1'!BT:BT=B160)),0)
  )=0,
  ""NO"",
  IF(
    MAX(
      IFERROR(MAX(FILTER('REGISTRO PROD. v1'!F"&amp;":F,'REGISTRO PROD. v1'!D:D=B160)),0),
      IFERROR(MAX(FILTER('REGISTRO PROD. v1'!W:W,'REGISTRO PROD. v1'!U:U=B160)),0),
      IFERROR(MAX(FILTER('REGISTRO PROD. v1'!AN:AN,'REGISTRO PROD. v1'!AL:AL=B160)),0),
      IFERROR(MAX(FILTER('REGISTRO PROD. v1'!"&amp;"BE:BE,'REGISTRO PROD. v1'!BC:BC=B160)),0),
      IFERROR(MAX(FILTER('REGISTRO PROD. v1'!BV:BV,'REGISTRO PROD. v1'!BT:BT=B160)),0)
    )&gt;=F160,
    ""SI"",
    ""EN PROCESO""
  )
)
"),"NO")</f>
        <v>NO</v>
      </c>
      <c r="F160" s="132" t="s">
        <v>65</v>
      </c>
    </row>
    <row r="161" spans="1:6" ht="15" x14ac:dyDescent="0.25">
      <c r="A161" s="127"/>
      <c r="B161" s="130">
        <v>158</v>
      </c>
      <c r="C161" s="131">
        <v>2006</v>
      </c>
      <c r="D161" s="131" t="s">
        <v>126</v>
      </c>
      <c r="E161" s="131" t="str">
        <f ca="1">IFERROR(__xludf.DUMMYFUNCTION("IF(
  MAX(
    IFERROR(MAX(FILTER('REGISTRO PROD. v1'!F:F,'REGISTRO PROD. v1'!D:D=B161)),0),
    IFERROR(MAX(FILTER('REGISTRO PROD. v1'!W:W,'REGISTRO PROD. v1'!U:U=B161)),0),
    IFERROR(MAX(FILTER('REGISTRO PROD. v1'!AN:AN,'REGISTRO PROD. v1'!AL:AL=B161)"&amp;"),0),
    IFERROR(MAX(FILTER('REGISTRO PROD. v1'!BE:BE,'REGISTRO PROD. v1'!BC:BC=B161)),0),
    IFERROR(MAX(FILTER('REGISTRO PROD. v1'!BV:BV,'REGISTRO PROD. v1'!BT:BT=B161)),0)
  )=0,
  ""NO"",
  IF(
    MAX(
      IFERROR(MAX(FILTER('REGISTRO PROD. v1'!F"&amp;":F,'REGISTRO PROD. v1'!D:D=B161)),0),
      IFERROR(MAX(FILTER('REGISTRO PROD. v1'!W:W,'REGISTRO PROD. v1'!U:U=B161)),0),
      IFERROR(MAX(FILTER('REGISTRO PROD. v1'!AN:AN,'REGISTRO PROD. v1'!AL:AL=B161)),0),
      IFERROR(MAX(FILTER('REGISTRO PROD. v1'!"&amp;"BE:BE,'REGISTRO PROD. v1'!BC:BC=B161)),0),
      IFERROR(MAX(FILTER('REGISTRO PROD. v1'!BV:BV,'REGISTRO PROD. v1'!BT:BT=B161)),0)
    )&gt;=F161,
    ""SI"",
    ""EN PROCESO""
  )
)
"),"NO")</f>
        <v>NO</v>
      </c>
      <c r="F161" s="132" t="s">
        <v>65</v>
      </c>
    </row>
    <row r="162" spans="1:6" ht="15" x14ac:dyDescent="0.25">
      <c r="A162" s="127"/>
      <c r="B162" s="130">
        <v>159</v>
      </c>
      <c r="C162" s="131">
        <v>2006</v>
      </c>
      <c r="D162" s="131" t="s">
        <v>128</v>
      </c>
      <c r="E162" s="131" t="str">
        <f ca="1">IFERROR(__xludf.DUMMYFUNCTION("IF(
  MAX(
    IFERROR(MAX(FILTER('REGISTRO PROD. v1'!F:F,'REGISTRO PROD. v1'!D:D=B162)),0),
    IFERROR(MAX(FILTER('REGISTRO PROD. v1'!W:W,'REGISTRO PROD. v1'!U:U=B162)),0),
    IFERROR(MAX(FILTER('REGISTRO PROD. v1'!AN:AN,'REGISTRO PROD. v1'!AL:AL=B162)"&amp;"),0),
    IFERROR(MAX(FILTER('REGISTRO PROD. v1'!BE:BE,'REGISTRO PROD. v1'!BC:BC=B162)),0),
    IFERROR(MAX(FILTER('REGISTRO PROD. v1'!BV:BV,'REGISTRO PROD. v1'!BT:BT=B162)),0)
  )=0,
  ""NO"",
  IF(
    MAX(
      IFERROR(MAX(FILTER('REGISTRO PROD. v1'!F"&amp;":F,'REGISTRO PROD. v1'!D:D=B162)),0),
      IFERROR(MAX(FILTER('REGISTRO PROD. v1'!W:W,'REGISTRO PROD. v1'!U:U=B162)),0),
      IFERROR(MAX(FILTER('REGISTRO PROD. v1'!AN:AN,'REGISTRO PROD. v1'!AL:AL=B162)),0),
      IFERROR(MAX(FILTER('REGISTRO PROD. v1'!"&amp;"BE:BE,'REGISTRO PROD. v1'!BC:BC=B162)),0),
      IFERROR(MAX(FILTER('REGISTRO PROD. v1'!BV:BV,'REGISTRO PROD. v1'!BT:BT=B162)),0)
    )&gt;=F162,
    ""SI"",
    ""EN PROCESO""
  )
)
"),"NO")</f>
        <v>NO</v>
      </c>
      <c r="F162" s="132" t="s">
        <v>65</v>
      </c>
    </row>
    <row r="163" spans="1:6" ht="15" x14ac:dyDescent="0.25">
      <c r="A163" s="127"/>
      <c r="B163" s="130">
        <v>160</v>
      </c>
      <c r="C163" s="131">
        <v>2006</v>
      </c>
      <c r="D163" s="131" t="s">
        <v>129</v>
      </c>
      <c r="E163" s="131" t="str">
        <f ca="1">IFERROR(__xludf.DUMMYFUNCTION("IF(
  MAX(
    IFERROR(MAX(FILTER('REGISTRO PROD. v1'!F:F,'REGISTRO PROD. v1'!D:D=B163)),0),
    IFERROR(MAX(FILTER('REGISTRO PROD. v1'!W:W,'REGISTRO PROD. v1'!U:U=B163)),0),
    IFERROR(MAX(FILTER('REGISTRO PROD. v1'!AN:AN,'REGISTRO PROD. v1'!AL:AL=B163)"&amp;"),0),
    IFERROR(MAX(FILTER('REGISTRO PROD. v1'!BE:BE,'REGISTRO PROD. v1'!BC:BC=B163)),0),
    IFERROR(MAX(FILTER('REGISTRO PROD. v1'!BV:BV,'REGISTRO PROD. v1'!BT:BT=B163)),0)
  )=0,
  ""NO"",
  IF(
    MAX(
      IFERROR(MAX(FILTER('REGISTRO PROD. v1'!F"&amp;":F,'REGISTRO PROD. v1'!D:D=B163)),0),
      IFERROR(MAX(FILTER('REGISTRO PROD. v1'!W:W,'REGISTRO PROD. v1'!U:U=B163)),0),
      IFERROR(MAX(FILTER('REGISTRO PROD. v1'!AN:AN,'REGISTRO PROD. v1'!AL:AL=B163)),0),
      IFERROR(MAX(FILTER('REGISTRO PROD. v1'!"&amp;"BE:BE,'REGISTRO PROD. v1'!BC:BC=B163)),0),
      IFERROR(MAX(FILTER('REGISTRO PROD. v1'!BV:BV,'REGISTRO PROD. v1'!BT:BT=B163)),0)
    )&gt;=F163,
    ""SI"",
    ""EN PROCESO""
  )
)
"),"NO")</f>
        <v>NO</v>
      </c>
      <c r="F163" s="132" t="s">
        <v>65</v>
      </c>
    </row>
    <row r="164" spans="1:6" ht="15" x14ac:dyDescent="0.25">
      <c r="A164" s="127"/>
      <c r="B164" s="130">
        <v>161</v>
      </c>
      <c r="C164" s="131">
        <v>2006</v>
      </c>
      <c r="D164" s="131" t="s">
        <v>130</v>
      </c>
      <c r="E164" s="131" t="str">
        <f ca="1">IFERROR(__xludf.DUMMYFUNCTION("IF(
  MAX(
    IFERROR(MAX(FILTER('REGISTRO PROD. v1'!F:F,'REGISTRO PROD. v1'!D:D=B164)),0),
    IFERROR(MAX(FILTER('REGISTRO PROD. v1'!W:W,'REGISTRO PROD. v1'!U:U=B164)),0),
    IFERROR(MAX(FILTER('REGISTRO PROD. v1'!AN:AN,'REGISTRO PROD. v1'!AL:AL=B164)"&amp;"),0),
    IFERROR(MAX(FILTER('REGISTRO PROD. v1'!BE:BE,'REGISTRO PROD. v1'!BC:BC=B164)),0),
    IFERROR(MAX(FILTER('REGISTRO PROD. v1'!BV:BV,'REGISTRO PROD. v1'!BT:BT=B164)),0)
  )=0,
  ""NO"",
  IF(
    MAX(
      IFERROR(MAX(FILTER('REGISTRO PROD. v1'!F"&amp;":F,'REGISTRO PROD. v1'!D:D=B164)),0),
      IFERROR(MAX(FILTER('REGISTRO PROD. v1'!W:W,'REGISTRO PROD. v1'!U:U=B164)),0),
      IFERROR(MAX(FILTER('REGISTRO PROD. v1'!AN:AN,'REGISTRO PROD. v1'!AL:AL=B164)),0),
      IFERROR(MAX(FILTER('REGISTRO PROD. v1'!"&amp;"BE:BE,'REGISTRO PROD. v1'!BC:BC=B164)),0),
      IFERROR(MAX(FILTER('REGISTRO PROD. v1'!BV:BV,'REGISTRO PROD. v1'!BT:BT=B164)),0)
    )&gt;=F164,
    ""SI"",
    ""EN PROCESO""
  )
)
"),"NO")</f>
        <v>NO</v>
      </c>
      <c r="F164" s="132" t="s">
        <v>65</v>
      </c>
    </row>
    <row r="165" spans="1:6" ht="15" x14ac:dyDescent="0.25">
      <c r="A165" s="127"/>
      <c r="B165" s="130">
        <v>162</v>
      </c>
      <c r="C165" s="131">
        <v>2006</v>
      </c>
      <c r="D165" s="131" t="s">
        <v>131</v>
      </c>
      <c r="E165" s="131" t="str">
        <f ca="1">IFERROR(__xludf.DUMMYFUNCTION("IF(
  MAX(
    IFERROR(MAX(FILTER('REGISTRO PROD. v1'!F:F,'REGISTRO PROD. v1'!D:D=B165)),0),
    IFERROR(MAX(FILTER('REGISTRO PROD. v1'!W:W,'REGISTRO PROD. v1'!U:U=B165)),0),
    IFERROR(MAX(FILTER('REGISTRO PROD. v1'!AN:AN,'REGISTRO PROD. v1'!AL:AL=B165)"&amp;"),0),
    IFERROR(MAX(FILTER('REGISTRO PROD. v1'!BE:BE,'REGISTRO PROD. v1'!BC:BC=B165)),0),
    IFERROR(MAX(FILTER('REGISTRO PROD. v1'!BV:BV,'REGISTRO PROD. v1'!BT:BT=B165)),0)
  )=0,
  ""NO"",
  IF(
    MAX(
      IFERROR(MAX(FILTER('REGISTRO PROD. v1'!F"&amp;":F,'REGISTRO PROD. v1'!D:D=B165)),0),
      IFERROR(MAX(FILTER('REGISTRO PROD. v1'!W:W,'REGISTRO PROD. v1'!U:U=B165)),0),
      IFERROR(MAX(FILTER('REGISTRO PROD. v1'!AN:AN,'REGISTRO PROD. v1'!AL:AL=B165)),0),
      IFERROR(MAX(FILTER('REGISTRO PROD. v1'!"&amp;"BE:BE,'REGISTRO PROD. v1'!BC:BC=B165)),0),
      IFERROR(MAX(FILTER('REGISTRO PROD. v1'!BV:BV,'REGISTRO PROD. v1'!BT:BT=B165)),0)
    )&gt;=F165,
    ""SI"",
    ""EN PROCESO""
  )
)
"),"NO")</f>
        <v>NO</v>
      </c>
      <c r="F165" s="132" t="s">
        <v>65</v>
      </c>
    </row>
    <row r="166" spans="1:6" ht="15" x14ac:dyDescent="0.25">
      <c r="A166" s="127"/>
      <c r="B166" s="130">
        <v>163</v>
      </c>
      <c r="C166" s="131">
        <v>2006</v>
      </c>
      <c r="D166" s="131" t="s">
        <v>132</v>
      </c>
      <c r="E166" s="131" t="str">
        <f ca="1">IFERROR(__xludf.DUMMYFUNCTION("IF(
  MAX(
    IFERROR(MAX(FILTER('REGISTRO PROD. v1'!F:F,'REGISTRO PROD. v1'!D:D=B166)),0),
    IFERROR(MAX(FILTER('REGISTRO PROD. v1'!W:W,'REGISTRO PROD. v1'!U:U=B166)),0),
    IFERROR(MAX(FILTER('REGISTRO PROD. v1'!AN:AN,'REGISTRO PROD. v1'!AL:AL=B166)"&amp;"),0),
    IFERROR(MAX(FILTER('REGISTRO PROD. v1'!BE:BE,'REGISTRO PROD. v1'!BC:BC=B166)),0),
    IFERROR(MAX(FILTER('REGISTRO PROD. v1'!BV:BV,'REGISTRO PROD. v1'!BT:BT=B166)),0)
  )=0,
  ""NO"",
  IF(
    MAX(
      IFERROR(MAX(FILTER('REGISTRO PROD. v1'!F"&amp;":F,'REGISTRO PROD. v1'!D:D=B166)),0),
      IFERROR(MAX(FILTER('REGISTRO PROD. v1'!W:W,'REGISTRO PROD. v1'!U:U=B166)),0),
      IFERROR(MAX(FILTER('REGISTRO PROD. v1'!AN:AN,'REGISTRO PROD. v1'!AL:AL=B166)),0),
      IFERROR(MAX(FILTER('REGISTRO PROD. v1'!"&amp;"BE:BE,'REGISTRO PROD. v1'!BC:BC=B166)),0),
      IFERROR(MAX(FILTER('REGISTRO PROD. v1'!BV:BV,'REGISTRO PROD. v1'!BT:BT=B166)),0)
    )&gt;=F166,
    ""SI"",
    ""EN PROCESO""
  )
)
"),"NO")</f>
        <v>NO</v>
      </c>
      <c r="F166" s="132" t="s">
        <v>65</v>
      </c>
    </row>
    <row r="167" spans="1:6" ht="15" x14ac:dyDescent="0.25">
      <c r="A167" s="127"/>
      <c r="B167" s="130">
        <v>164</v>
      </c>
      <c r="C167" s="131">
        <v>2006</v>
      </c>
      <c r="D167" s="131" t="s">
        <v>133</v>
      </c>
      <c r="E167" s="131" t="str">
        <f ca="1">IFERROR(__xludf.DUMMYFUNCTION("IF(
  MAX(
    IFERROR(MAX(FILTER('REGISTRO PROD. v1'!F:F,'REGISTRO PROD. v1'!D:D=B167)),0),
    IFERROR(MAX(FILTER('REGISTRO PROD. v1'!W:W,'REGISTRO PROD. v1'!U:U=B167)),0),
    IFERROR(MAX(FILTER('REGISTRO PROD. v1'!AN:AN,'REGISTRO PROD. v1'!AL:AL=B167)"&amp;"),0),
    IFERROR(MAX(FILTER('REGISTRO PROD. v1'!BE:BE,'REGISTRO PROD. v1'!BC:BC=B167)),0),
    IFERROR(MAX(FILTER('REGISTRO PROD. v1'!BV:BV,'REGISTRO PROD. v1'!BT:BT=B167)),0)
  )=0,
  ""NO"",
  IF(
    MAX(
      IFERROR(MAX(FILTER('REGISTRO PROD. v1'!F"&amp;":F,'REGISTRO PROD. v1'!D:D=B167)),0),
      IFERROR(MAX(FILTER('REGISTRO PROD. v1'!W:W,'REGISTRO PROD. v1'!U:U=B167)),0),
      IFERROR(MAX(FILTER('REGISTRO PROD. v1'!AN:AN,'REGISTRO PROD. v1'!AL:AL=B167)),0),
      IFERROR(MAX(FILTER('REGISTRO PROD. v1'!"&amp;"BE:BE,'REGISTRO PROD. v1'!BC:BC=B167)),0),
      IFERROR(MAX(FILTER('REGISTRO PROD. v1'!BV:BV,'REGISTRO PROD. v1'!BT:BT=B167)),0)
    )&gt;=F167,
    ""SI"",
    ""EN PROCESO""
  )
)
"),"NO")</f>
        <v>NO</v>
      </c>
      <c r="F167" s="132" t="s">
        <v>65</v>
      </c>
    </row>
    <row r="168" spans="1:6" ht="15" x14ac:dyDescent="0.25">
      <c r="A168" s="127"/>
      <c r="B168" s="130">
        <v>165</v>
      </c>
      <c r="C168" s="131">
        <v>2006</v>
      </c>
      <c r="D168" s="131" t="s">
        <v>134</v>
      </c>
      <c r="E168" s="131" t="str">
        <f ca="1">IFERROR(__xludf.DUMMYFUNCTION("IF(
  MAX(
    IFERROR(MAX(FILTER('REGISTRO PROD. v1'!F:F,'REGISTRO PROD. v1'!D:D=B168)),0),
    IFERROR(MAX(FILTER('REGISTRO PROD. v1'!W:W,'REGISTRO PROD. v1'!U:U=B168)),0),
    IFERROR(MAX(FILTER('REGISTRO PROD. v1'!AN:AN,'REGISTRO PROD. v1'!AL:AL=B168)"&amp;"),0),
    IFERROR(MAX(FILTER('REGISTRO PROD. v1'!BE:BE,'REGISTRO PROD. v1'!BC:BC=B168)),0),
    IFERROR(MAX(FILTER('REGISTRO PROD. v1'!BV:BV,'REGISTRO PROD. v1'!BT:BT=B168)),0)
  )=0,
  ""NO"",
  IF(
    MAX(
      IFERROR(MAX(FILTER('REGISTRO PROD. v1'!F"&amp;":F,'REGISTRO PROD. v1'!D:D=B168)),0),
      IFERROR(MAX(FILTER('REGISTRO PROD. v1'!W:W,'REGISTRO PROD. v1'!U:U=B168)),0),
      IFERROR(MAX(FILTER('REGISTRO PROD. v1'!AN:AN,'REGISTRO PROD. v1'!AL:AL=B168)),0),
      IFERROR(MAX(FILTER('REGISTRO PROD. v1'!"&amp;"BE:BE,'REGISTRO PROD. v1'!BC:BC=B168)),0),
      IFERROR(MAX(FILTER('REGISTRO PROD. v1'!BV:BV,'REGISTRO PROD. v1'!BT:BT=B168)),0)
    )&gt;=F168,
    ""SI"",
    ""EN PROCESO""
  )
)
"),"NO")</f>
        <v>NO</v>
      </c>
      <c r="F168" s="132" t="s">
        <v>65</v>
      </c>
    </row>
    <row r="169" spans="1:6" ht="15" x14ac:dyDescent="0.25">
      <c r="A169" s="127"/>
      <c r="B169" s="130">
        <v>166</v>
      </c>
      <c r="C169" s="131">
        <v>2006</v>
      </c>
      <c r="D169" s="131" t="s">
        <v>135</v>
      </c>
      <c r="E169" s="131" t="str">
        <f ca="1">IFERROR(__xludf.DUMMYFUNCTION("IF(
  MAX(
    IFERROR(MAX(FILTER('REGISTRO PROD. v1'!F:F,'REGISTRO PROD. v1'!D:D=B169)),0),
    IFERROR(MAX(FILTER('REGISTRO PROD. v1'!W:W,'REGISTRO PROD. v1'!U:U=B169)),0),
    IFERROR(MAX(FILTER('REGISTRO PROD. v1'!AN:AN,'REGISTRO PROD. v1'!AL:AL=B169)"&amp;"),0),
    IFERROR(MAX(FILTER('REGISTRO PROD. v1'!BE:BE,'REGISTRO PROD. v1'!BC:BC=B169)),0),
    IFERROR(MAX(FILTER('REGISTRO PROD. v1'!BV:BV,'REGISTRO PROD. v1'!BT:BT=B169)),0)
  )=0,
  ""NO"",
  IF(
    MAX(
      IFERROR(MAX(FILTER('REGISTRO PROD. v1'!F"&amp;":F,'REGISTRO PROD. v1'!D:D=B169)),0),
      IFERROR(MAX(FILTER('REGISTRO PROD. v1'!W:W,'REGISTRO PROD. v1'!U:U=B169)),0),
      IFERROR(MAX(FILTER('REGISTRO PROD. v1'!AN:AN,'REGISTRO PROD. v1'!AL:AL=B169)),0),
      IFERROR(MAX(FILTER('REGISTRO PROD. v1'!"&amp;"BE:BE,'REGISTRO PROD. v1'!BC:BC=B169)),0),
      IFERROR(MAX(FILTER('REGISTRO PROD. v1'!BV:BV,'REGISTRO PROD. v1'!BT:BT=B169)),0)
    )&gt;=F169,
    ""SI"",
    ""EN PROCESO""
  )
)
"),"NO")</f>
        <v>NO</v>
      </c>
      <c r="F169" s="132" t="s">
        <v>65</v>
      </c>
    </row>
    <row r="170" spans="1:6" ht="15" x14ac:dyDescent="0.25">
      <c r="A170" s="127"/>
      <c r="B170" s="130">
        <v>167</v>
      </c>
      <c r="C170" s="131">
        <v>2006</v>
      </c>
      <c r="D170" s="131" t="s">
        <v>136</v>
      </c>
      <c r="E170" s="131" t="str">
        <f ca="1">IFERROR(__xludf.DUMMYFUNCTION("IF(
  MAX(
    IFERROR(MAX(FILTER('REGISTRO PROD. v1'!F:F,'REGISTRO PROD. v1'!D:D=B170)),0),
    IFERROR(MAX(FILTER('REGISTRO PROD. v1'!W:W,'REGISTRO PROD. v1'!U:U=B170)),0),
    IFERROR(MAX(FILTER('REGISTRO PROD. v1'!AN:AN,'REGISTRO PROD. v1'!AL:AL=B170)"&amp;"),0),
    IFERROR(MAX(FILTER('REGISTRO PROD. v1'!BE:BE,'REGISTRO PROD. v1'!BC:BC=B170)),0),
    IFERROR(MAX(FILTER('REGISTRO PROD. v1'!BV:BV,'REGISTRO PROD. v1'!BT:BT=B170)),0)
  )=0,
  ""NO"",
  IF(
    MAX(
      IFERROR(MAX(FILTER('REGISTRO PROD. v1'!F"&amp;":F,'REGISTRO PROD. v1'!D:D=B170)),0),
      IFERROR(MAX(FILTER('REGISTRO PROD. v1'!W:W,'REGISTRO PROD. v1'!U:U=B170)),0),
      IFERROR(MAX(FILTER('REGISTRO PROD. v1'!AN:AN,'REGISTRO PROD. v1'!AL:AL=B170)),0),
      IFERROR(MAX(FILTER('REGISTRO PROD. v1'!"&amp;"BE:BE,'REGISTRO PROD. v1'!BC:BC=B170)),0),
      IFERROR(MAX(FILTER('REGISTRO PROD. v1'!BV:BV,'REGISTRO PROD. v1'!BT:BT=B170)),0)
    )&gt;=F170,
    ""SI"",
    ""EN PROCESO""
  )
)
"),"NO")</f>
        <v>NO</v>
      </c>
      <c r="F170" s="132" t="s">
        <v>65</v>
      </c>
    </row>
    <row r="171" spans="1:6" ht="15" x14ac:dyDescent="0.25">
      <c r="A171" s="127"/>
      <c r="B171" s="130">
        <v>168</v>
      </c>
      <c r="C171" s="131">
        <v>2006</v>
      </c>
      <c r="D171" s="131" t="s">
        <v>137</v>
      </c>
      <c r="E171" s="131" t="str">
        <f ca="1">IFERROR(__xludf.DUMMYFUNCTION("IF(
  MAX(
    IFERROR(MAX(FILTER('REGISTRO PROD. v1'!F:F,'REGISTRO PROD. v1'!D:D=B171)),0),
    IFERROR(MAX(FILTER('REGISTRO PROD. v1'!W:W,'REGISTRO PROD. v1'!U:U=B171)),0),
    IFERROR(MAX(FILTER('REGISTRO PROD. v1'!AN:AN,'REGISTRO PROD. v1'!AL:AL=B171)"&amp;"),0),
    IFERROR(MAX(FILTER('REGISTRO PROD. v1'!BE:BE,'REGISTRO PROD. v1'!BC:BC=B171)),0),
    IFERROR(MAX(FILTER('REGISTRO PROD. v1'!BV:BV,'REGISTRO PROD. v1'!BT:BT=B171)),0)
  )=0,
  ""NO"",
  IF(
    MAX(
      IFERROR(MAX(FILTER('REGISTRO PROD. v1'!F"&amp;":F,'REGISTRO PROD. v1'!D:D=B171)),0),
      IFERROR(MAX(FILTER('REGISTRO PROD. v1'!W:W,'REGISTRO PROD. v1'!U:U=B171)),0),
      IFERROR(MAX(FILTER('REGISTRO PROD. v1'!AN:AN,'REGISTRO PROD. v1'!AL:AL=B171)),0),
      IFERROR(MAX(FILTER('REGISTRO PROD. v1'!"&amp;"BE:BE,'REGISTRO PROD. v1'!BC:BC=B171)),0),
      IFERROR(MAX(FILTER('REGISTRO PROD. v1'!BV:BV,'REGISTRO PROD. v1'!BT:BT=B171)),0)
    )&gt;=F171,
    ""SI"",
    ""EN PROCESO""
  )
)
"),"NO")</f>
        <v>NO</v>
      </c>
      <c r="F171" s="132" t="s">
        <v>65</v>
      </c>
    </row>
    <row r="172" spans="1:6" ht="15" x14ac:dyDescent="0.25">
      <c r="A172" s="127"/>
      <c r="B172" s="130">
        <v>169</v>
      </c>
      <c r="C172" s="131">
        <v>2006</v>
      </c>
      <c r="D172" s="131" t="s">
        <v>138</v>
      </c>
      <c r="E172" s="131" t="str">
        <f ca="1">IFERROR(__xludf.DUMMYFUNCTION("IF(
  MAX(
    IFERROR(MAX(FILTER('REGISTRO PROD. v1'!F:F,'REGISTRO PROD. v1'!D:D=B172)),0),
    IFERROR(MAX(FILTER('REGISTRO PROD. v1'!W:W,'REGISTRO PROD. v1'!U:U=B172)),0),
    IFERROR(MAX(FILTER('REGISTRO PROD. v1'!AN:AN,'REGISTRO PROD. v1'!AL:AL=B172)"&amp;"),0),
    IFERROR(MAX(FILTER('REGISTRO PROD. v1'!BE:BE,'REGISTRO PROD. v1'!BC:BC=B172)),0),
    IFERROR(MAX(FILTER('REGISTRO PROD. v1'!BV:BV,'REGISTRO PROD. v1'!BT:BT=B172)),0)
  )=0,
  ""NO"",
  IF(
    MAX(
      IFERROR(MAX(FILTER('REGISTRO PROD. v1'!F"&amp;":F,'REGISTRO PROD. v1'!D:D=B172)),0),
      IFERROR(MAX(FILTER('REGISTRO PROD. v1'!W:W,'REGISTRO PROD. v1'!U:U=B172)),0),
      IFERROR(MAX(FILTER('REGISTRO PROD. v1'!AN:AN,'REGISTRO PROD. v1'!AL:AL=B172)),0),
      IFERROR(MAX(FILTER('REGISTRO PROD. v1'!"&amp;"BE:BE,'REGISTRO PROD. v1'!BC:BC=B172)),0),
      IFERROR(MAX(FILTER('REGISTRO PROD. v1'!BV:BV,'REGISTRO PROD. v1'!BT:BT=B172)),0)
    )&gt;=F172,
    ""SI"",
    ""EN PROCESO""
  )
)
"),"NO")</f>
        <v>NO</v>
      </c>
      <c r="F172" s="132" t="s">
        <v>65</v>
      </c>
    </row>
    <row r="173" spans="1:6" ht="15" x14ac:dyDescent="0.25">
      <c r="A173" s="127"/>
      <c r="B173" s="130">
        <v>170</v>
      </c>
      <c r="C173" s="131">
        <v>2006</v>
      </c>
      <c r="D173" s="131" t="s">
        <v>139</v>
      </c>
      <c r="E173" s="131" t="str">
        <f ca="1">IFERROR(__xludf.DUMMYFUNCTION("IF(
  MAX(
    IFERROR(MAX(FILTER('REGISTRO PROD. v1'!F:F,'REGISTRO PROD. v1'!D:D=B173)),0),
    IFERROR(MAX(FILTER('REGISTRO PROD. v1'!W:W,'REGISTRO PROD. v1'!U:U=B173)),0),
    IFERROR(MAX(FILTER('REGISTRO PROD. v1'!AN:AN,'REGISTRO PROD. v1'!AL:AL=B173)"&amp;"),0),
    IFERROR(MAX(FILTER('REGISTRO PROD. v1'!BE:BE,'REGISTRO PROD. v1'!BC:BC=B173)),0),
    IFERROR(MAX(FILTER('REGISTRO PROD. v1'!BV:BV,'REGISTRO PROD. v1'!BT:BT=B173)),0)
  )=0,
  ""NO"",
  IF(
    MAX(
      IFERROR(MAX(FILTER('REGISTRO PROD. v1'!F"&amp;":F,'REGISTRO PROD. v1'!D:D=B173)),0),
      IFERROR(MAX(FILTER('REGISTRO PROD. v1'!W:W,'REGISTRO PROD. v1'!U:U=B173)),0),
      IFERROR(MAX(FILTER('REGISTRO PROD. v1'!AN:AN,'REGISTRO PROD. v1'!AL:AL=B173)),0),
      IFERROR(MAX(FILTER('REGISTRO PROD. v1'!"&amp;"BE:BE,'REGISTRO PROD. v1'!BC:BC=B173)),0),
      IFERROR(MAX(FILTER('REGISTRO PROD. v1'!BV:BV,'REGISTRO PROD. v1'!BT:BT=B173)),0)
    )&gt;=F173,
    ""SI"",
    ""EN PROCESO""
  )
)
"),"NO")</f>
        <v>NO</v>
      </c>
      <c r="F173" s="132" t="s">
        <v>65</v>
      </c>
    </row>
    <row r="174" spans="1:6" ht="15" x14ac:dyDescent="0.25">
      <c r="A174" s="127"/>
      <c r="B174" s="130">
        <v>171</v>
      </c>
      <c r="C174" s="131">
        <v>2006</v>
      </c>
      <c r="D174" s="131" t="s">
        <v>140</v>
      </c>
      <c r="E174" s="131" t="str">
        <f ca="1">IFERROR(__xludf.DUMMYFUNCTION("IF(
  MAX(
    IFERROR(MAX(FILTER('REGISTRO PROD. v1'!F:F,'REGISTRO PROD. v1'!D:D=B174)),0),
    IFERROR(MAX(FILTER('REGISTRO PROD. v1'!W:W,'REGISTRO PROD. v1'!U:U=B174)),0),
    IFERROR(MAX(FILTER('REGISTRO PROD. v1'!AN:AN,'REGISTRO PROD. v1'!AL:AL=B174)"&amp;"),0),
    IFERROR(MAX(FILTER('REGISTRO PROD. v1'!BE:BE,'REGISTRO PROD. v1'!BC:BC=B174)),0),
    IFERROR(MAX(FILTER('REGISTRO PROD. v1'!BV:BV,'REGISTRO PROD. v1'!BT:BT=B174)),0)
  )=0,
  ""NO"",
  IF(
    MAX(
      IFERROR(MAX(FILTER('REGISTRO PROD. v1'!F"&amp;":F,'REGISTRO PROD. v1'!D:D=B174)),0),
      IFERROR(MAX(FILTER('REGISTRO PROD. v1'!W:W,'REGISTRO PROD. v1'!U:U=B174)),0),
      IFERROR(MAX(FILTER('REGISTRO PROD. v1'!AN:AN,'REGISTRO PROD. v1'!AL:AL=B174)),0),
      IFERROR(MAX(FILTER('REGISTRO PROD. v1'!"&amp;"BE:BE,'REGISTRO PROD. v1'!BC:BC=B174)),0),
      IFERROR(MAX(FILTER('REGISTRO PROD. v1'!BV:BV,'REGISTRO PROD. v1'!BT:BT=B174)),0)
    )&gt;=F174,
    ""SI"",
    ""EN PROCESO""
  )
)
"),"NO")</f>
        <v>NO</v>
      </c>
      <c r="F174" s="132" t="s">
        <v>65</v>
      </c>
    </row>
    <row r="175" spans="1:6" ht="15" x14ac:dyDescent="0.25">
      <c r="A175" s="127"/>
      <c r="B175" s="130">
        <v>172</v>
      </c>
      <c r="C175" s="131">
        <v>2007</v>
      </c>
      <c r="D175" s="131" t="s">
        <v>64</v>
      </c>
      <c r="E175" s="131" t="str">
        <f ca="1">IFERROR(__xludf.DUMMYFUNCTION("IF(
  MAX(
    IFERROR(MAX(FILTER('REGISTRO PROD. v1'!F:F,'REGISTRO PROD. v1'!D:D=B175)),0),
    IFERROR(MAX(FILTER('REGISTRO PROD. v1'!W:W,'REGISTRO PROD. v1'!U:U=B175)),0),
    IFERROR(MAX(FILTER('REGISTRO PROD. v1'!AN:AN,'REGISTRO PROD. v1'!AL:AL=B175)"&amp;"),0),
    IFERROR(MAX(FILTER('REGISTRO PROD. v1'!BE:BE,'REGISTRO PROD. v1'!BC:BC=B175)),0),
    IFERROR(MAX(FILTER('REGISTRO PROD. v1'!BV:BV,'REGISTRO PROD. v1'!BT:BT=B175)),0)
  )=0,
  ""NO"",
  IF(
    MAX(
      IFERROR(MAX(FILTER('REGISTRO PROD. v1'!F"&amp;":F,'REGISTRO PROD. v1'!D:D=B175)),0),
      IFERROR(MAX(FILTER('REGISTRO PROD. v1'!W:W,'REGISTRO PROD. v1'!U:U=B175)),0),
      IFERROR(MAX(FILTER('REGISTRO PROD. v1'!AN:AN,'REGISTRO PROD. v1'!AL:AL=B175)),0),
      IFERROR(MAX(FILTER('REGISTRO PROD. v1'!"&amp;"BE:BE,'REGISTRO PROD. v1'!BC:BC=B175)),0),
      IFERROR(MAX(FILTER('REGISTRO PROD. v1'!BV:BV,'REGISTRO PROD. v1'!BT:BT=B175)),0)
    )&gt;=F175,
    ""SI"",
    ""EN PROCESO""
  )
)
"),"NO")</f>
        <v>NO</v>
      </c>
      <c r="F175" s="132" t="s">
        <v>65</v>
      </c>
    </row>
    <row r="176" spans="1:6" ht="15" x14ac:dyDescent="0.25">
      <c r="A176" s="127"/>
      <c r="B176" s="130">
        <v>173</v>
      </c>
      <c r="C176" s="131">
        <v>2007</v>
      </c>
      <c r="D176" s="131" t="s">
        <v>66</v>
      </c>
      <c r="E176" s="131" t="str">
        <f ca="1">IFERROR(__xludf.DUMMYFUNCTION("IF(
  MAX(
    IFERROR(MAX(FILTER('REGISTRO PROD. v1'!F:F,'REGISTRO PROD. v1'!D:D=B176)),0),
    IFERROR(MAX(FILTER('REGISTRO PROD. v1'!W:W,'REGISTRO PROD. v1'!U:U=B176)),0),
    IFERROR(MAX(FILTER('REGISTRO PROD. v1'!AN:AN,'REGISTRO PROD. v1'!AL:AL=B176)"&amp;"),0),
    IFERROR(MAX(FILTER('REGISTRO PROD. v1'!BE:BE,'REGISTRO PROD. v1'!BC:BC=B176)),0),
    IFERROR(MAX(FILTER('REGISTRO PROD. v1'!BV:BV,'REGISTRO PROD. v1'!BT:BT=B176)),0)
  )=0,
  ""NO"",
  IF(
    MAX(
      IFERROR(MAX(FILTER('REGISTRO PROD. v1'!F"&amp;":F,'REGISTRO PROD. v1'!D:D=B176)),0),
      IFERROR(MAX(FILTER('REGISTRO PROD. v1'!W:W,'REGISTRO PROD. v1'!U:U=B176)),0),
      IFERROR(MAX(FILTER('REGISTRO PROD. v1'!AN:AN,'REGISTRO PROD. v1'!AL:AL=B176)),0),
      IFERROR(MAX(FILTER('REGISTRO PROD. v1'!"&amp;"BE:BE,'REGISTRO PROD. v1'!BC:BC=B176)),0),
      IFERROR(MAX(FILTER('REGISTRO PROD. v1'!BV:BV,'REGISTRO PROD. v1'!BT:BT=B176)),0)
    )&gt;=F176,
    ""SI"",
    ""EN PROCESO""
  )
)
"),"NO")</f>
        <v>NO</v>
      </c>
      <c r="F176" s="132" t="s">
        <v>65</v>
      </c>
    </row>
    <row r="177" spans="1:6" ht="15" x14ac:dyDescent="0.25">
      <c r="A177" s="127"/>
      <c r="B177" s="130">
        <v>174</v>
      </c>
      <c r="C177" s="131">
        <v>2007</v>
      </c>
      <c r="D177" s="131" t="s">
        <v>67</v>
      </c>
      <c r="E177" s="131" t="str">
        <f ca="1">IFERROR(__xludf.DUMMYFUNCTION("IF(
  MAX(
    IFERROR(MAX(FILTER('REGISTRO PROD. v1'!F:F,'REGISTRO PROD. v1'!D:D=B177)),0),
    IFERROR(MAX(FILTER('REGISTRO PROD. v1'!W:W,'REGISTRO PROD. v1'!U:U=B177)),0),
    IFERROR(MAX(FILTER('REGISTRO PROD. v1'!AN:AN,'REGISTRO PROD. v1'!AL:AL=B177)"&amp;"),0),
    IFERROR(MAX(FILTER('REGISTRO PROD. v1'!BE:BE,'REGISTRO PROD. v1'!BC:BC=B177)),0),
    IFERROR(MAX(FILTER('REGISTRO PROD. v1'!BV:BV,'REGISTRO PROD. v1'!BT:BT=B177)),0)
  )=0,
  ""NO"",
  IF(
    MAX(
      IFERROR(MAX(FILTER('REGISTRO PROD. v1'!F"&amp;":F,'REGISTRO PROD. v1'!D:D=B177)),0),
      IFERROR(MAX(FILTER('REGISTRO PROD. v1'!W:W,'REGISTRO PROD. v1'!U:U=B177)),0),
      IFERROR(MAX(FILTER('REGISTRO PROD. v1'!AN:AN,'REGISTRO PROD. v1'!AL:AL=B177)),0),
      IFERROR(MAX(FILTER('REGISTRO PROD. v1'!"&amp;"BE:BE,'REGISTRO PROD. v1'!BC:BC=B177)),0),
      IFERROR(MAX(FILTER('REGISTRO PROD. v1'!BV:BV,'REGISTRO PROD. v1'!BT:BT=B177)),0)
    )&gt;=F177,
    ""SI"",
    ""EN PROCESO""
  )
)
"),"NO")</f>
        <v>NO</v>
      </c>
      <c r="F177" s="132" t="s">
        <v>65</v>
      </c>
    </row>
    <row r="178" spans="1:6" ht="15" x14ac:dyDescent="0.25">
      <c r="A178" s="127"/>
      <c r="B178" s="130">
        <v>175</v>
      </c>
      <c r="C178" s="131">
        <v>2007</v>
      </c>
      <c r="D178" s="131" t="s">
        <v>68</v>
      </c>
      <c r="E178" s="131" t="str">
        <f ca="1">IFERROR(__xludf.DUMMYFUNCTION("IF(
  MAX(
    IFERROR(MAX(FILTER('REGISTRO PROD. v1'!F:F,'REGISTRO PROD. v1'!D:D=B178)),0),
    IFERROR(MAX(FILTER('REGISTRO PROD. v1'!W:W,'REGISTRO PROD. v1'!U:U=B178)),0),
    IFERROR(MAX(FILTER('REGISTRO PROD. v1'!AN:AN,'REGISTRO PROD. v1'!AL:AL=B178)"&amp;"),0),
    IFERROR(MAX(FILTER('REGISTRO PROD. v1'!BE:BE,'REGISTRO PROD. v1'!BC:BC=B178)),0),
    IFERROR(MAX(FILTER('REGISTRO PROD. v1'!BV:BV,'REGISTRO PROD. v1'!BT:BT=B178)),0)
  )=0,
  ""NO"",
  IF(
    MAX(
      IFERROR(MAX(FILTER('REGISTRO PROD. v1'!F"&amp;":F,'REGISTRO PROD. v1'!D:D=B178)),0),
      IFERROR(MAX(FILTER('REGISTRO PROD. v1'!W:W,'REGISTRO PROD. v1'!U:U=B178)),0),
      IFERROR(MAX(FILTER('REGISTRO PROD. v1'!AN:AN,'REGISTRO PROD. v1'!AL:AL=B178)),0),
      IFERROR(MAX(FILTER('REGISTRO PROD. v1'!"&amp;"BE:BE,'REGISTRO PROD. v1'!BC:BC=B178)),0),
      IFERROR(MAX(FILTER('REGISTRO PROD. v1'!BV:BV,'REGISTRO PROD. v1'!BT:BT=B178)),0)
    )&gt;=F178,
    ""SI"",
    ""EN PROCESO""
  )
)
"),"NO")</f>
        <v>NO</v>
      </c>
      <c r="F178" s="132" t="s">
        <v>65</v>
      </c>
    </row>
    <row r="179" spans="1:6" ht="15" x14ac:dyDescent="0.25">
      <c r="A179" s="127"/>
      <c r="B179" s="130">
        <v>176</v>
      </c>
      <c r="C179" s="131">
        <v>2007</v>
      </c>
      <c r="D179" s="131" t="s">
        <v>69</v>
      </c>
      <c r="E179" s="131" t="str">
        <f ca="1">IFERROR(__xludf.DUMMYFUNCTION("IF(
  MAX(
    IFERROR(MAX(FILTER('REGISTRO PROD. v1'!F:F,'REGISTRO PROD. v1'!D:D=B179)),0),
    IFERROR(MAX(FILTER('REGISTRO PROD. v1'!W:W,'REGISTRO PROD. v1'!U:U=B179)),0),
    IFERROR(MAX(FILTER('REGISTRO PROD. v1'!AN:AN,'REGISTRO PROD. v1'!AL:AL=B179)"&amp;"),0),
    IFERROR(MAX(FILTER('REGISTRO PROD. v1'!BE:BE,'REGISTRO PROD. v1'!BC:BC=B179)),0),
    IFERROR(MAX(FILTER('REGISTRO PROD. v1'!BV:BV,'REGISTRO PROD. v1'!BT:BT=B179)),0)
  )=0,
  ""NO"",
  IF(
    MAX(
      IFERROR(MAX(FILTER('REGISTRO PROD. v1'!F"&amp;":F,'REGISTRO PROD. v1'!D:D=B179)),0),
      IFERROR(MAX(FILTER('REGISTRO PROD. v1'!W:W,'REGISTRO PROD. v1'!U:U=B179)),0),
      IFERROR(MAX(FILTER('REGISTRO PROD. v1'!AN:AN,'REGISTRO PROD. v1'!AL:AL=B179)),0),
      IFERROR(MAX(FILTER('REGISTRO PROD. v1'!"&amp;"BE:BE,'REGISTRO PROD. v1'!BC:BC=B179)),0),
      IFERROR(MAX(FILTER('REGISTRO PROD. v1'!BV:BV,'REGISTRO PROD. v1'!BT:BT=B179)),0)
    )&gt;=F179,
    ""SI"",
    ""EN PROCESO""
  )
)
"),"NO")</f>
        <v>NO</v>
      </c>
      <c r="F179" s="132" t="s">
        <v>65</v>
      </c>
    </row>
    <row r="180" spans="1:6" ht="15" x14ac:dyDescent="0.25">
      <c r="A180" s="127"/>
      <c r="B180" s="130">
        <v>177</v>
      </c>
      <c r="C180" s="131">
        <v>2007</v>
      </c>
      <c r="D180" s="131" t="s">
        <v>70</v>
      </c>
      <c r="E180" s="131" t="str">
        <f ca="1">IFERROR(__xludf.DUMMYFUNCTION("IF(
  MAX(
    IFERROR(MAX(FILTER('REGISTRO PROD. v1'!F:F,'REGISTRO PROD. v1'!D:D=B180)),0),
    IFERROR(MAX(FILTER('REGISTRO PROD. v1'!W:W,'REGISTRO PROD. v1'!U:U=B180)),0),
    IFERROR(MAX(FILTER('REGISTRO PROD. v1'!AN:AN,'REGISTRO PROD. v1'!AL:AL=B180)"&amp;"),0),
    IFERROR(MAX(FILTER('REGISTRO PROD. v1'!BE:BE,'REGISTRO PROD. v1'!BC:BC=B180)),0),
    IFERROR(MAX(FILTER('REGISTRO PROD. v1'!BV:BV,'REGISTRO PROD. v1'!BT:BT=B180)),0)
  )=0,
  ""NO"",
  IF(
    MAX(
      IFERROR(MAX(FILTER('REGISTRO PROD. v1'!F"&amp;":F,'REGISTRO PROD. v1'!D:D=B180)),0),
      IFERROR(MAX(FILTER('REGISTRO PROD. v1'!W:W,'REGISTRO PROD. v1'!U:U=B180)),0),
      IFERROR(MAX(FILTER('REGISTRO PROD. v1'!AN:AN,'REGISTRO PROD. v1'!AL:AL=B180)),0),
      IFERROR(MAX(FILTER('REGISTRO PROD. v1'!"&amp;"BE:BE,'REGISTRO PROD. v1'!BC:BC=B180)),0),
      IFERROR(MAX(FILTER('REGISTRO PROD. v1'!BV:BV,'REGISTRO PROD. v1'!BT:BT=B180)),0)
    )&gt;=F180,
    ""SI"",
    ""EN PROCESO""
  )
)
"),"NO")</f>
        <v>NO</v>
      </c>
      <c r="F180" s="132" t="s">
        <v>65</v>
      </c>
    </row>
    <row r="181" spans="1:6" ht="15" x14ac:dyDescent="0.25">
      <c r="A181" s="127"/>
      <c r="B181" s="130">
        <v>178</v>
      </c>
      <c r="C181" s="131">
        <v>2007</v>
      </c>
      <c r="D181" s="131" t="s">
        <v>97</v>
      </c>
      <c r="E181" s="131" t="str">
        <f ca="1">IFERROR(__xludf.DUMMYFUNCTION("IF(
  MAX(
    IFERROR(MAX(FILTER('REGISTRO PROD. v1'!F:F,'REGISTRO PROD. v1'!D:D=B181)),0),
    IFERROR(MAX(FILTER('REGISTRO PROD. v1'!W:W,'REGISTRO PROD. v1'!U:U=B181)),0),
    IFERROR(MAX(FILTER('REGISTRO PROD. v1'!AN:AN,'REGISTRO PROD. v1'!AL:AL=B181)"&amp;"),0),
    IFERROR(MAX(FILTER('REGISTRO PROD. v1'!BE:BE,'REGISTRO PROD. v1'!BC:BC=B181)),0),
    IFERROR(MAX(FILTER('REGISTRO PROD. v1'!BV:BV,'REGISTRO PROD. v1'!BT:BT=B181)),0)
  )=0,
  ""NO"",
  IF(
    MAX(
      IFERROR(MAX(FILTER('REGISTRO PROD. v1'!F"&amp;":F,'REGISTRO PROD. v1'!D:D=B181)),0),
      IFERROR(MAX(FILTER('REGISTRO PROD. v1'!W:W,'REGISTRO PROD. v1'!U:U=B181)),0),
      IFERROR(MAX(FILTER('REGISTRO PROD. v1'!AN:AN,'REGISTRO PROD. v1'!AL:AL=B181)),0),
      IFERROR(MAX(FILTER('REGISTRO PROD. v1'!"&amp;"BE:BE,'REGISTRO PROD. v1'!BC:BC=B181)),0),
      IFERROR(MAX(FILTER('REGISTRO PROD. v1'!BV:BV,'REGISTRO PROD. v1'!BT:BT=B181)),0)
    )&gt;=F181,
    ""SI"",
    ""EN PROCESO""
  )
)
"),"NO")</f>
        <v>NO</v>
      </c>
      <c r="F181" s="132" t="s">
        <v>65</v>
      </c>
    </row>
    <row r="182" spans="1:6" ht="15" x14ac:dyDescent="0.25">
      <c r="A182" s="127"/>
      <c r="B182" s="130">
        <v>179</v>
      </c>
      <c r="C182" s="131">
        <v>2007</v>
      </c>
      <c r="D182" s="131" t="s">
        <v>98</v>
      </c>
      <c r="E182" s="131" t="str">
        <f ca="1">IFERROR(__xludf.DUMMYFUNCTION("IF(
  MAX(
    IFERROR(MAX(FILTER('REGISTRO PROD. v1'!F:F,'REGISTRO PROD. v1'!D:D=B182)),0),
    IFERROR(MAX(FILTER('REGISTRO PROD. v1'!W:W,'REGISTRO PROD. v1'!U:U=B182)),0),
    IFERROR(MAX(FILTER('REGISTRO PROD. v1'!AN:AN,'REGISTRO PROD. v1'!AL:AL=B182)"&amp;"),0),
    IFERROR(MAX(FILTER('REGISTRO PROD. v1'!BE:BE,'REGISTRO PROD. v1'!BC:BC=B182)),0),
    IFERROR(MAX(FILTER('REGISTRO PROD. v1'!BV:BV,'REGISTRO PROD. v1'!BT:BT=B182)),0)
  )=0,
  ""NO"",
  IF(
    MAX(
      IFERROR(MAX(FILTER('REGISTRO PROD. v1'!F"&amp;":F,'REGISTRO PROD. v1'!D:D=B182)),0),
      IFERROR(MAX(FILTER('REGISTRO PROD. v1'!W:W,'REGISTRO PROD. v1'!U:U=B182)),0),
      IFERROR(MAX(FILTER('REGISTRO PROD. v1'!AN:AN,'REGISTRO PROD. v1'!AL:AL=B182)),0),
      IFERROR(MAX(FILTER('REGISTRO PROD. v1'!"&amp;"BE:BE,'REGISTRO PROD. v1'!BC:BC=B182)),0),
      IFERROR(MAX(FILTER('REGISTRO PROD. v1'!BV:BV,'REGISTRO PROD. v1'!BT:BT=B182)),0)
    )&gt;=F182,
    ""SI"",
    ""EN PROCESO""
  )
)
"),"NO")</f>
        <v>NO</v>
      </c>
      <c r="F182" s="132" t="s">
        <v>65</v>
      </c>
    </row>
    <row r="183" spans="1:6" ht="15" x14ac:dyDescent="0.25">
      <c r="A183" s="127"/>
      <c r="B183" s="130">
        <v>180</v>
      </c>
      <c r="C183" s="131">
        <v>2007</v>
      </c>
      <c r="D183" s="131" t="s">
        <v>99</v>
      </c>
      <c r="E183" s="131" t="str">
        <f ca="1">IFERROR(__xludf.DUMMYFUNCTION("IF(
  MAX(
    IFERROR(MAX(FILTER('REGISTRO PROD. v1'!F:F,'REGISTRO PROD. v1'!D:D=B183)),0),
    IFERROR(MAX(FILTER('REGISTRO PROD. v1'!W:W,'REGISTRO PROD. v1'!U:U=B183)),0),
    IFERROR(MAX(FILTER('REGISTRO PROD. v1'!AN:AN,'REGISTRO PROD. v1'!AL:AL=B183)"&amp;"),0),
    IFERROR(MAX(FILTER('REGISTRO PROD. v1'!BE:BE,'REGISTRO PROD. v1'!BC:BC=B183)),0),
    IFERROR(MAX(FILTER('REGISTRO PROD. v1'!BV:BV,'REGISTRO PROD. v1'!BT:BT=B183)),0)
  )=0,
  ""NO"",
  IF(
    MAX(
      IFERROR(MAX(FILTER('REGISTRO PROD. v1'!F"&amp;":F,'REGISTRO PROD. v1'!D:D=B183)),0),
      IFERROR(MAX(FILTER('REGISTRO PROD. v1'!W:W,'REGISTRO PROD. v1'!U:U=B183)),0),
      IFERROR(MAX(FILTER('REGISTRO PROD. v1'!AN:AN,'REGISTRO PROD. v1'!AL:AL=B183)),0),
      IFERROR(MAX(FILTER('REGISTRO PROD. v1'!"&amp;"BE:BE,'REGISTRO PROD. v1'!BC:BC=B183)),0),
      IFERROR(MAX(FILTER('REGISTRO PROD. v1'!BV:BV,'REGISTRO PROD. v1'!BT:BT=B183)),0)
    )&gt;=F183,
    ""SI"",
    ""EN PROCESO""
  )
)
"),"NO")</f>
        <v>NO</v>
      </c>
      <c r="F183" s="132" t="s">
        <v>65</v>
      </c>
    </row>
    <row r="184" spans="1:6" ht="15" x14ac:dyDescent="0.25">
      <c r="A184" s="127"/>
      <c r="B184" s="130">
        <v>181</v>
      </c>
      <c r="C184" s="131">
        <v>2007</v>
      </c>
      <c r="D184" s="131" t="s">
        <v>100</v>
      </c>
      <c r="E184" s="131" t="str">
        <f ca="1">IFERROR(__xludf.DUMMYFUNCTION("IF(
  MAX(
    IFERROR(MAX(FILTER('REGISTRO PROD. v1'!F:F,'REGISTRO PROD. v1'!D:D=B184)),0),
    IFERROR(MAX(FILTER('REGISTRO PROD. v1'!W:W,'REGISTRO PROD. v1'!U:U=B184)),0),
    IFERROR(MAX(FILTER('REGISTRO PROD. v1'!AN:AN,'REGISTRO PROD. v1'!AL:AL=B184)"&amp;"),0),
    IFERROR(MAX(FILTER('REGISTRO PROD. v1'!BE:BE,'REGISTRO PROD. v1'!BC:BC=B184)),0),
    IFERROR(MAX(FILTER('REGISTRO PROD. v1'!BV:BV,'REGISTRO PROD. v1'!BT:BT=B184)),0)
  )=0,
  ""NO"",
  IF(
    MAX(
      IFERROR(MAX(FILTER('REGISTRO PROD. v1'!F"&amp;":F,'REGISTRO PROD. v1'!D:D=B184)),0),
      IFERROR(MAX(FILTER('REGISTRO PROD. v1'!W:W,'REGISTRO PROD. v1'!U:U=B184)),0),
      IFERROR(MAX(FILTER('REGISTRO PROD. v1'!AN:AN,'REGISTRO PROD. v1'!AL:AL=B184)),0),
      IFERROR(MAX(FILTER('REGISTRO PROD. v1'!"&amp;"BE:BE,'REGISTRO PROD. v1'!BC:BC=B184)),0),
      IFERROR(MAX(FILTER('REGISTRO PROD. v1'!BV:BV,'REGISTRO PROD. v1'!BT:BT=B184)),0)
    )&gt;=F184,
    ""SI"",
    ""EN PROCESO""
  )
)
"),"NO")</f>
        <v>NO</v>
      </c>
      <c r="F184" s="132" t="s">
        <v>65</v>
      </c>
    </row>
    <row r="185" spans="1:6" ht="15" x14ac:dyDescent="0.25">
      <c r="A185" s="127"/>
      <c r="B185" s="130">
        <v>182</v>
      </c>
      <c r="C185" s="131">
        <v>2007</v>
      </c>
      <c r="D185" s="131" t="s">
        <v>101</v>
      </c>
      <c r="E185" s="131" t="str">
        <f ca="1">IFERROR(__xludf.DUMMYFUNCTION("IF(
  MAX(
    IFERROR(MAX(FILTER('REGISTRO PROD. v1'!F:F,'REGISTRO PROD. v1'!D:D=B185)),0),
    IFERROR(MAX(FILTER('REGISTRO PROD. v1'!W:W,'REGISTRO PROD. v1'!U:U=B185)),0),
    IFERROR(MAX(FILTER('REGISTRO PROD. v1'!AN:AN,'REGISTRO PROD. v1'!AL:AL=B185)"&amp;"),0),
    IFERROR(MAX(FILTER('REGISTRO PROD. v1'!BE:BE,'REGISTRO PROD. v1'!BC:BC=B185)),0),
    IFERROR(MAX(FILTER('REGISTRO PROD. v1'!BV:BV,'REGISTRO PROD. v1'!BT:BT=B185)),0)
  )=0,
  ""NO"",
  IF(
    MAX(
      IFERROR(MAX(FILTER('REGISTRO PROD. v1'!F"&amp;":F,'REGISTRO PROD. v1'!D:D=B185)),0),
      IFERROR(MAX(FILTER('REGISTRO PROD. v1'!W:W,'REGISTRO PROD. v1'!U:U=B185)),0),
      IFERROR(MAX(FILTER('REGISTRO PROD. v1'!AN:AN,'REGISTRO PROD. v1'!AL:AL=B185)),0),
      IFERROR(MAX(FILTER('REGISTRO PROD. v1'!"&amp;"BE:BE,'REGISTRO PROD. v1'!BC:BC=B185)),0),
      IFERROR(MAX(FILTER('REGISTRO PROD. v1'!BV:BV,'REGISTRO PROD. v1'!BT:BT=B185)),0)
    )&gt;=F185,
    ""SI"",
    ""EN PROCESO""
  )
)
"),"NO")</f>
        <v>NO</v>
      </c>
      <c r="F185" s="132" t="s">
        <v>65</v>
      </c>
    </row>
    <row r="186" spans="1:6" ht="15" x14ac:dyDescent="0.25">
      <c r="A186" s="127"/>
      <c r="B186" s="130">
        <v>183</v>
      </c>
      <c r="C186" s="131">
        <v>2007</v>
      </c>
      <c r="D186" s="131" t="s">
        <v>102</v>
      </c>
      <c r="E186" s="131" t="str">
        <f ca="1">IFERROR(__xludf.DUMMYFUNCTION("IF(
  MAX(
    IFERROR(MAX(FILTER('REGISTRO PROD. v1'!F:F,'REGISTRO PROD. v1'!D:D=B186)),0),
    IFERROR(MAX(FILTER('REGISTRO PROD. v1'!W:W,'REGISTRO PROD. v1'!U:U=B186)),0),
    IFERROR(MAX(FILTER('REGISTRO PROD. v1'!AN:AN,'REGISTRO PROD. v1'!AL:AL=B186)"&amp;"),0),
    IFERROR(MAX(FILTER('REGISTRO PROD. v1'!BE:BE,'REGISTRO PROD. v1'!BC:BC=B186)),0),
    IFERROR(MAX(FILTER('REGISTRO PROD. v1'!BV:BV,'REGISTRO PROD. v1'!BT:BT=B186)),0)
  )=0,
  ""NO"",
  IF(
    MAX(
      IFERROR(MAX(FILTER('REGISTRO PROD. v1'!F"&amp;":F,'REGISTRO PROD. v1'!D:D=B186)),0),
      IFERROR(MAX(FILTER('REGISTRO PROD. v1'!W:W,'REGISTRO PROD. v1'!U:U=B186)),0),
      IFERROR(MAX(FILTER('REGISTRO PROD. v1'!AN:AN,'REGISTRO PROD. v1'!AL:AL=B186)),0),
      IFERROR(MAX(FILTER('REGISTRO PROD. v1'!"&amp;"BE:BE,'REGISTRO PROD. v1'!BC:BC=B186)),0),
      IFERROR(MAX(FILTER('REGISTRO PROD. v1'!BV:BV,'REGISTRO PROD. v1'!BT:BT=B186)),0)
    )&gt;=F186,
    ""SI"",
    ""EN PROCESO""
  )
)
"),"NO")</f>
        <v>NO</v>
      </c>
      <c r="F186" s="132" t="s">
        <v>65</v>
      </c>
    </row>
    <row r="187" spans="1:6" ht="15" x14ac:dyDescent="0.25">
      <c r="A187" s="127"/>
      <c r="B187" s="130">
        <v>184</v>
      </c>
      <c r="C187" s="131">
        <v>2007</v>
      </c>
      <c r="D187" s="131" t="s">
        <v>103</v>
      </c>
      <c r="E187" s="131" t="str">
        <f ca="1">IFERROR(__xludf.DUMMYFUNCTION("IF(
  MAX(
    IFERROR(MAX(FILTER('REGISTRO PROD. v1'!F:F,'REGISTRO PROD. v1'!D:D=B187)),0),
    IFERROR(MAX(FILTER('REGISTRO PROD. v1'!W:W,'REGISTRO PROD. v1'!U:U=B187)),0),
    IFERROR(MAX(FILTER('REGISTRO PROD. v1'!AN:AN,'REGISTRO PROD. v1'!AL:AL=B187)"&amp;"),0),
    IFERROR(MAX(FILTER('REGISTRO PROD. v1'!BE:BE,'REGISTRO PROD. v1'!BC:BC=B187)),0),
    IFERROR(MAX(FILTER('REGISTRO PROD. v1'!BV:BV,'REGISTRO PROD. v1'!BT:BT=B187)),0)
  )=0,
  ""NO"",
  IF(
    MAX(
      IFERROR(MAX(FILTER('REGISTRO PROD. v1'!F"&amp;":F,'REGISTRO PROD. v1'!D:D=B187)),0),
      IFERROR(MAX(FILTER('REGISTRO PROD. v1'!W:W,'REGISTRO PROD. v1'!U:U=B187)),0),
      IFERROR(MAX(FILTER('REGISTRO PROD. v1'!AN:AN,'REGISTRO PROD. v1'!AL:AL=B187)),0),
      IFERROR(MAX(FILTER('REGISTRO PROD. v1'!"&amp;"BE:BE,'REGISTRO PROD. v1'!BC:BC=B187)),0),
      IFERROR(MAX(FILTER('REGISTRO PROD. v1'!BV:BV,'REGISTRO PROD. v1'!BT:BT=B187)),0)
    )&gt;=F187,
    ""SI"",
    ""EN PROCESO""
  )
)
"),"NO")</f>
        <v>NO</v>
      </c>
      <c r="F187" s="132" t="s">
        <v>65</v>
      </c>
    </row>
    <row r="188" spans="1:6" ht="15" x14ac:dyDescent="0.25">
      <c r="A188" s="127"/>
      <c r="B188" s="130">
        <v>185</v>
      </c>
      <c r="C188" s="131">
        <v>2007</v>
      </c>
      <c r="D188" s="131" t="s">
        <v>104</v>
      </c>
      <c r="E188" s="131" t="str">
        <f ca="1">IFERROR(__xludf.DUMMYFUNCTION("IF(
  MAX(
    IFERROR(MAX(FILTER('REGISTRO PROD. v1'!F:F,'REGISTRO PROD. v1'!D:D=B188)),0),
    IFERROR(MAX(FILTER('REGISTRO PROD. v1'!W:W,'REGISTRO PROD. v1'!U:U=B188)),0),
    IFERROR(MAX(FILTER('REGISTRO PROD. v1'!AN:AN,'REGISTRO PROD. v1'!AL:AL=B188)"&amp;"),0),
    IFERROR(MAX(FILTER('REGISTRO PROD. v1'!BE:BE,'REGISTRO PROD. v1'!BC:BC=B188)),0),
    IFERROR(MAX(FILTER('REGISTRO PROD. v1'!BV:BV,'REGISTRO PROD. v1'!BT:BT=B188)),0)
  )=0,
  ""NO"",
  IF(
    MAX(
      IFERROR(MAX(FILTER('REGISTRO PROD. v1'!F"&amp;":F,'REGISTRO PROD. v1'!D:D=B188)),0),
      IFERROR(MAX(FILTER('REGISTRO PROD. v1'!W:W,'REGISTRO PROD. v1'!U:U=B188)),0),
      IFERROR(MAX(FILTER('REGISTRO PROD. v1'!AN:AN,'REGISTRO PROD. v1'!AL:AL=B188)),0),
      IFERROR(MAX(FILTER('REGISTRO PROD. v1'!"&amp;"BE:BE,'REGISTRO PROD. v1'!BC:BC=B188)),0),
      IFERROR(MAX(FILTER('REGISTRO PROD. v1'!BV:BV,'REGISTRO PROD. v1'!BT:BT=B188)),0)
    )&gt;=F188,
    ""SI"",
    ""EN PROCESO""
  )
)
"),"NO")</f>
        <v>NO</v>
      </c>
      <c r="F188" s="132" t="s">
        <v>65</v>
      </c>
    </row>
    <row r="189" spans="1:6" ht="15" x14ac:dyDescent="0.25">
      <c r="A189" s="127"/>
      <c r="B189" s="130">
        <v>186</v>
      </c>
      <c r="C189" s="131">
        <v>2007</v>
      </c>
      <c r="D189" s="131" t="s">
        <v>105</v>
      </c>
      <c r="E189" s="131" t="str">
        <f ca="1">IFERROR(__xludf.DUMMYFUNCTION("IF(
  MAX(
    IFERROR(MAX(FILTER('REGISTRO PROD. v1'!F:F,'REGISTRO PROD. v1'!D:D=B189)),0),
    IFERROR(MAX(FILTER('REGISTRO PROD. v1'!W:W,'REGISTRO PROD. v1'!U:U=B189)),0),
    IFERROR(MAX(FILTER('REGISTRO PROD. v1'!AN:AN,'REGISTRO PROD. v1'!AL:AL=B189)"&amp;"),0),
    IFERROR(MAX(FILTER('REGISTRO PROD. v1'!BE:BE,'REGISTRO PROD. v1'!BC:BC=B189)),0),
    IFERROR(MAX(FILTER('REGISTRO PROD. v1'!BV:BV,'REGISTRO PROD. v1'!BT:BT=B189)),0)
  )=0,
  ""NO"",
  IF(
    MAX(
      IFERROR(MAX(FILTER('REGISTRO PROD. v1'!F"&amp;":F,'REGISTRO PROD. v1'!D:D=B189)),0),
      IFERROR(MAX(FILTER('REGISTRO PROD. v1'!W:W,'REGISTRO PROD. v1'!U:U=B189)),0),
      IFERROR(MAX(FILTER('REGISTRO PROD. v1'!AN:AN,'REGISTRO PROD. v1'!AL:AL=B189)),0),
      IFERROR(MAX(FILTER('REGISTRO PROD. v1'!"&amp;"BE:BE,'REGISTRO PROD. v1'!BC:BC=B189)),0),
      IFERROR(MAX(FILTER('REGISTRO PROD. v1'!BV:BV,'REGISTRO PROD. v1'!BT:BT=B189)),0)
    )&gt;=F189,
    ""SI"",
    ""EN PROCESO""
  )
)
"),"NO")</f>
        <v>NO</v>
      </c>
      <c r="F189" s="132" t="s">
        <v>65</v>
      </c>
    </row>
    <row r="190" spans="1:6" ht="15" x14ac:dyDescent="0.25">
      <c r="A190" s="127"/>
      <c r="B190" s="130">
        <v>187</v>
      </c>
      <c r="C190" s="131">
        <v>2007</v>
      </c>
      <c r="D190" s="131" t="s">
        <v>106</v>
      </c>
      <c r="E190" s="131" t="str">
        <f ca="1">IFERROR(__xludf.DUMMYFUNCTION("IF(
  MAX(
    IFERROR(MAX(FILTER('REGISTRO PROD. v1'!F:F,'REGISTRO PROD. v1'!D:D=B190)),0),
    IFERROR(MAX(FILTER('REGISTRO PROD. v1'!W:W,'REGISTRO PROD. v1'!U:U=B190)),0),
    IFERROR(MAX(FILTER('REGISTRO PROD. v1'!AN:AN,'REGISTRO PROD. v1'!AL:AL=B190)"&amp;"),0),
    IFERROR(MAX(FILTER('REGISTRO PROD. v1'!BE:BE,'REGISTRO PROD. v1'!BC:BC=B190)),0),
    IFERROR(MAX(FILTER('REGISTRO PROD. v1'!BV:BV,'REGISTRO PROD. v1'!BT:BT=B190)),0)
  )=0,
  ""NO"",
  IF(
    MAX(
      IFERROR(MAX(FILTER('REGISTRO PROD. v1'!F"&amp;":F,'REGISTRO PROD. v1'!D:D=B190)),0),
      IFERROR(MAX(FILTER('REGISTRO PROD. v1'!W:W,'REGISTRO PROD. v1'!U:U=B190)),0),
      IFERROR(MAX(FILTER('REGISTRO PROD. v1'!AN:AN,'REGISTRO PROD. v1'!AL:AL=B190)),0),
      IFERROR(MAX(FILTER('REGISTRO PROD. v1'!"&amp;"BE:BE,'REGISTRO PROD. v1'!BC:BC=B190)),0),
      IFERROR(MAX(FILTER('REGISTRO PROD. v1'!BV:BV,'REGISTRO PROD. v1'!BT:BT=B190)),0)
    )&gt;=F190,
    ""SI"",
    ""EN PROCESO""
  )
)
"),"NO")</f>
        <v>NO</v>
      </c>
      <c r="F190" s="132" t="s">
        <v>65</v>
      </c>
    </row>
    <row r="191" spans="1:6" ht="15" x14ac:dyDescent="0.25">
      <c r="A191" s="127"/>
      <c r="B191" s="130">
        <v>188</v>
      </c>
      <c r="C191" s="131">
        <v>2007</v>
      </c>
      <c r="D191" s="131" t="s">
        <v>107</v>
      </c>
      <c r="E191" s="131" t="str">
        <f ca="1">IFERROR(__xludf.DUMMYFUNCTION("IF(
  MAX(
    IFERROR(MAX(FILTER('REGISTRO PROD. v1'!F:F,'REGISTRO PROD. v1'!D:D=B191)),0),
    IFERROR(MAX(FILTER('REGISTRO PROD. v1'!W:W,'REGISTRO PROD. v1'!U:U=B191)),0),
    IFERROR(MAX(FILTER('REGISTRO PROD. v1'!AN:AN,'REGISTRO PROD. v1'!AL:AL=B191)"&amp;"),0),
    IFERROR(MAX(FILTER('REGISTRO PROD. v1'!BE:BE,'REGISTRO PROD. v1'!BC:BC=B191)),0),
    IFERROR(MAX(FILTER('REGISTRO PROD. v1'!BV:BV,'REGISTRO PROD. v1'!BT:BT=B191)),0)
  )=0,
  ""NO"",
  IF(
    MAX(
      IFERROR(MAX(FILTER('REGISTRO PROD. v1'!F"&amp;":F,'REGISTRO PROD. v1'!D:D=B191)),0),
      IFERROR(MAX(FILTER('REGISTRO PROD. v1'!W:W,'REGISTRO PROD. v1'!U:U=B191)),0),
      IFERROR(MAX(FILTER('REGISTRO PROD. v1'!AN:AN,'REGISTRO PROD. v1'!AL:AL=B191)),0),
      IFERROR(MAX(FILTER('REGISTRO PROD. v1'!"&amp;"BE:BE,'REGISTRO PROD. v1'!BC:BC=B191)),0),
      IFERROR(MAX(FILTER('REGISTRO PROD. v1'!BV:BV,'REGISTRO PROD. v1'!BT:BT=B191)),0)
    )&gt;=F191,
    ""SI"",
    ""EN PROCESO""
  )
)
"),"NO")</f>
        <v>NO</v>
      </c>
      <c r="F191" s="132" t="s">
        <v>65</v>
      </c>
    </row>
    <row r="192" spans="1:6" ht="15" x14ac:dyDescent="0.25">
      <c r="A192" s="127"/>
      <c r="B192" s="130">
        <v>189</v>
      </c>
      <c r="C192" s="131">
        <v>2007</v>
      </c>
      <c r="D192" s="131" t="s">
        <v>108</v>
      </c>
      <c r="E192" s="131" t="str">
        <f ca="1">IFERROR(__xludf.DUMMYFUNCTION("IF(
  MAX(
    IFERROR(MAX(FILTER('REGISTRO PROD. v1'!F:F,'REGISTRO PROD. v1'!D:D=B192)),0),
    IFERROR(MAX(FILTER('REGISTRO PROD. v1'!W:W,'REGISTRO PROD. v1'!U:U=B192)),0),
    IFERROR(MAX(FILTER('REGISTRO PROD. v1'!AN:AN,'REGISTRO PROD. v1'!AL:AL=B192)"&amp;"),0),
    IFERROR(MAX(FILTER('REGISTRO PROD. v1'!BE:BE,'REGISTRO PROD. v1'!BC:BC=B192)),0),
    IFERROR(MAX(FILTER('REGISTRO PROD. v1'!BV:BV,'REGISTRO PROD. v1'!BT:BT=B192)),0)
  )=0,
  ""NO"",
  IF(
    MAX(
      IFERROR(MAX(FILTER('REGISTRO PROD. v1'!F"&amp;":F,'REGISTRO PROD. v1'!D:D=B192)),0),
      IFERROR(MAX(FILTER('REGISTRO PROD. v1'!W:W,'REGISTRO PROD. v1'!U:U=B192)),0),
      IFERROR(MAX(FILTER('REGISTRO PROD. v1'!AN:AN,'REGISTRO PROD. v1'!AL:AL=B192)),0),
      IFERROR(MAX(FILTER('REGISTRO PROD. v1'!"&amp;"BE:BE,'REGISTRO PROD. v1'!BC:BC=B192)),0),
      IFERROR(MAX(FILTER('REGISTRO PROD. v1'!BV:BV,'REGISTRO PROD. v1'!BT:BT=B192)),0)
    )&gt;=F192,
    ""SI"",
    ""EN PROCESO""
  )
)
"),"NO")</f>
        <v>NO</v>
      </c>
      <c r="F192" s="132" t="s">
        <v>65</v>
      </c>
    </row>
    <row r="193" spans="1:6" ht="15" x14ac:dyDescent="0.25">
      <c r="A193" s="127"/>
      <c r="B193" s="130">
        <v>190</v>
      </c>
      <c r="C193" s="131">
        <v>2007</v>
      </c>
      <c r="D193" s="131" t="s">
        <v>109</v>
      </c>
      <c r="E193" s="131" t="str">
        <f ca="1">IFERROR(__xludf.DUMMYFUNCTION("IF(
  MAX(
    IFERROR(MAX(FILTER('REGISTRO PROD. v1'!F:F,'REGISTRO PROD. v1'!D:D=B193)),0),
    IFERROR(MAX(FILTER('REGISTRO PROD. v1'!W:W,'REGISTRO PROD. v1'!U:U=B193)),0),
    IFERROR(MAX(FILTER('REGISTRO PROD. v1'!AN:AN,'REGISTRO PROD. v1'!AL:AL=B193)"&amp;"),0),
    IFERROR(MAX(FILTER('REGISTRO PROD. v1'!BE:BE,'REGISTRO PROD. v1'!BC:BC=B193)),0),
    IFERROR(MAX(FILTER('REGISTRO PROD. v1'!BV:BV,'REGISTRO PROD. v1'!BT:BT=B193)),0)
  )=0,
  ""NO"",
  IF(
    MAX(
      IFERROR(MAX(FILTER('REGISTRO PROD. v1'!F"&amp;":F,'REGISTRO PROD. v1'!D:D=B193)),0),
      IFERROR(MAX(FILTER('REGISTRO PROD. v1'!W:W,'REGISTRO PROD. v1'!U:U=B193)),0),
      IFERROR(MAX(FILTER('REGISTRO PROD. v1'!AN:AN,'REGISTRO PROD. v1'!AL:AL=B193)),0),
      IFERROR(MAX(FILTER('REGISTRO PROD. v1'!"&amp;"BE:BE,'REGISTRO PROD. v1'!BC:BC=B193)),0),
      IFERROR(MAX(FILTER('REGISTRO PROD. v1'!BV:BV,'REGISTRO PROD. v1'!BT:BT=B193)),0)
    )&gt;=F193,
    ""SI"",
    ""EN PROCESO""
  )
)
"),"NO")</f>
        <v>NO</v>
      </c>
      <c r="F193" s="132" t="s">
        <v>65</v>
      </c>
    </row>
    <row r="194" spans="1:6" ht="15" x14ac:dyDescent="0.25">
      <c r="A194" s="127"/>
      <c r="B194" s="130">
        <v>191</v>
      </c>
      <c r="C194" s="131">
        <v>2007</v>
      </c>
      <c r="D194" s="131" t="s">
        <v>110</v>
      </c>
      <c r="E194" s="131" t="str">
        <f ca="1">IFERROR(__xludf.DUMMYFUNCTION("IF(
  MAX(
    IFERROR(MAX(FILTER('REGISTRO PROD. v1'!F:F,'REGISTRO PROD. v1'!D:D=B194)),0),
    IFERROR(MAX(FILTER('REGISTRO PROD. v1'!W:W,'REGISTRO PROD. v1'!U:U=B194)),0),
    IFERROR(MAX(FILTER('REGISTRO PROD. v1'!AN:AN,'REGISTRO PROD. v1'!AL:AL=B194)"&amp;"),0),
    IFERROR(MAX(FILTER('REGISTRO PROD. v1'!BE:BE,'REGISTRO PROD. v1'!BC:BC=B194)),0),
    IFERROR(MAX(FILTER('REGISTRO PROD. v1'!BV:BV,'REGISTRO PROD. v1'!BT:BT=B194)),0)
  )=0,
  ""NO"",
  IF(
    MAX(
      IFERROR(MAX(FILTER('REGISTRO PROD. v1'!F"&amp;":F,'REGISTRO PROD. v1'!D:D=B194)),0),
      IFERROR(MAX(FILTER('REGISTRO PROD. v1'!W:W,'REGISTRO PROD. v1'!U:U=B194)),0),
      IFERROR(MAX(FILTER('REGISTRO PROD. v1'!AN:AN,'REGISTRO PROD. v1'!AL:AL=B194)),0),
      IFERROR(MAX(FILTER('REGISTRO PROD. v1'!"&amp;"BE:BE,'REGISTRO PROD. v1'!BC:BC=B194)),0),
      IFERROR(MAX(FILTER('REGISTRO PROD. v1'!BV:BV,'REGISTRO PROD. v1'!BT:BT=B194)),0)
    )&gt;=F194,
    ""SI"",
    ""EN PROCESO""
  )
)
"),"NO")</f>
        <v>NO</v>
      </c>
      <c r="F194" s="132" t="s">
        <v>65</v>
      </c>
    </row>
    <row r="195" spans="1:6" ht="15" x14ac:dyDescent="0.25">
      <c r="A195" s="127"/>
      <c r="B195" s="130">
        <v>192</v>
      </c>
      <c r="C195" s="131">
        <v>2007</v>
      </c>
      <c r="D195" s="131" t="s">
        <v>111</v>
      </c>
      <c r="E195" s="131" t="str">
        <f ca="1">IFERROR(__xludf.DUMMYFUNCTION("IF(
  MAX(
    IFERROR(MAX(FILTER('REGISTRO PROD. v1'!F:F,'REGISTRO PROD. v1'!D:D=B195)),0),
    IFERROR(MAX(FILTER('REGISTRO PROD. v1'!W:W,'REGISTRO PROD. v1'!U:U=B195)),0),
    IFERROR(MAX(FILTER('REGISTRO PROD. v1'!AN:AN,'REGISTRO PROD. v1'!AL:AL=B195)"&amp;"),0),
    IFERROR(MAX(FILTER('REGISTRO PROD. v1'!BE:BE,'REGISTRO PROD. v1'!BC:BC=B195)),0),
    IFERROR(MAX(FILTER('REGISTRO PROD. v1'!BV:BV,'REGISTRO PROD. v1'!BT:BT=B195)),0)
  )=0,
  ""NO"",
  IF(
    MAX(
      IFERROR(MAX(FILTER('REGISTRO PROD. v1'!F"&amp;":F,'REGISTRO PROD. v1'!D:D=B195)),0),
      IFERROR(MAX(FILTER('REGISTRO PROD. v1'!W:W,'REGISTRO PROD. v1'!U:U=B195)),0),
      IFERROR(MAX(FILTER('REGISTRO PROD. v1'!AN:AN,'REGISTRO PROD. v1'!AL:AL=B195)),0),
      IFERROR(MAX(FILTER('REGISTRO PROD. v1'!"&amp;"BE:BE,'REGISTRO PROD. v1'!BC:BC=B195)),0),
      IFERROR(MAX(FILTER('REGISTRO PROD. v1'!BV:BV,'REGISTRO PROD. v1'!BT:BT=B195)),0)
    )&gt;=F195,
    ""SI"",
    ""EN PROCESO""
  )
)
"),"NO")</f>
        <v>NO</v>
      </c>
      <c r="F195" s="132" t="s">
        <v>65</v>
      </c>
    </row>
    <row r="196" spans="1:6" ht="15" x14ac:dyDescent="0.25">
      <c r="A196" s="127"/>
      <c r="B196" s="130">
        <v>193</v>
      </c>
      <c r="C196" s="131">
        <v>2007</v>
      </c>
      <c r="D196" s="131" t="s">
        <v>112</v>
      </c>
      <c r="E196" s="131" t="str">
        <f ca="1">IFERROR(__xludf.DUMMYFUNCTION("IF(
  MAX(
    IFERROR(MAX(FILTER('REGISTRO PROD. v1'!F:F,'REGISTRO PROD. v1'!D:D=B196)),0),
    IFERROR(MAX(FILTER('REGISTRO PROD. v1'!W:W,'REGISTRO PROD. v1'!U:U=B196)),0),
    IFERROR(MAX(FILTER('REGISTRO PROD. v1'!AN:AN,'REGISTRO PROD. v1'!AL:AL=B196)"&amp;"),0),
    IFERROR(MAX(FILTER('REGISTRO PROD. v1'!BE:BE,'REGISTRO PROD. v1'!BC:BC=B196)),0),
    IFERROR(MAX(FILTER('REGISTRO PROD. v1'!BV:BV,'REGISTRO PROD. v1'!BT:BT=B196)),0)
  )=0,
  ""NO"",
  IF(
    MAX(
      IFERROR(MAX(FILTER('REGISTRO PROD. v1'!F"&amp;":F,'REGISTRO PROD. v1'!D:D=B196)),0),
      IFERROR(MAX(FILTER('REGISTRO PROD. v1'!W:W,'REGISTRO PROD. v1'!U:U=B196)),0),
      IFERROR(MAX(FILTER('REGISTRO PROD. v1'!AN:AN,'REGISTRO PROD. v1'!AL:AL=B196)),0),
      IFERROR(MAX(FILTER('REGISTRO PROD. v1'!"&amp;"BE:BE,'REGISTRO PROD. v1'!BC:BC=B196)),0),
      IFERROR(MAX(FILTER('REGISTRO PROD. v1'!BV:BV,'REGISTRO PROD. v1'!BT:BT=B196)),0)
    )&gt;=F196,
    ""SI"",
    ""EN PROCESO""
  )
)
"),"NO")</f>
        <v>NO</v>
      </c>
      <c r="F196" s="132" t="s">
        <v>65</v>
      </c>
    </row>
    <row r="197" spans="1:6" ht="15" x14ac:dyDescent="0.25">
      <c r="A197" s="127"/>
      <c r="B197" s="130">
        <v>194</v>
      </c>
      <c r="C197" s="131">
        <v>2007</v>
      </c>
      <c r="D197" s="131" t="s">
        <v>113</v>
      </c>
      <c r="E197" s="131" t="str">
        <f ca="1">IFERROR(__xludf.DUMMYFUNCTION("IF(
  MAX(
    IFERROR(MAX(FILTER('REGISTRO PROD. v1'!F:F,'REGISTRO PROD. v1'!D:D=B197)),0),
    IFERROR(MAX(FILTER('REGISTRO PROD. v1'!W:W,'REGISTRO PROD. v1'!U:U=B197)),0),
    IFERROR(MAX(FILTER('REGISTRO PROD. v1'!AN:AN,'REGISTRO PROD. v1'!AL:AL=B197)"&amp;"),0),
    IFERROR(MAX(FILTER('REGISTRO PROD. v1'!BE:BE,'REGISTRO PROD. v1'!BC:BC=B197)),0),
    IFERROR(MAX(FILTER('REGISTRO PROD. v1'!BV:BV,'REGISTRO PROD. v1'!BT:BT=B197)),0)
  )=0,
  ""NO"",
  IF(
    MAX(
      IFERROR(MAX(FILTER('REGISTRO PROD. v1'!F"&amp;":F,'REGISTRO PROD. v1'!D:D=B197)),0),
      IFERROR(MAX(FILTER('REGISTRO PROD. v1'!W:W,'REGISTRO PROD. v1'!U:U=B197)),0),
      IFERROR(MAX(FILTER('REGISTRO PROD. v1'!AN:AN,'REGISTRO PROD. v1'!AL:AL=B197)),0),
      IFERROR(MAX(FILTER('REGISTRO PROD. v1'!"&amp;"BE:BE,'REGISTRO PROD. v1'!BC:BC=B197)),0),
      IFERROR(MAX(FILTER('REGISTRO PROD. v1'!BV:BV,'REGISTRO PROD. v1'!BT:BT=B197)),0)
    )&gt;=F197,
    ""SI"",
    ""EN PROCESO""
  )
)
"),"NO")</f>
        <v>NO</v>
      </c>
      <c r="F197" s="132" t="s">
        <v>65</v>
      </c>
    </row>
    <row r="198" spans="1:6" ht="15" x14ac:dyDescent="0.25">
      <c r="A198" s="127"/>
      <c r="B198" s="130">
        <v>195</v>
      </c>
      <c r="C198" s="131">
        <v>2007</v>
      </c>
      <c r="D198" s="131" t="s">
        <v>114</v>
      </c>
      <c r="E198" s="131" t="str">
        <f ca="1">IFERROR(__xludf.DUMMYFUNCTION("IF(
  MAX(
    IFERROR(MAX(FILTER('REGISTRO PROD. v1'!F:F,'REGISTRO PROD. v1'!D:D=B198)),0),
    IFERROR(MAX(FILTER('REGISTRO PROD. v1'!W:W,'REGISTRO PROD. v1'!U:U=B198)),0),
    IFERROR(MAX(FILTER('REGISTRO PROD. v1'!AN:AN,'REGISTRO PROD. v1'!AL:AL=B198)"&amp;"),0),
    IFERROR(MAX(FILTER('REGISTRO PROD. v1'!BE:BE,'REGISTRO PROD. v1'!BC:BC=B198)),0),
    IFERROR(MAX(FILTER('REGISTRO PROD. v1'!BV:BV,'REGISTRO PROD. v1'!BT:BT=B198)),0)
  )=0,
  ""NO"",
  IF(
    MAX(
      IFERROR(MAX(FILTER('REGISTRO PROD. v1'!F"&amp;":F,'REGISTRO PROD. v1'!D:D=B198)),0),
      IFERROR(MAX(FILTER('REGISTRO PROD. v1'!W:W,'REGISTRO PROD. v1'!U:U=B198)),0),
      IFERROR(MAX(FILTER('REGISTRO PROD. v1'!AN:AN,'REGISTRO PROD. v1'!AL:AL=B198)),0),
      IFERROR(MAX(FILTER('REGISTRO PROD. v1'!"&amp;"BE:BE,'REGISTRO PROD. v1'!BC:BC=B198)),0),
      IFERROR(MAX(FILTER('REGISTRO PROD. v1'!BV:BV,'REGISTRO PROD. v1'!BT:BT=B198)),0)
    )&gt;=F198,
    ""SI"",
    ""EN PROCESO""
  )
)
"),"NO")</f>
        <v>NO</v>
      </c>
      <c r="F198" s="132" t="s">
        <v>65</v>
      </c>
    </row>
    <row r="199" spans="1:6" ht="15" x14ac:dyDescent="0.25">
      <c r="A199" s="127"/>
      <c r="B199" s="130">
        <v>196</v>
      </c>
      <c r="C199" s="131">
        <v>2007</v>
      </c>
      <c r="D199" s="131" t="s">
        <v>115</v>
      </c>
      <c r="E199" s="131" t="str">
        <f ca="1">IFERROR(__xludf.DUMMYFUNCTION("IF(
  MAX(
    IFERROR(MAX(FILTER('REGISTRO PROD. v1'!F:F,'REGISTRO PROD. v1'!D:D=B199)),0),
    IFERROR(MAX(FILTER('REGISTRO PROD. v1'!W:W,'REGISTRO PROD. v1'!U:U=B199)),0),
    IFERROR(MAX(FILTER('REGISTRO PROD. v1'!AN:AN,'REGISTRO PROD. v1'!AL:AL=B199)"&amp;"),0),
    IFERROR(MAX(FILTER('REGISTRO PROD. v1'!BE:BE,'REGISTRO PROD. v1'!BC:BC=B199)),0),
    IFERROR(MAX(FILTER('REGISTRO PROD. v1'!BV:BV,'REGISTRO PROD. v1'!BT:BT=B199)),0)
  )=0,
  ""NO"",
  IF(
    MAX(
      IFERROR(MAX(FILTER('REGISTRO PROD. v1'!F"&amp;":F,'REGISTRO PROD. v1'!D:D=B199)),0),
      IFERROR(MAX(FILTER('REGISTRO PROD. v1'!W:W,'REGISTRO PROD. v1'!U:U=B199)),0),
      IFERROR(MAX(FILTER('REGISTRO PROD. v1'!AN:AN,'REGISTRO PROD. v1'!AL:AL=B199)),0),
      IFERROR(MAX(FILTER('REGISTRO PROD. v1'!"&amp;"BE:BE,'REGISTRO PROD. v1'!BC:BC=B199)),0),
      IFERROR(MAX(FILTER('REGISTRO PROD. v1'!BV:BV,'REGISTRO PROD. v1'!BT:BT=B199)),0)
    )&gt;=F199,
    ""SI"",
    ""EN PROCESO""
  )
)
"),"NO")</f>
        <v>NO</v>
      </c>
      <c r="F199" s="132" t="s">
        <v>65</v>
      </c>
    </row>
    <row r="200" spans="1:6" ht="15" x14ac:dyDescent="0.25">
      <c r="A200" s="127"/>
      <c r="B200" s="130">
        <v>197</v>
      </c>
      <c r="C200" s="131">
        <v>2007</v>
      </c>
      <c r="D200" s="131" t="s">
        <v>116</v>
      </c>
      <c r="E200" s="131" t="str">
        <f ca="1">IFERROR(__xludf.DUMMYFUNCTION("IF(
  MAX(
    IFERROR(MAX(FILTER('REGISTRO PROD. v1'!F:F,'REGISTRO PROD. v1'!D:D=B200)),0),
    IFERROR(MAX(FILTER('REGISTRO PROD. v1'!W:W,'REGISTRO PROD. v1'!U:U=B200)),0),
    IFERROR(MAX(FILTER('REGISTRO PROD. v1'!AN:AN,'REGISTRO PROD. v1'!AL:AL=B200)"&amp;"),0),
    IFERROR(MAX(FILTER('REGISTRO PROD. v1'!BE:BE,'REGISTRO PROD. v1'!BC:BC=B200)),0),
    IFERROR(MAX(FILTER('REGISTRO PROD. v1'!BV:BV,'REGISTRO PROD. v1'!BT:BT=B200)),0)
  )=0,
  ""NO"",
  IF(
    MAX(
      IFERROR(MAX(FILTER('REGISTRO PROD. v1'!F"&amp;":F,'REGISTRO PROD. v1'!D:D=B200)),0),
      IFERROR(MAX(FILTER('REGISTRO PROD. v1'!W:W,'REGISTRO PROD. v1'!U:U=B200)),0),
      IFERROR(MAX(FILTER('REGISTRO PROD. v1'!AN:AN,'REGISTRO PROD. v1'!AL:AL=B200)),0),
      IFERROR(MAX(FILTER('REGISTRO PROD. v1'!"&amp;"BE:BE,'REGISTRO PROD. v1'!BC:BC=B200)),0),
      IFERROR(MAX(FILTER('REGISTRO PROD. v1'!BV:BV,'REGISTRO PROD. v1'!BT:BT=B200)),0)
    )&gt;=F200,
    ""SI"",
    ""EN PROCESO""
  )
)
"),"NO")</f>
        <v>NO</v>
      </c>
      <c r="F200" s="132" t="s">
        <v>65</v>
      </c>
    </row>
    <row r="201" spans="1:6" ht="15" x14ac:dyDescent="0.25">
      <c r="A201" s="127"/>
      <c r="B201" s="130">
        <v>198</v>
      </c>
      <c r="C201" s="131">
        <v>2007</v>
      </c>
      <c r="D201" s="131" t="s">
        <v>117</v>
      </c>
      <c r="E201" s="131" t="str">
        <f ca="1">IFERROR(__xludf.DUMMYFUNCTION("IF(
  MAX(
    IFERROR(MAX(FILTER('REGISTRO PROD. v1'!F:F,'REGISTRO PROD. v1'!D:D=B201)),0),
    IFERROR(MAX(FILTER('REGISTRO PROD. v1'!W:W,'REGISTRO PROD. v1'!U:U=B201)),0),
    IFERROR(MAX(FILTER('REGISTRO PROD. v1'!AN:AN,'REGISTRO PROD. v1'!AL:AL=B201)"&amp;"),0),
    IFERROR(MAX(FILTER('REGISTRO PROD. v1'!BE:BE,'REGISTRO PROD. v1'!BC:BC=B201)),0),
    IFERROR(MAX(FILTER('REGISTRO PROD. v1'!BV:BV,'REGISTRO PROD. v1'!BT:BT=B201)),0)
  )=0,
  ""NO"",
  IF(
    MAX(
      IFERROR(MAX(FILTER('REGISTRO PROD. v1'!F"&amp;":F,'REGISTRO PROD. v1'!D:D=B201)),0),
      IFERROR(MAX(FILTER('REGISTRO PROD. v1'!W:W,'REGISTRO PROD. v1'!U:U=B201)),0),
      IFERROR(MAX(FILTER('REGISTRO PROD. v1'!AN:AN,'REGISTRO PROD. v1'!AL:AL=B201)),0),
      IFERROR(MAX(FILTER('REGISTRO PROD. v1'!"&amp;"BE:BE,'REGISTRO PROD. v1'!BC:BC=B201)),0),
      IFERROR(MAX(FILTER('REGISTRO PROD. v1'!BV:BV,'REGISTRO PROD. v1'!BT:BT=B201)),0)
    )&gt;=F201,
    ""SI"",
    ""EN PROCESO""
  )
)
"),"NO")</f>
        <v>NO</v>
      </c>
      <c r="F201" s="132" t="s">
        <v>65</v>
      </c>
    </row>
    <row r="202" spans="1:6" ht="15" x14ac:dyDescent="0.25">
      <c r="A202" s="127"/>
      <c r="B202" s="130">
        <v>199</v>
      </c>
      <c r="C202" s="131">
        <v>2007</v>
      </c>
      <c r="D202" s="131" t="s">
        <v>118</v>
      </c>
      <c r="E202" s="131" t="str">
        <f ca="1">IFERROR(__xludf.DUMMYFUNCTION("IF(
  MAX(
    IFERROR(MAX(FILTER('REGISTRO PROD. v1'!F:F,'REGISTRO PROD. v1'!D:D=B202)),0),
    IFERROR(MAX(FILTER('REGISTRO PROD. v1'!W:W,'REGISTRO PROD. v1'!U:U=B202)),0),
    IFERROR(MAX(FILTER('REGISTRO PROD. v1'!AN:AN,'REGISTRO PROD. v1'!AL:AL=B202)"&amp;"),0),
    IFERROR(MAX(FILTER('REGISTRO PROD. v1'!BE:BE,'REGISTRO PROD. v1'!BC:BC=B202)),0),
    IFERROR(MAX(FILTER('REGISTRO PROD. v1'!BV:BV,'REGISTRO PROD. v1'!BT:BT=B202)),0)
  )=0,
  ""NO"",
  IF(
    MAX(
      IFERROR(MAX(FILTER('REGISTRO PROD. v1'!F"&amp;":F,'REGISTRO PROD. v1'!D:D=B202)),0),
      IFERROR(MAX(FILTER('REGISTRO PROD. v1'!W:W,'REGISTRO PROD. v1'!U:U=B202)),0),
      IFERROR(MAX(FILTER('REGISTRO PROD. v1'!AN:AN,'REGISTRO PROD. v1'!AL:AL=B202)),0),
      IFERROR(MAX(FILTER('REGISTRO PROD. v1'!"&amp;"BE:BE,'REGISTRO PROD. v1'!BC:BC=B202)),0),
      IFERROR(MAX(FILTER('REGISTRO PROD. v1'!BV:BV,'REGISTRO PROD. v1'!BT:BT=B202)),0)
    )&gt;=F202,
    ""SI"",
    ""EN PROCESO""
  )
)
"),"NO")</f>
        <v>NO</v>
      </c>
      <c r="F202" s="132" t="s">
        <v>65</v>
      </c>
    </row>
    <row r="203" spans="1:6" ht="15" x14ac:dyDescent="0.25">
      <c r="A203" s="127"/>
      <c r="B203" s="130">
        <v>200</v>
      </c>
      <c r="C203" s="131">
        <v>2007</v>
      </c>
      <c r="D203" s="131" t="s">
        <v>119</v>
      </c>
      <c r="E203" s="131" t="str">
        <f ca="1">IFERROR(__xludf.DUMMYFUNCTION("IF(
  MAX(
    IFERROR(MAX(FILTER('REGISTRO PROD. v1'!F:F,'REGISTRO PROD. v1'!D:D=B203)),0),
    IFERROR(MAX(FILTER('REGISTRO PROD. v1'!W:W,'REGISTRO PROD. v1'!U:U=B203)),0),
    IFERROR(MAX(FILTER('REGISTRO PROD. v1'!AN:AN,'REGISTRO PROD. v1'!AL:AL=B203)"&amp;"),0),
    IFERROR(MAX(FILTER('REGISTRO PROD. v1'!BE:BE,'REGISTRO PROD. v1'!BC:BC=B203)),0),
    IFERROR(MAX(FILTER('REGISTRO PROD. v1'!BV:BV,'REGISTRO PROD. v1'!BT:BT=B203)),0)
  )=0,
  ""NO"",
  IF(
    MAX(
      IFERROR(MAX(FILTER('REGISTRO PROD. v1'!F"&amp;":F,'REGISTRO PROD. v1'!D:D=B203)),0),
      IFERROR(MAX(FILTER('REGISTRO PROD. v1'!W:W,'REGISTRO PROD. v1'!U:U=B203)),0),
      IFERROR(MAX(FILTER('REGISTRO PROD. v1'!AN:AN,'REGISTRO PROD. v1'!AL:AL=B203)),0),
      IFERROR(MAX(FILTER('REGISTRO PROD. v1'!"&amp;"BE:BE,'REGISTRO PROD. v1'!BC:BC=B203)),0),
      IFERROR(MAX(FILTER('REGISTRO PROD. v1'!BV:BV,'REGISTRO PROD. v1'!BT:BT=B203)),0)
    )&gt;=F203,
    ""SI"",
    ""EN PROCESO""
  )
)
"),"NO")</f>
        <v>NO</v>
      </c>
      <c r="F203" s="132" t="s">
        <v>65</v>
      </c>
    </row>
    <row r="204" spans="1:6" ht="15" x14ac:dyDescent="0.25">
      <c r="A204" s="127"/>
      <c r="B204" s="130">
        <v>201</v>
      </c>
      <c r="C204" s="131">
        <v>2007</v>
      </c>
      <c r="D204" s="131" t="s">
        <v>121</v>
      </c>
      <c r="E204" s="131" t="str">
        <f ca="1">IFERROR(__xludf.DUMMYFUNCTION("IF(
  MAX(
    IFERROR(MAX(FILTER('REGISTRO PROD. v1'!F:F,'REGISTRO PROD. v1'!D:D=B204)),0),
    IFERROR(MAX(FILTER('REGISTRO PROD. v1'!W:W,'REGISTRO PROD. v1'!U:U=B204)),0),
    IFERROR(MAX(FILTER('REGISTRO PROD. v1'!AN:AN,'REGISTRO PROD. v1'!AL:AL=B204)"&amp;"),0),
    IFERROR(MAX(FILTER('REGISTRO PROD. v1'!BE:BE,'REGISTRO PROD. v1'!BC:BC=B204)),0),
    IFERROR(MAX(FILTER('REGISTRO PROD. v1'!BV:BV,'REGISTRO PROD. v1'!BT:BT=B204)),0)
  )=0,
  ""NO"",
  IF(
    MAX(
      IFERROR(MAX(FILTER('REGISTRO PROD. v1'!F"&amp;":F,'REGISTRO PROD. v1'!D:D=B204)),0),
      IFERROR(MAX(FILTER('REGISTRO PROD. v1'!W:W,'REGISTRO PROD. v1'!U:U=B204)),0),
      IFERROR(MAX(FILTER('REGISTRO PROD. v1'!AN:AN,'REGISTRO PROD. v1'!AL:AL=B204)),0),
      IFERROR(MAX(FILTER('REGISTRO PROD. v1'!"&amp;"BE:BE,'REGISTRO PROD. v1'!BC:BC=B204)),0),
      IFERROR(MAX(FILTER('REGISTRO PROD. v1'!BV:BV,'REGISTRO PROD. v1'!BT:BT=B204)),0)
    )&gt;=F204,
    ""SI"",
    ""EN PROCESO""
  )
)
"),"NO")</f>
        <v>NO</v>
      </c>
      <c r="F204" s="132" t="s">
        <v>65</v>
      </c>
    </row>
    <row r="205" spans="1:6" ht="15" x14ac:dyDescent="0.25">
      <c r="A205" s="127"/>
      <c r="B205" s="130">
        <v>202</v>
      </c>
      <c r="C205" s="131">
        <v>2008</v>
      </c>
      <c r="D205" s="131" t="s">
        <v>122</v>
      </c>
      <c r="E205" s="131" t="str">
        <f ca="1">IFERROR(__xludf.DUMMYFUNCTION("IF(
  MAX(
    IFERROR(MAX(FILTER('REGISTRO PROD. v1'!F:F,'REGISTRO PROD. v1'!D:D=B205)),0),
    IFERROR(MAX(FILTER('REGISTRO PROD. v1'!W:W,'REGISTRO PROD. v1'!U:U=B205)),0),
    IFERROR(MAX(FILTER('REGISTRO PROD. v1'!AN:AN,'REGISTRO PROD. v1'!AL:AL=B205)"&amp;"),0),
    IFERROR(MAX(FILTER('REGISTRO PROD. v1'!BE:BE,'REGISTRO PROD. v1'!BC:BC=B205)),0),
    IFERROR(MAX(FILTER('REGISTRO PROD. v1'!BV:BV,'REGISTRO PROD. v1'!BT:BT=B205)),0)
  )=0,
  ""NO"",
  IF(
    MAX(
      IFERROR(MAX(FILTER('REGISTRO PROD. v1'!F"&amp;":F,'REGISTRO PROD. v1'!D:D=B205)),0),
      IFERROR(MAX(FILTER('REGISTRO PROD. v1'!W:W,'REGISTRO PROD. v1'!U:U=B205)),0),
      IFERROR(MAX(FILTER('REGISTRO PROD. v1'!AN:AN,'REGISTRO PROD. v1'!AL:AL=B205)),0),
      IFERROR(MAX(FILTER('REGISTRO PROD. v1'!"&amp;"BE:BE,'REGISTRO PROD. v1'!BC:BC=B205)),0),
      IFERROR(MAX(FILTER('REGISTRO PROD. v1'!BV:BV,'REGISTRO PROD. v1'!BT:BT=B205)),0)
    )&gt;=F205,
    ""SI"",
    ""EN PROCESO""
  )
)
"),"NO")</f>
        <v>NO</v>
      </c>
      <c r="F205" s="132" t="s">
        <v>65</v>
      </c>
    </row>
    <row r="206" spans="1:6" ht="15" x14ac:dyDescent="0.25">
      <c r="A206" s="127"/>
      <c r="B206" s="130">
        <v>203</v>
      </c>
      <c r="C206" s="131">
        <v>2008</v>
      </c>
      <c r="D206" s="131" t="s">
        <v>123</v>
      </c>
      <c r="E206" s="131" t="str">
        <f ca="1">IFERROR(__xludf.DUMMYFUNCTION("IF(
  MAX(
    IFERROR(MAX(FILTER('REGISTRO PROD. v1'!F:F,'REGISTRO PROD. v1'!D:D=B206)),0),
    IFERROR(MAX(FILTER('REGISTRO PROD. v1'!W:W,'REGISTRO PROD. v1'!U:U=B206)),0),
    IFERROR(MAX(FILTER('REGISTRO PROD. v1'!AN:AN,'REGISTRO PROD. v1'!AL:AL=B206)"&amp;"),0),
    IFERROR(MAX(FILTER('REGISTRO PROD. v1'!BE:BE,'REGISTRO PROD. v1'!BC:BC=B206)),0),
    IFERROR(MAX(FILTER('REGISTRO PROD. v1'!BV:BV,'REGISTRO PROD. v1'!BT:BT=B206)),0)
  )=0,
  ""NO"",
  IF(
    MAX(
      IFERROR(MAX(FILTER('REGISTRO PROD. v1'!F"&amp;":F,'REGISTRO PROD. v1'!D:D=B206)),0),
      IFERROR(MAX(FILTER('REGISTRO PROD. v1'!W:W,'REGISTRO PROD. v1'!U:U=B206)),0),
      IFERROR(MAX(FILTER('REGISTRO PROD. v1'!AN:AN,'REGISTRO PROD. v1'!AL:AL=B206)),0),
      IFERROR(MAX(FILTER('REGISTRO PROD. v1'!"&amp;"BE:BE,'REGISTRO PROD. v1'!BC:BC=B206)),0),
      IFERROR(MAX(FILTER('REGISTRO PROD. v1'!BV:BV,'REGISTRO PROD. v1'!BT:BT=B206)),0)
    )&gt;=F206,
    ""SI"",
    ""EN PROCESO""
  )
)
"),"NO")</f>
        <v>NO</v>
      </c>
      <c r="F206" s="132" t="s">
        <v>65</v>
      </c>
    </row>
    <row r="207" spans="1:6" ht="15" x14ac:dyDescent="0.25">
      <c r="A207" s="127"/>
      <c r="B207" s="130">
        <v>204</v>
      </c>
      <c r="C207" s="131">
        <v>2008</v>
      </c>
      <c r="D207" s="131" t="s">
        <v>124</v>
      </c>
      <c r="E207" s="131" t="str">
        <f ca="1">IFERROR(__xludf.DUMMYFUNCTION("IF(
  MAX(
    IFERROR(MAX(FILTER('REGISTRO PROD. v1'!F:F,'REGISTRO PROD. v1'!D:D=B207)),0),
    IFERROR(MAX(FILTER('REGISTRO PROD. v1'!W:W,'REGISTRO PROD. v1'!U:U=B207)),0),
    IFERROR(MAX(FILTER('REGISTRO PROD. v1'!AN:AN,'REGISTRO PROD. v1'!AL:AL=B207)"&amp;"),0),
    IFERROR(MAX(FILTER('REGISTRO PROD. v1'!BE:BE,'REGISTRO PROD. v1'!BC:BC=B207)),0),
    IFERROR(MAX(FILTER('REGISTRO PROD. v1'!BV:BV,'REGISTRO PROD. v1'!BT:BT=B207)),0)
  )=0,
  ""NO"",
  IF(
    MAX(
      IFERROR(MAX(FILTER('REGISTRO PROD. v1'!F"&amp;":F,'REGISTRO PROD. v1'!D:D=B207)),0),
      IFERROR(MAX(FILTER('REGISTRO PROD. v1'!W:W,'REGISTRO PROD. v1'!U:U=B207)),0),
      IFERROR(MAX(FILTER('REGISTRO PROD. v1'!AN:AN,'REGISTRO PROD. v1'!AL:AL=B207)),0),
      IFERROR(MAX(FILTER('REGISTRO PROD. v1'!"&amp;"BE:BE,'REGISTRO PROD. v1'!BC:BC=B207)),0),
      IFERROR(MAX(FILTER('REGISTRO PROD. v1'!BV:BV,'REGISTRO PROD. v1'!BT:BT=B207)),0)
    )&gt;=F207,
    ""SI"",
    ""EN PROCESO""
  )
)
"),"NO")</f>
        <v>NO</v>
      </c>
      <c r="F207" s="132" t="s">
        <v>65</v>
      </c>
    </row>
    <row r="208" spans="1:6" ht="15" x14ac:dyDescent="0.25">
      <c r="A208" s="127"/>
      <c r="B208" s="130">
        <v>205</v>
      </c>
      <c r="C208" s="131">
        <v>2008</v>
      </c>
      <c r="D208" s="131" t="s">
        <v>125</v>
      </c>
      <c r="E208" s="131" t="str">
        <f ca="1">IFERROR(__xludf.DUMMYFUNCTION("IF(
  MAX(
    IFERROR(MAX(FILTER('REGISTRO PROD. v1'!F:F,'REGISTRO PROD. v1'!D:D=B208)),0),
    IFERROR(MAX(FILTER('REGISTRO PROD. v1'!W:W,'REGISTRO PROD. v1'!U:U=B208)),0),
    IFERROR(MAX(FILTER('REGISTRO PROD. v1'!AN:AN,'REGISTRO PROD. v1'!AL:AL=B208)"&amp;"),0),
    IFERROR(MAX(FILTER('REGISTRO PROD. v1'!BE:BE,'REGISTRO PROD. v1'!BC:BC=B208)),0),
    IFERROR(MAX(FILTER('REGISTRO PROD. v1'!BV:BV,'REGISTRO PROD. v1'!BT:BT=B208)),0)
  )=0,
  ""NO"",
  IF(
    MAX(
      IFERROR(MAX(FILTER('REGISTRO PROD. v1'!F"&amp;":F,'REGISTRO PROD. v1'!D:D=B208)),0),
      IFERROR(MAX(FILTER('REGISTRO PROD. v1'!W:W,'REGISTRO PROD. v1'!U:U=B208)),0),
      IFERROR(MAX(FILTER('REGISTRO PROD. v1'!AN:AN,'REGISTRO PROD. v1'!AL:AL=B208)),0),
      IFERROR(MAX(FILTER('REGISTRO PROD. v1'!"&amp;"BE:BE,'REGISTRO PROD. v1'!BC:BC=B208)),0),
      IFERROR(MAX(FILTER('REGISTRO PROD. v1'!BV:BV,'REGISTRO PROD. v1'!BT:BT=B208)),0)
    )&gt;=F208,
    ""SI"",
    ""EN PROCESO""
  )
)
"),"NO")</f>
        <v>NO</v>
      </c>
      <c r="F208" s="132" t="s">
        <v>65</v>
      </c>
    </row>
    <row r="209" spans="1:6" ht="15" x14ac:dyDescent="0.25">
      <c r="A209" s="127"/>
      <c r="B209" s="130">
        <v>206</v>
      </c>
      <c r="C209" s="131">
        <v>2008</v>
      </c>
      <c r="D209" s="131" t="s">
        <v>126</v>
      </c>
      <c r="E209" s="131" t="str">
        <f ca="1">IFERROR(__xludf.DUMMYFUNCTION("IF(
  MAX(
    IFERROR(MAX(FILTER('REGISTRO PROD. v1'!F:F,'REGISTRO PROD. v1'!D:D=B209)),0),
    IFERROR(MAX(FILTER('REGISTRO PROD. v1'!W:W,'REGISTRO PROD. v1'!U:U=B209)),0),
    IFERROR(MAX(FILTER('REGISTRO PROD. v1'!AN:AN,'REGISTRO PROD. v1'!AL:AL=B209)"&amp;"),0),
    IFERROR(MAX(FILTER('REGISTRO PROD. v1'!BE:BE,'REGISTRO PROD. v1'!BC:BC=B209)),0),
    IFERROR(MAX(FILTER('REGISTRO PROD. v1'!BV:BV,'REGISTRO PROD. v1'!BT:BT=B209)),0)
  )=0,
  ""NO"",
  IF(
    MAX(
      IFERROR(MAX(FILTER('REGISTRO PROD. v1'!F"&amp;":F,'REGISTRO PROD. v1'!D:D=B209)),0),
      IFERROR(MAX(FILTER('REGISTRO PROD. v1'!W:W,'REGISTRO PROD. v1'!U:U=B209)),0),
      IFERROR(MAX(FILTER('REGISTRO PROD. v1'!AN:AN,'REGISTRO PROD. v1'!AL:AL=B209)),0),
      IFERROR(MAX(FILTER('REGISTRO PROD. v1'!"&amp;"BE:BE,'REGISTRO PROD. v1'!BC:BC=B209)),0),
      IFERROR(MAX(FILTER('REGISTRO PROD. v1'!BV:BV,'REGISTRO PROD. v1'!BT:BT=B209)),0)
    )&gt;=F209,
    ""SI"",
    ""EN PROCESO""
  )
)
"),"NO")</f>
        <v>NO</v>
      </c>
      <c r="F209" s="132" t="s">
        <v>65</v>
      </c>
    </row>
    <row r="210" spans="1:6" ht="15" x14ac:dyDescent="0.25">
      <c r="A210" s="127"/>
      <c r="B210" s="130">
        <v>207</v>
      </c>
      <c r="C210" s="131">
        <v>2008</v>
      </c>
      <c r="D210" s="131" t="s">
        <v>128</v>
      </c>
      <c r="E210" s="131" t="str">
        <f ca="1">IFERROR(__xludf.DUMMYFUNCTION("IF(
  MAX(
    IFERROR(MAX(FILTER('REGISTRO PROD. v1'!F:F,'REGISTRO PROD. v1'!D:D=B210)),0),
    IFERROR(MAX(FILTER('REGISTRO PROD. v1'!W:W,'REGISTRO PROD. v1'!U:U=B210)),0),
    IFERROR(MAX(FILTER('REGISTRO PROD. v1'!AN:AN,'REGISTRO PROD. v1'!AL:AL=B210)"&amp;"),0),
    IFERROR(MAX(FILTER('REGISTRO PROD. v1'!BE:BE,'REGISTRO PROD. v1'!BC:BC=B210)),0),
    IFERROR(MAX(FILTER('REGISTRO PROD. v1'!BV:BV,'REGISTRO PROD. v1'!BT:BT=B210)),0)
  )=0,
  ""NO"",
  IF(
    MAX(
      IFERROR(MAX(FILTER('REGISTRO PROD. v1'!F"&amp;":F,'REGISTRO PROD. v1'!D:D=B210)),0),
      IFERROR(MAX(FILTER('REGISTRO PROD. v1'!W:W,'REGISTRO PROD. v1'!U:U=B210)),0),
      IFERROR(MAX(FILTER('REGISTRO PROD. v1'!AN:AN,'REGISTRO PROD. v1'!AL:AL=B210)),0),
      IFERROR(MAX(FILTER('REGISTRO PROD. v1'!"&amp;"BE:BE,'REGISTRO PROD. v1'!BC:BC=B210)),0),
      IFERROR(MAX(FILTER('REGISTRO PROD. v1'!BV:BV,'REGISTRO PROD. v1'!BT:BT=B210)),0)
    )&gt;=F210,
    ""SI"",
    ""EN PROCESO""
  )
)
"),"NO")</f>
        <v>NO</v>
      </c>
      <c r="F210" s="132" t="s">
        <v>65</v>
      </c>
    </row>
    <row r="211" spans="1:6" ht="15" x14ac:dyDescent="0.25">
      <c r="A211" s="127"/>
      <c r="B211" s="130">
        <v>208</v>
      </c>
      <c r="C211" s="131">
        <v>2008</v>
      </c>
      <c r="D211" s="131" t="s">
        <v>129</v>
      </c>
      <c r="E211" s="131" t="str">
        <f ca="1">IFERROR(__xludf.DUMMYFUNCTION("IF(
  MAX(
    IFERROR(MAX(FILTER('REGISTRO PROD. v1'!F:F,'REGISTRO PROD. v1'!D:D=B211)),0),
    IFERROR(MAX(FILTER('REGISTRO PROD. v1'!W:W,'REGISTRO PROD. v1'!U:U=B211)),0),
    IFERROR(MAX(FILTER('REGISTRO PROD. v1'!AN:AN,'REGISTRO PROD. v1'!AL:AL=B211)"&amp;"),0),
    IFERROR(MAX(FILTER('REGISTRO PROD. v1'!BE:BE,'REGISTRO PROD. v1'!BC:BC=B211)),0),
    IFERROR(MAX(FILTER('REGISTRO PROD. v1'!BV:BV,'REGISTRO PROD. v1'!BT:BT=B211)),0)
  )=0,
  ""NO"",
  IF(
    MAX(
      IFERROR(MAX(FILTER('REGISTRO PROD. v1'!F"&amp;":F,'REGISTRO PROD. v1'!D:D=B211)),0),
      IFERROR(MAX(FILTER('REGISTRO PROD. v1'!W:W,'REGISTRO PROD. v1'!U:U=B211)),0),
      IFERROR(MAX(FILTER('REGISTRO PROD. v1'!AN:AN,'REGISTRO PROD. v1'!AL:AL=B211)),0),
      IFERROR(MAX(FILTER('REGISTRO PROD. v1'!"&amp;"BE:BE,'REGISTRO PROD. v1'!BC:BC=B211)),0),
      IFERROR(MAX(FILTER('REGISTRO PROD. v1'!BV:BV,'REGISTRO PROD. v1'!BT:BT=B211)),0)
    )&gt;=F211,
    ""SI"",
    ""EN PROCESO""
  )
)
"),"NO")</f>
        <v>NO</v>
      </c>
      <c r="F211" s="132" t="s">
        <v>65</v>
      </c>
    </row>
    <row r="212" spans="1:6" ht="15" x14ac:dyDescent="0.25">
      <c r="A212" s="127"/>
      <c r="B212" s="130">
        <v>209</v>
      </c>
      <c r="C212" s="131">
        <v>2008</v>
      </c>
      <c r="D212" s="131" t="s">
        <v>130</v>
      </c>
      <c r="E212" s="131" t="str">
        <f ca="1">IFERROR(__xludf.DUMMYFUNCTION("IF(
  MAX(
    IFERROR(MAX(FILTER('REGISTRO PROD. v1'!F:F,'REGISTRO PROD. v1'!D:D=B212)),0),
    IFERROR(MAX(FILTER('REGISTRO PROD. v1'!W:W,'REGISTRO PROD. v1'!U:U=B212)),0),
    IFERROR(MAX(FILTER('REGISTRO PROD. v1'!AN:AN,'REGISTRO PROD. v1'!AL:AL=B212)"&amp;"),0),
    IFERROR(MAX(FILTER('REGISTRO PROD. v1'!BE:BE,'REGISTRO PROD. v1'!BC:BC=B212)),0),
    IFERROR(MAX(FILTER('REGISTRO PROD. v1'!BV:BV,'REGISTRO PROD. v1'!BT:BT=B212)),0)
  )=0,
  ""NO"",
  IF(
    MAX(
      IFERROR(MAX(FILTER('REGISTRO PROD. v1'!F"&amp;":F,'REGISTRO PROD. v1'!D:D=B212)),0),
      IFERROR(MAX(FILTER('REGISTRO PROD. v1'!W:W,'REGISTRO PROD. v1'!U:U=B212)),0),
      IFERROR(MAX(FILTER('REGISTRO PROD. v1'!AN:AN,'REGISTRO PROD. v1'!AL:AL=B212)),0),
      IFERROR(MAX(FILTER('REGISTRO PROD. v1'!"&amp;"BE:BE,'REGISTRO PROD. v1'!BC:BC=B212)),0),
      IFERROR(MAX(FILTER('REGISTRO PROD. v1'!BV:BV,'REGISTRO PROD. v1'!BT:BT=B212)),0)
    )&gt;=F212,
    ""SI"",
    ""EN PROCESO""
  )
)
"),"NO")</f>
        <v>NO</v>
      </c>
      <c r="F212" s="132" t="s">
        <v>65</v>
      </c>
    </row>
    <row r="213" spans="1:6" ht="15" x14ac:dyDescent="0.25">
      <c r="A213" s="127"/>
      <c r="B213" s="130">
        <v>210</v>
      </c>
      <c r="C213" s="131">
        <v>2008</v>
      </c>
      <c r="D213" s="131" t="s">
        <v>131</v>
      </c>
      <c r="E213" s="131" t="str">
        <f ca="1">IFERROR(__xludf.DUMMYFUNCTION("IF(
  MAX(
    IFERROR(MAX(FILTER('REGISTRO PROD. v1'!F:F,'REGISTRO PROD. v1'!D:D=B213)),0),
    IFERROR(MAX(FILTER('REGISTRO PROD. v1'!W:W,'REGISTRO PROD. v1'!U:U=B213)),0),
    IFERROR(MAX(FILTER('REGISTRO PROD. v1'!AN:AN,'REGISTRO PROD. v1'!AL:AL=B213)"&amp;"),0),
    IFERROR(MAX(FILTER('REGISTRO PROD. v1'!BE:BE,'REGISTRO PROD. v1'!BC:BC=B213)),0),
    IFERROR(MAX(FILTER('REGISTRO PROD. v1'!BV:BV,'REGISTRO PROD. v1'!BT:BT=B213)),0)
  )=0,
  ""NO"",
  IF(
    MAX(
      IFERROR(MAX(FILTER('REGISTRO PROD. v1'!F"&amp;":F,'REGISTRO PROD. v1'!D:D=B213)),0),
      IFERROR(MAX(FILTER('REGISTRO PROD. v1'!W:W,'REGISTRO PROD. v1'!U:U=B213)),0),
      IFERROR(MAX(FILTER('REGISTRO PROD. v1'!AN:AN,'REGISTRO PROD. v1'!AL:AL=B213)),0),
      IFERROR(MAX(FILTER('REGISTRO PROD. v1'!"&amp;"BE:BE,'REGISTRO PROD. v1'!BC:BC=B213)),0),
      IFERROR(MAX(FILTER('REGISTRO PROD. v1'!BV:BV,'REGISTRO PROD. v1'!BT:BT=B213)),0)
    )&gt;=F213,
    ""SI"",
    ""EN PROCESO""
  )
)
"),"NO")</f>
        <v>NO</v>
      </c>
      <c r="F213" s="132" t="s">
        <v>65</v>
      </c>
    </row>
    <row r="214" spans="1:6" ht="15" x14ac:dyDescent="0.25">
      <c r="A214" s="127"/>
      <c r="B214" s="130">
        <v>211</v>
      </c>
      <c r="C214" s="131">
        <v>2008</v>
      </c>
      <c r="D214" s="131" t="s">
        <v>132</v>
      </c>
      <c r="E214" s="131" t="str">
        <f ca="1">IFERROR(__xludf.DUMMYFUNCTION("IF(
  MAX(
    IFERROR(MAX(FILTER('REGISTRO PROD. v1'!F:F,'REGISTRO PROD. v1'!D:D=B214)),0),
    IFERROR(MAX(FILTER('REGISTRO PROD. v1'!W:W,'REGISTRO PROD. v1'!U:U=B214)),0),
    IFERROR(MAX(FILTER('REGISTRO PROD. v1'!AN:AN,'REGISTRO PROD. v1'!AL:AL=B214)"&amp;"),0),
    IFERROR(MAX(FILTER('REGISTRO PROD. v1'!BE:BE,'REGISTRO PROD. v1'!BC:BC=B214)),0),
    IFERROR(MAX(FILTER('REGISTRO PROD. v1'!BV:BV,'REGISTRO PROD. v1'!BT:BT=B214)),0)
  )=0,
  ""NO"",
  IF(
    MAX(
      IFERROR(MAX(FILTER('REGISTRO PROD. v1'!F"&amp;":F,'REGISTRO PROD. v1'!D:D=B214)),0),
      IFERROR(MAX(FILTER('REGISTRO PROD. v1'!W:W,'REGISTRO PROD. v1'!U:U=B214)),0),
      IFERROR(MAX(FILTER('REGISTRO PROD. v1'!AN:AN,'REGISTRO PROD. v1'!AL:AL=B214)),0),
      IFERROR(MAX(FILTER('REGISTRO PROD. v1'!"&amp;"BE:BE,'REGISTRO PROD. v1'!BC:BC=B214)),0),
      IFERROR(MAX(FILTER('REGISTRO PROD. v1'!BV:BV,'REGISTRO PROD. v1'!BT:BT=B214)),0)
    )&gt;=F214,
    ""SI"",
    ""EN PROCESO""
  )
)
"),"NO")</f>
        <v>NO</v>
      </c>
      <c r="F214" s="132" t="s">
        <v>65</v>
      </c>
    </row>
    <row r="215" spans="1:6" ht="15" x14ac:dyDescent="0.25">
      <c r="A215" s="127"/>
      <c r="B215" s="130">
        <v>212</v>
      </c>
      <c r="C215" s="131">
        <v>2008</v>
      </c>
      <c r="D215" s="131" t="s">
        <v>133</v>
      </c>
      <c r="E215" s="131" t="str">
        <f ca="1">IFERROR(__xludf.DUMMYFUNCTION("IF(
  MAX(
    IFERROR(MAX(FILTER('REGISTRO PROD. v1'!F:F,'REGISTRO PROD. v1'!D:D=B215)),0),
    IFERROR(MAX(FILTER('REGISTRO PROD. v1'!W:W,'REGISTRO PROD. v1'!U:U=B215)),0),
    IFERROR(MAX(FILTER('REGISTRO PROD. v1'!AN:AN,'REGISTRO PROD. v1'!AL:AL=B215)"&amp;"),0),
    IFERROR(MAX(FILTER('REGISTRO PROD. v1'!BE:BE,'REGISTRO PROD. v1'!BC:BC=B215)),0),
    IFERROR(MAX(FILTER('REGISTRO PROD. v1'!BV:BV,'REGISTRO PROD. v1'!BT:BT=B215)),0)
  )=0,
  ""NO"",
  IF(
    MAX(
      IFERROR(MAX(FILTER('REGISTRO PROD. v1'!F"&amp;":F,'REGISTRO PROD. v1'!D:D=B215)),0),
      IFERROR(MAX(FILTER('REGISTRO PROD. v1'!W:W,'REGISTRO PROD. v1'!U:U=B215)),0),
      IFERROR(MAX(FILTER('REGISTRO PROD. v1'!AN:AN,'REGISTRO PROD. v1'!AL:AL=B215)),0),
      IFERROR(MAX(FILTER('REGISTRO PROD. v1'!"&amp;"BE:BE,'REGISTRO PROD. v1'!BC:BC=B215)),0),
      IFERROR(MAX(FILTER('REGISTRO PROD. v1'!BV:BV,'REGISTRO PROD. v1'!BT:BT=B215)),0)
    )&gt;=F215,
    ""SI"",
    ""EN PROCESO""
  )
)
"),"NO")</f>
        <v>NO</v>
      </c>
      <c r="F215" s="132" t="s">
        <v>65</v>
      </c>
    </row>
    <row r="216" spans="1:6" ht="15" x14ac:dyDescent="0.25">
      <c r="A216" s="127"/>
      <c r="B216" s="130">
        <v>213</v>
      </c>
      <c r="C216" s="131">
        <v>2008</v>
      </c>
      <c r="D216" s="131" t="s">
        <v>134</v>
      </c>
      <c r="E216" s="131" t="str">
        <f ca="1">IFERROR(__xludf.DUMMYFUNCTION("IF(
  MAX(
    IFERROR(MAX(FILTER('REGISTRO PROD. v1'!F:F,'REGISTRO PROD. v1'!D:D=B216)),0),
    IFERROR(MAX(FILTER('REGISTRO PROD. v1'!W:W,'REGISTRO PROD. v1'!U:U=B216)),0),
    IFERROR(MAX(FILTER('REGISTRO PROD. v1'!AN:AN,'REGISTRO PROD. v1'!AL:AL=B216)"&amp;"),0),
    IFERROR(MAX(FILTER('REGISTRO PROD. v1'!BE:BE,'REGISTRO PROD. v1'!BC:BC=B216)),0),
    IFERROR(MAX(FILTER('REGISTRO PROD. v1'!BV:BV,'REGISTRO PROD. v1'!BT:BT=B216)),0)
  )=0,
  ""NO"",
  IF(
    MAX(
      IFERROR(MAX(FILTER('REGISTRO PROD. v1'!F"&amp;":F,'REGISTRO PROD. v1'!D:D=B216)),0),
      IFERROR(MAX(FILTER('REGISTRO PROD. v1'!W:W,'REGISTRO PROD. v1'!U:U=B216)),0),
      IFERROR(MAX(FILTER('REGISTRO PROD. v1'!AN:AN,'REGISTRO PROD. v1'!AL:AL=B216)),0),
      IFERROR(MAX(FILTER('REGISTRO PROD. v1'!"&amp;"BE:BE,'REGISTRO PROD. v1'!BC:BC=B216)),0),
      IFERROR(MAX(FILTER('REGISTRO PROD. v1'!BV:BV,'REGISTRO PROD. v1'!BT:BT=B216)),0)
    )&gt;=F216,
    ""SI"",
    ""EN PROCESO""
  )
)
"),"NO")</f>
        <v>NO</v>
      </c>
      <c r="F216" s="132" t="s">
        <v>65</v>
      </c>
    </row>
    <row r="217" spans="1:6" ht="15" x14ac:dyDescent="0.25">
      <c r="A217" s="127"/>
      <c r="B217" s="130">
        <v>214</v>
      </c>
      <c r="C217" s="131">
        <v>2008</v>
      </c>
      <c r="D217" s="131" t="s">
        <v>135</v>
      </c>
      <c r="E217" s="131" t="str">
        <f ca="1">IFERROR(__xludf.DUMMYFUNCTION("IF(
  MAX(
    IFERROR(MAX(FILTER('REGISTRO PROD. v1'!F:F,'REGISTRO PROD. v1'!D:D=B217)),0),
    IFERROR(MAX(FILTER('REGISTRO PROD. v1'!W:W,'REGISTRO PROD. v1'!U:U=B217)),0),
    IFERROR(MAX(FILTER('REGISTRO PROD. v1'!AN:AN,'REGISTRO PROD. v1'!AL:AL=B217)"&amp;"),0),
    IFERROR(MAX(FILTER('REGISTRO PROD. v1'!BE:BE,'REGISTRO PROD. v1'!BC:BC=B217)),0),
    IFERROR(MAX(FILTER('REGISTRO PROD. v1'!BV:BV,'REGISTRO PROD. v1'!BT:BT=B217)),0)
  )=0,
  ""NO"",
  IF(
    MAX(
      IFERROR(MAX(FILTER('REGISTRO PROD. v1'!F"&amp;":F,'REGISTRO PROD. v1'!D:D=B217)),0),
      IFERROR(MAX(FILTER('REGISTRO PROD. v1'!W:W,'REGISTRO PROD. v1'!U:U=B217)),0),
      IFERROR(MAX(FILTER('REGISTRO PROD. v1'!AN:AN,'REGISTRO PROD. v1'!AL:AL=B217)),0),
      IFERROR(MAX(FILTER('REGISTRO PROD. v1'!"&amp;"BE:BE,'REGISTRO PROD. v1'!BC:BC=B217)),0),
      IFERROR(MAX(FILTER('REGISTRO PROD. v1'!BV:BV,'REGISTRO PROD. v1'!BT:BT=B217)),0)
    )&gt;=F217,
    ""SI"",
    ""EN PROCESO""
  )
)
"),"NO")</f>
        <v>NO</v>
      </c>
      <c r="F217" s="132" t="s">
        <v>65</v>
      </c>
    </row>
    <row r="218" spans="1:6" ht="15" x14ac:dyDescent="0.25">
      <c r="A218" s="127"/>
      <c r="B218" s="130">
        <v>215</v>
      </c>
      <c r="C218" s="131">
        <v>2008</v>
      </c>
      <c r="D218" s="131" t="s">
        <v>136</v>
      </c>
      <c r="E218" s="131" t="str">
        <f ca="1">IFERROR(__xludf.DUMMYFUNCTION("IF(
  MAX(
    IFERROR(MAX(FILTER('REGISTRO PROD. v1'!F:F,'REGISTRO PROD. v1'!D:D=B218)),0),
    IFERROR(MAX(FILTER('REGISTRO PROD. v1'!W:W,'REGISTRO PROD. v1'!U:U=B218)),0),
    IFERROR(MAX(FILTER('REGISTRO PROD. v1'!AN:AN,'REGISTRO PROD. v1'!AL:AL=B218)"&amp;"),0),
    IFERROR(MAX(FILTER('REGISTRO PROD. v1'!BE:BE,'REGISTRO PROD. v1'!BC:BC=B218)),0),
    IFERROR(MAX(FILTER('REGISTRO PROD. v1'!BV:BV,'REGISTRO PROD. v1'!BT:BT=B218)),0)
  )=0,
  ""NO"",
  IF(
    MAX(
      IFERROR(MAX(FILTER('REGISTRO PROD. v1'!F"&amp;":F,'REGISTRO PROD. v1'!D:D=B218)),0),
      IFERROR(MAX(FILTER('REGISTRO PROD. v1'!W:W,'REGISTRO PROD. v1'!U:U=B218)),0),
      IFERROR(MAX(FILTER('REGISTRO PROD. v1'!AN:AN,'REGISTRO PROD. v1'!AL:AL=B218)),0),
      IFERROR(MAX(FILTER('REGISTRO PROD. v1'!"&amp;"BE:BE,'REGISTRO PROD. v1'!BC:BC=B218)),0),
      IFERROR(MAX(FILTER('REGISTRO PROD. v1'!BV:BV,'REGISTRO PROD. v1'!BT:BT=B218)),0)
    )&gt;=F218,
    ""SI"",
    ""EN PROCESO""
  )
)
"),"NO")</f>
        <v>NO</v>
      </c>
      <c r="F218" s="132" t="s">
        <v>65</v>
      </c>
    </row>
    <row r="219" spans="1:6" ht="15" x14ac:dyDescent="0.25">
      <c r="A219" s="127"/>
      <c r="B219" s="130">
        <v>216</v>
      </c>
      <c r="C219" s="131">
        <v>2008</v>
      </c>
      <c r="D219" s="131" t="s">
        <v>137</v>
      </c>
      <c r="E219" s="131" t="str">
        <f ca="1">IFERROR(__xludf.DUMMYFUNCTION("IF(
  MAX(
    IFERROR(MAX(FILTER('REGISTRO PROD. v1'!F:F,'REGISTRO PROD. v1'!D:D=B219)),0),
    IFERROR(MAX(FILTER('REGISTRO PROD. v1'!W:W,'REGISTRO PROD. v1'!U:U=B219)),0),
    IFERROR(MAX(FILTER('REGISTRO PROD. v1'!AN:AN,'REGISTRO PROD. v1'!AL:AL=B219)"&amp;"),0),
    IFERROR(MAX(FILTER('REGISTRO PROD. v1'!BE:BE,'REGISTRO PROD. v1'!BC:BC=B219)),0),
    IFERROR(MAX(FILTER('REGISTRO PROD. v1'!BV:BV,'REGISTRO PROD. v1'!BT:BT=B219)),0)
  )=0,
  ""NO"",
  IF(
    MAX(
      IFERROR(MAX(FILTER('REGISTRO PROD. v1'!F"&amp;":F,'REGISTRO PROD. v1'!D:D=B219)),0),
      IFERROR(MAX(FILTER('REGISTRO PROD. v1'!W:W,'REGISTRO PROD. v1'!U:U=B219)),0),
      IFERROR(MAX(FILTER('REGISTRO PROD. v1'!AN:AN,'REGISTRO PROD. v1'!AL:AL=B219)),0),
      IFERROR(MAX(FILTER('REGISTRO PROD. v1'!"&amp;"BE:BE,'REGISTRO PROD. v1'!BC:BC=B219)),0),
      IFERROR(MAX(FILTER('REGISTRO PROD. v1'!BV:BV,'REGISTRO PROD. v1'!BT:BT=B219)),0)
    )&gt;=F219,
    ""SI"",
    ""EN PROCESO""
  )
)
"),"NO")</f>
        <v>NO</v>
      </c>
      <c r="F219" s="132" t="s">
        <v>65</v>
      </c>
    </row>
    <row r="220" spans="1:6" ht="15" x14ac:dyDescent="0.25">
      <c r="A220" s="127"/>
      <c r="B220" s="130">
        <v>217</v>
      </c>
      <c r="C220" s="131">
        <v>2008</v>
      </c>
      <c r="D220" s="131" t="s">
        <v>138</v>
      </c>
      <c r="E220" s="131" t="str">
        <f ca="1">IFERROR(__xludf.DUMMYFUNCTION("IF(
  MAX(
    IFERROR(MAX(FILTER('REGISTRO PROD. v1'!F:F,'REGISTRO PROD. v1'!D:D=B220)),0),
    IFERROR(MAX(FILTER('REGISTRO PROD. v1'!W:W,'REGISTRO PROD. v1'!U:U=B220)),0),
    IFERROR(MAX(FILTER('REGISTRO PROD. v1'!AN:AN,'REGISTRO PROD. v1'!AL:AL=B220)"&amp;"),0),
    IFERROR(MAX(FILTER('REGISTRO PROD. v1'!BE:BE,'REGISTRO PROD. v1'!BC:BC=B220)),0),
    IFERROR(MAX(FILTER('REGISTRO PROD. v1'!BV:BV,'REGISTRO PROD. v1'!BT:BT=B220)),0)
  )=0,
  ""NO"",
  IF(
    MAX(
      IFERROR(MAX(FILTER('REGISTRO PROD. v1'!F"&amp;":F,'REGISTRO PROD. v1'!D:D=B220)),0),
      IFERROR(MAX(FILTER('REGISTRO PROD. v1'!W:W,'REGISTRO PROD. v1'!U:U=B220)),0),
      IFERROR(MAX(FILTER('REGISTRO PROD. v1'!AN:AN,'REGISTRO PROD. v1'!AL:AL=B220)),0),
      IFERROR(MAX(FILTER('REGISTRO PROD. v1'!"&amp;"BE:BE,'REGISTRO PROD. v1'!BC:BC=B220)),0),
      IFERROR(MAX(FILTER('REGISTRO PROD. v1'!BV:BV,'REGISTRO PROD. v1'!BT:BT=B220)),0)
    )&gt;=F220,
    ""SI"",
    ""EN PROCESO""
  )
)
"),"NO")</f>
        <v>NO</v>
      </c>
      <c r="F220" s="132" t="s">
        <v>65</v>
      </c>
    </row>
    <row r="221" spans="1:6" ht="15" x14ac:dyDescent="0.25">
      <c r="A221" s="127"/>
      <c r="B221" s="130">
        <v>218</v>
      </c>
      <c r="C221" s="131">
        <v>2008</v>
      </c>
      <c r="D221" s="131" t="s">
        <v>139</v>
      </c>
      <c r="E221" s="131" t="str">
        <f ca="1">IFERROR(__xludf.DUMMYFUNCTION("IF(
  MAX(
    IFERROR(MAX(FILTER('REGISTRO PROD. v1'!F:F,'REGISTRO PROD. v1'!D:D=B221)),0),
    IFERROR(MAX(FILTER('REGISTRO PROD. v1'!W:W,'REGISTRO PROD. v1'!U:U=B221)),0),
    IFERROR(MAX(FILTER('REGISTRO PROD. v1'!AN:AN,'REGISTRO PROD. v1'!AL:AL=B221)"&amp;"),0),
    IFERROR(MAX(FILTER('REGISTRO PROD. v1'!BE:BE,'REGISTRO PROD. v1'!BC:BC=B221)),0),
    IFERROR(MAX(FILTER('REGISTRO PROD. v1'!BV:BV,'REGISTRO PROD. v1'!BT:BT=B221)),0)
  )=0,
  ""NO"",
  IF(
    MAX(
      IFERROR(MAX(FILTER('REGISTRO PROD. v1'!F"&amp;":F,'REGISTRO PROD. v1'!D:D=B221)),0),
      IFERROR(MAX(FILTER('REGISTRO PROD. v1'!W:W,'REGISTRO PROD. v1'!U:U=B221)),0),
      IFERROR(MAX(FILTER('REGISTRO PROD. v1'!AN:AN,'REGISTRO PROD. v1'!AL:AL=B221)),0),
      IFERROR(MAX(FILTER('REGISTRO PROD. v1'!"&amp;"BE:BE,'REGISTRO PROD. v1'!BC:BC=B221)),0),
      IFERROR(MAX(FILTER('REGISTRO PROD. v1'!BV:BV,'REGISTRO PROD. v1'!BT:BT=B221)),0)
    )&gt;=F221,
    ""SI"",
    ""EN PROCESO""
  )
)
"),"NO")</f>
        <v>NO</v>
      </c>
      <c r="F221" s="132" t="s">
        <v>65</v>
      </c>
    </row>
    <row r="222" spans="1:6" ht="15" x14ac:dyDescent="0.25">
      <c r="A222" s="127"/>
      <c r="B222" s="130">
        <v>219</v>
      </c>
      <c r="C222" s="131">
        <v>2008</v>
      </c>
      <c r="D222" s="131" t="s">
        <v>142</v>
      </c>
      <c r="E222" s="131" t="str">
        <f ca="1">IFERROR(__xludf.DUMMYFUNCTION("IF(
  MAX(
    IFERROR(MAX(FILTER('REGISTRO PROD. v1'!F:F,'REGISTRO PROD. v1'!D:D=B222)),0),
    IFERROR(MAX(FILTER('REGISTRO PROD. v1'!W:W,'REGISTRO PROD. v1'!U:U=B222)),0),
    IFERROR(MAX(FILTER('REGISTRO PROD. v1'!AN:AN,'REGISTRO PROD. v1'!AL:AL=B222)"&amp;"),0),
    IFERROR(MAX(FILTER('REGISTRO PROD. v1'!BE:BE,'REGISTRO PROD. v1'!BC:BC=B222)),0),
    IFERROR(MAX(FILTER('REGISTRO PROD. v1'!BV:BV,'REGISTRO PROD. v1'!BT:BT=B222)),0)
  )=0,
  ""NO"",
  IF(
    MAX(
      IFERROR(MAX(FILTER('REGISTRO PROD. v1'!F"&amp;":F,'REGISTRO PROD. v1'!D:D=B222)),0),
      IFERROR(MAX(FILTER('REGISTRO PROD. v1'!W:W,'REGISTRO PROD. v1'!U:U=B222)),0),
      IFERROR(MAX(FILTER('REGISTRO PROD. v1'!AN:AN,'REGISTRO PROD. v1'!AL:AL=B222)),0),
      IFERROR(MAX(FILTER('REGISTRO PROD. v1'!"&amp;"BE:BE,'REGISTRO PROD. v1'!BC:BC=B222)),0),
      IFERROR(MAX(FILTER('REGISTRO PROD. v1'!BV:BV,'REGISTRO PROD. v1'!BT:BT=B222)),0)
    )&gt;=F222,
    ""SI"",
    ""EN PROCESO""
  )
)
"),"NO")</f>
        <v>NO</v>
      </c>
      <c r="F222" s="132" t="s">
        <v>65</v>
      </c>
    </row>
    <row r="223" spans="1:6" ht="15" x14ac:dyDescent="0.25">
      <c r="A223" s="127"/>
      <c r="B223" s="130">
        <v>220</v>
      </c>
      <c r="C223" s="131">
        <v>2008</v>
      </c>
      <c r="D223" s="131" t="s">
        <v>143</v>
      </c>
      <c r="E223" s="131" t="str">
        <f ca="1">IFERROR(__xludf.DUMMYFUNCTION("IF(
  MAX(
    IFERROR(MAX(FILTER('REGISTRO PROD. v1'!F:F,'REGISTRO PROD. v1'!D:D=B223)),0),
    IFERROR(MAX(FILTER('REGISTRO PROD. v1'!W:W,'REGISTRO PROD. v1'!U:U=B223)),0),
    IFERROR(MAX(FILTER('REGISTRO PROD. v1'!AN:AN,'REGISTRO PROD. v1'!AL:AL=B223)"&amp;"),0),
    IFERROR(MAX(FILTER('REGISTRO PROD. v1'!BE:BE,'REGISTRO PROD. v1'!BC:BC=B223)),0),
    IFERROR(MAX(FILTER('REGISTRO PROD. v1'!BV:BV,'REGISTRO PROD. v1'!BT:BT=B223)),0)
  )=0,
  ""NO"",
  IF(
    MAX(
      IFERROR(MAX(FILTER('REGISTRO PROD. v1'!F"&amp;":F,'REGISTRO PROD. v1'!D:D=B223)),0),
      IFERROR(MAX(FILTER('REGISTRO PROD. v1'!W:W,'REGISTRO PROD. v1'!U:U=B223)),0),
      IFERROR(MAX(FILTER('REGISTRO PROD. v1'!AN:AN,'REGISTRO PROD. v1'!AL:AL=B223)),0),
      IFERROR(MAX(FILTER('REGISTRO PROD. v1'!"&amp;"BE:BE,'REGISTRO PROD. v1'!BC:BC=B223)),0),
      IFERROR(MAX(FILTER('REGISTRO PROD. v1'!BV:BV,'REGISTRO PROD. v1'!BT:BT=B223)),0)
    )&gt;=F223,
    ""SI"",
    ""EN PROCESO""
  )
)
"),"NO")</f>
        <v>NO</v>
      </c>
      <c r="F223" s="132" t="s">
        <v>65</v>
      </c>
    </row>
    <row r="224" spans="1:6" ht="15" x14ac:dyDescent="0.25">
      <c r="A224" s="127"/>
      <c r="B224" s="130">
        <v>221</v>
      </c>
      <c r="C224" s="131">
        <v>2008</v>
      </c>
      <c r="D224" s="131" t="s">
        <v>144</v>
      </c>
      <c r="E224" s="131" t="str">
        <f ca="1">IFERROR(__xludf.DUMMYFUNCTION("IF(
  MAX(
    IFERROR(MAX(FILTER('REGISTRO PROD. v1'!F:F,'REGISTRO PROD. v1'!D:D=B224)),0),
    IFERROR(MAX(FILTER('REGISTRO PROD. v1'!W:W,'REGISTRO PROD. v1'!U:U=B224)),0),
    IFERROR(MAX(FILTER('REGISTRO PROD. v1'!AN:AN,'REGISTRO PROD. v1'!AL:AL=B224)"&amp;"),0),
    IFERROR(MAX(FILTER('REGISTRO PROD. v1'!BE:BE,'REGISTRO PROD. v1'!BC:BC=B224)),0),
    IFERROR(MAX(FILTER('REGISTRO PROD. v1'!BV:BV,'REGISTRO PROD. v1'!BT:BT=B224)),0)
  )=0,
  ""NO"",
  IF(
    MAX(
      IFERROR(MAX(FILTER('REGISTRO PROD. v1'!F"&amp;":F,'REGISTRO PROD. v1'!D:D=B224)),0),
      IFERROR(MAX(FILTER('REGISTRO PROD. v1'!W:W,'REGISTRO PROD. v1'!U:U=B224)),0),
      IFERROR(MAX(FILTER('REGISTRO PROD. v1'!AN:AN,'REGISTRO PROD. v1'!AL:AL=B224)),0),
      IFERROR(MAX(FILTER('REGISTRO PROD. v1'!"&amp;"BE:BE,'REGISTRO PROD. v1'!BC:BC=B224)),0),
      IFERROR(MAX(FILTER('REGISTRO PROD. v1'!BV:BV,'REGISTRO PROD. v1'!BT:BT=B224)),0)
    )&gt;=F224,
    ""SI"",
    ""EN PROCESO""
  )
)
"),"NO")</f>
        <v>NO</v>
      </c>
      <c r="F224" s="132" t="s">
        <v>65</v>
      </c>
    </row>
    <row r="225" spans="1:6" ht="15" x14ac:dyDescent="0.25">
      <c r="A225" s="127"/>
      <c r="B225" s="130">
        <v>222</v>
      </c>
      <c r="C225" s="131">
        <v>2008</v>
      </c>
      <c r="D225" s="131" t="s">
        <v>145</v>
      </c>
      <c r="E225" s="131" t="str">
        <f ca="1">IFERROR(__xludf.DUMMYFUNCTION("IF(
  MAX(
    IFERROR(MAX(FILTER('REGISTRO PROD. v1'!F:F,'REGISTRO PROD. v1'!D:D=B225)),0),
    IFERROR(MAX(FILTER('REGISTRO PROD. v1'!W:W,'REGISTRO PROD. v1'!U:U=B225)),0),
    IFERROR(MAX(FILTER('REGISTRO PROD. v1'!AN:AN,'REGISTRO PROD. v1'!AL:AL=B225)"&amp;"),0),
    IFERROR(MAX(FILTER('REGISTRO PROD. v1'!BE:BE,'REGISTRO PROD. v1'!BC:BC=B225)),0),
    IFERROR(MAX(FILTER('REGISTRO PROD. v1'!BV:BV,'REGISTRO PROD. v1'!BT:BT=B225)),0)
  )=0,
  ""NO"",
  IF(
    MAX(
      IFERROR(MAX(FILTER('REGISTRO PROD. v1'!F"&amp;":F,'REGISTRO PROD. v1'!D:D=B225)),0),
      IFERROR(MAX(FILTER('REGISTRO PROD. v1'!W:W,'REGISTRO PROD. v1'!U:U=B225)),0),
      IFERROR(MAX(FILTER('REGISTRO PROD. v1'!AN:AN,'REGISTRO PROD. v1'!AL:AL=B225)),0),
      IFERROR(MAX(FILTER('REGISTRO PROD. v1'!"&amp;"BE:BE,'REGISTRO PROD. v1'!BC:BC=B225)),0),
      IFERROR(MAX(FILTER('REGISTRO PROD. v1'!BV:BV,'REGISTRO PROD. v1'!BT:BT=B225)),0)
    )&gt;=F225,
    ""SI"",
    ""EN PROCESO""
  )
)
"),"NO")</f>
        <v>NO</v>
      </c>
      <c r="F225" s="132" t="s">
        <v>65</v>
      </c>
    </row>
    <row r="226" spans="1:6" ht="15" x14ac:dyDescent="0.25">
      <c r="A226" s="127"/>
      <c r="B226" s="130">
        <v>223</v>
      </c>
      <c r="C226" s="131">
        <v>2008</v>
      </c>
      <c r="D226" s="131" t="s">
        <v>146</v>
      </c>
      <c r="E226" s="131" t="str">
        <f ca="1">IFERROR(__xludf.DUMMYFUNCTION("IF(
  MAX(
    IFERROR(MAX(FILTER('REGISTRO PROD. v1'!F:F,'REGISTRO PROD. v1'!D:D=B226)),0),
    IFERROR(MAX(FILTER('REGISTRO PROD. v1'!W:W,'REGISTRO PROD. v1'!U:U=B226)),0),
    IFERROR(MAX(FILTER('REGISTRO PROD. v1'!AN:AN,'REGISTRO PROD. v1'!AL:AL=B226)"&amp;"),0),
    IFERROR(MAX(FILTER('REGISTRO PROD. v1'!BE:BE,'REGISTRO PROD. v1'!BC:BC=B226)),0),
    IFERROR(MAX(FILTER('REGISTRO PROD. v1'!BV:BV,'REGISTRO PROD. v1'!BT:BT=B226)),0)
  )=0,
  ""NO"",
  IF(
    MAX(
      IFERROR(MAX(FILTER('REGISTRO PROD. v1'!F"&amp;":F,'REGISTRO PROD. v1'!D:D=B226)),0),
      IFERROR(MAX(FILTER('REGISTRO PROD. v1'!W:W,'REGISTRO PROD. v1'!U:U=B226)),0),
      IFERROR(MAX(FILTER('REGISTRO PROD. v1'!AN:AN,'REGISTRO PROD. v1'!AL:AL=B226)),0),
      IFERROR(MAX(FILTER('REGISTRO PROD. v1'!"&amp;"BE:BE,'REGISTRO PROD. v1'!BC:BC=B226)),0),
      IFERROR(MAX(FILTER('REGISTRO PROD. v1'!BV:BV,'REGISTRO PROD. v1'!BT:BT=B226)),0)
    )&gt;=F226,
    ""SI"",
    ""EN PROCESO""
  )
)
"),"NO")</f>
        <v>NO</v>
      </c>
      <c r="F226" s="132" t="s">
        <v>65</v>
      </c>
    </row>
    <row r="227" spans="1:6" ht="15" x14ac:dyDescent="0.25">
      <c r="A227" s="127"/>
      <c r="B227" s="130">
        <v>224</v>
      </c>
      <c r="C227" s="131">
        <v>2008</v>
      </c>
      <c r="D227" s="131" t="s">
        <v>147</v>
      </c>
      <c r="E227" s="131" t="str">
        <f ca="1">IFERROR(__xludf.DUMMYFUNCTION("IF(
  MAX(
    IFERROR(MAX(FILTER('REGISTRO PROD. v1'!F:F,'REGISTRO PROD. v1'!D:D=B227)),0),
    IFERROR(MAX(FILTER('REGISTRO PROD. v1'!W:W,'REGISTRO PROD. v1'!U:U=B227)),0),
    IFERROR(MAX(FILTER('REGISTRO PROD. v1'!AN:AN,'REGISTRO PROD. v1'!AL:AL=B227)"&amp;"),0),
    IFERROR(MAX(FILTER('REGISTRO PROD. v1'!BE:BE,'REGISTRO PROD. v1'!BC:BC=B227)),0),
    IFERROR(MAX(FILTER('REGISTRO PROD. v1'!BV:BV,'REGISTRO PROD. v1'!BT:BT=B227)),0)
  )=0,
  ""NO"",
  IF(
    MAX(
      IFERROR(MAX(FILTER('REGISTRO PROD. v1'!F"&amp;":F,'REGISTRO PROD. v1'!D:D=B227)),0),
      IFERROR(MAX(FILTER('REGISTRO PROD. v1'!W:W,'REGISTRO PROD. v1'!U:U=B227)),0),
      IFERROR(MAX(FILTER('REGISTRO PROD. v1'!AN:AN,'REGISTRO PROD. v1'!AL:AL=B227)),0),
      IFERROR(MAX(FILTER('REGISTRO PROD. v1'!"&amp;"BE:BE,'REGISTRO PROD. v1'!BC:BC=B227)),0),
      IFERROR(MAX(FILTER('REGISTRO PROD. v1'!BV:BV,'REGISTRO PROD. v1'!BT:BT=B227)),0)
    )&gt;=F227,
    ""SI"",
    ""EN PROCESO""
  )
)
"),"NO")</f>
        <v>NO</v>
      </c>
      <c r="F227" s="132" t="s">
        <v>65</v>
      </c>
    </row>
    <row r="228" spans="1:6" ht="15" x14ac:dyDescent="0.25">
      <c r="A228" s="127"/>
      <c r="B228" s="130">
        <v>225</v>
      </c>
      <c r="C228" s="131">
        <v>2008</v>
      </c>
      <c r="D228" s="131" t="s">
        <v>148</v>
      </c>
      <c r="E228" s="131" t="str">
        <f ca="1">IFERROR(__xludf.DUMMYFUNCTION("IF(
  MAX(
    IFERROR(MAX(FILTER('REGISTRO PROD. v1'!F:F,'REGISTRO PROD. v1'!D:D=B228)),0),
    IFERROR(MAX(FILTER('REGISTRO PROD. v1'!W:W,'REGISTRO PROD. v1'!U:U=B228)),0),
    IFERROR(MAX(FILTER('REGISTRO PROD. v1'!AN:AN,'REGISTRO PROD. v1'!AL:AL=B228)"&amp;"),0),
    IFERROR(MAX(FILTER('REGISTRO PROD. v1'!BE:BE,'REGISTRO PROD. v1'!BC:BC=B228)),0),
    IFERROR(MAX(FILTER('REGISTRO PROD. v1'!BV:BV,'REGISTRO PROD. v1'!BT:BT=B228)),0)
  )=0,
  ""NO"",
  IF(
    MAX(
      IFERROR(MAX(FILTER('REGISTRO PROD. v1'!F"&amp;":F,'REGISTRO PROD. v1'!D:D=B228)),0),
      IFERROR(MAX(FILTER('REGISTRO PROD. v1'!W:W,'REGISTRO PROD. v1'!U:U=B228)),0),
      IFERROR(MAX(FILTER('REGISTRO PROD. v1'!AN:AN,'REGISTRO PROD. v1'!AL:AL=B228)),0),
      IFERROR(MAX(FILTER('REGISTRO PROD. v1'!"&amp;"BE:BE,'REGISTRO PROD. v1'!BC:BC=B228)),0),
      IFERROR(MAX(FILTER('REGISTRO PROD. v1'!BV:BV,'REGISTRO PROD. v1'!BT:BT=B228)),0)
    )&gt;=F228,
    ""SI"",
    ""EN PROCESO""
  )
)
"),"NO")</f>
        <v>NO</v>
      </c>
      <c r="F228" s="132" t="s">
        <v>65</v>
      </c>
    </row>
    <row r="229" spans="1:6" ht="15" x14ac:dyDescent="0.25">
      <c r="A229" s="127"/>
      <c r="B229" s="130">
        <v>226</v>
      </c>
      <c r="C229" s="131">
        <v>2008</v>
      </c>
      <c r="D229" s="131" t="s">
        <v>149</v>
      </c>
      <c r="E229" s="131" t="str">
        <f ca="1">IFERROR(__xludf.DUMMYFUNCTION("IF(
  MAX(
    IFERROR(MAX(FILTER('REGISTRO PROD. v1'!F:F,'REGISTRO PROD. v1'!D:D=B229)),0),
    IFERROR(MAX(FILTER('REGISTRO PROD. v1'!W:W,'REGISTRO PROD. v1'!U:U=B229)),0),
    IFERROR(MAX(FILTER('REGISTRO PROD. v1'!AN:AN,'REGISTRO PROD. v1'!AL:AL=B229)"&amp;"),0),
    IFERROR(MAX(FILTER('REGISTRO PROD. v1'!BE:BE,'REGISTRO PROD. v1'!BC:BC=B229)),0),
    IFERROR(MAX(FILTER('REGISTRO PROD. v1'!BV:BV,'REGISTRO PROD. v1'!BT:BT=B229)),0)
  )=0,
  ""NO"",
  IF(
    MAX(
      IFERROR(MAX(FILTER('REGISTRO PROD. v1'!F"&amp;":F,'REGISTRO PROD. v1'!D:D=B229)),0),
      IFERROR(MAX(FILTER('REGISTRO PROD. v1'!W:W,'REGISTRO PROD. v1'!U:U=B229)),0),
      IFERROR(MAX(FILTER('REGISTRO PROD. v1'!AN:AN,'REGISTRO PROD. v1'!AL:AL=B229)),0),
      IFERROR(MAX(FILTER('REGISTRO PROD. v1'!"&amp;"BE:BE,'REGISTRO PROD. v1'!BC:BC=B229)),0),
      IFERROR(MAX(FILTER('REGISTRO PROD. v1'!BV:BV,'REGISTRO PROD. v1'!BT:BT=B229)),0)
    )&gt;=F229,
    ""SI"",
    ""EN PROCESO""
  )
)
"),"NO")</f>
        <v>NO</v>
      </c>
      <c r="F229" s="132" t="s">
        <v>65</v>
      </c>
    </row>
    <row r="230" spans="1:6" ht="15" x14ac:dyDescent="0.25">
      <c r="A230" s="127"/>
      <c r="B230" s="130">
        <v>227</v>
      </c>
      <c r="C230" s="131">
        <v>2008</v>
      </c>
      <c r="D230" s="131" t="s">
        <v>150</v>
      </c>
      <c r="E230" s="131" t="str">
        <f ca="1">IFERROR(__xludf.DUMMYFUNCTION("IF(
  MAX(
    IFERROR(MAX(FILTER('REGISTRO PROD. v1'!F:F,'REGISTRO PROD. v1'!D:D=B230)),0),
    IFERROR(MAX(FILTER('REGISTRO PROD. v1'!W:W,'REGISTRO PROD. v1'!U:U=B230)),0),
    IFERROR(MAX(FILTER('REGISTRO PROD. v1'!AN:AN,'REGISTRO PROD. v1'!AL:AL=B230)"&amp;"),0),
    IFERROR(MAX(FILTER('REGISTRO PROD. v1'!BE:BE,'REGISTRO PROD. v1'!BC:BC=B230)),0),
    IFERROR(MAX(FILTER('REGISTRO PROD. v1'!BV:BV,'REGISTRO PROD. v1'!BT:BT=B230)),0)
  )=0,
  ""NO"",
  IF(
    MAX(
      IFERROR(MAX(FILTER('REGISTRO PROD. v1'!F"&amp;":F,'REGISTRO PROD. v1'!D:D=B230)),0),
      IFERROR(MAX(FILTER('REGISTRO PROD. v1'!W:W,'REGISTRO PROD. v1'!U:U=B230)),0),
      IFERROR(MAX(FILTER('REGISTRO PROD. v1'!AN:AN,'REGISTRO PROD. v1'!AL:AL=B230)),0),
      IFERROR(MAX(FILTER('REGISTRO PROD. v1'!"&amp;"BE:BE,'REGISTRO PROD. v1'!BC:BC=B230)),0),
      IFERROR(MAX(FILTER('REGISTRO PROD. v1'!BV:BV,'REGISTRO PROD. v1'!BT:BT=B230)),0)
    )&gt;=F230,
    ""SI"",
    ""EN PROCESO""
  )
)
"),"NO")</f>
        <v>NO</v>
      </c>
      <c r="F230" s="132" t="s">
        <v>65</v>
      </c>
    </row>
    <row r="231" spans="1:6" ht="15" x14ac:dyDescent="0.25">
      <c r="A231" s="127"/>
      <c r="B231" s="130">
        <v>228</v>
      </c>
      <c r="C231" s="131">
        <v>2008</v>
      </c>
      <c r="D231" s="131" t="s">
        <v>151</v>
      </c>
      <c r="E231" s="131" t="str">
        <f ca="1">IFERROR(__xludf.DUMMYFUNCTION("IF(
  MAX(
    IFERROR(MAX(FILTER('REGISTRO PROD. v1'!F:F,'REGISTRO PROD. v1'!D:D=B231)),0),
    IFERROR(MAX(FILTER('REGISTRO PROD. v1'!W:W,'REGISTRO PROD. v1'!U:U=B231)),0),
    IFERROR(MAX(FILTER('REGISTRO PROD. v1'!AN:AN,'REGISTRO PROD. v1'!AL:AL=B231)"&amp;"),0),
    IFERROR(MAX(FILTER('REGISTRO PROD. v1'!BE:BE,'REGISTRO PROD. v1'!BC:BC=B231)),0),
    IFERROR(MAX(FILTER('REGISTRO PROD. v1'!BV:BV,'REGISTRO PROD. v1'!BT:BT=B231)),0)
  )=0,
  ""NO"",
  IF(
    MAX(
      IFERROR(MAX(FILTER('REGISTRO PROD. v1'!F"&amp;":F,'REGISTRO PROD. v1'!D:D=B231)),0),
      IFERROR(MAX(FILTER('REGISTRO PROD. v1'!W:W,'REGISTRO PROD. v1'!U:U=B231)),0),
      IFERROR(MAX(FILTER('REGISTRO PROD. v1'!AN:AN,'REGISTRO PROD. v1'!AL:AL=B231)),0),
      IFERROR(MAX(FILTER('REGISTRO PROD. v1'!"&amp;"BE:BE,'REGISTRO PROD. v1'!BC:BC=B231)),0),
      IFERROR(MAX(FILTER('REGISTRO PROD. v1'!BV:BV,'REGISTRO PROD. v1'!BT:BT=B231)),0)
    )&gt;=F231,
    ""SI"",
    ""EN PROCESO""
  )
)
"),"NO")</f>
        <v>NO</v>
      </c>
      <c r="F231" s="132" t="s">
        <v>65</v>
      </c>
    </row>
    <row r="232" spans="1:6" ht="15" x14ac:dyDescent="0.25">
      <c r="A232" s="127"/>
      <c r="B232" s="130">
        <v>229</v>
      </c>
      <c r="C232" s="131">
        <v>2008</v>
      </c>
      <c r="D232" s="131" t="s">
        <v>152</v>
      </c>
      <c r="E232" s="131" t="str">
        <f ca="1">IFERROR(__xludf.DUMMYFUNCTION("IF(
  MAX(
    IFERROR(MAX(FILTER('REGISTRO PROD. v1'!F:F,'REGISTRO PROD. v1'!D:D=B232)),0),
    IFERROR(MAX(FILTER('REGISTRO PROD. v1'!W:W,'REGISTRO PROD. v1'!U:U=B232)),0),
    IFERROR(MAX(FILTER('REGISTRO PROD. v1'!AN:AN,'REGISTRO PROD. v1'!AL:AL=B232)"&amp;"),0),
    IFERROR(MAX(FILTER('REGISTRO PROD. v1'!BE:BE,'REGISTRO PROD. v1'!BC:BC=B232)),0),
    IFERROR(MAX(FILTER('REGISTRO PROD. v1'!BV:BV,'REGISTRO PROD. v1'!BT:BT=B232)),0)
  )=0,
  ""NO"",
  IF(
    MAX(
      IFERROR(MAX(FILTER('REGISTRO PROD. v1'!F"&amp;":F,'REGISTRO PROD. v1'!D:D=B232)),0),
      IFERROR(MAX(FILTER('REGISTRO PROD. v1'!W:W,'REGISTRO PROD. v1'!U:U=B232)),0),
      IFERROR(MAX(FILTER('REGISTRO PROD. v1'!AN:AN,'REGISTRO PROD. v1'!AL:AL=B232)),0),
      IFERROR(MAX(FILTER('REGISTRO PROD. v1'!"&amp;"BE:BE,'REGISTRO PROD. v1'!BC:BC=B232)),0),
      IFERROR(MAX(FILTER('REGISTRO PROD. v1'!BV:BV,'REGISTRO PROD. v1'!BT:BT=B232)),0)
    )&gt;=F232,
    ""SI"",
    ""EN PROCESO""
  )
)
"),"NO")</f>
        <v>NO</v>
      </c>
      <c r="F232" s="132" t="s">
        <v>65</v>
      </c>
    </row>
    <row r="233" spans="1:6" ht="15" x14ac:dyDescent="0.25">
      <c r="A233" s="127"/>
      <c r="B233" s="130">
        <v>230</v>
      </c>
      <c r="C233" s="131">
        <v>2008</v>
      </c>
      <c r="D233" s="131" t="s">
        <v>153</v>
      </c>
      <c r="E233" s="131" t="str">
        <f ca="1">IFERROR(__xludf.DUMMYFUNCTION("IF(
  MAX(
    IFERROR(MAX(FILTER('REGISTRO PROD. v1'!F:F,'REGISTRO PROD. v1'!D:D=B233)),0),
    IFERROR(MAX(FILTER('REGISTRO PROD. v1'!W:W,'REGISTRO PROD. v1'!U:U=B233)),0),
    IFERROR(MAX(FILTER('REGISTRO PROD. v1'!AN:AN,'REGISTRO PROD. v1'!AL:AL=B233)"&amp;"),0),
    IFERROR(MAX(FILTER('REGISTRO PROD. v1'!BE:BE,'REGISTRO PROD. v1'!BC:BC=B233)),0),
    IFERROR(MAX(FILTER('REGISTRO PROD. v1'!BV:BV,'REGISTRO PROD. v1'!BT:BT=B233)),0)
  )=0,
  ""NO"",
  IF(
    MAX(
      IFERROR(MAX(FILTER('REGISTRO PROD. v1'!F"&amp;":F,'REGISTRO PROD. v1'!D:D=B233)),0),
      IFERROR(MAX(FILTER('REGISTRO PROD. v1'!W:W,'REGISTRO PROD. v1'!U:U=B233)),0),
      IFERROR(MAX(FILTER('REGISTRO PROD. v1'!AN:AN,'REGISTRO PROD. v1'!AL:AL=B233)),0),
      IFERROR(MAX(FILTER('REGISTRO PROD. v1'!"&amp;"BE:BE,'REGISTRO PROD. v1'!BC:BC=B233)),0),
      IFERROR(MAX(FILTER('REGISTRO PROD. v1'!BV:BV,'REGISTRO PROD. v1'!BT:BT=B233)),0)
    )&gt;=F233,
    ""SI"",
    ""EN PROCESO""
  )
)
"),"NO")</f>
        <v>NO</v>
      </c>
      <c r="F233" s="132" t="s">
        <v>65</v>
      </c>
    </row>
    <row r="234" spans="1:6" ht="15" x14ac:dyDescent="0.25">
      <c r="A234" s="127"/>
      <c r="B234" s="130">
        <v>231</v>
      </c>
      <c r="C234" s="131">
        <v>2008</v>
      </c>
      <c r="D234" s="131" t="s">
        <v>154</v>
      </c>
      <c r="E234" s="131" t="str">
        <f ca="1">IFERROR(__xludf.DUMMYFUNCTION("IF(
  MAX(
    IFERROR(MAX(FILTER('REGISTRO PROD. v1'!F:F,'REGISTRO PROD. v1'!D:D=B234)),0),
    IFERROR(MAX(FILTER('REGISTRO PROD. v1'!W:W,'REGISTRO PROD. v1'!U:U=B234)),0),
    IFERROR(MAX(FILTER('REGISTRO PROD. v1'!AN:AN,'REGISTRO PROD. v1'!AL:AL=B234)"&amp;"),0),
    IFERROR(MAX(FILTER('REGISTRO PROD. v1'!BE:BE,'REGISTRO PROD. v1'!BC:BC=B234)),0),
    IFERROR(MAX(FILTER('REGISTRO PROD. v1'!BV:BV,'REGISTRO PROD. v1'!BT:BT=B234)),0)
  )=0,
  ""NO"",
  IF(
    MAX(
      IFERROR(MAX(FILTER('REGISTRO PROD. v1'!F"&amp;":F,'REGISTRO PROD. v1'!D:D=B234)),0),
      IFERROR(MAX(FILTER('REGISTRO PROD. v1'!W:W,'REGISTRO PROD. v1'!U:U=B234)),0),
      IFERROR(MAX(FILTER('REGISTRO PROD. v1'!AN:AN,'REGISTRO PROD. v1'!AL:AL=B234)),0),
      IFERROR(MAX(FILTER('REGISTRO PROD. v1'!"&amp;"BE:BE,'REGISTRO PROD. v1'!BC:BC=B234)),0),
      IFERROR(MAX(FILTER('REGISTRO PROD. v1'!BV:BV,'REGISTRO PROD. v1'!BT:BT=B234)),0)
    )&gt;=F234,
    ""SI"",
    ""EN PROCESO""
  )
)
"),"NO")</f>
        <v>NO</v>
      </c>
      <c r="F234" s="132" t="s">
        <v>65</v>
      </c>
    </row>
    <row r="235" spans="1:6" ht="15" x14ac:dyDescent="0.25">
      <c r="A235" s="127"/>
      <c r="B235" s="130">
        <v>232</v>
      </c>
      <c r="C235" s="131">
        <v>2008</v>
      </c>
      <c r="D235" s="131" t="s">
        <v>155</v>
      </c>
      <c r="E235" s="131" t="str">
        <f ca="1">IFERROR(__xludf.DUMMYFUNCTION("IF(
  MAX(
    IFERROR(MAX(FILTER('REGISTRO PROD. v1'!F:F,'REGISTRO PROD. v1'!D:D=B235)),0),
    IFERROR(MAX(FILTER('REGISTRO PROD. v1'!W:W,'REGISTRO PROD. v1'!U:U=B235)),0),
    IFERROR(MAX(FILTER('REGISTRO PROD. v1'!AN:AN,'REGISTRO PROD. v1'!AL:AL=B235)"&amp;"),0),
    IFERROR(MAX(FILTER('REGISTRO PROD. v1'!BE:BE,'REGISTRO PROD. v1'!BC:BC=B235)),0),
    IFERROR(MAX(FILTER('REGISTRO PROD. v1'!BV:BV,'REGISTRO PROD. v1'!BT:BT=B235)),0)
  )=0,
  ""NO"",
  IF(
    MAX(
      IFERROR(MAX(FILTER('REGISTRO PROD. v1'!F"&amp;":F,'REGISTRO PROD. v1'!D:D=B235)),0),
      IFERROR(MAX(FILTER('REGISTRO PROD. v1'!W:W,'REGISTRO PROD. v1'!U:U=B235)),0),
      IFERROR(MAX(FILTER('REGISTRO PROD. v1'!AN:AN,'REGISTRO PROD. v1'!AL:AL=B235)),0),
      IFERROR(MAX(FILTER('REGISTRO PROD. v1'!"&amp;"BE:BE,'REGISTRO PROD. v1'!BC:BC=B235)),0),
      IFERROR(MAX(FILTER('REGISTRO PROD. v1'!BV:BV,'REGISTRO PROD. v1'!BT:BT=B235)),0)
    )&gt;=F235,
    ""SI"",
    ""EN PROCESO""
  )
)
"),"NO")</f>
        <v>NO</v>
      </c>
      <c r="F235" s="132" t="s">
        <v>65</v>
      </c>
    </row>
    <row r="236" spans="1:6" ht="15" x14ac:dyDescent="0.25">
      <c r="A236" s="127"/>
      <c r="B236" s="130">
        <v>233</v>
      </c>
      <c r="C236" s="131">
        <v>2008</v>
      </c>
      <c r="D236" s="131" t="s">
        <v>156</v>
      </c>
      <c r="E236" s="131" t="str">
        <f ca="1">IFERROR(__xludf.DUMMYFUNCTION("IF(
  MAX(
    IFERROR(MAX(FILTER('REGISTRO PROD. v1'!F:F,'REGISTRO PROD. v1'!D:D=B236)),0),
    IFERROR(MAX(FILTER('REGISTRO PROD. v1'!W:W,'REGISTRO PROD. v1'!U:U=B236)),0),
    IFERROR(MAX(FILTER('REGISTRO PROD. v1'!AN:AN,'REGISTRO PROD. v1'!AL:AL=B236)"&amp;"),0),
    IFERROR(MAX(FILTER('REGISTRO PROD. v1'!BE:BE,'REGISTRO PROD. v1'!BC:BC=B236)),0),
    IFERROR(MAX(FILTER('REGISTRO PROD. v1'!BV:BV,'REGISTRO PROD. v1'!BT:BT=B236)),0)
  )=0,
  ""NO"",
  IF(
    MAX(
      IFERROR(MAX(FILTER('REGISTRO PROD. v1'!F"&amp;":F,'REGISTRO PROD. v1'!D:D=B236)),0),
      IFERROR(MAX(FILTER('REGISTRO PROD. v1'!W:W,'REGISTRO PROD. v1'!U:U=B236)),0),
      IFERROR(MAX(FILTER('REGISTRO PROD. v1'!AN:AN,'REGISTRO PROD. v1'!AL:AL=B236)),0),
      IFERROR(MAX(FILTER('REGISTRO PROD. v1'!"&amp;"BE:BE,'REGISTRO PROD. v1'!BC:BC=B236)),0),
      IFERROR(MAX(FILTER('REGISTRO PROD. v1'!BV:BV,'REGISTRO PROD. v1'!BT:BT=B236)),0)
    )&gt;=F236,
    ""SI"",
    ""EN PROCESO""
  )
)
"),"NO")</f>
        <v>NO</v>
      </c>
      <c r="F236" s="132" t="s">
        <v>65</v>
      </c>
    </row>
    <row r="237" spans="1:6" ht="15" x14ac:dyDescent="0.25">
      <c r="A237" s="127"/>
      <c r="B237" s="130">
        <v>234</v>
      </c>
      <c r="C237" s="131">
        <v>2008</v>
      </c>
      <c r="D237" s="131" t="s">
        <v>157</v>
      </c>
      <c r="E237" s="131" t="str">
        <f ca="1">IFERROR(__xludf.DUMMYFUNCTION("IF(
  MAX(
    IFERROR(MAX(FILTER('REGISTRO PROD. v1'!F:F,'REGISTRO PROD. v1'!D:D=B237)),0),
    IFERROR(MAX(FILTER('REGISTRO PROD. v1'!W:W,'REGISTRO PROD. v1'!U:U=B237)),0),
    IFERROR(MAX(FILTER('REGISTRO PROD. v1'!AN:AN,'REGISTRO PROD. v1'!AL:AL=B237)"&amp;"),0),
    IFERROR(MAX(FILTER('REGISTRO PROD. v1'!BE:BE,'REGISTRO PROD. v1'!BC:BC=B237)),0),
    IFERROR(MAX(FILTER('REGISTRO PROD. v1'!BV:BV,'REGISTRO PROD. v1'!BT:BT=B237)),0)
  )=0,
  ""NO"",
  IF(
    MAX(
      IFERROR(MAX(FILTER('REGISTRO PROD. v1'!F"&amp;":F,'REGISTRO PROD. v1'!D:D=B237)),0),
      IFERROR(MAX(FILTER('REGISTRO PROD. v1'!W:W,'REGISTRO PROD. v1'!U:U=B237)),0),
      IFERROR(MAX(FILTER('REGISTRO PROD. v1'!AN:AN,'REGISTRO PROD. v1'!AL:AL=B237)),0),
      IFERROR(MAX(FILTER('REGISTRO PROD. v1'!"&amp;"BE:BE,'REGISTRO PROD. v1'!BC:BC=B237)),0),
      IFERROR(MAX(FILTER('REGISTRO PROD. v1'!BV:BV,'REGISTRO PROD. v1'!BT:BT=B237)),0)
    )&gt;=F237,
    ""SI"",
    ""EN PROCESO""
  )
)
"),"NO")</f>
        <v>NO</v>
      </c>
      <c r="F237" s="132" t="s">
        <v>65</v>
      </c>
    </row>
    <row r="238" spans="1:6" ht="15" x14ac:dyDescent="0.25">
      <c r="A238" s="127"/>
      <c r="B238" s="130">
        <v>235</v>
      </c>
      <c r="C238" s="131">
        <v>2008</v>
      </c>
      <c r="D238" s="131" t="s">
        <v>158</v>
      </c>
      <c r="E238" s="131" t="str">
        <f ca="1">IFERROR(__xludf.DUMMYFUNCTION("IF(
  MAX(
    IFERROR(MAX(FILTER('REGISTRO PROD. v1'!F:F,'REGISTRO PROD. v1'!D:D=B238)),0),
    IFERROR(MAX(FILTER('REGISTRO PROD. v1'!W:W,'REGISTRO PROD. v1'!U:U=B238)),0),
    IFERROR(MAX(FILTER('REGISTRO PROD. v1'!AN:AN,'REGISTRO PROD. v1'!AL:AL=B238)"&amp;"),0),
    IFERROR(MAX(FILTER('REGISTRO PROD. v1'!BE:BE,'REGISTRO PROD. v1'!BC:BC=B238)),0),
    IFERROR(MAX(FILTER('REGISTRO PROD. v1'!BV:BV,'REGISTRO PROD. v1'!BT:BT=B238)),0)
  )=0,
  ""NO"",
  IF(
    MAX(
      IFERROR(MAX(FILTER('REGISTRO PROD. v1'!F"&amp;":F,'REGISTRO PROD. v1'!D:D=B238)),0),
      IFERROR(MAX(FILTER('REGISTRO PROD. v1'!W:W,'REGISTRO PROD. v1'!U:U=B238)),0),
      IFERROR(MAX(FILTER('REGISTRO PROD. v1'!AN:AN,'REGISTRO PROD. v1'!AL:AL=B238)),0),
      IFERROR(MAX(FILTER('REGISTRO PROD. v1'!"&amp;"BE:BE,'REGISTRO PROD. v1'!BC:BC=B238)),0),
      IFERROR(MAX(FILTER('REGISTRO PROD. v1'!BV:BV,'REGISTRO PROD. v1'!BT:BT=B238)),0)
    )&gt;=F238,
    ""SI"",
    ""EN PROCESO""
  )
)
"),"NO")</f>
        <v>NO</v>
      </c>
      <c r="F238" s="132" t="s">
        <v>65</v>
      </c>
    </row>
    <row r="239" spans="1:6" ht="15" x14ac:dyDescent="0.25">
      <c r="A239" s="127"/>
      <c r="B239" s="130">
        <v>236</v>
      </c>
      <c r="C239" s="131">
        <v>2008</v>
      </c>
      <c r="D239" s="131" t="s">
        <v>159</v>
      </c>
      <c r="E239" s="131" t="str">
        <f ca="1">IFERROR(__xludf.DUMMYFUNCTION("IF(
  MAX(
    IFERROR(MAX(FILTER('REGISTRO PROD. v1'!F:F,'REGISTRO PROD. v1'!D:D=B239)),0),
    IFERROR(MAX(FILTER('REGISTRO PROD. v1'!W:W,'REGISTRO PROD. v1'!U:U=B239)),0),
    IFERROR(MAX(FILTER('REGISTRO PROD. v1'!AN:AN,'REGISTRO PROD. v1'!AL:AL=B239)"&amp;"),0),
    IFERROR(MAX(FILTER('REGISTRO PROD. v1'!BE:BE,'REGISTRO PROD. v1'!BC:BC=B239)),0),
    IFERROR(MAX(FILTER('REGISTRO PROD. v1'!BV:BV,'REGISTRO PROD. v1'!BT:BT=B239)),0)
  )=0,
  ""NO"",
  IF(
    MAX(
      IFERROR(MAX(FILTER('REGISTRO PROD. v1'!F"&amp;":F,'REGISTRO PROD. v1'!D:D=B239)),0),
      IFERROR(MAX(FILTER('REGISTRO PROD. v1'!W:W,'REGISTRO PROD. v1'!U:U=B239)),0),
      IFERROR(MAX(FILTER('REGISTRO PROD. v1'!AN:AN,'REGISTRO PROD. v1'!AL:AL=B239)),0),
      IFERROR(MAX(FILTER('REGISTRO PROD. v1'!"&amp;"BE:BE,'REGISTRO PROD. v1'!BC:BC=B239)),0),
      IFERROR(MAX(FILTER('REGISTRO PROD. v1'!BV:BV,'REGISTRO PROD. v1'!BT:BT=B239)),0)
    )&gt;=F239,
    ""SI"",
    ""EN PROCESO""
  )
)
"),"NO")</f>
        <v>NO</v>
      </c>
      <c r="F239" s="132" t="s">
        <v>65</v>
      </c>
    </row>
    <row r="240" spans="1:6" ht="15" x14ac:dyDescent="0.25">
      <c r="A240" s="127"/>
      <c r="B240" s="130">
        <v>237</v>
      </c>
      <c r="C240" s="131">
        <v>2008</v>
      </c>
      <c r="D240" s="131" t="s">
        <v>160</v>
      </c>
      <c r="E240" s="131" t="str">
        <f ca="1">IFERROR(__xludf.DUMMYFUNCTION("IF(
  MAX(
    IFERROR(MAX(FILTER('REGISTRO PROD. v1'!F:F,'REGISTRO PROD. v1'!D:D=B240)),0),
    IFERROR(MAX(FILTER('REGISTRO PROD. v1'!W:W,'REGISTRO PROD. v1'!U:U=B240)),0),
    IFERROR(MAX(FILTER('REGISTRO PROD. v1'!AN:AN,'REGISTRO PROD. v1'!AL:AL=B240)"&amp;"),0),
    IFERROR(MAX(FILTER('REGISTRO PROD. v1'!BE:BE,'REGISTRO PROD. v1'!BC:BC=B240)),0),
    IFERROR(MAX(FILTER('REGISTRO PROD. v1'!BV:BV,'REGISTRO PROD. v1'!BT:BT=B240)),0)
  )=0,
  ""NO"",
  IF(
    MAX(
      IFERROR(MAX(FILTER('REGISTRO PROD. v1'!F"&amp;":F,'REGISTRO PROD. v1'!D:D=B240)),0),
      IFERROR(MAX(FILTER('REGISTRO PROD. v1'!W:W,'REGISTRO PROD. v1'!U:U=B240)),0),
      IFERROR(MAX(FILTER('REGISTRO PROD. v1'!AN:AN,'REGISTRO PROD. v1'!AL:AL=B240)),0),
      IFERROR(MAX(FILTER('REGISTRO PROD. v1'!"&amp;"BE:BE,'REGISTRO PROD. v1'!BC:BC=B240)),0),
      IFERROR(MAX(FILTER('REGISTRO PROD. v1'!BV:BV,'REGISTRO PROD. v1'!BT:BT=B240)),0)
    )&gt;=F240,
    ""SI"",
    ""EN PROCESO""
  )
)
"),"NO")</f>
        <v>NO</v>
      </c>
      <c r="F240" s="132" t="s">
        <v>65</v>
      </c>
    </row>
    <row r="241" spans="1:6" ht="15" x14ac:dyDescent="0.25">
      <c r="A241" s="127"/>
      <c r="B241" s="130">
        <v>238</v>
      </c>
      <c r="C241" s="131">
        <v>2008</v>
      </c>
      <c r="D241" s="131" t="s">
        <v>161</v>
      </c>
      <c r="E241" s="131" t="str">
        <f ca="1">IFERROR(__xludf.DUMMYFUNCTION("IF(
  MAX(
    IFERROR(MAX(FILTER('REGISTRO PROD. v1'!F:F,'REGISTRO PROD. v1'!D:D=B241)),0),
    IFERROR(MAX(FILTER('REGISTRO PROD. v1'!W:W,'REGISTRO PROD. v1'!U:U=B241)),0),
    IFERROR(MAX(FILTER('REGISTRO PROD. v1'!AN:AN,'REGISTRO PROD. v1'!AL:AL=B241)"&amp;"),0),
    IFERROR(MAX(FILTER('REGISTRO PROD. v1'!BE:BE,'REGISTRO PROD. v1'!BC:BC=B241)),0),
    IFERROR(MAX(FILTER('REGISTRO PROD. v1'!BV:BV,'REGISTRO PROD. v1'!BT:BT=B241)),0)
  )=0,
  ""NO"",
  IF(
    MAX(
      IFERROR(MAX(FILTER('REGISTRO PROD. v1'!F"&amp;":F,'REGISTRO PROD. v1'!D:D=B241)),0),
      IFERROR(MAX(FILTER('REGISTRO PROD. v1'!W:W,'REGISTRO PROD. v1'!U:U=B241)),0),
      IFERROR(MAX(FILTER('REGISTRO PROD. v1'!AN:AN,'REGISTRO PROD. v1'!AL:AL=B241)),0),
      IFERROR(MAX(FILTER('REGISTRO PROD. v1'!"&amp;"BE:BE,'REGISTRO PROD. v1'!BC:BC=B241)),0),
      IFERROR(MAX(FILTER('REGISTRO PROD. v1'!BV:BV,'REGISTRO PROD. v1'!BT:BT=B241)),0)
    )&gt;=F241,
    ""SI"",
    ""EN PROCESO""
  )
)
"),"NO")</f>
        <v>NO</v>
      </c>
      <c r="F241" s="132" t="s">
        <v>65</v>
      </c>
    </row>
    <row r="242" spans="1:6" ht="15" x14ac:dyDescent="0.25">
      <c r="A242" s="127"/>
      <c r="B242" s="130">
        <v>239</v>
      </c>
      <c r="C242" s="131">
        <v>2008</v>
      </c>
      <c r="D242" s="131" t="s">
        <v>162</v>
      </c>
      <c r="E242" s="131" t="str">
        <f ca="1">IFERROR(__xludf.DUMMYFUNCTION("IF(
  MAX(
    IFERROR(MAX(FILTER('REGISTRO PROD. v1'!F:F,'REGISTRO PROD. v1'!D:D=B242)),0),
    IFERROR(MAX(FILTER('REGISTRO PROD. v1'!W:W,'REGISTRO PROD. v1'!U:U=B242)),0),
    IFERROR(MAX(FILTER('REGISTRO PROD. v1'!AN:AN,'REGISTRO PROD. v1'!AL:AL=B242)"&amp;"),0),
    IFERROR(MAX(FILTER('REGISTRO PROD. v1'!BE:BE,'REGISTRO PROD. v1'!BC:BC=B242)),0),
    IFERROR(MAX(FILTER('REGISTRO PROD. v1'!BV:BV,'REGISTRO PROD. v1'!BT:BT=B242)),0)
  )=0,
  ""NO"",
  IF(
    MAX(
      IFERROR(MAX(FILTER('REGISTRO PROD. v1'!F"&amp;":F,'REGISTRO PROD. v1'!D:D=B242)),0),
      IFERROR(MAX(FILTER('REGISTRO PROD. v1'!W:W,'REGISTRO PROD. v1'!U:U=B242)),0),
      IFERROR(MAX(FILTER('REGISTRO PROD. v1'!AN:AN,'REGISTRO PROD. v1'!AL:AL=B242)),0),
      IFERROR(MAX(FILTER('REGISTRO PROD. v1'!"&amp;"BE:BE,'REGISTRO PROD. v1'!BC:BC=B242)),0),
      IFERROR(MAX(FILTER('REGISTRO PROD. v1'!BV:BV,'REGISTRO PROD. v1'!BT:BT=B242)),0)
    )&gt;=F242,
    ""SI"",
    ""EN PROCESO""
  )
)
"),"NO")</f>
        <v>NO</v>
      </c>
      <c r="F242" s="132" t="s">
        <v>65</v>
      </c>
    </row>
    <row r="243" spans="1:6" ht="15" x14ac:dyDescent="0.25">
      <c r="A243" s="127"/>
      <c r="B243" s="130">
        <v>240</v>
      </c>
      <c r="C243" s="131">
        <v>2009</v>
      </c>
      <c r="D243" s="131" t="s">
        <v>64</v>
      </c>
      <c r="E243" s="131" t="str">
        <f ca="1">IFERROR(__xludf.DUMMYFUNCTION("IF(
  MAX(
    IFERROR(MAX(FILTER('REGISTRO PROD. v1'!F:F,'REGISTRO PROD. v1'!D:D=B243)),0),
    IFERROR(MAX(FILTER('REGISTRO PROD. v1'!W:W,'REGISTRO PROD. v1'!U:U=B243)),0),
    IFERROR(MAX(FILTER('REGISTRO PROD. v1'!AN:AN,'REGISTRO PROD. v1'!AL:AL=B243)"&amp;"),0),
    IFERROR(MAX(FILTER('REGISTRO PROD. v1'!BE:BE,'REGISTRO PROD. v1'!BC:BC=B243)),0),
    IFERROR(MAX(FILTER('REGISTRO PROD. v1'!BV:BV,'REGISTRO PROD. v1'!BT:BT=B243)),0)
  )=0,
  ""NO"",
  IF(
    MAX(
      IFERROR(MAX(FILTER('REGISTRO PROD. v1'!F"&amp;":F,'REGISTRO PROD. v1'!D:D=B243)),0),
      IFERROR(MAX(FILTER('REGISTRO PROD. v1'!W:W,'REGISTRO PROD. v1'!U:U=B243)),0),
      IFERROR(MAX(FILTER('REGISTRO PROD. v1'!AN:AN,'REGISTRO PROD. v1'!AL:AL=B243)),0),
      IFERROR(MAX(FILTER('REGISTRO PROD. v1'!"&amp;"BE:BE,'REGISTRO PROD. v1'!BC:BC=B243)),0),
      IFERROR(MAX(FILTER('REGISTRO PROD. v1'!BV:BV,'REGISTRO PROD. v1'!BT:BT=B243)),0)
    )&gt;=F243,
    ""SI"",
    ""EN PROCESO""
  )
)
"),"NO")</f>
        <v>NO</v>
      </c>
      <c r="F243" s="132" t="s">
        <v>65</v>
      </c>
    </row>
    <row r="244" spans="1:6" ht="15" x14ac:dyDescent="0.25">
      <c r="A244" s="127"/>
      <c r="B244" s="130">
        <v>241</v>
      </c>
      <c r="C244" s="131">
        <v>2009</v>
      </c>
      <c r="D244" s="131" t="s">
        <v>66</v>
      </c>
      <c r="E244" s="131" t="str">
        <f ca="1">IFERROR(__xludf.DUMMYFUNCTION("IF(
  MAX(
    IFERROR(MAX(FILTER('REGISTRO PROD. v1'!F:F,'REGISTRO PROD. v1'!D:D=B244)),0),
    IFERROR(MAX(FILTER('REGISTRO PROD. v1'!W:W,'REGISTRO PROD. v1'!U:U=B244)),0),
    IFERROR(MAX(FILTER('REGISTRO PROD. v1'!AN:AN,'REGISTRO PROD. v1'!AL:AL=B244)"&amp;"),0),
    IFERROR(MAX(FILTER('REGISTRO PROD. v1'!BE:BE,'REGISTRO PROD. v1'!BC:BC=B244)),0),
    IFERROR(MAX(FILTER('REGISTRO PROD. v1'!BV:BV,'REGISTRO PROD. v1'!BT:BT=B244)),0)
  )=0,
  ""NO"",
  IF(
    MAX(
      IFERROR(MAX(FILTER('REGISTRO PROD. v1'!F"&amp;":F,'REGISTRO PROD. v1'!D:D=B244)),0),
      IFERROR(MAX(FILTER('REGISTRO PROD. v1'!W:W,'REGISTRO PROD. v1'!U:U=B244)),0),
      IFERROR(MAX(FILTER('REGISTRO PROD. v1'!AN:AN,'REGISTRO PROD. v1'!AL:AL=B244)),0),
      IFERROR(MAX(FILTER('REGISTRO PROD. v1'!"&amp;"BE:BE,'REGISTRO PROD. v1'!BC:BC=B244)),0),
      IFERROR(MAX(FILTER('REGISTRO PROD. v1'!BV:BV,'REGISTRO PROD. v1'!BT:BT=B244)),0)
    )&gt;=F244,
    ""SI"",
    ""EN PROCESO""
  )
)
"),"NO")</f>
        <v>NO</v>
      </c>
      <c r="F244" s="132" t="s">
        <v>65</v>
      </c>
    </row>
    <row r="245" spans="1:6" ht="15" x14ac:dyDescent="0.25">
      <c r="A245" s="127"/>
      <c r="B245" s="130">
        <v>242</v>
      </c>
      <c r="C245" s="131">
        <v>2009</v>
      </c>
      <c r="D245" s="131" t="s">
        <v>67</v>
      </c>
      <c r="E245" s="131" t="str">
        <f ca="1">IFERROR(__xludf.DUMMYFUNCTION("IF(
  MAX(
    IFERROR(MAX(FILTER('REGISTRO PROD. v1'!F:F,'REGISTRO PROD. v1'!D:D=B245)),0),
    IFERROR(MAX(FILTER('REGISTRO PROD. v1'!W:W,'REGISTRO PROD. v1'!U:U=B245)),0),
    IFERROR(MAX(FILTER('REGISTRO PROD. v1'!AN:AN,'REGISTRO PROD. v1'!AL:AL=B245)"&amp;"),0),
    IFERROR(MAX(FILTER('REGISTRO PROD. v1'!BE:BE,'REGISTRO PROD. v1'!BC:BC=B245)),0),
    IFERROR(MAX(FILTER('REGISTRO PROD. v1'!BV:BV,'REGISTRO PROD. v1'!BT:BT=B245)),0)
  )=0,
  ""NO"",
  IF(
    MAX(
      IFERROR(MAX(FILTER('REGISTRO PROD. v1'!F"&amp;":F,'REGISTRO PROD. v1'!D:D=B245)),0),
      IFERROR(MAX(FILTER('REGISTRO PROD. v1'!W:W,'REGISTRO PROD. v1'!U:U=B245)),0),
      IFERROR(MAX(FILTER('REGISTRO PROD. v1'!AN:AN,'REGISTRO PROD. v1'!AL:AL=B245)),0),
      IFERROR(MAX(FILTER('REGISTRO PROD. v1'!"&amp;"BE:BE,'REGISTRO PROD. v1'!BC:BC=B245)),0),
      IFERROR(MAX(FILTER('REGISTRO PROD. v1'!BV:BV,'REGISTRO PROD. v1'!BT:BT=B245)),0)
    )&gt;=F245,
    ""SI"",
    ""EN PROCESO""
  )
)
"),"NO")</f>
        <v>NO</v>
      </c>
      <c r="F245" s="132" t="s">
        <v>65</v>
      </c>
    </row>
    <row r="246" spans="1:6" ht="15" x14ac:dyDescent="0.25">
      <c r="A246" s="127"/>
      <c r="B246" s="130">
        <v>243</v>
      </c>
      <c r="C246" s="131">
        <v>2009</v>
      </c>
      <c r="D246" s="131" t="s">
        <v>68</v>
      </c>
      <c r="E246" s="131" t="str">
        <f ca="1">IFERROR(__xludf.DUMMYFUNCTION("IF(
  MAX(
    IFERROR(MAX(FILTER('REGISTRO PROD. v1'!F:F,'REGISTRO PROD. v1'!D:D=B246)),0),
    IFERROR(MAX(FILTER('REGISTRO PROD. v1'!W:W,'REGISTRO PROD. v1'!U:U=B246)),0),
    IFERROR(MAX(FILTER('REGISTRO PROD. v1'!AN:AN,'REGISTRO PROD. v1'!AL:AL=B246)"&amp;"),0),
    IFERROR(MAX(FILTER('REGISTRO PROD. v1'!BE:BE,'REGISTRO PROD. v1'!BC:BC=B246)),0),
    IFERROR(MAX(FILTER('REGISTRO PROD. v1'!BV:BV,'REGISTRO PROD. v1'!BT:BT=B246)),0)
  )=0,
  ""NO"",
  IF(
    MAX(
      IFERROR(MAX(FILTER('REGISTRO PROD. v1'!F"&amp;":F,'REGISTRO PROD. v1'!D:D=B246)),0),
      IFERROR(MAX(FILTER('REGISTRO PROD. v1'!W:W,'REGISTRO PROD. v1'!U:U=B246)),0),
      IFERROR(MAX(FILTER('REGISTRO PROD. v1'!AN:AN,'REGISTRO PROD. v1'!AL:AL=B246)),0),
      IFERROR(MAX(FILTER('REGISTRO PROD. v1'!"&amp;"BE:BE,'REGISTRO PROD. v1'!BC:BC=B246)),0),
      IFERROR(MAX(FILTER('REGISTRO PROD. v1'!BV:BV,'REGISTRO PROD. v1'!BT:BT=B246)),0)
    )&gt;=F246,
    ""SI"",
    ""EN PROCESO""
  )
)
"),"NO")</f>
        <v>NO</v>
      </c>
      <c r="F246" s="132" t="s">
        <v>65</v>
      </c>
    </row>
    <row r="247" spans="1:6" ht="15" x14ac:dyDescent="0.25">
      <c r="A247" s="127"/>
      <c r="B247" s="130">
        <v>244</v>
      </c>
      <c r="C247" s="131">
        <v>2009</v>
      </c>
      <c r="D247" s="131" t="s">
        <v>69</v>
      </c>
      <c r="E247" s="131" t="str">
        <f ca="1">IFERROR(__xludf.DUMMYFUNCTION("IF(
  MAX(
    IFERROR(MAX(FILTER('REGISTRO PROD. v1'!F:F,'REGISTRO PROD. v1'!D:D=B247)),0),
    IFERROR(MAX(FILTER('REGISTRO PROD. v1'!W:W,'REGISTRO PROD. v1'!U:U=B247)),0),
    IFERROR(MAX(FILTER('REGISTRO PROD. v1'!AN:AN,'REGISTRO PROD. v1'!AL:AL=B247)"&amp;"),0),
    IFERROR(MAX(FILTER('REGISTRO PROD. v1'!BE:BE,'REGISTRO PROD. v1'!BC:BC=B247)),0),
    IFERROR(MAX(FILTER('REGISTRO PROD. v1'!BV:BV,'REGISTRO PROD. v1'!BT:BT=B247)),0)
  )=0,
  ""NO"",
  IF(
    MAX(
      IFERROR(MAX(FILTER('REGISTRO PROD. v1'!F"&amp;":F,'REGISTRO PROD. v1'!D:D=B247)),0),
      IFERROR(MAX(FILTER('REGISTRO PROD. v1'!W:W,'REGISTRO PROD. v1'!U:U=B247)),0),
      IFERROR(MAX(FILTER('REGISTRO PROD. v1'!AN:AN,'REGISTRO PROD. v1'!AL:AL=B247)),0),
      IFERROR(MAX(FILTER('REGISTRO PROD. v1'!"&amp;"BE:BE,'REGISTRO PROD. v1'!BC:BC=B247)),0),
      IFERROR(MAX(FILTER('REGISTRO PROD. v1'!BV:BV,'REGISTRO PROD. v1'!BT:BT=B247)),0)
    )&gt;=F247,
    ""SI"",
    ""EN PROCESO""
  )
)
"),"NO")</f>
        <v>NO</v>
      </c>
      <c r="F247" s="132" t="s">
        <v>65</v>
      </c>
    </row>
    <row r="248" spans="1:6" ht="15" x14ac:dyDescent="0.25">
      <c r="A248" s="127"/>
      <c r="B248" s="130">
        <v>245</v>
      </c>
      <c r="C248" s="131">
        <v>2009</v>
      </c>
      <c r="D248" s="131" t="s">
        <v>70</v>
      </c>
      <c r="E248" s="131" t="str">
        <f ca="1">IFERROR(__xludf.DUMMYFUNCTION("IF(
  MAX(
    IFERROR(MAX(FILTER('REGISTRO PROD. v1'!F:F,'REGISTRO PROD. v1'!D:D=B248)),0),
    IFERROR(MAX(FILTER('REGISTRO PROD. v1'!W:W,'REGISTRO PROD. v1'!U:U=B248)),0),
    IFERROR(MAX(FILTER('REGISTRO PROD. v1'!AN:AN,'REGISTRO PROD. v1'!AL:AL=B248)"&amp;"),0),
    IFERROR(MAX(FILTER('REGISTRO PROD. v1'!BE:BE,'REGISTRO PROD. v1'!BC:BC=B248)),0),
    IFERROR(MAX(FILTER('REGISTRO PROD. v1'!BV:BV,'REGISTRO PROD. v1'!BT:BT=B248)),0)
  )=0,
  ""NO"",
  IF(
    MAX(
      IFERROR(MAX(FILTER('REGISTRO PROD. v1'!F"&amp;":F,'REGISTRO PROD. v1'!D:D=B248)),0),
      IFERROR(MAX(FILTER('REGISTRO PROD. v1'!W:W,'REGISTRO PROD. v1'!U:U=B248)),0),
      IFERROR(MAX(FILTER('REGISTRO PROD. v1'!AN:AN,'REGISTRO PROD. v1'!AL:AL=B248)),0),
      IFERROR(MAX(FILTER('REGISTRO PROD. v1'!"&amp;"BE:BE,'REGISTRO PROD. v1'!BC:BC=B248)),0),
      IFERROR(MAX(FILTER('REGISTRO PROD. v1'!BV:BV,'REGISTRO PROD. v1'!BT:BT=B248)),0)
    )&gt;=F248,
    ""SI"",
    ""EN PROCESO""
  )
)
"),"NO")</f>
        <v>NO</v>
      </c>
      <c r="F248" s="132" t="s">
        <v>65</v>
      </c>
    </row>
    <row r="249" spans="1:6" ht="15" x14ac:dyDescent="0.25">
      <c r="A249" s="127"/>
      <c r="B249" s="130">
        <v>246</v>
      </c>
      <c r="C249" s="131">
        <v>2009</v>
      </c>
      <c r="D249" s="131" t="s">
        <v>97</v>
      </c>
      <c r="E249" s="131" t="str">
        <f ca="1">IFERROR(__xludf.DUMMYFUNCTION("IF(
  MAX(
    IFERROR(MAX(FILTER('REGISTRO PROD. v1'!F:F,'REGISTRO PROD. v1'!D:D=B249)),0),
    IFERROR(MAX(FILTER('REGISTRO PROD. v1'!W:W,'REGISTRO PROD. v1'!U:U=B249)),0),
    IFERROR(MAX(FILTER('REGISTRO PROD. v1'!AN:AN,'REGISTRO PROD. v1'!AL:AL=B249)"&amp;"),0),
    IFERROR(MAX(FILTER('REGISTRO PROD. v1'!BE:BE,'REGISTRO PROD. v1'!BC:BC=B249)),0),
    IFERROR(MAX(FILTER('REGISTRO PROD. v1'!BV:BV,'REGISTRO PROD. v1'!BT:BT=B249)),0)
  )=0,
  ""NO"",
  IF(
    MAX(
      IFERROR(MAX(FILTER('REGISTRO PROD. v1'!F"&amp;":F,'REGISTRO PROD. v1'!D:D=B249)),0),
      IFERROR(MAX(FILTER('REGISTRO PROD. v1'!W:W,'REGISTRO PROD. v1'!U:U=B249)),0),
      IFERROR(MAX(FILTER('REGISTRO PROD. v1'!AN:AN,'REGISTRO PROD. v1'!AL:AL=B249)),0),
      IFERROR(MAX(FILTER('REGISTRO PROD. v1'!"&amp;"BE:BE,'REGISTRO PROD. v1'!BC:BC=B249)),0),
      IFERROR(MAX(FILTER('REGISTRO PROD. v1'!BV:BV,'REGISTRO PROD. v1'!BT:BT=B249)),0)
    )&gt;=F249,
    ""SI"",
    ""EN PROCESO""
  )
)
"),"NO")</f>
        <v>NO</v>
      </c>
      <c r="F249" s="132" t="s">
        <v>65</v>
      </c>
    </row>
    <row r="250" spans="1:6" ht="15" x14ac:dyDescent="0.25">
      <c r="A250" s="127"/>
      <c r="B250" s="130">
        <v>247</v>
      </c>
      <c r="C250" s="131">
        <v>2009</v>
      </c>
      <c r="D250" s="131" t="s">
        <v>98</v>
      </c>
      <c r="E250" s="131" t="str">
        <f ca="1">IFERROR(__xludf.DUMMYFUNCTION("IF(
  MAX(
    IFERROR(MAX(FILTER('REGISTRO PROD. v1'!F:F,'REGISTRO PROD. v1'!D:D=B250)),0),
    IFERROR(MAX(FILTER('REGISTRO PROD. v1'!W:W,'REGISTRO PROD. v1'!U:U=B250)),0),
    IFERROR(MAX(FILTER('REGISTRO PROD. v1'!AN:AN,'REGISTRO PROD. v1'!AL:AL=B250)"&amp;"),0),
    IFERROR(MAX(FILTER('REGISTRO PROD. v1'!BE:BE,'REGISTRO PROD. v1'!BC:BC=B250)),0),
    IFERROR(MAX(FILTER('REGISTRO PROD. v1'!BV:BV,'REGISTRO PROD. v1'!BT:BT=B250)),0)
  )=0,
  ""NO"",
  IF(
    MAX(
      IFERROR(MAX(FILTER('REGISTRO PROD. v1'!F"&amp;":F,'REGISTRO PROD. v1'!D:D=B250)),0),
      IFERROR(MAX(FILTER('REGISTRO PROD. v1'!W:W,'REGISTRO PROD. v1'!U:U=B250)),0),
      IFERROR(MAX(FILTER('REGISTRO PROD. v1'!AN:AN,'REGISTRO PROD. v1'!AL:AL=B250)),0),
      IFERROR(MAX(FILTER('REGISTRO PROD. v1'!"&amp;"BE:BE,'REGISTRO PROD. v1'!BC:BC=B250)),0),
      IFERROR(MAX(FILTER('REGISTRO PROD. v1'!BV:BV,'REGISTRO PROD. v1'!BT:BT=B250)),0)
    )&gt;=F250,
    ""SI"",
    ""EN PROCESO""
  )
)
"),"NO")</f>
        <v>NO</v>
      </c>
      <c r="F250" s="132" t="s">
        <v>65</v>
      </c>
    </row>
    <row r="251" spans="1:6" ht="15" x14ac:dyDescent="0.25">
      <c r="A251" s="127"/>
      <c r="B251" s="130">
        <v>248</v>
      </c>
      <c r="C251" s="131">
        <v>2009</v>
      </c>
      <c r="D251" s="131" t="s">
        <v>99</v>
      </c>
      <c r="E251" s="131" t="str">
        <f ca="1">IFERROR(__xludf.DUMMYFUNCTION("IF(
  MAX(
    IFERROR(MAX(FILTER('REGISTRO PROD. v1'!F:F,'REGISTRO PROD. v1'!D:D=B251)),0),
    IFERROR(MAX(FILTER('REGISTRO PROD. v1'!W:W,'REGISTRO PROD. v1'!U:U=B251)),0),
    IFERROR(MAX(FILTER('REGISTRO PROD. v1'!AN:AN,'REGISTRO PROD. v1'!AL:AL=B251)"&amp;"),0),
    IFERROR(MAX(FILTER('REGISTRO PROD. v1'!BE:BE,'REGISTRO PROD. v1'!BC:BC=B251)),0),
    IFERROR(MAX(FILTER('REGISTRO PROD. v1'!BV:BV,'REGISTRO PROD. v1'!BT:BT=B251)),0)
  )=0,
  ""NO"",
  IF(
    MAX(
      IFERROR(MAX(FILTER('REGISTRO PROD. v1'!F"&amp;":F,'REGISTRO PROD. v1'!D:D=B251)),0),
      IFERROR(MAX(FILTER('REGISTRO PROD. v1'!W:W,'REGISTRO PROD. v1'!U:U=B251)),0),
      IFERROR(MAX(FILTER('REGISTRO PROD. v1'!AN:AN,'REGISTRO PROD. v1'!AL:AL=B251)),0),
      IFERROR(MAX(FILTER('REGISTRO PROD. v1'!"&amp;"BE:BE,'REGISTRO PROD. v1'!BC:BC=B251)),0),
      IFERROR(MAX(FILTER('REGISTRO PROD. v1'!BV:BV,'REGISTRO PROD. v1'!BT:BT=B251)),0)
    )&gt;=F251,
    ""SI"",
    ""EN PROCESO""
  )
)
"),"NO")</f>
        <v>NO</v>
      </c>
      <c r="F251" s="132" t="s">
        <v>65</v>
      </c>
    </row>
    <row r="252" spans="1:6" ht="15" x14ac:dyDescent="0.25">
      <c r="A252" s="127"/>
      <c r="B252" s="130">
        <v>249</v>
      </c>
      <c r="C252" s="131">
        <v>2009</v>
      </c>
      <c r="D252" s="131" t="s">
        <v>100</v>
      </c>
      <c r="E252" s="131" t="str">
        <f ca="1">IFERROR(__xludf.DUMMYFUNCTION("IF(
  MAX(
    IFERROR(MAX(FILTER('REGISTRO PROD. v1'!F:F,'REGISTRO PROD. v1'!D:D=B252)),0),
    IFERROR(MAX(FILTER('REGISTRO PROD. v1'!W:W,'REGISTRO PROD. v1'!U:U=B252)),0),
    IFERROR(MAX(FILTER('REGISTRO PROD. v1'!AN:AN,'REGISTRO PROD. v1'!AL:AL=B252)"&amp;"),0),
    IFERROR(MAX(FILTER('REGISTRO PROD. v1'!BE:BE,'REGISTRO PROD. v1'!BC:BC=B252)),0),
    IFERROR(MAX(FILTER('REGISTRO PROD. v1'!BV:BV,'REGISTRO PROD. v1'!BT:BT=B252)),0)
  )=0,
  ""NO"",
  IF(
    MAX(
      IFERROR(MAX(FILTER('REGISTRO PROD. v1'!F"&amp;":F,'REGISTRO PROD. v1'!D:D=B252)),0),
      IFERROR(MAX(FILTER('REGISTRO PROD. v1'!W:W,'REGISTRO PROD. v1'!U:U=B252)),0),
      IFERROR(MAX(FILTER('REGISTRO PROD. v1'!AN:AN,'REGISTRO PROD. v1'!AL:AL=B252)),0),
      IFERROR(MAX(FILTER('REGISTRO PROD. v1'!"&amp;"BE:BE,'REGISTRO PROD. v1'!BC:BC=B252)),0),
      IFERROR(MAX(FILTER('REGISTRO PROD. v1'!BV:BV,'REGISTRO PROD. v1'!BT:BT=B252)),0)
    )&gt;=F252,
    ""SI"",
    ""EN PROCESO""
  )
)
"),"NO")</f>
        <v>NO</v>
      </c>
      <c r="F252" s="132" t="s">
        <v>65</v>
      </c>
    </row>
    <row r="253" spans="1:6" ht="15" x14ac:dyDescent="0.25">
      <c r="A253" s="127"/>
      <c r="B253" s="130">
        <v>250</v>
      </c>
      <c r="C253" s="131">
        <v>2009</v>
      </c>
      <c r="D253" s="131" t="s">
        <v>101</v>
      </c>
      <c r="E253" s="131" t="str">
        <f ca="1">IFERROR(__xludf.DUMMYFUNCTION("IF(
  MAX(
    IFERROR(MAX(FILTER('REGISTRO PROD. v1'!F:F,'REGISTRO PROD. v1'!D:D=B253)),0),
    IFERROR(MAX(FILTER('REGISTRO PROD. v1'!W:W,'REGISTRO PROD. v1'!U:U=B253)),0),
    IFERROR(MAX(FILTER('REGISTRO PROD. v1'!AN:AN,'REGISTRO PROD. v1'!AL:AL=B253)"&amp;"),0),
    IFERROR(MAX(FILTER('REGISTRO PROD. v1'!BE:BE,'REGISTRO PROD. v1'!BC:BC=B253)),0),
    IFERROR(MAX(FILTER('REGISTRO PROD. v1'!BV:BV,'REGISTRO PROD. v1'!BT:BT=B253)),0)
  )=0,
  ""NO"",
  IF(
    MAX(
      IFERROR(MAX(FILTER('REGISTRO PROD. v1'!F"&amp;":F,'REGISTRO PROD. v1'!D:D=B253)),0),
      IFERROR(MAX(FILTER('REGISTRO PROD. v1'!W:W,'REGISTRO PROD. v1'!U:U=B253)),0),
      IFERROR(MAX(FILTER('REGISTRO PROD. v1'!AN:AN,'REGISTRO PROD. v1'!AL:AL=B253)),0),
      IFERROR(MAX(FILTER('REGISTRO PROD. v1'!"&amp;"BE:BE,'REGISTRO PROD. v1'!BC:BC=B253)),0),
      IFERROR(MAX(FILTER('REGISTRO PROD. v1'!BV:BV,'REGISTRO PROD. v1'!BT:BT=B253)),0)
    )&gt;=F253,
    ""SI"",
    ""EN PROCESO""
  )
)
"),"NO")</f>
        <v>NO</v>
      </c>
      <c r="F253" s="132" t="s">
        <v>65</v>
      </c>
    </row>
    <row r="254" spans="1:6" ht="15" x14ac:dyDescent="0.25">
      <c r="A254" s="127"/>
      <c r="B254" s="130">
        <v>251</v>
      </c>
      <c r="C254" s="131">
        <v>2009</v>
      </c>
      <c r="D254" s="131" t="s">
        <v>102</v>
      </c>
      <c r="E254" s="131" t="str">
        <f ca="1">IFERROR(__xludf.DUMMYFUNCTION("IF(
  MAX(
    IFERROR(MAX(FILTER('REGISTRO PROD. v1'!F:F,'REGISTRO PROD. v1'!D:D=B254)),0),
    IFERROR(MAX(FILTER('REGISTRO PROD. v1'!W:W,'REGISTRO PROD. v1'!U:U=B254)),0),
    IFERROR(MAX(FILTER('REGISTRO PROD. v1'!AN:AN,'REGISTRO PROD. v1'!AL:AL=B254)"&amp;"),0),
    IFERROR(MAX(FILTER('REGISTRO PROD. v1'!BE:BE,'REGISTRO PROD. v1'!BC:BC=B254)),0),
    IFERROR(MAX(FILTER('REGISTRO PROD. v1'!BV:BV,'REGISTRO PROD. v1'!BT:BT=B254)),0)
  )=0,
  ""NO"",
  IF(
    MAX(
      IFERROR(MAX(FILTER('REGISTRO PROD. v1'!F"&amp;":F,'REGISTRO PROD. v1'!D:D=B254)),0),
      IFERROR(MAX(FILTER('REGISTRO PROD. v1'!W:W,'REGISTRO PROD. v1'!U:U=B254)),0),
      IFERROR(MAX(FILTER('REGISTRO PROD. v1'!AN:AN,'REGISTRO PROD. v1'!AL:AL=B254)),0),
      IFERROR(MAX(FILTER('REGISTRO PROD. v1'!"&amp;"BE:BE,'REGISTRO PROD. v1'!BC:BC=B254)),0),
      IFERROR(MAX(FILTER('REGISTRO PROD. v1'!BV:BV,'REGISTRO PROD. v1'!BT:BT=B254)),0)
    )&gt;=F254,
    ""SI"",
    ""EN PROCESO""
  )
)
"),"NO")</f>
        <v>NO</v>
      </c>
      <c r="F254" s="132" t="s">
        <v>65</v>
      </c>
    </row>
    <row r="255" spans="1:6" ht="15" x14ac:dyDescent="0.25">
      <c r="A255" s="127"/>
      <c r="B255" s="130">
        <v>252</v>
      </c>
      <c r="C255" s="131">
        <v>2009</v>
      </c>
      <c r="D255" s="131" t="s">
        <v>103</v>
      </c>
      <c r="E255" s="131" t="str">
        <f ca="1">IFERROR(__xludf.DUMMYFUNCTION("IF(
  MAX(
    IFERROR(MAX(FILTER('REGISTRO PROD. v1'!F:F,'REGISTRO PROD. v1'!D:D=B255)),0),
    IFERROR(MAX(FILTER('REGISTRO PROD. v1'!W:W,'REGISTRO PROD. v1'!U:U=B255)),0),
    IFERROR(MAX(FILTER('REGISTRO PROD. v1'!AN:AN,'REGISTRO PROD. v1'!AL:AL=B255)"&amp;"),0),
    IFERROR(MAX(FILTER('REGISTRO PROD. v1'!BE:BE,'REGISTRO PROD. v1'!BC:BC=B255)),0),
    IFERROR(MAX(FILTER('REGISTRO PROD. v1'!BV:BV,'REGISTRO PROD. v1'!BT:BT=B255)),0)
  )=0,
  ""NO"",
  IF(
    MAX(
      IFERROR(MAX(FILTER('REGISTRO PROD. v1'!F"&amp;":F,'REGISTRO PROD. v1'!D:D=B255)),0),
      IFERROR(MAX(FILTER('REGISTRO PROD. v1'!W:W,'REGISTRO PROD. v1'!U:U=B255)),0),
      IFERROR(MAX(FILTER('REGISTRO PROD. v1'!AN:AN,'REGISTRO PROD. v1'!AL:AL=B255)),0),
      IFERROR(MAX(FILTER('REGISTRO PROD. v1'!"&amp;"BE:BE,'REGISTRO PROD. v1'!BC:BC=B255)),0),
      IFERROR(MAX(FILTER('REGISTRO PROD. v1'!BV:BV,'REGISTRO PROD. v1'!BT:BT=B255)),0)
    )&gt;=F255,
    ""SI"",
    ""EN PROCESO""
  )
)
"),"NO")</f>
        <v>NO</v>
      </c>
      <c r="F255" s="132" t="s">
        <v>65</v>
      </c>
    </row>
    <row r="256" spans="1:6" ht="15" x14ac:dyDescent="0.25">
      <c r="A256" s="127"/>
      <c r="B256" s="130">
        <v>253</v>
      </c>
      <c r="C256" s="131">
        <v>2009</v>
      </c>
      <c r="D256" s="131" t="s">
        <v>104</v>
      </c>
      <c r="E256" s="131" t="str">
        <f ca="1">IFERROR(__xludf.DUMMYFUNCTION("IF(
  MAX(
    IFERROR(MAX(FILTER('REGISTRO PROD. v1'!F:F,'REGISTRO PROD. v1'!D:D=B256)),0),
    IFERROR(MAX(FILTER('REGISTRO PROD. v1'!W:W,'REGISTRO PROD. v1'!U:U=B256)),0),
    IFERROR(MAX(FILTER('REGISTRO PROD. v1'!AN:AN,'REGISTRO PROD. v1'!AL:AL=B256)"&amp;"),0),
    IFERROR(MAX(FILTER('REGISTRO PROD. v1'!BE:BE,'REGISTRO PROD. v1'!BC:BC=B256)),0),
    IFERROR(MAX(FILTER('REGISTRO PROD. v1'!BV:BV,'REGISTRO PROD. v1'!BT:BT=B256)),0)
  )=0,
  ""NO"",
  IF(
    MAX(
      IFERROR(MAX(FILTER('REGISTRO PROD. v1'!F"&amp;":F,'REGISTRO PROD. v1'!D:D=B256)),0),
      IFERROR(MAX(FILTER('REGISTRO PROD. v1'!W:W,'REGISTRO PROD. v1'!U:U=B256)),0),
      IFERROR(MAX(FILTER('REGISTRO PROD. v1'!AN:AN,'REGISTRO PROD. v1'!AL:AL=B256)),0),
      IFERROR(MAX(FILTER('REGISTRO PROD. v1'!"&amp;"BE:BE,'REGISTRO PROD. v1'!BC:BC=B256)),0),
      IFERROR(MAX(FILTER('REGISTRO PROD. v1'!BV:BV,'REGISTRO PROD. v1'!BT:BT=B256)),0)
    )&gt;=F256,
    ""SI"",
    ""EN PROCESO""
  )
)
"),"NO")</f>
        <v>NO</v>
      </c>
      <c r="F256" s="132" t="s">
        <v>65</v>
      </c>
    </row>
    <row r="257" spans="1:6" ht="15" x14ac:dyDescent="0.25">
      <c r="A257" s="127"/>
      <c r="B257" s="130">
        <v>254</v>
      </c>
      <c r="C257" s="131">
        <v>2009</v>
      </c>
      <c r="D257" s="131" t="s">
        <v>105</v>
      </c>
      <c r="E257" s="131" t="str">
        <f ca="1">IFERROR(__xludf.DUMMYFUNCTION("IF(
  MAX(
    IFERROR(MAX(FILTER('REGISTRO PROD. v1'!F:F,'REGISTRO PROD. v1'!D:D=B257)),0),
    IFERROR(MAX(FILTER('REGISTRO PROD. v1'!W:W,'REGISTRO PROD. v1'!U:U=B257)),0),
    IFERROR(MAX(FILTER('REGISTRO PROD. v1'!AN:AN,'REGISTRO PROD. v1'!AL:AL=B257)"&amp;"),0),
    IFERROR(MAX(FILTER('REGISTRO PROD. v1'!BE:BE,'REGISTRO PROD. v1'!BC:BC=B257)),0),
    IFERROR(MAX(FILTER('REGISTRO PROD. v1'!BV:BV,'REGISTRO PROD. v1'!BT:BT=B257)),0)
  )=0,
  ""NO"",
  IF(
    MAX(
      IFERROR(MAX(FILTER('REGISTRO PROD. v1'!F"&amp;":F,'REGISTRO PROD. v1'!D:D=B257)),0),
      IFERROR(MAX(FILTER('REGISTRO PROD. v1'!W:W,'REGISTRO PROD. v1'!U:U=B257)),0),
      IFERROR(MAX(FILTER('REGISTRO PROD. v1'!AN:AN,'REGISTRO PROD. v1'!AL:AL=B257)),0),
      IFERROR(MAX(FILTER('REGISTRO PROD. v1'!"&amp;"BE:BE,'REGISTRO PROD. v1'!BC:BC=B257)),0),
      IFERROR(MAX(FILTER('REGISTRO PROD. v1'!BV:BV,'REGISTRO PROD. v1'!BT:BT=B257)),0)
    )&gt;=F257,
    ""SI"",
    ""EN PROCESO""
  )
)
"),"NO")</f>
        <v>NO</v>
      </c>
      <c r="F257" s="132" t="s">
        <v>65</v>
      </c>
    </row>
    <row r="258" spans="1:6" ht="15" x14ac:dyDescent="0.25">
      <c r="A258" s="127"/>
      <c r="B258" s="130">
        <v>255</v>
      </c>
      <c r="C258" s="131">
        <v>2009</v>
      </c>
      <c r="D258" s="131" t="s">
        <v>106</v>
      </c>
      <c r="E258" s="131" t="str">
        <f ca="1">IFERROR(__xludf.DUMMYFUNCTION("IF(
  MAX(
    IFERROR(MAX(FILTER('REGISTRO PROD. v1'!F:F,'REGISTRO PROD. v1'!D:D=B258)),0),
    IFERROR(MAX(FILTER('REGISTRO PROD. v1'!W:W,'REGISTRO PROD. v1'!U:U=B258)),0),
    IFERROR(MAX(FILTER('REGISTRO PROD. v1'!AN:AN,'REGISTRO PROD. v1'!AL:AL=B258)"&amp;"),0),
    IFERROR(MAX(FILTER('REGISTRO PROD. v1'!BE:BE,'REGISTRO PROD. v1'!BC:BC=B258)),0),
    IFERROR(MAX(FILTER('REGISTRO PROD. v1'!BV:BV,'REGISTRO PROD. v1'!BT:BT=B258)),0)
  )=0,
  ""NO"",
  IF(
    MAX(
      IFERROR(MAX(FILTER('REGISTRO PROD. v1'!F"&amp;":F,'REGISTRO PROD. v1'!D:D=B258)),0),
      IFERROR(MAX(FILTER('REGISTRO PROD. v1'!W:W,'REGISTRO PROD. v1'!U:U=B258)),0),
      IFERROR(MAX(FILTER('REGISTRO PROD. v1'!AN:AN,'REGISTRO PROD. v1'!AL:AL=B258)),0),
      IFERROR(MAX(FILTER('REGISTRO PROD. v1'!"&amp;"BE:BE,'REGISTRO PROD. v1'!BC:BC=B258)),0),
      IFERROR(MAX(FILTER('REGISTRO PROD. v1'!BV:BV,'REGISTRO PROD. v1'!BT:BT=B258)),0)
    )&gt;=F258,
    ""SI"",
    ""EN PROCESO""
  )
)
"),"NO")</f>
        <v>NO</v>
      </c>
      <c r="F258" s="132" t="s">
        <v>65</v>
      </c>
    </row>
    <row r="259" spans="1:6" ht="15" x14ac:dyDescent="0.25">
      <c r="A259" s="127"/>
      <c r="B259" s="130">
        <v>256</v>
      </c>
      <c r="C259" s="131">
        <v>2009</v>
      </c>
      <c r="D259" s="131" t="s">
        <v>107</v>
      </c>
      <c r="E259" s="131" t="str">
        <f ca="1">IFERROR(__xludf.DUMMYFUNCTION("IF(
  MAX(
    IFERROR(MAX(FILTER('REGISTRO PROD. v1'!F:F,'REGISTRO PROD. v1'!D:D=B259)),0),
    IFERROR(MAX(FILTER('REGISTRO PROD. v1'!W:W,'REGISTRO PROD. v1'!U:U=B259)),0),
    IFERROR(MAX(FILTER('REGISTRO PROD. v1'!AN:AN,'REGISTRO PROD. v1'!AL:AL=B259)"&amp;"),0),
    IFERROR(MAX(FILTER('REGISTRO PROD. v1'!BE:BE,'REGISTRO PROD. v1'!BC:BC=B259)),0),
    IFERROR(MAX(FILTER('REGISTRO PROD. v1'!BV:BV,'REGISTRO PROD. v1'!BT:BT=B259)),0)
  )=0,
  ""NO"",
  IF(
    MAX(
      IFERROR(MAX(FILTER('REGISTRO PROD. v1'!F"&amp;":F,'REGISTRO PROD. v1'!D:D=B259)),0),
      IFERROR(MAX(FILTER('REGISTRO PROD. v1'!W:W,'REGISTRO PROD. v1'!U:U=B259)),0),
      IFERROR(MAX(FILTER('REGISTRO PROD. v1'!AN:AN,'REGISTRO PROD. v1'!AL:AL=B259)),0),
      IFERROR(MAX(FILTER('REGISTRO PROD. v1'!"&amp;"BE:BE,'REGISTRO PROD. v1'!BC:BC=B259)),0),
      IFERROR(MAX(FILTER('REGISTRO PROD. v1'!BV:BV,'REGISTRO PROD. v1'!BT:BT=B259)),0)
    )&gt;=F259,
    ""SI"",
    ""EN PROCESO""
  )
)
"),"NO")</f>
        <v>NO</v>
      </c>
      <c r="F259" s="132" t="s">
        <v>65</v>
      </c>
    </row>
    <row r="260" spans="1:6" ht="15" x14ac:dyDescent="0.25">
      <c r="A260" s="127"/>
      <c r="B260" s="130">
        <v>257</v>
      </c>
      <c r="C260" s="131">
        <v>2009</v>
      </c>
      <c r="D260" s="131" t="s">
        <v>108</v>
      </c>
      <c r="E260" s="131" t="str">
        <f ca="1">IFERROR(__xludf.DUMMYFUNCTION("IF(
  MAX(
    IFERROR(MAX(FILTER('REGISTRO PROD. v1'!F:F,'REGISTRO PROD. v1'!D:D=B260)),0),
    IFERROR(MAX(FILTER('REGISTRO PROD. v1'!W:W,'REGISTRO PROD. v1'!U:U=B260)),0),
    IFERROR(MAX(FILTER('REGISTRO PROD. v1'!AN:AN,'REGISTRO PROD. v1'!AL:AL=B260)"&amp;"),0),
    IFERROR(MAX(FILTER('REGISTRO PROD. v1'!BE:BE,'REGISTRO PROD. v1'!BC:BC=B260)),0),
    IFERROR(MAX(FILTER('REGISTRO PROD. v1'!BV:BV,'REGISTRO PROD. v1'!BT:BT=B260)),0)
  )=0,
  ""NO"",
  IF(
    MAX(
      IFERROR(MAX(FILTER('REGISTRO PROD. v1'!F"&amp;":F,'REGISTRO PROD. v1'!D:D=B260)),0),
      IFERROR(MAX(FILTER('REGISTRO PROD. v1'!W:W,'REGISTRO PROD. v1'!U:U=B260)),0),
      IFERROR(MAX(FILTER('REGISTRO PROD. v1'!AN:AN,'REGISTRO PROD. v1'!AL:AL=B260)),0),
      IFERROR(MAX(FILTER('REGISTRO PROD. v1'!"&amp;"BE:BE,'REGISTRO PROD. v1'!BC:BC=B260)),0),
      IFERROR(MAX(FILTER('REGISTRO PROD. v1'!BV:BV,'REGISTRO PROD. v1'!BT:BT=B260)),0)
    )&gt;=F260,
    ""SI"",
    ""EN PROCESO""
  )
)
"),"NO")</f>
        <v>NO</v>
      </c>
      <c r="F260" s="132" t="s">
        <v>65</v>
      </c>
    </row>
    <row r="261" spans="1:6" ht="15" x14ac:dyDescent="0.25">
      <c r="A261" s="127"/>
      <c r="B261" s="130">
        <v>258</v>
      </c>
      <c r="C261" s="131">
        <v>2009</v>
      </c>
      <c r="D261" s="131" t="s">
        <v>109</v>
      </c>
      <c r="E261" s="131" t="str">
        <f ca="1">IFERROR(__xludf.DUMMYFUNCTION("IF(
  MAX(
    IFERROR(MAX(FILTER('REGISTRO PROD. v1'!F:F,'REGISTRO PROD. v1'!D:D=B261)),0),
    IFERROR(MAX(FILTER('REGISTRO PROD. v1'!W:W,'REGISTRO PROD. v1'!U:U=B261)),0),
    IFERROR(MAX(FILTER('REGISTRO PROD. v1'!AN:AN,'REGISTRO PROD. v1'!AL:AL=B261)"&amp;"),0),
    IFERROR(MAX(FILTER('REGISTRO PROD. v1'!BE:BE,'REGISTRO PROD. v1'!BC:BC=B261)),0),
    IFERROR(MAX(FILTER('REGISTRO PROD. v1'!BV:BV,'REGISTRO PROD. v1'!BT:BT=B261)),0)
  )=0,
  ""NO"",
  IF(
    MAX(
      IFERROR(MAX(FILTER('REGISTRO PROD. v1'!F"&amp;":F,'REGISTRO PROD. v1'!D:D=B261)),0),
      IFERROR(MAX(FILTER('REGISTRO PROD. v1'!W:W,'REGISTRO PROD. v1'!U:U=B261)),0),
      IFERROR(MAX(FILTER('REGISTRO PROD. v1'!AN:AN,'REGISTRO PROD. v1'!AL:AL=B261)),0),
      IFERROR(MAX(FILTER('REGISTRO PROD. v1'!"&amp;"BE:BE,'REGISTRO PROD. v1'!BC:BC=B261)),0),
      IFERROR(MAX(FILTER('REGISTRO PROD. v1'!BV:BV,'REGISTRO PROD. v1'!BT:BT=B261)),0)
    )&gt;=F261,
    ""SI"",
    ""EN PROCESO""
  )
)
"),"NO")</f>
        <v>NO</v>
      </c>
      <c r="F261" s="132" t="s">
        <v>65</v>
      </c>
    </row>
    <row r="262" spans="1:6" ht="15" x14ac:dyDescent="0.25">
      <c r="A262" s="127"/>
      <c r="B262" s="130">
        <v>259</v>
      </c>
      <c r="C262" s="131">
        <v>2009</v>
      </c>
      <c r="D262" s="131" t="s">
        <v>110</v>
      </c>
      <c r="E262" s="131" t="str">
        <f ca="1">IFERROR(__xludf.DUMMYFUNCTION("IF(
  MAX(
    IFERROR(MAX(FILTER('REGISTRO PROD. v1'!F:F,'REGISTRO PROD. v1'!D:D=B262)),0),
    IFERROR(MAX(FILTER('REGISTRO PROD. v1'!W:W,'REGISTRO PROD. v1'!U:U=B262)),0),
    IFERROR(MAX(FILTER('REGISTRO PROD. v1'!AN:AN,'REGISTRO PROD. v1'!AL:AL=B262)"&amp;"),0),
    IFERROR(MAX(FILTER('REGISTRO PROD. v1'!BE:BE,'REGISTRO PROD. v1'!BC:BC=B262)),0),
    IFERROR(MAX(FILTER('REGISTRO PROD. v1'!BV:BV,'REGISTRO PROD. v1'!BT:BT=B262)),0)
  )=0,
  ""NO"",
  IF(
    MAX(
      IFERROR(MAX(FILTER('REGISTRO PROD. v1'!F"&amp;":F,'REGISTRO PROD. v1'!D:D=B262)),0),
      IFERROR(MAX(FILTER('REGISTRO PROD. v1'!W:W,'REGISTRO PROD. v1'!U:U=B262)),0),
      IFERROR(MAX(FILTER('REGISTRO PROD. v1'!AN:AN,'REGISTRO PROD. v1'!AL:AL=B262)),0),
      IFERROR(MAX(FILTER('REGISTRO PROD. v1'!"&amp;"BE:BE,'REGISTRO PROD. v1'!BC:BC=B262)),0),
      IFERROR(MAX(FILTER('REGISTRO PROD. v1'!BV:BV,'REGISTRO PROD. v1'!BT:BT=B262)),0)
    )&gt;=F262,
    ""SI"",
    ""EN PROCESO""
  )
)
"),"NO")</f>
        <v>NO</v>
      </c>
      <c r="F262" s="132" t="s">
        <v>65</v>
      </c>
    </row>
    <row r="263" spans="1:6" ht="15" x14ac:dyDescent="0.25">
      <c r="A263" s="127"/>
      <c r="B263" s="130">
        <v>260</v>
      </c>
      <c r="C263" s="131">
        <v>2009</v>
      </c>
      <c r="D263" s="131" t="s">
        <v>111</v>
      </c>
      <c r="E263" s="131" t="str">
        <f ca="1">IFERROR(__xludf.DUMMYFUNCTION("IF(
  MAX(
    IFERROR(MAX(FILTER('REGISTRO PROD. v1'!F:F,'REGISTRO PROD. v1'!D:D=B263)),0),
    IFERROR(MAX(FILTER('REGISTRO PROD. v1'!W:W,'REGISTRO PROD. v1'!U:U=B263)),0),
    IFERROR(MAX(FILTER('REGISTRO PROD. v1'!AN:AN,'REGISTRO PROD. v1'!AL:AL=B263)"&amp;"),0),
    IFERROR(MAX(FILTER('REGISTRO PROD. v1'!BE:BE,'REGISTRO PROD. v1'!BC:BC=B263)),0),
    IFERROR(MAX(FILTER('REGISTRO PROD. v1'!BV:BV,'REGISTRO PROD. v1'!BT:BT=B263)),0)
  )=0,
  ""NO"",
  IF(
    MAX(
      IFERROR(MAX(FILTER('REGISTRO PROD. v1'!F"&amp;":F,'REGISTRO PROD. v1'!D:D=B263)),0),
      IFERROR(MAX(FILTER('REGISTRO PROD. v1'!W:W,'REGISTRO PROD. v1'!U:U=B263)),0),
      IFERROR(MAX(FILTER('REGISTRO PROD. v1'!AN:AN,'REGISTRO PROD. v1'!AL:AL=B263)),0),
      IFERROR(MAX(FILTER('REGISTRO PROD. v1'!"&amp;"BE:BE,'REGISTRO PROD. v1'!BC:BC=B263)),0),
      IFERROR(MAX(FILTER('REGISTRO PROD. v1'!BV:BV,'REGISTRO PROD. v1'!BT:BT=B263)),0)
    )&gt;=F263,
    ""SI"",
    ""EN PROCESO""
  )
)
"),"NO")</f>
        <v>NO</v>
      </c>
      <c r="F263" s="132" t="s">
        <v>65</v>
      </c>
    </row>
    <row r="264" spans="1:6" ht="15" x14ac:dyDescent="0.25">
      <c r="A264" s="127"/>
      <c r="B264" s="130">
        <v>261</v>
      </c>
      <c r="C264" s="131">
        <v>2009</v>
      </c>
      <c r="D264" s="131" t="s">
        <v>112</v>
      </c>
      <c r="E264" s="131" t="str">
        <f ca="1">IFERROR(__xludf.DUMMYFUNCTION("IF(
  MAX(
    IFERROR(MAX(FILTER('REGISTRO PROD. v1'!F:F,'REGISTRO PROD. v1'!D:D=B264)),0),
    IFERROR(MAX(FILTER('REGISTRO PROD. v1'!W:W,'REGISTRO PROD. v1'!U:U=B264)),0),
    IFERROR(MAX(FILTER('REGISTRO PROD. v1'!AN:AN,'REGISTRO PROD. v1'!AL:AL=B264)"&amp;"),0),
    IFERROR(MAX(FILTER('REGISTRO PROD. v1'!BE:BE,'REGISTRO PROD. v1'!BC:BC=B264)),0),
    IFERROR(MAX(FILTER('REGISTRO PROD. v1'!BV:BV,'REGISTRO PROD. v1'!BT:BT=B264)),0)
  )=0,
  ""NO"",
  IF(
    MAX(
      IFERROR(MAX(FILTER('REGISTRO PROD. v1'!F"&amp;":F,'REGISTRO PROD. v1'!D:D=B264)),0),
      IFERROR(MAX(FILTER('REGISTRO PROD. v1'!W:W,'REGISTRO PROD. v1'!U:U=B264)),0),
      IFERROR(MAX(FILTER('REGISTRO PROD. v1'!AN:AN,'REGISTRO PROD. v1'!AL:AL=B264)),0),
      IFERROR(MAX(FILTER('REGISTRO PROD. v1'!"&amp;"BE:BE,'REGISTRO PROD. v1'!BC:BC=B264)),0),
      IFERROR(MAX(FILTER('REGISTRO PROD. v1'!BV:BV,'REGISTRO PROD. v1'!BT:BT=B264)),0)
    )&gt;=F264,
    ""SI"",
    ""EN PROCESO""
  )
)
"),"NO")</f>
        <v>NO</v>
      </c>
      <c r="F264" s="132" t="s">
        <v>65</v>
      </c>
    </row>
    <row r="265" spans="1:6" ht="15" x14ac:dyDescent="0.25">
      <c r="A265" s="127"/>
      <c r="B265" s="130">
        <v>262</v>
      </c>
      <c r="C265" s="131">
        <v>2009</v>
      </c>
      <c r="D265" s="131" t="s">
        <v>113</v>
      </c>
      <c r="E265" s="131" t="str">
        <f ca="1">IFERROR(__xludf.DUMMYFUNCTION("IF(
  MAX(
    IFERROR(MAX(FILTER('REGISTRO PROD. v1'!F:F,'REGISTRO PROD. v1'!D:D=B265)),0),
    IFERROR(MAX(FILTER('REGISTRO PROD. v1'!W:W,'REGISTRO PROD. v1'!U:U=B265)),0),
    IFERROR(MAX(FILTER('REGISTRO PROD. v1'!AN:AN,'REGISTRO PROD. v1'!AL:AL=B265)"&amp;"),0),
    IFERROR(MAX(FILTER('REGISTRO PROD. v1'!BE:BE,'REGISTRO PROD. v1'!BC:BC=B265)),0),
    IFERROR(MAX(FILTER('REGISTRO PROD. v1'!BV:BV,'REGISTRO PROD. v1'!BT:BT=B265)),0)
  )=0,
  ""NO"",
  IF(
    MAX(
      IFERROR(MAX(FILTER('REGISTRO PROD. v1'!F"&amp;":F,'REGISTRO PROD. v1'!D:D=B265)),0),
      IFERROR(MAX(FILTER('REGISTRO PROD. v1'!W:W,'REGISTRO PROD. v1'!U:U=B265)),0),
      IFERROR(MAX(FILTER('REGISTRO PROD. v1'!AN:AN,'REGISTRO PROD. v1'!AL:AL=B265)),0),
      IFERROR(MAX(FILTER('REGISTRO PROD. v1'!"&amp;"BE:BE,'REGISTRO PROD. v1'!BC:BC=B265)),0),
      IFERROR(MAX(FILTER('REGISTRO PROD. v1'!BV:BV,'REGISTRO PROD. v1'!BT:BT=B265)),0)
    )&gt;=F265,
    ""SI"",
    ""EN PROCESO""
  )
)
"),"NO")</f>
        <v>NO</v>
      </c>
      <c r="F265" s="132" t="s">
        <v>65</v>
      </c>
    </row>
    <row r="266" spans="1:6" ht="15" x14ac:dyDescent="0.25">
      <c r="A266" s="127"/>
      <c r="B266" s="130">
        <v>263</v>
      </c>
      <c r="C266" s="131">
        <v>2009</v>
      </c>
      <c r="D266" s="131" t="s">
        <v>114</v>
      </c>
      <c r="E266" s="131" t="str">
        <f ca="1">IFERROR(__xludf.DUMMYFUNCTION("IF(
  MAX(
    IFERROR(MAX(FILTER('REGISTRO PROD. v1'!F:F,'REGISTRO PROD. v1'!D:D=B266)),0),
    IFERROR(MAX(FILTER('REGISTRO PROD. v1'!W:W,'REGISTRO PROD. v1'!U:U=B266)),0),
    IFERROR(MAX(FILTER('REGISTRO PROD. v1'!AN:AN,'REGISTRO PROD. v1'!AL:AL=B266)"&amp;"),0),
    IFERROR(MAX(FILTER('REGISTRO PROD. v1'!BE:BE,'REGISTRO PROD. v1'!BC:BC=B266)),0),
    IFERROR(MAX(FILTER('REGISTRO PROD. v1'!BV:BV,'REGISTRO PROD. v1'!BT:BT=B266)),0)
  )=0,
  ""NO"",
  IF(
    MAX(
      IFERROR(MAX(FILTER('REGISTRO PROD. v1'!F"&amp;":F,'REGISTRO PROD. v1'!D:D=B266)),0),
      IFERROR(MAX(FILTER('REGISTRO PROD. v1'!W:W,'REGISTRO PROD. v1'!U:U=B266)),0),
      IFERROR(MAX(FILTER('REGISTRO PROD. v1'!AN:AN,'REGISTRO PROD. v1'!AL:AL=B266)),0),
      IFERROR(MAX(FILTER('REGISTRO PROD. v1'!"&amp;"BE:BE,'REGISTRO PROD. v1'!BC:BC=B266)),0),
      IFERROR(MAX(FILTER('REGISTRO PROD. v1'!BV:BV,'REGISTRO PROD. v1'!BT:BT=B266)),0)
    )&gt;=F266,
    ""SI"",
    ""EN PROCESO""
  )
)
"),"NO")</f>
        <v>NO</v>
      </c>
      <c r="F266" s="132" t="s">
        <v>65</v>
      </c>
    </row>
    <row r="267" spans="1:6" ht="15" x14ac:dyDescent="0.25">
      <c r="A267" s="127"/>
      <c r="B267" s="130">
        <v>264</v>
      </c>
      <c r="C267" s="131">
        <v>2009</v>
      </c>
      <c r="D267" s="131" t="s">
        <v>115</v>
      </c>
      <c r="E267" s="131" t="str">
        <f ca="1">IFERROR(__xludf.DUMMYFUNCTION("IF(
  MAX(
    IFERROR(MAX(FILTER('REGISTRO PROD. v1'!F:F,'REGISTRO PROD. v1'!D:D=B267)),0),
    IFERROR(MAX(FILTER('REGISTRO PROD. v1'!W:W,'REGISTRO PROD. v1'!U:U=B267)),0),
    IFERROR(MAX(FILTER('REGISTRO PROD. v1'!AN:AN,'REGISTRO PROD. v1'!AL:AL=B267)"&amp;"),0),
    IFERROR(MAX(FILTER('REGISTRO PROD. v1'!BE:BE,'REGISTRO PROD. v1'!BC:BC=B267)),0),
    IFERROR(MAX(FILTER('REGISTRO PROD. v1'!BV:BV,'REGISTRO PROD. v1'!BT:BT=B267)),0)
  )=0,
  ""NO"",
  IF(
    MAX(
      IFERROR(MAX(FILTER('REGISTRO PROD. v1'!F"&amp;":F,'REGISTRO PROD. v1'!D:D=B267)),0),
      IFERROR(MAX(FILTER('REGISTRO PROD. v1'!W:W,'REGISTRO PROD. v1'!U:U=B267)),0),
      IFERROR(MAX(FILTER('REGISTRO PROD. v1'!AN:AN,'REGISTRO PROD. v1'!AL:AL=B267)),0),
      IFERROR(MAX(FILTER('REGISTRO PROD. v1'!"&amp;"BE:BE,'REGISTRO PROD. v1'!BC:BC=B267)),0),
      IFERROR(MAX(FILTER('REGISTRO PROD. v1'!BV:BV,'REGISTRO PROD. v1'!BT:BT=B267)),0)
    )&gt;=F267,
    ""SI"",
    ""EN PROCESO""
  )
)
"),"NO")</f>
        <v>NO</v>
      </c>
      <c r="F267" s="132" t="s">
        <v>65</v>
      </c>
    </row>
    <row r="268" spans="1:6" ht="15" x14ac:dyDescent="0.25">
      <c r="A268" s="127"/>
      <c r="B268" s="130">
        <v>265</v>
      </c>
      <c r="C268" s="131">
        <v>2009</v>
      </c>
      <c r="D268" s="131" t="s">
        <v>116</v>
      </c>
      <c r="E268" s="131" t="str">
        <f ca="1">IFERROR(__xludf.DUMMYFUNCTION("IF(
  MAX(
    IFERROR(MAX(FILTER('REGISTRO PROD. v1'!F:F,'REGISTRO PROD. v1'!D:D=B268)),0),
    IFERROR(MAX(FILTER('REGISTRO PROD. v1'!W:W,'REGISTRO PROD. v1'!U:U=B268)),0),
    IFERROR(MAX(FILTER('REGISTRO PROD. v1'!AN:AN,'REGISTRO PROD. v1'!AL:AL=B268)"&amp;"),0),
    IFERROR(MAX(FILTER('REGISTRO PROD. v1'!BE:BE,'REGISTRO PROD. v1'!BC:BC=B268)),0),
    IFERROR(MAX(FILTER('REGISTRO PROD. v1'!BV:BV,'REGISTRO PROD. v1'!BT:BT=B268)),0)
  )=0,
  ""NO"",
  IF(
    MAX(
      IFERROR(MAX(FILTER('REGISTRO PROD. v1'!F"&amp;":F,'REGISTRO PROD. v1'!D:D=B268)),0),
      IFERROR(MAX(FILTER('REGISTRO PROD. v1'!W:W,'REGISTRO PROD. v1'!U:U=B268)),0),
      IFERROR(MAX(FILTER('REGISTRO PROD. v1'!AN:AN,'REGISTRO PROD. v1'!AL:AL=B268)),0),
      IFERROR(MAX(FILTER('REGISTRO PROD. v1'!"&amp;"BE:BE,'REGISTRO PROD. v1'!BC:BC=B268)),0),
      IFERROR(MAX(FILTER('REGISTRO PROD. v1'!BV:BV,'REGISTRO PROD. v1'!BT:BT=B268)),0)
    )&gt;=F268,
    ""SI"",
    ""EN PROCESO""
  )
)
"),"NO")</f>
        <v>NO</v>
      </c>
      <c r="F268" s="132" t="s">
        <v>65</v>
      </c>
    </row>
    <row r="269" spans="1:6" ht="15" x14ac:dyDescent="0.25">
      <c r="A269" s="127"/>
      <c r="B269" s="130">
        <v>266</v>
      </c>
      <c r="C269" s="131">
        <v>2009</v>
      </c>
      <c r="D269" s="131" t="s">
        <v>117</v>
      </c>
      <c r="E269" s="131" t="str">
        <f ca="1">IFERROR(__xludf.DUMMYFUNCTION("IF(
  MAX(
    IFERROR(MAX(FILTER('REGISTRO PROD. v1'!F:F,'REGISTRO PROD. v1'!D:D=B269)),0),
    IFERROR(MAX(FILTER('REGISTRO PROD. v1'!W:W,'REGISTRO PROD. v1'!U:U=B269)),0),
    IFERROR(MAX(FILTER('REGISTRO PROD. v1'!AN:AN,'REGISTRO PROD. v1'!AL:AL=B269)"&amp;"),0),
    IFERROR(MAX(FILTER('REGISTRO PROD. v1'!BE:BE,'REGISTRO PROD. v1'!BC:BC=B269)),0),
    IFERROR(MAX(FILTER('REGISTRO PROD. v1'!BV:BV,'REGISTRO PROD. v1'!BT:BT=B269)),0)
  )=0,
  ""NO"",
  IF(
    MAX(
      IFERROR(MAX(FILTER('REGISTRO PROD. v1'!F"&amp;":F,'REGISTRO PROD. v1'!D:D=B269)),0),
      IFERROR(MAX(FILTER('REGISTRO PROD. v1'!W:W,'REGISTRO PROD. v1'!U:U=B269)),0),
      IFERROR(MAX(FILTER('REGISTRO PROD. v1'!AN:AN,'REGISTRO PROD. v1'!AL:AL=B269)),0),
      IFERROR(MAX(FILTER('REGISTRO PROD. v1'!"&amp;"BE:BE,'REGISTRO PROD. v1'!BC:BC=B269)),0),
      IFERROR(MAX(FILTER('REGISTRO PROD. v1'!BV:BV,'REGISTRO PROD. v1'!BT:BT=B269)),0)
    )&gt;=F269,
    ""SI"",
    ""EN PROCESO""
  )
)
"),"NO")</f>
        <v>NO</v>
      </c>
      <c r="F269" s="132" t="s">
        <v>65</v>
      </c>
    </row>
    <row r="270" spans="1:6" ht="15" x14ac:dyDescent="0.25">
      <c r="A270" s="127"/>
      <c r="B270" s="130">
        <v>267</v>
      </c>
      <c r="C270" s="131">
        <v>2009</v>
      </c>
      <c r="D270" s="131" t="s">
        <v>118</v>
      </c>
      <c r="E270" s="131" t="str">
        <f ca="1">IFERROR(__xludf.DUMMYFUNCTION("IF(
  MAX(
    IFERROR(MAX(FILTER('REGISTRO PROD. v1'!F:F,'REGISTRO PROD. v1'!D:D=B270)),0),
    IFERROR(MAX(FILTER('REGISTRO PROD. v1'!W:W,'REGISTRO PROD. v1'!U:U=B270)),0),
    IFERROR(MAX(FILTER('REGISTRO PROD. v1'!AN:AN,'REGISTRO PROD. v1'!AL:AL=B270)"&amp;"),0),
    IFERROR(MAX(FILTER('REGISTRO PROD. v1'!BE:BE,'REGISTRO PROD. v1'!BC:BC=B270)),0),
    IFERROR(MAX(FILTER('REGISTRO PROD. v1'!BV:BV,'REGISTRO PROD. v1'!BT:BT=B270)),0)
  )=0,
  ""NO"",
  IF(
    MAX(
      IFERROR(MAX(FILTER('REGISTRO PROD. v1'!F"&amp;":F,'REGISTRO PROD. v1'!D:D=B270)),0),
      IFERROR(MAX(FILTER('REGISTRO PROD. v1'!W:W,'REGISTRO PROD. v1'!U:U=B270)),0),
      IFERROR(MAX(FILTER('REGISTRO PROD. v1'!AN:AN,'REGISTRO PROD. v1'!AL:AL=B270)),0),
      IFERROR(MAX(FILTER('REGISTRO PROD. v1'!"&amp;"BE:BE,'REGISTRO PROD. v1'!BC:BC=B270)),0),
      IFERROR(MAX(FILTER('REGISTRO PROD. v1'!BV:BV,'REGISTRO PROD. v1'!BT:BT=B270)),0)
    )&gt;=F270,
    ""SI"",
    ""EN PROCESO""
  )
)
"),"NO")</f>
        <v>NO</v>
      </c>
      <c r="F270" s="132" t="s">
        <v>65</v>
      </c>
    </row>
    <row r="271" spans="1:6" ht="15" x14ac:dyDescent="0.25">
      <c r="A271" s="127"/>
      <c r="B271" s="130">
        <v>268</v>
      </c>
      <c r="C271" s="131">
        <v>2009</v>
      </c>
      <c r="D271" s="131" t="s">
        <v>119</v>
      </c>
      <c r="E271" s="131" t="str">
        <f ca="1">IFERROR(__xludf.DUMMYFUNCTION("IF(
  MAX(
    IFERROR(MAX(FILTER('REGISTRO PROD. v1'!F:F,'REGISTRO PROD. v1'!D:D=B271)),0),
    IFERROR(MAX(FILTER('REGISTRO PROD. v1'!W:W,'REGISTRO PROD. v1'!U:U=B271)),0),
    IFERROR(MAX(FILTER('REGISTRO PROD. v1'!AN:AN,'REGISTRO PROD. v1'!AL:AL=B271)"&amp;"),0),
    IFERROR(MAX(FILTER('REGISTRO PROD. v1'!BE:BE,'REGISTRO PROD. v1'!BC:BC=B271)),0),
    IFERROR(MAX(FILTER('REGISTRO PROD. v1'!BV:BV,'REGISTRO PROD. v1'!BT:BT=B271)),0)
  )=0,
  ""NO"",
  IF(
    MAX(
      IFERROR(MAX(FILTER('REGISTRO PROD. v1'!F"&amp;":F,'REGISTRO PROD. v1'!D:D=B271)),0),
      IFERROR(MAX(FILTER('REGISTRO PROD. v1'!W:W,'REGISTRO PROD. v1'!U:U=B271)),0),
      IFERROR(MAX(FILTER('REGISTRO PROD. v1'!AN:AN,'REGISTRO PROD. v1'!AL:AL=B271)),0),
      IFERROR(MAX(FILTER('REGISTRO PROD. v1'!"&amp;"BE:BE,'REGISTRO PROD. v1'!BC:BC=B271)),0),
      IFERROR(MAX(FILTER('REGISTRO PROD. v1'!BV:BV,'REGISTRO PROD. v1'!BT:BT=B271)),0)
    )&gt;=F271,
    ""SI"",
    ""EN PROCESO""
  )
)
"),"NO")</f>
        <v>NO</v>
      </c>
      <c r="F271" s="132" t="s">
        <v>65</v>
      </c>
    </row>
    <row r="272" spans="1:6" ht="15" x14ac:dyDescent="0.25">
      <c r="A272" s="127"/>
      <c r="B272" s="130">
        <v>269</v>
      </c>
      <c r="C272" s="131">
        <v>2009</v>
      </c>
      <c r="D272" s="131" t="s">
        <v>121</v>
      </c>
      <c r="E272" s="131" t="str">
        <f ca="1">IFERROR(__xludf.DUMMYFUNCTION("IF(
  MAX(
    IFERROR(MAX(FILTER('REGISTRO PROD. v1'!F:F,'REGISTRO PROD. v1'!D:D=B272)),0),
    IFERROR(MAX(FILTER('REGISTRO PROD. v1'!W:W,'REGISTRO PROD. v1'!U:U=B272)),0),
    IFERROR(MAX(FILTER('REGISTRO PROD. v1'!AN:AN,'REGISTRO PROD. v1'!AL:AL=B272)"&amp;"),0),
    IFERROR(MAX(FILTER('REGISTRO PROD. v1'!BE:BE,'REGISTRO PROD. v1'!BC:BC=B272)),0),
    IFERROR(MAX(FILTER('REGISTRO PROD. v1'!BV:BV,'REGISTRO PROD. v1'!BT:BT=B272)),0)
  )=0,
  ""NO"",
  IF(
    MAX(
      IFERROR(MAX(FILTER('REGISTRO PROD. v1'!F"&amp;":F,'REGISTRO PROD. v1'!D:D=B272)),0),
      IFERROR(MAX(FILTER('REGISTRO PROD. v1'!W:W,'REGISTRO PROD. v1'!U:U=B272)),0),
      IFERROR(MAX(FILTER('REGISTRO PROD. v1'!AN:AN,'REGISTRO PROD. v1'!AL:AL=B272)),0),
      IFERROR(MAX(FILTER('REGISTRO PROD. v1'!"&amp;"BE:BE,'REGISTRO PROD. v1'!BC:BC=B272)),0),
      IFERROR(MAX(FILTER('REGISTRO PROD. v1'!BV:BV,'REGISTRO PROD. v1'!BT:BT=B272)),0)
    )&gt;=F272,
    ""SI"",
    ""EN PROCESO""
  )
)
"),"NO")</f>
        <v>NO</v>
      </c>
      <c r="F272" s="132" t="s">
        <v>65</v>
      </c>
    </row>
    <row r="273" spans="1:6" ht="15" x14ac:dyDescent="0.25">
      <c r="A273" s="127"/>
      <c r="B273" s="130">
        <v>270</v>
      </c>
      <c r="C273" s="131">
        <v>2009</v>
      </c>
      <c r="D273" s="131" t="s">
        <v>122</v>
      </c>
      <c r="E273" s="131" t="str">
        <f ca="1">IFERROR(__xludf.DUMMYFUNCTION("IF(
  MAX(
    IFERROR(MAX(FILTER('REGISTRO PROD. v1'!F:F,'REGISTRO PROD. v1'!D:D=B273)),0),
    IFERROR(MAX(FILTER('REGISTRO PROD. v1'!W:W,'REGISTRO PROD. v1'!U:U=B273)),0),
    IFERROR(MAX(FILTER('REGISTRO PROD. v1'!AN:AN,'REGISTRO PROD. v1'!AL:AL=B273)"&amp;"),0),
    IFERROR(MAX(FILTER('REGISTRO PROD. v1'!BE:BE,'REGISTRO PROD. v1'!BC:BC=B273)),0),
    IFERROR(MAX(FILTER('REGISTRO PROD. v1'!BV:BV,'REGISTRO PROD. v1'!BT:BT=B273)),0)
  )=0,
  ""NO"",
  IF(
    MAX(
      IFERROR(MAX(FILTER('REGISTRO PROD. v1'!F"&amp;":F,'REGISTRO PROD. v1'!D:D=B273)),0),
      IFERROR(MAX(FILTER('REGISTRO PROD. v1'!W:W,'REGISTRO PROD. v1'!U:U=B273)),0),
      IFERROR(MAX(FILTER('REGISTRO PROD. v1'!AN:AN,'REGISTRO PROD. v1'!AL:AL=B273)),0),
      IFERROR(MAX(FILTER('REGISTRO PROD. v1'!"&amp;"BE:BE,'REGISTRO PROD. v1'!BC:BC=B273)),0),
      IFERROR(MAX(FILTER('REGISTRO PROD. v1'!BV:BV,'REGISTRO PROD. v1'!BT:BT=B273)),0)
    )&gt;=F273,
    ""SI"",
    ""EN PROCESO""
  )
)
"),"NO")</f>
        <v>NO</v>
      </c>
      <c r="F273" s="132" t="s">
        <v>65</v>
      </c>
    </row>
    <row r="274" spans="1:6" ht="15" x14ac:dyDescent="0.25">
      <c r="A274" s="127"/>
      <c r="B274" s="130">
        <v>271</v>
      </c>
      <c r="C274" s="131">
        <v>2009</v>
      </c>
      <c r="D274" s="131" t="s">
        <v>123</v>
      </c>
      <c r="E274" s="131" t="str">
        <f ca="1">IFERROR(__xludf.DUMMYFUNCTION("IF(
  MAX(
    IFERROR(MAX(FILTER('REGISTRO PROD. v1'!F:F,'REGISTRO PROD. v1'!D:D=B274)),0),
    IFERROR(MAX(FILTER('REGISTRO PROD. v1'!W:W,'REGISTRO PROD. v1'!U:U=B274)),0),
    IFERROR(MAX(FILTER('REGISTRO PROD. v1'!AN:AN,'REGISTRO PROD. v1'!AL:AL=B274)"&amp;"),0),
    IFERROR(MAX(FILTER('REGISTRO PROD. v1'!BE:BE,'REGISTRO PROD. v1'!BC:BC=B274)),0),
    IFERROR(MAX(FILTER('REGISTRO PROD. v1'!BV:BV,'REGISTRO PROD. v1'!BT:BT=B274)),0)
  )=0,
  ""NO"",
  IF(
    MAX(
      IFERROR(MAX(FILTER('REGISTRO PROD. v1'!F"&amp;":F,'REGISTRO PROD. v1'!D:D=B274)),0),
      IFERROR(MAX(FILTER('REGISTRO PROD. v1'!W:W,'REGISTRO PROD. v1'!U:U=B274)),0),
      IFERROR(MAX(FILTER('REGISTRO PROD. v1'!AN:AN,'REGISTRO PROD. v1'!AL:AL=B274)),0),
      IFERROR(MAX(FILTER('REGISTRO PROD. v1'!"&amp;"BE:BE,'REGISTRO PROD. v1'!BC:BC=B274)),0),
      IFERROR(MAX(FILTER('REGISTRO PROD. v1'!BV:BV,'REGISTRO PROD. v1'!BT:BT=B274)),0)
    )&gt;=F274,
    ""SI"",
    ""EN PROCESO""
  )
)
"),"NO")</f>
        <v>NO</v>
      </c>
      <c r="F274" s="132" t="s">
        <v>65</v>
      </c>
    </row>
    <row r="275" spans="1:6" ht="15" x14ac:dyDescent="0.25">
      <c r="A275" s="127"/>
      <c r="B275" s="130">
        <v>272</v>
      </c>
      <c r="C275" s="131">
        <v>2009</v>
      </c>
      <c r="D275" s="131" t="s">
        <v>124</v>
      </c>
      <c r="E275" s="131" t="str">
        <f ca="1">IFERROR(__xludf.DUMMYFUNCTION("IF(
  MAX(
    IFERROR(MAX(FILTER('REGISTRO PROD. v1'!F:F,'REGISTRO PROD. v1'!D:D=B275)),0),
    IFERROR(MAX(FILTER('REGISTRO PROD. v1'!W:W,'REGISTRO PROD. v1'!U:U=B275)),0),
    IFERROR(MAX(FILTER('REGISTRO PROD. v1'!AN:AN,'REGISTRO PROD. v1'!AL:AL=B275)"&amp;"),0),
    IFERROR(MAX(FILTER('REGISTRO PROD. v1'!BE:BE,'REGISTRO PROD. v1'!BC:BC=B275)),0),
    IFERROR(MAX(FILTER('REGISTRO PROD. v1'!BV:BV,'REGISTRO PROD. v1'!BT:BT=B275)),0)
  )=0,
  ""NO"",
  IF(
    MAX(
      IFERROR(MAX(FILTER('REGISTRO PROD. v1'!F"&amp;":F,'REGISTRO PROD. v1'!D:D=B275)),0),
      IFERROR(MAX(FILTER('REGISTRO PROD. v1'!W:W,'REGISTRO PROD. v1'!U:U=B275)),0),
      IFERROR(MAX(FILTER('REGISTRO PROD. v1'!AN:AN,'REGISTRO PROD. v1'!AL:AL=B275)),0),
      IFERROR(MAX(FILTER('REGISTRO PROD. v1'!"&amp;"BE:BE,'REGISTRO PROD. v1'!BC:BC=B275)),0),
      IFERROR(MAX(FILTER('REGISTRO PROD. v1'!BV:BV,'REGISTRO PROD. v1'!BT:BT=B275)),0)
    )&gt;=F275,
    ""SI"",
    ""EN PROCESO""
  )
)
"),"NO")</f>
        <v>NO</v>
      </c>
      <c r="F275" s="132" t="s">
        <v>65</v>
      </c>
    </row>
    <row r="276" spans="1:6" ht="15" x14ac:dyDescent="0.25">
      <c r="A276" s="127"/>
      <c r="B276" s="130">
        <v>273</v>
      </c>
      <c r="C276" s="131">
        <v>2009</v>
      </c>
      <c r="D276" s="131" t="s">
        <v>125</v>
      </c>
      <c r="E276" s="131" t="str">
        <f ca="1">IFERROR(__xludf.DUMMYFUNCTION("IF(
  MAX(
    IFERROR(MAX(FILTER('REGISTRO PROD. v1'!F:F,'REGISTRO PROD. v1'!D:D=B276)),0),
    IFERROR(MAX(FILTER('REGISTRO PROD. v1'!W:W,'REGISTRO PROD. v1'!U:U=B276)),0),
    IFERROR(MAX(FILTER('REGISTRO PROD. v1'!AN:AN,'REGISTRO PROD. v1'!AL:AL=B276)"&amp;"),0),
    IFERROR(MAX(FILTER('REGISTRO PROD. v1'!BE:BE,'REGISTRO PROD. v1'!BC:BC=B276)),0),
    IFERROR(MAX(FILTER('REGISTRO PROD. v1'!BV:BV,'REGISTRO PROD. v1'!BT:BT=B276)),0)
  )=0,
  ""NO"",
  IF(
    MAX(
      IFERROR(MAX(FILTER('REGISTRO PROD. v1'!F"&amp;":F,'REGISTRO PROD. v1'!D:D=B276)),0),
      IFERROR(MAX(FILTER('REGISTRO PROD. v1'!W:W,'REGISTRO PROD. v1'!U:U=B276)),0),
      IFERROR(MAX(FILTER('REGISTRO PROD. v1'!AN:AN,'REGISTRO PROD. v1'!AL:AL=B276)),0),
      IFERROR(MAX(FILTER('REGISTRO PROD. v1'!"&amp;"BE:BE,'REGISTRO PROD. v1'!BC:BC=B276)),0),
      IFERROR(MAX(FILTER('REGISTRO PROD. v1'!BV:BV,'REGISTRO PROD. v1'!BT:BT=B276)),0)
    )&gt;=F276,
    ""SI"",
    ""EN PROCESO""
  )
)
"),"NO")</f>
        <v>NO</v>
      </c>
      <c r="F276" s="132" t="s">
        <v>65</v>
      </c>
    </row>
    <row r="277" spans="1:6" ht="15" x14ac:dyDescent="0.25">
      <c r="A277" s="127"/>
      <c r="B277" s="130">
        <v>274</v>
      </c>
      <c r="C277" s="131">
        <v>2009</v>
      </c>
      <c r="D277" s="131" t="s">
        <v>126</v>
      </c>
      <c r="E277" s="131" t="str">
        <f ca="1">IFERROR(__xludf.DUMMYFUNCTION("IF(
  MAX(
    IFERROR(MAX(FILTER('REGISTRO PROD. v1'!F:F,'REGISTRO PROD. v1'!D:D=B277)),0),
    IFERROR(MAX(FILTER('REGISTRO PROD. v1'!W:W,'REGISTRO PROD. v1'!U:U=B277)),0),
    IFERROR(MAX(FILTER('REGISTRO PROD. v1'!AN:AN,'REGISTRO PROD. v1'!AL:AL=B277)"&amp;"),0),
    IFERROR(MAX(FILTER('REGISTRO PROD. v1'!BE:BE,'REGISTRO PROD. v1'!BC:BC=B277)),0),
    IFERROR(MAX(FILTER('REGISTRO PROD. v1'!BV:BV,'REGISTRO PROD. v1'!BT:BT=B277)),0)
  )=0,
  ""NO"",
  IF(
    MAX(
      IFERROR(MAX(FILTER('REGISTRO PROD. v1'!F"&amp;":F,'REGISTRO PROD. v1'!D:D=B277)),0),
      IFERROR(MAX(FILTER('REGISTRO PROD. v1'!W:W,'REGISTRO PROD. v1'!U:U=B277)),0),
      IFERROR(MAX(FILTER('REGISTRO PROD. v1'!AN:AN,'REGISTRO PROD. v1'!AL:AL=B277)),0),
      IFERROR(MAX(FILTER('REGISTRO PROD. v1'!"&amp;"BE:BE,'REGISTRO PROD. v1'!BC:BC=B277)),0),
      IFERROR(MAX(FILTER('REGISTRO PROD. v1'!BV:BV,'REGISTRO PROD. v1'!BT:BT=B277)),0)
    )&gt;=F277,
    ""SI"",
    ""EN PROCESO""
  )
)
"),"NO")</f>
        <v>NO</v>
      </c>
      <c r="F277" s="132" t="s">
        <v>65</v>
      </c>
    </row>
    <row r="278" spans="1:6" ht="15" x14ac:dyDescent="0.25">
      <c r="A278" s="127"/>
      <c r="B278" s="130">
        <v>275</v>
      </c>
      <c r="C278" s="131">
        <v>2009</v>
      </c>
      <c r="D278" s="131" t="s">
        <v>128</v>
      </c>
      <c r="E278" s="131" t="str">
        <f ca="1">IFERROR(__xludf.DUMMYFUNCTION("IF(
  MAX(
    IFERROR(MAX(FILTER('REGISTRO PROD. v1'!F:F,'REGISTRO PROD. v1'!D:D=B278)),0),
    IFERROR(MAX(FILTER('REGISTRO PROD. v1'!W:W,'REGISTRO PROD. v1'!U:U=B278)),0),
    IFERROR(MAX(FILTER('REGISTRO PROD. v1'!AN:AN,'REGISTRO PROD. v1'!AL:AL=B278)"&amp;"),0),
    IFERROR(MAX(FILTER('REGISTRO PROD. v1'!BE:BE,'REGISTRO PROD. v1'!BC:BC=B278)),0),
    IFERROR(MAX(FILTER('REGISTRO PROD. v1'!BV:BV,'REGISTRO PROD. v1'!BT:BT=B278)),0)
  )=0,
  ""NO"",
  IF(
    MAX(
      IFERROR(MAX(FILTER('REGISTRO PROD. v1'!F"&amp;":F,'REGISTRO PROD. v1'!D:D=B278)),0),
      IFERROR(MAX(FILTER('REGISTRO PROD. v1'!W:W,'REGISTRO PROD. v1'!U:U=B278)),0),
      IFERROR(MAX(FILTER('REGISTRO PROD. v1'!AN:AN,'REGISTRO PROD. v1'!AL:AL=B278)),0),
      IFERROR(MAX(FILTER('REGISTRO PROD. v1'!"&amp;"BE:BE,'REGISTRO PROD. v1'!BC:BC=B278)),0),
      IFERROR(MAX(FILTER('REGISTRO PROD. v1'!BV:BV,'REGISTRO PROD. v1'!BT:BT=B278)),0)
    )&gt;=F278,
    ""SI"",
    ""EN PROCESO""
  )
)
"),"NO")</f>
        <v>NO</v>
      </c>
      <c r="F278" s="132" t="s">
        <v>65</v>
      </c>
    </row>
    <row r="279" spans="1:6" ht="15" x14ac:dyDescent="0.25">
      <c r="A279" s="127"/>
      <c r="B279" s="130">
        <v>276</v>
      </c>
      <c r="C279" s="131">
        <v>2009</v>
      </c>
      <c r="D279" s="131" t="s">
        <v>129</v>
      </c>
      <c r="E279" s="131" t="str">
        <f ca="1">IFERROR(__xludf.DUMMYFUNCTION("IF(
  MAX(
    IFERROR(MAX(FILTER('REGISTRO PROD. v1'!F:F,'REGISTRO PROD. v1'!D:D=B279)),0),
    IFERROR(MAX(FILTER('REGISTRO PROD. v1'!W:W,'REGISTRO PROD. v1'!U:U=B279)),0),
    IFERROR(MAX(FILTER('REGISTRO PROD. v1'!AN:AN,'REGISTRO PROD. v1'!AL:AL=B279)"&amp;"),0),
    IFERROR(MAX(FILTER('REGISTRO PROD. v1'!BE:BE,'REGISTRO PROD. v1'!BC:BC=B279)),0),
    IFERROR(MAX(FILTER('REGISTRO PROD. v1'!BV:BV,'REGISTRO PROD. v1'!BT:BT=B279)),0)
  )=0,
  ""NO"",
  IF(
    MAX(
      IFERROR(MAX(FILTER('REGISTRO PROD. v1'!F"&amp;":F,'REGISTRO PROD. v1'!D:D=B279)),0),
      IFERROR(MAX(FILTER('REGISTRO PROD. v1'!W:W,'REGISTRO PROD. v1'!U:U=B279)),0),
      IFERROR(MAX(FILTER('REGISTRO PROD. v1'!AN:AN,'REGISTRO PROD. v1'!AL:AL=B279)),0),
      IFERROR(MAX(FILTER('REGISTRO PROD. v1'!"&amp;"BE:BE,'REGISTRO PROD. v1'!BC:BC=B279)),0),
      IFERROR(MAX(FILTER('REGISTRO PROD. v1'!BV:BV,'REGISTRO PROD. v1'!BT:BT=B279)),0)
    )&gt;=F279,
    ""SI"",
    ""EN PROCESO""
  )
)
"),"NO")</f>
        <v>NO</v>
      </c>
      <c r="F279" s="132" t="s">
        <v>65</v>
      </c>
    </row>
    <row r="280" spans="1:6" ht="15" x14ac:dyDescent="0.25">
      <c r="A280" s="127"/>
      <c r="B280" s="130">
        <v>277</v>
      </c>
      <c r="C280" s="131">
        <v>2009</v>
      </c>
      <c r="D280" s="131" t="s">
        <v>130</v>
      </c>
      <c r="E280" s="131" t="str">
        <f ca="1">IFERROR(__xludf.DUMMYFUNCTION("IF(
  MAX(
    IFERROR(MAX(FILTER('REGISTRO PROD. v1'!F:F,'REGISTRO PROD. v1'!D:D=B280)),0),
    IFERROR(MAX(FILTER('REGISTRO PROD. v1'!W:W,'REGISTRO PROD. v1'!U:U=B280)),0),
    IFERROR(MAX(FILTER('REGISTRO PROD. v1'!AN:AN,'REGISTRO PROD. v1'!AL:AL=B280)"&amp;"),0),
    IFERROR(MAX(FILTER('REGISTRO PROD. v1'!BE:BE,'REGISTRO PROD. v1'!BC:BC=B280)),0),
    IFERROR(MAX(FILTER('REGISTRO PROD. v1'!BV:BV,'REGISTRO PROD. v1'!BT:BT=B280)),0)
  )=0,
  ""NO"",
  IF(
    MAX(
      IFERROR(MAX(FILTER('REGISTRO PROD. v1'!F"&amp;":F,'REGISTRO PROD. v1'!D:D=B280)),0),
      IFERROR(MAX(FILTER('REGISTRO PROD. v1'!W:W,'REGISTRO PROD. v1'!U:U=B280)),0),
      IFERROR(MAX(FILTER('REGISTRO PROD. v1'!AN:AN,'REGISTRO PROD. v1'!AL:AL=B280)),0),
      IFERROR(MAX(FILTER('REGISTRO PROD. v1'!"&amp;"BE:BE,'REGISTRO PROD. v1'!BC:BC=B280)),0),
      IFERROR(MAX(FILTER('REGISTRO PROD. v1'!BV:BV,'REGISTRO PROD. v1'!BT:BT=B280)),0)
    )&gt;=F280,
    ""SI"",
    ""EN PROCESO""
  )
)
"),"NO")</f>
        <v>NO</v>
      </c>
      <c r="F280" s="132" t="s">
        <v>65</v>
      </c>
    </row>
    <row r="281" spans="1:6" ht="15" x14ac:dyDescent="0.25">
      <c r="A281" s="127"/>
      <c r="B281" s="130">
        <v>278</v>
      </c>
      <c r="C281" s="131">
        <v>2009</v>
      </c>
      <c r="D281" s="131" t="s">
        <v>131</v>
      </c>
      <c r="E281" s="131" t="str">
        <f ca="1">IFERROR(__xludf.DUMMYFUNCTION("IF(
  MAX(
    IFERROR(MAX(FILTER('REGISTRO PROD. v1'!F:F,'REGISTRO PROD. v1'!D:D=B281)),0),
    IFERROR(MAX(FILTER('REGISTRO PROD. v1'!W:W,'REGISTRO PROD. v1'!U:U=B281)),0),
    IFERROR(MAX(FILTER('REGISTRO PROD. v1'!AN:AN,'REGISTRO PROD. v1'!AL:AL=B281)"&amp;"),0),
    IFERROR(MAX(FILTER('REGISTRO PROD. v1'!BE:BE,'REGISTRO PROD. v1'!BC:BC=B281)),0),
    IFERROR(MAX(FILTER('REGISTRO PROD. v1'!BV:BV,'REGISTRO PROD. v1'!BT:BT=B281)),0)
  )=0,
  ""NO"",
  IF(
    MAX(
      IFERROR(MAX(FILTER('REGISTRO PROD. v1'!F"&amp;":F,'REGISTRO PROD. v1'!D:D=B281)),0),
      IFERROR(MAX(FILTER('REGISTRO PROD. v1'!W:W,'REGISTRO PROD. v1'!U:U=B281)),0),
      IFERROR(MAX(FILTER('REGISTRO PROD. v1'!AN:AN,'REGISTRO PROD. v1'!AL:AL=B281)),0),
      IFERROR(MAX(FILTER('REGISTRO PROD. v1'!"&amp;"BE:BE,'REGISTRO PROD. v1'!BC:BC=B281)),0),
      IFERROR(MAX(FILTER('REGISTRO PROD. v1'!BV:BV,'REGISTRO PROD. v1'!BT:BT=B281)),0)
    )&gt;=F281,
    ""SI"",
    ""EN PROCESO""
  )
)
"),"NO")</f>
        <v>NO</v>
      </c>
      <c r="F281" s="132" t="s">
        <v>65</v>
      </c>
    </row>
    <row r="282" spans="1:6" ht="15" x14ac:dyDescent="0.25">
      <c r="A282" s="127"/>
      <c r="B282" s="130">
        <v>279</v>
      </c>
      <c r="C282" s="131">
        <v>2009</v>
      </c>
      <c r="D282" s="131" t="s">
        <v>132</v>
      </c>
      <c r="E282" s="131" t="str">
        <f ca="1">IFERROR(__xludf.DUMMYFUNCTION("IF(
  MAX(
    IFERROR(MAX(FILTER('REGISTRO PROD. v1'!F:F,'REGISTRO PROD. v1'!D:D=B282)),0),
    IFERROR(MAX(FILTER('REGISTRO PROD. v1'!W:W,'REGISTRO PROD. v1'!U:U=B282)),0),
    IFERROR(MAX(FILTER('REGISTRO PROD. v1'!AN:AN,'REGISTRO PROD. v1'!AL:AL=B282)"&amp;"),0),
    IFERROR(MAX(FILTER('REGISTRO PROD. v1'!BE:BE,'REGISTRO PROD. v1'!BC:BC=B282)),0),
    IFERROR(MAX(FILTER('REGISTRO PROD. v1'!BV:BV,'REGISTRO PROD. v1'!BT:BT=B282)),0)
  )=0,
  ""NO"",
  IF(
    MAX(
      IFERROR(MAX(FILTER('REGISTRO PROD. v1'!F"&amp;":F,'REGISTRO PROD. v1'!D:D=B282)),0),
      IFERROR(MAX(FILTER('REGISTRO PROD. v1'!W:W,'REGISTRO PROD. v1'!U:U=B282)),0),
      IFERROR(MAX(FILTER('REGISTRO PROD. v1'!AN:AN,'REGISTRO PROD. v1'!AL:AL=B282)),0),
      IFERROR(MAX(FILTER('REGISTRO PROD. v1'!"&amp;"BE:BE,'REGISTRO PROD. v1'!BC:BC=B282)),0),
      IFERROR(MAX(FILTER('REGISTRO PROD. v1'!BV:BV,'REGISTRO PROD. v1'!BT:BT=B282)),0)
    )&gt;=F282,
    ""SI"",
    ""EN PROCESO""
  )
)
"),"NO")</f>
        <v>NO</v>
      </c>
      <c r="F282" s="132" t="s">
        <v>65</v>
      </c>
    </row>
    <row r="283" spans="1:6" ht="15" x14ac:dyDescent="0.25">
      <c r="A283" s="127"/>
      <c r="B283" s="130">
        <v>280</v>
      </c>
      <c r="C283" s="131">
        <v>2009</v>
      </c>
      <c r="D283" s="131" t="s">
        <v>133</v>
      </c>
      <c r="E283" s="131" t="str">
        <f ca="1">IFERROR(__xludf.DUMMYFUNCTION("IF(
  MAX(
    IFERROR(MAX(FILTER('REGISTRO PROD. v1'!F:F,'REGISTRO PROD. v1'!D:D=B283)),0),
    IFERROR(MAX(FILTER('REGISTRO PROD. v1'!W:W,'REGISTRO PROD. v1'!U:U=B283)),0),
    IFERROR(MAX(FILTER('REGISTRO PROD. v1'!AN:AN,'REGISTRO PROD. v1'!AL:AL=B283)"&amp;"),0),
    IFERROR(MAX(FILTER('REGISTRO PROD. v1'!BE:BE,'REGISTRO PROD. v1'!BC:BC=B283)),0),
    IFERROR(MAX(FILTER('REGISTRO PROD. v1'!BV:BV,'REGISTRO PROD. v1'!BT:BT=B283)),0)
  )=0,
  ""NO"",
  IF(
    MAX(
      IFERROR(MAX(FILTER('REGISTRO PROD. v1'!F"&amp;":F,'REGISTRO PROD. v1'!D:D=B283)),0),
      IFERROR(MAX(FILTER('REGISTRO PROD. v1'!W:W,'REGISTRO PROD. v1'!U:U=B283)),0),
      IFERROR(MAX(FILTER('REGISTRO PROD. v1'!AN:AN,'REGISTRO PROD. v1'!AL:AL=B283)),0),
      IFERROR(MAX(FILTER('REGISTRO PROD. v1'!"&amp;"BE:BE,'REGISTRO PROD. v1'!BC:BC=B283)),0),
      IFERROR(MAX(FILTER('REGISTRO PROD. v1'!BV:BV,'REGISTRO PROD. v1'!BT:BT=B283)),0)
    )&gt;=F283,
    ""SI"",
    ""EN PROCESO""
  )
)
"),"NO")</f>
        <v>NO</v>
      </c>
      <c r="F283" s="132" t="s">
        <v>65</v>
      </c>
    </row>
    <row r="284" spans="1:6" ht="15" x14ac:dyDescent="0.25">
      <c r="A284" s="127"/>
      <c r="B284" s="130">
        <v>281</v>
      </c>
      <c r="C284" s="131">
        <v>2009</v>
      </c>
      <c r="D284" s="131" t="s">
        <v>134</v>
      </c>
      <c r="E284" s="131" t="str">
        <f ca="1">IFERROR(__xludf.DUMMYFUNCTION("IF(
  MAX(
    IFERROR(MAX(FILTER('REGISTRO PROD. v1'!F:F,'REGISTRO PROD. v1'!D:D=B284)),0),
    IFERROR(MAX(FILTER('REGISTRO PROD. v1'!W:W,'REGISTRO PROD. v1'!U:U=B284)),0),
    IFERROR(MAX(FILTER('REGISTRO PROD. v1'!AN:AN,'REGISTRO PROD. v1'!AL:AL=B284)"&amp;"),0),
    IFERROR(MAX(FILTER('REGISTRO PROD. v1'!BE:BE,'REGISTRO PROD. v1'!BC:BC=B284)),0),
    IFERROR(MAX(FILTER('REGISTRO PROD. v1'!BV:BV,'REGISTRO PROD. v1'!BT:BT=B284)),0)
  )=0,
  ""NO"",
  IF(
    MAX(
      IFERROR(MAX(FILTER('REGISTRO PROD. v1'!F"&amp;":F,'REGISTRO PROD. v1'!D:D=B284)),0),
      IFERROR(MAX(FILTER('REGISTRO PROD. v1'!W:W,'REGISTRO PROD. v1'!U:U=B284)),0),
      IFERROR(MAX(FILTER('REGISTRO PROD. v1'!AN:AN,'REGISTRO PROD. v1'!AL:AL=B284)),0),
      IFERROR(MAX(FILTER('REGISTRO PROD. v1'!"&amp;"BE:BE,'REGISTRO PROD. v1'!BC:BC=B284)),0),
      IFERROR(MAX(FILTER('REGISTRO PROD. v1'!BV:BV,'REGISTRO PROD. v1'!BT:BT=B284)),0)
    )&gt;=F284,
    ""SI"",
    ""EN PROCESO""
  )
)
"),"NO")</f>
        <v>NO</v>
      </c>
      <c r="F284" s="132" t="s">
        <v>65</v>
      </c>
    </row>
    <row r="285" spans="1:6" ht="15" x14ac:dyDescent="0.25">
      <c r="A285" s="127"/>
      <c r="B285" s="130">
        <v>282</v>
      </c>
      <c r="C285" s="131">
        <v>2009</v>
      </c>
      <c r="D285" s="131" t="s">
        <v>135</v>
      </c>
      <c r="E285" s="131" t="str">
        <f ca="1">IFERROR(__xludf.DUMMYFUNCTION("IF(
  MAX(
    IFERROR(MAX(FILTER('REGISTRO PROD. v1'!F:F,'REGISTRO PROD. v1'!D:D=B285)),0),
    IFERROR(MAX(FILTER('REGISTRO PROD. v1'!W:W,'REGISTRO PROD. v1'!U:U=B285)),0),
    IFERROR(MAX(FILTER('REGISTRO PROD. v1'!AN:AN,'REGISTRO PROD. v1'!AL:AL=B285)"&amp;"),0),
    IFERROR(MAX(FILTER('REGISTRO PROD. v1'!BE:BE,'REGISTRO PROD. v1'!BC:BC=B285)),0),
    IFERROR(MAX(FILTER('REGISTRO PROD. v1'!BV:BV,'REGISTRO PROD. v1'!BT:BT=B285)),0)
  )=0,
  ""NO"",
  IF(
    MAX(
      IFERROR(MAX(FILTER('REGISTRO PROD. v1'!F"&amp;":F,'REGISTRO PROD. v1'!D:D=B285)),0),
      IFERROR(MAX(FILTER('REGISTRO PROD. v1'!W:W,'REGISTRO PROD. v1'!U:U=B285)),0),
      IFERROR(MAX(FILTER('REGISTRO PROD. v1'!AN:AN,'REGISTRO PROD. v1'!AL:AL=B285)),0),
      IFERROR(MAX(FILTER('REGISTRO PROD. v1'!"&amp;"BE:BE,'REGISTRO PROD. v1'!BC:BC=B285)),0),
      IFERROR(MAX(FILTER('REGISTRO PROD. v1'!BV:BV,'REGISTRO PROD. v1'!BT:BT=B285)),0)
    )&gt;=F285,
    ""SI"",
    ""EN PROCESO""
  )
)
"),"NO")</f>
        <v>NO</v>
      </c>
      <c r="F285" s="132" t="s">
        <v>65</v>
      </c>
    </row>
    <row r="286" spans="1:6" ht="15" x14ac:dyDescent="0.25">
      <c r="A286" s="127"/>
      <c r="B286" s="130">
        <v>283</v>
      </c>
      <c r="C286" s="131">
        <v>2009</v>
      </c>
      <c r="D286" s="131" t="s">
        <v>163</v>
      </c>
      <c r="E286" s="131" t="str">
        <f ca="1">IFERROR(__xludf.DUMMYFUNCTION("IF(
  MAX(
    IFERROR(MAX(FILTER('REGISTRO PROD. v1'!F:F,'REGISTRO PROD. v1'!D:D=B286)),0),
    IFERROR(MAX(FILTER('REGISTRO PROD. v1'!W:W,'REGISTRO PROD. v1'!U:U=B286)),0),
    IFERROR(MAX(FILTER('REGISTRO PROD. v1'!AN:AN,'REGISTRO PROD. v1'!AL:AL=B286)"&amp;"),0),
    IFERROR(MAX(FILTER('REGISTRO PROD. v1'!BE:BE,'REGISTRO PROD. v1'!BC:BC=B286)),0),
    IFERROR(MAX(FILTER('REGISTRO PROD. v1'!BV:BV,'REGISTRO PROD. v1'!BT:BT=B286)),0)
  )=0,
  ""NO"",
  IF(
    MAX(
      IFERROR(MAX(FILTER('REGISTRO PROD. v1'!F"&amp;":F,'REGISTRO PROD. v1'!D:D=B286)),0),
      IFERROR(MAX(FILTER('REGISTRO PROD. v1'!W:W,'REGISTRO PROD. v1'!U:U=B286)),0),
      IFERROR(MAX(FILTER('REGISTRO PROD. v1'!AN:AN,'REGISTRO PROD. v1'!AL:AL=B286)),0),
      IFERROR(MAX(FILTER('REGISTRO PROD. v1'!"&amp;"BE:BE,'REGISTRO PROD. v1'!BC:BC=B286)),0),
      IFERROR(MAX(FILTER('REGISTRO PROD. v1'!BV:BV,'REGISTRO PROD. v1'!BT:BT=B286)),0)
    )&gt;=F286,
    ""SI"",
    ""EN PROCESO""
  )
)
"),"NO")</f>
        <v>NO</v>
      </c>
      <c r="F286" s="132" t="s">
        <v>65</v>
      </c>
    </row>
    <row r="287" spans="1:6" ht="15" x14ac:dyDescent="0.25">
      <c r="A287" s="127"/>
      <c r="B287" s="130">
        <v>284</v>
      </c>
      <c r="C287" s="131">
        <v>2010</v>
      </c>
      <c r="D287" s="131" t="s">
        <v>64</v>
      </c>
      <c r="E287" s="131" t="str">
        <f ca="1">IFERROR(__xludf.DUMMYFUNCTION("IF(
  MAX(
    IFERROR(MAX(FILTER('REGISTRO PROD. v1'!F:F,'REGISTRO PROD. v1'!D:D=B287)),0),
    IFERROR(MAX(FILTER('REGISTRO PROD. v1'!W:W,'REGISTRO PROD. v1'!U:U=B287)),0),
    IFERROR(MAX(FILTER('REGISTRO PROD. v1'!AN:AN,'REGISTRO PROD. v1'!AL:AL=B287)"&amp;"),0),
    IFERROR(MAX(FILTER('REGISTRO PROD. v1'!BE:BE,'REGISTRO PROD. v1'!BC:BC=B287)),0),
    IFERROR(MAX(FILTER('REGISTRO PROD. v1'!BV:BV,'REGISTRO PROD. v1'!BT:BT=B287)),0)
  )=0,
  ""NO"",
  IF(
    MAX(
      IFERROR(MAX(FILTER('REGISTRO PROD. v1'!F"&amp;":F,'REGISTRO PROD. v1'!D:D=B287)),0),
      IFERROR(MAX(FILTER('REGISTRO PROD. v1'!W:W,'REGISTRO PROD. v1'!U:U=B287)),0),
      IFERROR(MAX(FILTER('REGISTRO PROD. v1'!AN:AN,'REGISTRO PROD. v1'!AL:AL=B287)),0),
      IFERROR(MAX(FILTER('REGISTRO PROD. v1'!"&amp;"BE:BE,'REGISTRO PROD. v1'!BC:BC=B287)),0),
      IFERROR(MAX(FILTER('REGISTRO PROD. v1'!BV:BV,'REGISTRO PROD. v1'!BT:BT=B287)),0)
    )&gt;=F287,
    ""SI"",
    ""EN PROCESO""
  )
)
"),"NO")</f>
        <v>NO</v>
      </c>
      <c r="F287" s="132" t="s">
        <v>65</v>
      </c>
    </row>
    <row r="288" spans="1:6" ht="15" x14ac:dyDescent="0.25">
      <c r="A288" s="127"/>
      <c r="B288" s="130">
        <v>285</v>
      </c>
      <c r="C288" s="131">
        <v>2010</v>
      </c>
      <c r="D288" s="131" t="s">
        <v>66</v>
      </c>
      <c r="E288" s="131" t="str">
        <f ca="1">IFERROR(__xludf.DUMMYFUNCTION("IF(
  MAX(
    IFERROR(MAX(FILTER('REGISTRO PROD. v1'!F:F,'REGISTRO PROD. v1'!D:D=B288)),0),
    IFERROR(MAX(FILTER('REGISTRO PROD. v1'!W:W,'REGISTRO PROD. v1'!U:U=B288)),0),
    IFERROR(MAX(FILTER('REGISTRO PROD. v1'!AN:AN,'REGISTRO PROD. v1'!AL:AL=B288)"&amp;"),0),
    IFERROR(MAX(FILTER('REGISTRO PROD. v1'!BE:BE,'REGISTRO PROD. v1'!BC:BC=B288)),0),
    IFERROR(MAX(FILTER('REGISTRO PROD. v1'!BV:BV,'REGISTRO PROD. v1'!BT:BT=B288)),0)
  )=0,
  ""NO"",
  IF(
    MAX(
      IFERROR(MAX(FILTER('REGISTRO PROD. v1'!F"&amp;":F,'REGISTRO PROD. v1'!D:D=B288)),0),
      IFERROR(MAX(FILTER('REGISTRO PROD. v1'!W:W,'REGISTRO PROD. v1'!U:U=B288)),0),
      IFERROR(MAX(FILTER('REGISTRO PROD. v1'!AN:AN,'REGISTRO PROD. v1'!AL:AL=B288)),0),
      IFERROR(MAX(FILTER('REGISTRO PROD. v1'!"&amp;"BE:BE,'REGISTRO PROD. v1'!BC:BC=B288)),0),
      IFERROR(MAX(FILTER('REGISTRO PROD. v1'!BV:BV,'REGISTRO PROD. v1'!BT:BT=B288)),0)
    )&gt;=F288,
    ""SI"",
    ""EN PROCESO""
  )
)
"),"NO")</f>
        <v>NO</v>
      </c>
      <c r="F288" s="132" t="s">
        <v>65</v>
      </c>
    </row>
    <row r="289" spans="1:6" ht="15" x14ac:dyDescent="0.25">
      <c r="A289" s="127"/>
      <c r="B289" s="130">
        <v>286</v>
      </c>
      <c r="C289" s="131">
        <v>2010</v>
      </c>
      <c r="D289" s="131" t="s">
        <v>67</v>
      </c>
      <c r="E289" s="131" t="str">
        <f ca="1">IFERROR(__xludf.DUMMYFUNCTION("IF(
  MAX(
    IFERROR(MAX(FILTER('REGISTRO PROD. v1'!F:F,'REGISTRO PROD. v1'!D:D=B289)),0),
    IFERROR(MAX(FILTER('REGISTRO PROD. v1'!W:W,'REGISTRO PROD. v1'!U:U=B289)),0),
    IFERROR(MAX(FILTER('REGISTRO PROD. v1'!AN:AN,'REGISTRO PROD. v1'!AL:AL=B289)"&amp;"),0),
    IFERROR(MAX(FILTER('REGISTRO PROD. v1'!BE:BE,'REGISTRO PROD. v1'!BC:BC=B289)),0),
    IFERROR(MAX(FILTER('REGISTRO PROD. v1'!BV:BV,'REGISTRO PROD. v1'!BT:BT=B289)),0)
  )=0,
  ""NO"",
  IF(
    MAX(
      IFERROR(MAX(FILTER('REGISTRO PROD. v1'!F"&amp;":F,'REGISTRO PROD. v1'!D:D=B289)),0),
      IFERROR(MAX(FILTER('REGISTRO PROD. v1'!W:W,'REGISTRO PROD. v1'!U:U=B289)),0),
      IFERROR(MAX(FILTER('REGISTRO PROD. v1'!AN:AN,'REGISTRO PROD. v1'!AL:AL=B289)),0),
      IFERROR(MAX(FILTER('REGISTRO PROD. v1'!"&amp;"BE:BE,'REGISTRO PROD. v1'!BC:BC=B289)),0),
      IFERROR(MAX(FILTER('REGISTRO PROD. v1'!BV:BV,'REGISTRO PROD. v1'!BT:BT=B289)),0)
    )&gt;=F289,
    ""SI"",
    ""EN PROCESO""
  )
)
"),"NO")</f>
        <v>NO</v>
      </c>
      <c r="F289" s="132" t="s">
        <v>65</v>
      </c>
    </row>
    <row r="290" spans="1:6" ht="15" x14ac:dyDescent="0.25">
      <c r="A290" s="127"/>
      <c r="B290" s="130">
        <v>287</v>
      </c>
      <c r="C290" s="131">
        <v>2010</v>
      </c>
      <c r="D290" s="131" t="s">
        <v>68</v>
      </c>
      <c r="E290" s="131" t="str">
        <f ca="1">IFERROR(__xludf.DUMMYFUNCTION("IF(
  MAX(
    IFERROR(MAX(FILTER('REGISTRO PROD. v1'!F:F,'REGISTRO PROD. v1'!D:D=B290)),0),
    IFERROR(MAX(FILTER('REGISTRO PROD. v1'!W:W,'REGISTRO PROD. v1'!U:U=B290)),0),
    IFERROR(MAX(FILTER('REGISTRO PROD. v1'!AN:AN,'REGISTRO PROD. v1'!AL:AL=B290)"&amp;"),0),
    IFERROR(MAX(FILTER('REGISTRO PROD. v1'!BE:BE,'REGISTRO PROD. v1'!BC:BC=B290)),0),
    IFERROR(MAX(FILTER('REGISTRO PROD. v1'!BV:BV,'REGISTRO PROD. v1'!BT:BT=B290)),0)
  )=0,
  ""NO"",
  IF(
    MAX(
      IFERROR(MAX(FILTER('REGISTRO PROD. v1'!F"&amp;":F,'REGISTRO PROD. v1'!D:D=B290)),0),
      IFERROR(MAX(FILTER('REGISTRO PROD. v1'!W:W,'REGISTRO PROD. v1'!U:U=B290)),0),
      IFERROR(MAX(FILTER('REGISTRO PROD. v1'!AN:AN,'REGISTRO PROD. v1'!AL:AL=B290)),0),
      IFERROR(MAX(FILTER('REGISTRO PROD. v1'!"&amp;"BE:BE,'REGISTRO PROD. v1'!BC:BC=B290)),0),
      IFERROR(MAX(FILTER('REGISTRO PROD. v1'!BV:BV,'REGISTRO PROD. v1'!BT:BT=B290)),0)
    )&gt;=F290,
    ""SI"",
    ""EN PROCESO""
  )
)
"),"NO")</f>
        <v>NO</v>
      </c>
      <c r="F290" s="132" t="s">
        <v>65</v>
      </c>
    </row>
    <row r="291" spans="1:6" ht="15" x14ac:dyDescent="0.25">
      <c r="A291" s="127"/>
      <c r="B291" s="130">
        <v>288</v>
      </c>
      <c r="C291" s="131">
        <v>2010</v>
      </c>
      <c r="D291" s="131" t="s">
        <v>69</v>
      </c>
      <c r="E291" s="131" t="str">
        <f ca="1">IFERROR(__xludf.DUMMYFUNCTION("IF(
  MAX(
    IFERROR(MAX(FILTER('REGISTRO PROD. v1'!F:F,'REGISTRO PROD. v1'!D:D=B291)),0),
    IFERROR(MAX(FILTER('REGISTRO PROD. v1'!W:W,'REGISTRO PROD. v1'!U:U=B291)),0),
    IFERROR(MAX(FILTER('REGISTRO PROD. v1'!AN:AN,'REGISTRO PROD. v1'!AL:AL=B291)"&amp;"),0),
    IFERROR(MAX(FILTER('REGISTRO PROD. v1'!BE:BE,'REGISTRO PROD. v1'!BC:BC=B291)),0),
    IFERROR(MAX(FILTER('REGISTRO PROD. v1'!BV:BV,'REGISTRO PROD. v1'!BT:BT=B291)),0)
  )=0,
  ""NO"",
  IF(
    MAX(
      IFERROR(MAX(FILTER('REGISTRO PROD. v1'!F"&amp;":F,'REGISTRO PROD. v1'!D:D=B291)),0),
      IFERROR(MAX(FILTER('REGISTRO PROD. v1'!W:W,'REGISTRO PROD. v1'!U:U=B291)),0),
      IFERROR(MAX(FILTER('REGISTRO PROD. v1'!AN:AN,'REGISTRO PROD. v1'!AL:AL=B291)),0),
      IFERROR(MAX(FILTER('REGISTRO PROD. v1'!"&amp;"BE:BE,'REGISTRO PROD. v1'!BC:BC=B291)),0),
      IFERROR(MAX(FILTER('REGISTRO PROD. v1'!BV:BV,'REGISTRO PROD. v1'!BT:BT=B291)),0)
    )&gt;=F291,
    ""SI"",
    ""EN PROCESO""
  )
)
"),"NO")</f>
        <v>NO</v>
      </c>
      <c r="F291" s="132" t="s">
        <v>65</v>
      </c>
    </row>
    <row r="292" spans="1:6" ht="15" x14ac:dyDescent="0.25">
      <c r="A292" s="127"/>
      <c r="B292" s="130">
        <v>289</v>
      </c>
      <c r="C292" s="131">
        <v>2010</v>
      </c>
      <c r="D292" s="131" t="s">
        <v>70</v>
      </c>
      <c r="E292" s="131" t="str">
        <f ca="1">IFERROR(__xludf.DUMMYFUNCTION("IF(
  MAX(
    IFERROR(MAX(FILTER('REGISTRO PROD. v1'!F:F,'REGISTRO PROD. v1'!D:D=B292)),0),
    IFERROR(MAX(FILTER('REGISTRO PROD. v1'!W:W,'REGISTRO PROD. v1'!U:U=B292)),0),
    IFERROR(MAX(FILTER('REGISTRO PROD. v1'!AN:AN,'REGISTRO PROD. v1'!AL:AL=B292)"&amp;"),0),
    IFERROR(MAX(FILTER('REGISTRO PROD. v1'!BE:BE,'REGISTRO PROD. v1'!BC:BC=B292)),0),
    IFERROR(MAX(FILTER('REGISTRO PROD. v1'!BV:BV,'REGISTRO PROD. v1'!BT:BT=B292)),0)
  )=0,
  ""NO"",
  IF(
    MAX(
      IFERROR(MAX(FILTER('REGISTRO PROD. v1'!F"&amp;":F,'REGISTRO PROD. v1'!D:D=B292)),0),
      IFERROR(MAX(FILTER('REGISTRO PROD. v1'!W:W,'REGISTRO PROD. v1'!U:U=B292)),0),
      IFERROR(MAX(FILTER('REGISTRO PROD. v1'!AN:AN,'REGISTRO PROD. v1'!AL:AL=B292)),0),
      IFERROR(MAX(FILTER('REGISTRO PROD. v1'!"&amp;"BE:BE,'REGISTRO PROD. v1'!BC:BC=B292)),0),
      IFERROR(MAX(FILTER('REGISTRO PROD. v1'!BV:BV,'REGISTRO PROD. v1'!BT:BT=B292)),0)
    )&gt;=F292,
    ""SI"",
    ""EN PROCESO""
  )
)
"),"NO")</f>
        <v>NO</v>
      </c>
      <c r="F292" s="132" t="s">
        <v>65</v>
      </c>
    </row>
    <row r="293" spans="1:6" ht="15" x14ac:dyDescent="0.25">
      <c r="A293" s="127"/>
      <c r="B293" s="130">
        <v>290</v>
      </c>
      <c r="C293" s="131">
        <v>2010</v>
      </c>
      <c r="D293" s="131" t="s">
        <v>97</v>
      </c>
      <c r="E293" s="131" t="str">
        <f ca="1">IFERROR(__xludf.DUMMYFUNCTION("IF(
  MAX(
    IFERROR(MAX(FILTER('REGISTRO PROD. v1'!F:F,'REGISTRO PROD. v1'!D:D=B293)),0),
    IFERROR(MAX(FILTER('REGISTRO PROD. v1'!W:W,'REGISTRO PROD. v1'!U:U=B293)),0),
    IFERROR(MAX(FILTER('REGISTRO PROD. v1'!AN:AN,'REGISTRO PROD. v1'!AL:AL=B293)"&amp;"),0),
    IFERROR(MAX(FILTER('REGISTRO PROD. v1'!BE:BE,'REGISTRO PROD. v1'!BC:BC=B293)),0),
    IFERROR(MAX(FILTER('REGISTRO PROD. v1'!BV:BV,'REGISTRO PROD. v1'!BT:BT=B293)),0)
  )=0,
  ""NO"",
  IF(
    MAX(
      IFERROR(MAX(FILTER('REGISTRO PROD. v1'!F"&amp;":F,'REGISTRO PROD. v1'!D:D=B293)),0),
      IFERROR(MAX(FILTER('REGISTRO PROD. v1'!W:W,'REGISTRO PROD. v1'!U:U=B293)),0),
      IFERROR(MAX(FILTER('REGISTRO PROD. v1'!AN:AN,'REGISTRO PROD. v1'!AL:AL=B293)),0),
      IFERROR(MAX(FILTER('REGISTRO PROD. v1'!"&amp;"BE:BE,'REGISTRO PROD. v1'!BC:BC=B293)),0),
      IFERROR(MAX(FILTER('REGISTRO PROD. v1'!BV:BV,'REGISTRO PROD. v1'!BT:BT=B293)),0)
    )&gt;=F293,
    ""SI"",
    ""EN PROCESO""
  )
)
"),"NO")</f>
        <v>NO</v>
      </c>
      <c r="F293" s="132" t="s">
        <v>65</v>
      </c>
    </row>
    <row r="294" spans="1:6" ht="15" x14ac:dyDescent="0.25">
      <c r="A294" s="127"/>
      <c r="B294" s="130">
        <v>291</v>
      </c>
      <c r="C294" s="131">
        <v>2010</v>
      </c>
      <c r="D294" s="131" t="s">
        <v>98</v>
      </c>
      <c r="E294" s="131" t="str">
        <f ca="1">IFERROR(__xludf.DUMMYFUNCTION("IF(
  MAX(
    IFERROR(MAX(FILTER('REGISTRO PROD. v1'!F:F,'REGISTRO PROD. v1'!D:D=B294)),0),
    IFERROR(MAX(FILTER('REGISTRO PROD. v1'!W:W,'REGISTRO PROD. v1'!U:U=B294)),0),
    IFERROR(MAX(FILTER('REGISTRO PROD. v1'!AN:AN,'REGISTRO PROD. v1'!AL:AL=B294)"&amp;"),0),
    IFERROR(MAX(FILTER('REGISTRO PROD. v1'!BE:BE,'REGISTRO PROD. v1'!BC:BC=B294)),0),
    IFERROR(MAX(FILTER('REGISTRO PROD. v1'!BV:BV,'REGISTRO PROD. v1'!BT:BT=B294)),0)
  )=0,
  ""NO"",
  IF(
    MAX(
      IFERROR(MAX(FILTER('REGISTRO PROD. v1'!F"&amp;":F,'REGISTRO PROD. v1'!D:D=B294)),0),
      IFERROR(MAX(FILTER('REGISTRO PROD. v1'!W:W,'REGISTRO PROD. v1'!U:U=B294)),0),
      IFERROR(MAX(FILTER('REGISTRO PROD. v1'!AN:AN,'REGISTRO PROD. v1'!AL:AL=B294)),0),
      IFERROR(MAX(FILTER('REGISTRO PROD. v1'!"&amp;"BE:BE,'REGISTRO PROD. v1'!BC:BC=B294)),0),
      IFERROR(MAX(FILTER('REGISTRO PROD. v1'!BV:BV,'REGISTRO PROD. v1'!BT:BT=B294)),0)
    )&gt;=F294,
    ""SI"",
    ""EN PROCESO""
  )
)
"),"NO")</f>
        <v>NO</v>
      </c>
      <c r="F294" s="132" t="s">
        <v>65</v>
      </c>
    </row>
    <row r="295" spans="1:6" ht="15" x14ac:dyDescent="0.25">
      <c r="A295" s="127"/>
      <c r="B295" s="130">
        <v>292</v>
      </c>
      <c r="C295" s="131">
        <v>2010</v>
      </c>
      <c r="D295" s="131" t="s">
        <v>99</v>
      </c>
      <c r="E295" s="131" t="str">
        <f ca="1">IFERROR(__xludf.DUMMYFUNCTION("IF(
  MAX(
    IFERROR(MAX(FILTER('REGISTRO PROD. v1'!F:F,'REGISTRO PROD. v1'!D:D=B295)),0),
    IFERROR(MAX(FILTER('REGISTRO PROD. v1'!W:W,'REGISTRO PROD. v1'!U:U=B295)),0),
    IFERROR(MAX(FILTER('REGISTRO PROD. v1'!AN:AN,'REGISTRO PROD. v1'!AL:AL=B295)"&amp;"),0),
    IFERROR(MAX(FILTER('REGISTRO PROD. v1'!BE:BE,'REGISTRO PROD. v1'!BC:BC=B295)),0),
    IFERROR(MAX(FILTER('REGISTRO PROD. v1'!BV:BV,'REGISTRO PROD. v1'!BT:BT=B295)),0)
  )=0,
  ""NO"",
  IF(
    MAX(
      IFERROR(MAX(FILTER('REGISTRO PROD. v1'!F"&amp;":F,'REGISTRO PROD. v1'!D:D=B295)),0),
      IFERROR(MAX(FILTER('REGISTRO PROD. v1'!W:W,'REGISTRO PROD. v1'!U:U=B295)),0),
      IFERROR(MAX(FILTER('REGISTRO PROD. v1'!AN:AN,'REGISTRO PROD. v1'!AL:AL=B295)),0),
      IFERROR(MAX(FILTER('REGISTRO PROD. v1'!"&amp;"BE:BE,'REGISTRO PROD. v1'!BC:BC=B295)),0),
      IFERROR(MAX(FILTER('REGISTRO PROD. v1'!BV:BV,'REGISTRO PROD. v1'!BT:BT=B295)),0)
    )&gt;=F295,
    ""SI"",
    ""EN PROCESO""
  )
)
"),"NO")</f>
        <v>NO</v>
      </c>
      <c r="F295" s="132" t="s">
        <v>65</v>
      </c>
    </row>
    <row r="296" spans="1:6" ht="15" x14ac:dyDescent="0.25">
      <c r="A296" s="127"/>
      <c r="B296" s="130">
        <v>293</v>
      </c>
      <c r="C296" s="131">
        <v>2010</v>
      </c>
      <c r="D296" s="131" t="s">
        <v>100</v>
      </c>
      <c r="E296" s="131" t="str">
        <f ca="1">IFERROR(__xludf.DUMMYFUNCTION("IF(
  MAX(
    IFERROR(MAX(FILTER('REGISTRO PROD. v1'!F:F,'REGISTRO PROD. v1'!D:D=B296)),0),
    IFERROR(MAX(FILTER('REGISTRO PROD. v1'!W:W,'REGISTRO PROD. v1'!U:U=B296)),0),
    IFERROR(MAX(FILTER('REGISTRO PROD. v1'!AN:AN,'REGISTRO PROD. v1'!AL:AL=B296)"&amp;"),0),
    IFERROR(MAX(FILTER('REGISTRO PROD. v1'!BE:BE,'REGISTRO PROD. v1'!BC:BC=B296)),0),
    IFERROR(MAX(FILTER('REGISTRO PROD. v1'!BV:BV,'REGISTRO PROD. v1'!BT:BT=B296)),0)
  )=0,
  ""NO"",
  IF(
    MAX(
      IFERROR(MAX(FILTER('REGISTRO PROD. v1'!F"&amp;":F,'REGISTRO PROD. v1'!D:D=B296)),0),
      IFERROR(MAX(FILTER('REGISTRO PROD. v1'!W:W,'REGISTRO PROD. v1'!U:U=B296)),0),
      IFERROR(MAX(FILTER('REGISTRO PROD. v1'!AN:AN,'REGISTRO PROD. v1'!AL:AL=B296)),0),
      IFERROR(MAX(FILTER('REGISTRO PROD. v1'!"&amp;"BE:BE,'REGISTRO PROD. v1'!BC:BC=B296)),0),
      IFERROR(MAX(FILTER('REGISTRO PROD. v1'!BV:BV,'REGISTRO PROD. v1'!BT:BT=B296)),0)
    )&gt;=F296,
    ""SI"",
    ""EN PROCESO""
  )
)
"),"NO")</f>
        <v>NO</v>
      </c>
      <c r="F296" s="132" t="s">
        <v>65</v>
      </c>
    </row>
    <row r="297" spans="1:6" ht="15" x14ac:dyDescent="0.25">
      <c r="A297" s="127"/>
      <c r="B297" s="130">
        <v>294</v>
      </c>
      <c r="C297" s="131">
        <v>2010</v>
      </c>
      <c r="D297" s="131" t="s">
        <v>101</v>
      </c>
      <c r="E297" s="131" t="str">
        <f ca="1">IFERROR(__xludf.DUMMYFUNCTION("IF(
  MAX(
    IFERROR(MAX(FILTER('REGISTRO PROD. v1'!F:F,'REGISTRO PROD. v1'!D:D=B297)),0),
    IFERROR(MAX(FILTER('REGISTRO PROD. v1'!W:W,'REGISTRO PROD. v1'!U:U=B297)),0),
    IFERROR(MAX(FILTER('REGISTRO PROD. v1'!AN:AN,'REGISTRO PROD. v1'!AL:AL=B297)"&amp;"),0),
    IFERROR(MAX(FILTER('REGISTRO PROD. v1'!BE:BE,'REGISTRO PROD. v1'!BC:BC=B297)),0),
    IFERROR(MAX(FILTER('REGISTRO PROD. v1'!BV:BV,'REGISTRO PROD. v1'!BT:BT=B297)),0)
  )=0,
  ""NO"",
  IF(
    MAX(
      IFERROR(MAX(FILTER('REGISTRO PROD. v1'!F"&amp;":F,'REGISTRO PROD. v1'!D:D=B297)),0),
      IFERROR(MAX(FILTER('REGISTRO PROD. v1'!W:W,'REGISTRO PROD. v1'!U:U=B297)),0),
      IFERROR(MAX(FILTER('REGISTRO PROD. v1'!AN:AN,'REGISTRO PROD. v1'!AL:AL=B297)),0),
      IFERROR(MAX(FILTER('REGISTRO PROD. v1'!"&amp;"BE:BE,'REGISTRO PROD. v1'!BC:BC=B297)),0),
      IFERROR(MAX(FILTER('REGISTRO PROD. v1'!BV:BV,'REGISTRO PROD. v1'!BT:BT=B297)),0)
    )&gt;=F297,
    ""SI"",
    ""EN PROCESO""
  )
)
"),"NO")</f>
        <v>NO</v>
      </c>
      <c r="F297" s="132" t="s">
        <v>65</v>
      </c>
    </row>
    <row r="298" spans="1:6" ht="15" x14ac:dyDescent="0.25">
      <c r="A298" s="127"/>
      <c r="B298" s="130">
        <v>295</v>
      </c>
      <c r="C298" s="131">
        <v>2010</v>
      </c>
      <c r="D298" s="131" t="s">
        <v>102</v>
      </c>
      <c r="E298" s="131" t="str">
        <f ca="1">IFERROR(__xludf.DUMMYFUNCTION("IF(
  MAX(
    IFERROR(MAX(FILTER('REGISTRO PROD. v1'!F:F,'REGISTRO PROD. v1'!D:D=B298)),0),
    IFERROR(MAX(FILTER('REGISTRO PROD. v1'!W:W,'REGISTRO PROD. v1'!U:U=B298)),0),
    IFERROR(MAX(FILTER('REGISTRO PROD. v1'!AN:AN,'REGISTRO PROD. v1'!AL:AL=B298)"&amp;"),0),
    IFERROR(MAX(FILTER('REGISTRO PROD. v1'!BE:BE,'REGISTRO PROD. v1'!BC:BC=B298)),0),
    IFERROR(MAX(FILTER('REGISTRO PROD. v1'!BV:BV,'REGISTRO PROD. v1'!BT:BT=B298)),0)
  )=0,
  ""NO"",
  IF(
    MAX(
      IFERROR(MAX(FILTER('REGISTRO PROD. v1'!F"&amp;":F,'REGISTRO PROD. v1'!D:D=B298)),0),
      IFERROR(MAX(FILTER('REGISTRO PROD. v1'!W:W,'REGISTRO PROD. v1'!U:U=B298)),0),
      IFERROR(MAX(FILTER('REGISTRO PROD. v1'!AN:AN,'REGISTRO PROD. v1'!AL:AL=B298)),0),
      IFERROR(MAX(FILTER('REGISTRO PROD. v1'!"&amp;"BE:BE,'REGISTRO PROD. v1'!BC:BC=B298)),0),
      IFERROR(MAX(FILTER('REGISTRO PROD. v1'!BV:BV,'REGISTRO PROD. v1'!BT:BT=B298)),0)
    )&gt;=F298,
    ""SI"",
    ""EN PROCESO""
  )
)
"),"NO")</f>
        <v>NO</v>
      </c>
      <c r="F298" s="132" t="s">
        <v>65</v>
      </c>
    </row>
    <row r="299" spans="1:6" ht="15" x14ac:dyDescent="0.25">
      <c r="A299" s="127"/>
      <c r="B299" s="130">
        <v>296</v>
      </c>
      <c r="C299" s="131">
        <v>2010</v>
      </c>
      <c r="D299" s="131" t="s">
        <v>103</v>
      </c>
      <c r="E299" s="131" t="str">
        <f ca="1">IFERROR(__xludf.DUMMYFUNCTION("IF(
  MAX(
    IFERROR(MAX(FILTER('REGISTRO PROD. v1'!F:F,'REGISTRO PROD. v1'!D:D=B299)),0),
    IFERROR(MAX(FILTER('REGISTRO PROD. v1'!W:W,'REGISTRO PROD. v1'!U:U=B299)),0),
    IFERROR(MAX(FILTER('REGISTRO PROD. v1'!AN:AN,'REGISTRO PROD. v1'!AL:AL=B299)"&amp;"),0),
    IFERROR(MAX(FILTER('REGISTRO PROD. v1'!BE:BE,'REGISTRO PROD. v1'!BC:BC=B299)),0),
    IFERROR(MAX(FILTER('REGISTRO PROD. v1'!BV:BV,'REGISTRO PROD. v1'!BT:BT=B299)),0)
  )=0,
  ""NO"",
  IF(
    MAX(
      IFERROR(MAX(FILTER('REGISTRO PROD. v1'!F"&amp;":F,'REGISTRO PROD. v1'!D:D=B299)),0),
      IFERROR(MAX(FILTER('REGISTRO PROD. v1'!W:W,'REGISTRO PROD. v1'!U:U=B299)),0),
      IFERROR(MAX(FILTER('REGISTRO PROD. v1'!AN:AN,'REGISTRO PROD. v1'!AL:AL=B299)),0),
      IFERROR(MAX(FILTER('REGISTRO PROD. v1'!"&amp;"BE:BE,'REGISTRO PROD. v1'!BC:BC=B299)),0),
      IFERROR(MAX(FILTER('REGISTRO PROD. v1'!BV:BV,'REGISTRO PROD. v1'!BT:BT=B299)),0)
    )&gt;=F299,
    ""SI"",
    ""EN PROCESO""
  )
)
"),"NO")</f>
        <v>NO</v>
      </c>
      <c r="F299" s="132" t="s">
        <v>65</v>
      </c>
    </row>
    <row r="300" spans="1:6" ht="15" x14ac:dyDescent="0.25">
      <c r="A300" s="127"/>
      <c r="B300" s="130">
        <v>297</v>
      </c>
      <c r="C300" s="131">
        <v>2010</v>
      </c>
      <c r="D300" s="131" t="s">
        <v>104</v>
      </c>
      <c r="E300" s="131" t="str">
        <f ca="1">IFERROR(__xludf.DUMMYFUNCTION("IF(
  MAX(
    IFERROR(MAX(FILTER('REGISTRO PROD. v1'!F:F,'REGISTRO PROD. v1'!D:D=B300)),0),
    IFERROR(MAX(FILTER('REGISTRO PROD. v1'!W:W,'REGISTRO PROD. v1'!U:U=B300)),0),
    IFERROR(MAX(FILTER('REGISTRO PROD. v1'!AN:AN,'REGISTRO PROD. v1'!AL:AL=B300)"&amp;"),0),
    IFERROR(MAX(FILTER('REGISTRO PROD. v1'!BE:BE,'REGISTRO PROD. v1'!BC:BC=B300)),0),
    IFERROR(MAX(FILTER('REGISTRO PROD. v1'!BV:BV,'REGISTRO PROD. v1'!BT:BT=B300)),0)
  )=0,
  ""NO"",
  IF(
    MAX(
      IFERROR(MAX(FILTER('REGISTRO PROD. v1'!F"&amp;":F,'REGISTRO PROD. v1'!D:D=B300)),0),
      IFERROR(MAX(FILTER('REGISTRO PROD. v1'!W:W,'REGISTRO PROD. v1'!U:U=B300)),0),
      IFERROR(MAX(FILTER('REGISTRO PROD. v1'!AN:AN,'REGISTRO PROD. v1'!AL:AL=B300)),0),
      IFERROR(MAX(FILTER('REGISTRO PROD. v1'!"&amp;"BE:BE,'REGISTRO PROD. v1'!BC:BC=B300)),0),
      IFERROR(MAX(FILTER('REGISTRO PROD. v1'!BV:BV,'REGISTRO PROD. v1'!BT:BT=B300)),0)
    )&gt;=F300,
    ""SI"",
    ""EN PROCESO""
  )
)
"),"NO")</f>
        <v>NO</v>
      </c>
      <c r="F300" s="132" t="s">
        <v>65</v>
      </c>
    </row>
    <row r="301" spans="1:6" ht="15" x14ac:dyDescent="0.25">
      <c r="A301" s="127"/>
      <c r="B301" s="130">
        <v>298</v>
      </c>
      <c r="C301" s="131">
        <v>2010</v>
      </c>
      <c r="D301" s="131" t="s">
        <v>105</v>
      </c>
      <c r="E301" s="131" t="str">
        <f ca="1">IFERROR(__xludf.DUMMYFUNCTION("IF(
  MAX(
    IFERROR(MAX(FILTER('REGISTRO PROD. v1'!F:F,'REGISTRO PROD. v1'!D:D=B301)),0),
    IFERROR(MAX(FILTER('REGISTRO PROD. v1'!W:W,'REGISTRO PROD. v1'!U:U=B301)),0),
    IFERROR(MAX(FILTER('REGISTRO PROD. v1'!AN:AN,'REGISTRO PROD. v1'!AL:AL=B301)"&amp;"),0),
    IFERROR(MAX(FILTER('REGISTRO PROD. v1'!BE:BE,'REGISTRO PROD. v1'!BC:BC=B301)),0),
    IFERROR(MAX(FILTER('REGISTRO PROD. v1'!BV:BV,'REGISTRO PROD. v1'!BT:BT=B301)),0)
  )=0,
  ""NO"",
  IF(
    MAX(
      IFERROR(MAX(FILTER('REGISTRO PROD. v1'!F"&amp;":F,'REGISTRO PROD. v1'!D:D=B301)),0),
      IFERROR(MAX(FILTER('REGISTRO PROD. v1'!W:W,'REGISTRO PROD. v1'!U:U=B301)),0),
      IFERROR(MAX(FILTER('REGISTRO PROD. v1'!AN:AN,'REGISTRO PROD. v1'!AL:AL=B301)),0),
      IFERROR(MAX(FILTER('REGISTRO PROD. v1'!"&amp;"BE:BE,'REGISTRO PROD. v1'!BC:BC=B301)),0),
      IFERROR(MAX(FILTER('REGISTRO PROD. v1'!BV:BV,'REGISTRO PROD. v1'!BT:BT=B301)),0)
    )&gt;=F301,
    ""SI"",
    ""EN PROCESO""
  )
)
"),"NO")</f>
        <v>NO</v>
      </c>
      <c r="F301" s="132" t="s">
        <v>65</v>
      </c>
    </row>
    <row r="302" spans="1:6" ht="15" x14ac:dyDescent="0.25">
      <c r="A302" s="127"/>
      <c r="B302" s="130">
        <v>299</v>
      </c>
      <c r="C302" s="131">
        <v>2010</v>
      </c>
      <c r="D302" s="131" t="s">
        <v>106</v>
      </c>
      <c r="E302" s="131" t="str">
        <f ca="1">IFERROR(__xludf.DUMMYFUNCTION("IF(
  MAX(
    IFERROR(MAX(FILTER('REGISTRO PROD. v1'!F:F,'REGISTRO PROD. v1'!D:D=B302)),0),
    IFERROR(MAX(FILTER('REGISTRO PROD. v1'!W:W,'REGISTRO PROD. v1'!U:U=B302)),0),
    IFERROR(MAX(FILTER('REGISTRO PROD. v1'!AN:AN,'REGISTRO PROD. v1'!AL:AL=B302)"&amp;"),0),
    IFERROR(MAX(FILTER('REGISTRO PROD. v1'!BE:BE,'REGISTRO PROD. v1'!BC:BC=B302)),0),
    IFERROR(MAX(FILTER('REGISTRO PROD. v1'!BV:BV,'REGISTRO PROD. v1'!BT:BT=B302)),0)
  )=0,
  ""NO"",
  IF(
    MAX(
      IFERROR(MAX(FILTER('REGISTRO PROD. v1'!F"&amp;":F,'REGISTRO PROD. v1'!D:D=B302)),0),
      IFERROR(MAX(FILTER('REGISTRO PROD. v1'!W:W,'REGISTRO PROD. v1'!U:U=B302)),0),
      IFERROR(MAX(FILTER('REGISTRO PROD. v1'!AN:AN,'REGISTRO PROD. v1'!AL:AL=B302)),0),
      IFERROR(MAX(FILTER('REGISTRO PROD. v1'!"&amp;"BE:BE,'REGISTRO PROD. v1'!BC:BC=B302)),0),
      IFERROR(MAX(FILTER('REGISTRO PROD. v1'!BV:BV,'REGISTRO PROD. v1'!BT:BT=B302)),0)
    )&gt;=F302,
    ""SI"",
    ""EN PROCESO""
  )
)
"),"NO")</f>
        <v>NO</v>
      </c>
      <c r="F302" s="132" t="s">
        <v>65</v>
      </c>
    </row>
    <row r="303" spans="1:6" ht="15" x14ac:dyDescent="0.25">
      <c r="A303" s="127"/>
      <c r="B303" s="130">
        <v>300</v>
      </c>
      <c r="C303" s="131">
        <v>2010</v>
      </c>
      <c r="D303" s="131" t="s">
        <v>107</v>
      </c>
      <c r="E303" s="131" t="str">
        <f ca="1">IFERROR(__xludf.DUMMYFUNCTION("IF(
  MAX(
    IFERROR(MAX(FILTER('REGISTRO PROD. v1'!F:F,'REGISTRO PROD. v1'!D:D=B303)),0),
    IFERROR(MAX(FILTER('REGISTRO PROD. v1'!W:W,'REGISTRO PROD. v1'!U:U=B303)),0),
    IFERROR(MAX(FILTER('REGISTRO PROD. v1'!AN:AN,'REGISTRO PROD. v1'!AL:AL=B303)"&amp;"),0),
    IFERROR(MAX(FILTER('REGISTRO PROD. v1'!BE:BE,'REGISTRO PROD. v1'!BC:BC=B303)),0),
    IFERROR(MAX(FILTER('REGISTRO PROD. v1'!BV:BV,'REGISTRO PROD. v1'!BT:BT=B303)),0)
  )=0,
  ""NO"",
  IF(
    MAX(
      IFERROR(MAX(FILTER('REGISTRO PROD. v1'!F"&amp;":F,'REGISTRO PROD. v1'!D:D=B303)),0),
      IFERROR(MAX(FILTER('REGISTRO PROD. v1'!W:W,'REGISTRO PROD. v1'!U:U=B303)),0),
      IFERROR(MAX(FILTER('REGISTRO PROD. v1'!AN:AN,'REGISTRO PROD. v1'!AL:AL=B303)),0),
      IFERROR(MAX(FILTER('REGISTRO PROD. v1'!"&amp;"BE:BE,'REGISTRO PROD. v1'!BC:BC=B303)),0),
      IFERROR(MAX(FILTER('REGISTRO PROD. v1'!BV:BV,'REGISTRO PROD. v1'!BT:BT=B303)),0)
    )&gt;=F303,
    ""SI"",
    ""EN PROCESO""
  )
)
"),"NO")</f>
        <v>NO</v>
      </c>
      <c r="F303" s="132" t="s">
        <v>65</v>
      </c>
    </row>
    <row r="304" spans="1:6" ht="15" x14ac:dyDescent="0.25">
      <c r="A304" s="127"/>
      <c r="B304" s="130">
        <v>301</v>
      </c>
      <c r="C304" s="131">
        <v>2010</v>
      </c>
      <c r="D304" s="131" t="s">
        <v>108</v>
      </c>
      <c r="E304" s="131" t="str">
        <f ca="1">IFERROR(__xludf.DUMMYFUNCTION("IF(
  MAX(
    IFERROR(MAX(FILTER('REGISTRO PROD. v1'!F:F,'REGISTRO PROD. v1'!D:D=B304)),0),
    IFERROR(MAX(FILTER('REGISTRO PROD. v1'!W:W,'REGISTRO PROD. v1'!U:U=B304)),0),
    IFERROR(MAX(FILTER('REGISTRO PROD. v1'!AN:AN,'REGISTRO PROD. v1'!AL:AL=B304)"&amp;"),0),
    IFERROR(MAX(FILTER('REGISTRO PROD. v1'!BE:BE,'REGISTRO PROD. v1'!BC:BC=B304)),0),
    IFERROR(MAX(FILTER('REGISTRO PROD. v1'!BV:BV,'REGISTRO PROD. v1'!BT:BT=B304)),0)
  )=0,
  ""NO"",
  IF(
    MAX(
      IFERROR(MAX(FILTER('REGISTRO PROD. v1'!F"&amp;":F,'REGISTRO PROD. v1'!D:D=B304)),0),
      IFERROR(MAX(FILTER('REGISTRO PROD. v1'!W:W,'REGISTRO PROD. v1'!U:U=B304)),0),
      IFERROR(MAX(FILTER('REGISTRO PROD. v1'!AN:AN,'REGISTRO PROD. v1'!AL:AL=B304)),0),
      IFERROR(MAX(FILTER('REGISTRO PROD. v1'!"&amp;"BE:BE,'REGISTRO PROD. v1'!BC:BC=B304)),0),
      IFERROR(MAX(FILTER('REGISTRO PROD. v1'!BV:BV,'REGISTRO PROD. v1'!BT:BT=B304)),0)
    )&gt;=F304,
    ""SI"",
    ""EN PROCESO""
  )
)
"),"NO")</f>
        <v>NO</v>
      </c>
      <c r="F304" s="132" t="s">
        <v>65</v>
      </c>
    </row>
    <row r="305" spans="1:6" ht="15" x14ac:dyDescent="0.25">
      <c r="A305" s="127"/>
      <c r="B305" s="130">
        <v>302</v>
      </c>
      <c r="C305" s="131">
        <v>2010</v>
      </c>
      <c r="D305" s="131" t="s">
        <v>109</v>
      </c>
      <c r="E305" s="131" t="str">
        <f ca="1">IFERROR(__xludf.DUMMYFUNCTION("IF(
  MAX(
    IFERROR(MAX(FILTER('REGISTRO PROD. v1'!F:F,'REGISTRO PROD. v1'!D:D=B305)),0),
    IFERROR(MAX(FILTER('REGISTRO PROD. v1'!W:W,'REGISTRO PROD. v1'!U:U=B305)),0),
    IFERROR(MAX(FILTER('REGISTRO PROD. v1'!AN:AN,'REGISTRO PROD. v1'!AL:AL=B305)"&amp;"),0),
    IFERROR(MAX(FILTER('REGISTRO PROD. v1'!BE:BE,'REGISTRO PROD. v1'!BC:BC=B305)),0),
    IFERROR(MAX(FILTER('REGISTRO PROD. v1'!BV:BV,'REGISTRO PROD. v1'!BT:BT=B305)),0)
  )=0,
  ""NO"",
  IF(
    MAX(
      IFERROR(MAX(FILTER('REGISTRO PROD. v1'!F"&amp;":F,'REGISTRO PROD. v1'!D:D=B305)),0),
      IFERROR(MAX(FILTER('REGISTRO PROD. v1'!W:W,'REGISTRO PROD. v1'!U:U=B305)),0),
      IFERROR(MAX(FILTER('REGISTRO PROD. v1'!AN:AN,'REGISTRO PROD. v1'!AL:AL=B305)),0),
      IFERROR(MAX(FILTER('REGISTRO PROD. v1'!"&amp;"BE:BE,'REGISTRO PROD. v1'!BC:BC=B305)),0),
      IFERROR(MAX(FILTER('REGISTRO PROD. v1'!BV:BV,'REGISTRO PROD. v1'!BT:BT=B305)),0)
    )&gt;=F305,
    ""SI"",
    ""EN PROCESO""
  )
)
"),"NO")</f>
        <v>NO</v>
      </c>
      <c r="F305" s="132" t="s">
        <v>65</v>
      </c>
    </row>
    <row r="306" spans="1:6" ht="15" x14ac:dyDescent="0.25">
      <c r="A306" s="127"/>
      <c r="B306" s="130">
        <v>303</v>
      </c>
      <c r="C306" s="131">
        <v>2010</v>
      </c>
      <c r="D306" s="131" t="s">
        <v>110</v>
      </c>
      <c r="E306" s="131" t="str">
        <f ca="1">IFERROR(__xludf.DUMMYFUNCTION("IF(
  MAX(
    IFERROR(MAX(FILTER('REGISTRO PROD. v1'!F:F,'REGISTRO PROD. v1'!D:D=B306)),0),
    IFERROR(MAX(FILTER('REGISTRO PROD. v1'!W:W,'REGISTRO PROD. v1'!U:U=B306)),0),
    IFERROR(MAX(FILTER('REGISTRO PROD. v1'!AN:AN,'REGISTRO PROD. v1'!AL:AL=B306)"&amp;"),0),
    IFERROR(MAX(FILTER('REGISTRO PROD. v1'!BE:BE,'REGISTRO PROD. v1'!BC:BC=B306)),0),
    IFERROR(MAX(FILTER('REGISTRO PROD. v1'!BV:BV,'REGISTRO PROD. v1'!BT:BT=B306)),0)
  )=0,
  ""NO"",
  IF(
    MAX(
      IFERROR(MAX(FILTER('REGISTRO PROD. v1'!F"&amp;":F,'REGISTRO PROD. v1'!D:D=B306)),0),
      IFERROR(MAX(FILTER('REGISTRO PROD. v1'!W:W,'REGISTRO PROD. v1'!U:U=B306)),0),
      IFERROR(MAX(FILTER('REGISTRO PROD. v1'!AN:AN,'REGISTRO PROD. v1'!AL:AL=B306)),0),
      IFERROR(MAX(FILTER('REGISTRO PROD. v1'!"&amp;"BE:BE,'REGISTRO PROD. v1'!BC:BC=B306)),0),
      IFERROR(MAX(FILTER('REGISTRO PROD. v1'!BV:BV,'REGISTRO PROD. v1'!BT:BT=B306)),0)
    )&gt;=F306,
    ""SI"",
    ""EN PROCESO""
  )
)
"),"NO")</f>
        <v>NO</v>
      </c>
      <c r="F306" s="132" t="s">
        <v>65</v>
      </c>
    </row>
    <row r="307" spans="1:6" ht="15" x14ac:dyDescent="0.25">
      <c r="A307" s="127"/>
      <c r="B307" s="130">
        <v>304</v>
      </c>
      <c r="C307" s="131">
        <v>2010</v>
      </c>
      <c r="D307" s="131" t="s">
        <v>111</v>
      </c>
      <c r="E307" s="131" t="str">
        <f ca="1">IFERROR(__xludf.DUMMYFUNCTION("IF(
  MAX(
    IFERROR(MAX(FILTER('REGISTRO PROD. v1'!F:F,'REGISTRO PROD. v1'!D:D=B307)),0),
    IFERROR(MAX(FILTER('REGISTRO PROD. v1'!W:W,'REGISTRO PROD. v1'!U:U=B307)),0),
    IFERROR(MAX(FILTER('REGISTRO PROD. v1'!AN:AN,'REGISTRO PROD. v1'!AL:AL=B307)"&amp;"),0),
    IFERROR(MAX(FILTER('REGISTRO PROD. v1'!BE:BE,'REGISTRO PROD. v1'!BC:BC=B307)),0),
    IFERROR(MAX(FILTER('REGISTRO PROD. v1'!BV:BV,'REGISTRO PROD. v1'!BT:BT=B307)),0)
  )=0,
  ""NO"",
  IF(
    MAX(
      IFERROR(MAX(FILTER('REGISTRO PROD. v1'!F"&amp;":F,'REGISTRO PROD. v1'!D:D=B307)),0),
      IFERROR(MAX(FILTER('REGISTRO PROD. v1'!W:W,'REGISTRO PROD. v1'!U:U=B307)),0),
      IFERROR(MAX(FILTER('REGISTRO PROD. v1'!AN:AN,'REGISTRO PROD. v1'!AL:AL=B307)),0),
      IFERROR(MAX(FILTER('REGISTRO PROD. v1'!"&amp;"BE:BE,'REGISTRO PROD. v1'!BC:BC=B307)),0),
      IFERROR(MAX(FILTER('REGISTRO PROD. v1'!BV:BV,'REGISTRO PROD. v1'!BT:BT=B307)),0)
    )&gt;=F307,
    ""SI"",
    ""EN PROCESO""
  )
)
"),"NO")</f>
        <v>NO</v>
      </c>
      <c r="F307" s="132" t="s">
        <v>65</v>
      </c>
    </row>
    <row r="308" spans="1:6" ht="15" x14ac:dyDescent="0.25">
      <c r="A308" s="127"/>
      <c r="B308" s="130">
        <v>305</v>
      </c>
      <c r="C308" s="131">
        <v>2010</v>
      </c>
      <c r="D308" s="131" t="s">
        <v>112</v>
      </c>
      <c r="E308" s="131" t="str">
        <f ca="1">IFERROR(__xludf.DUMMYFUNCTION("IF(
  MAX(
    IFERROR(MAX(FILTER('REGISTRO PROD. v1'!F:F,'REGISTRO PROD. v1'!D:D=B308)),0),
    IFERROR(MAX(FILTER('REGISTRO PROD. v1'!W:W,'REGISTRO PROD. v1'!U:U=B308)),0),
    IFERROR(MAX(FILTER('REGISTRO PROD. v1'!AN:AN,'REGISTRO PROD. v1'!AL:AL=B308)"&amp;"),0),
    IFERROR(MAX(FILTER('REGISTRO PROD. v1'!BE:BE,'REGISTRO PROD. v1'!BC:BC=B308)),0),
    IFERROR(MAX(FILTER('REGISTRO PROD. v1'!BV:BV,'REGISTRO PROD. v1'!BT:BT=B308)),0)
  )=0,
  ""NO"",
  IF(
    MAX(
      IFERROR(MAX(FILTER('REGISTRO PROD. v1'!F"&amp;":F,'REGISTRO PROD. v1'!D:D=B308)),0),
      IFERROR(MAX(FILTER('REGISTRO PROD. v1'!W:W,'REGISTRO PROD. v1'!U:U=B308)),0),
      IFERROR(MAX(FILTER('REGISTRO PROD. v1'!AN:AN,'REGISTRO PROD. v1'!AL:AL=B308)),0),
      IFERROR(MAX(FILTER('REGISTRO PROD. v1'!"&amp;"BE:BE,'REGISTRO PROD. v1'!BC:BC=B308)),0),
      IFERROR(MAX(FILTER('REGISTRO PROD. v1'!BV:BV,'REGISTRO PROD. v1'!BT:BT=B308)),0)
    )&gt;=F308,
    ""SI"",
    ""EN PROCESO""
  )
)
"),"NO")</f>
        <v>NO</v>
      </c>
      <c r="F308" s="132" t="s">
        <v>65</v>
      </c>
    </row>
    <row r="309" spans="1:6" ht="15" x14ac:dyDescent="0.25">
      <c r="A309" s="127"/>
      <c r="B309" s="130">
        <v>306</v>
      </c>
      <c r="C309" s="131">
        <v>2010</v>
      </c>
      <c r="D309" s="131" t="s">
        <v>113</v>
      </c>
      <c r="E309" s="131" t="str">
        <f ca="1">IFERROR(__xludf.DUMMYFUNCTION("IF(
  MAX(
    IFERROR(MAX(FILTER('REGISTRO PROD. v1'!F:F,'REGISTRO PROD. v1'!D:D=B309)),0),
    IFERROR(MAX(FILTER('REGISTRO PROD. v1'!W:W,'REGISTRO PROD. v1'!U:U=B309)),0),
    IFERROR(MAX(FILTER('REGISTRO PROD. v1'!AN:AN,'REGISTRO PROD. v1'!AL:AL=B309)"&amp;"),0),
    IFERROR(MAX(FILTER('REGISTRO PROD. v1'!BE:BE,'REGISTRO PROD. v1'!BC:BC=B309)),0),
    IFERROR(MAX(FILTER('REGISTRO PROD. v1'!BV:BV,'REGISTRO PROD. v1'!BT:BT=B309)),0)
  )=0,
  ""NO"",
  IF(
    MAX(
      IFERROR(MAX(FILTER('REGISTRO PROD. v1'!F"&amp;":F,'REGISTRO PROD. v1'!D:D=B309)),0),
      IFERROR(MAX(FILTER('REGISTRO PROD. v1'!W:W,'REGISTRO PROD. v1'!U:U=B309)),0),
      IFERROR(MAX(FILTER('REGISTRO PROD. v1'!AN:AN,'REGISTRO PROD. v1'!AL:AL=B309)),0),
      IFERROR(MAX(FILTER('REGISTRO PROD. v1'!"&amp;"BE:BE,'REGISTRO PROD. v1'!BC:BC=B309)),0),
      IFERROR(MAX(FILTER('REGISTRO PROD. v1'!BV:BV,'REGISTRO PROD. v1'!BT:BT=B309)),0)
    )&gt;=F309,
    ""SI"",
    ""EN PROCESO""
  )
)
"),"NO")</f>
        <v>NO</v>
      </c>
      <c r="F309" s="132" t="s">
        <v>65</v>
      </c>
    </row>
    <row r="310" spans="1:6" ht="15" x14ac:dyDescent="0.25">
      <c r="A310" s="127"/>
      <c r="B310" s="130">
        <v>307</v>
      </c>
      <c r="C310" s="131">
        <v>2010</v>
      </c>
      <c r="D310" s="131" t="s">
        <v>114</v>
      </c>
      <c r="E310" s="131" t="str">
        <f ca="1">IFERROR(__xludf.DUMMYFUNCTION("IF(
  MAX(
    IFERROR(MAX(FILTER('REGISTRO PROD. v1'!F:F,'REGISTRO PROD. v1'!D:D=B310)),0),
    IFERROR(MAX(FILTER('REGISTRO PROD. v1'!W:W,'REGISTRO PROD. v1'!U:U=B310)),0),
    IFERROR(MAX(FILTER('REGISTRO PROD. v1'!AN:AN,'REGISTRO PROD. v1'!AL:AL=B310)"&amp;"),0),
    IFERROR(MAX(FILTER('REGISTRO PROD. v1'!BE:BE,'REGISTRO PROD. v1'!BC:BC=B310)),0),
    IFERROR(MAX(FILTER('REGISTRO PROD. v1'!BV:BV,'REGISTRO PROD. v1'!BT:BT=B310)),0)
  )=0,
  ""NO"",
  IF(
    MAX(
      IFERROR(MAX(FILTER('REGISTRO PROD. v1'!F"&amp;":F,'REGISTRO PROD. v1'!D:D=B310)),0),
      IFERROR(MAX(FILTER('REGISTRO PROD. v1'!W:W,'REGISTRO PROD. v1'!U:U=B310)),0),
      IFERROR(MAX(FILTER('REGISTRO PROD. v1'!AN:AN,'REGISTRO PROD. v1'!AL:AL=B310)),0),
      IFERROR(MAX(FILTER('REGISTRO PROD. v1'!"&amp;"BE:BE,'REGISTRO PROD. v1'!BC:BC=B310)),0),
      IFERROR(MAX(FILTER('REGISTRO PROD. v1'!BV:BV,'REGISTRO PROD. v1'!BT:BT=B310)),0)
    )&gt;=F310,
    ""SI"",
    ""EN PROCESO""
  )
)
"),"NO")</f>
        <v>NO</v>
      </c>
      <c r="F310" s="132" t="s">
        <v>65</v>
      </c>
    </row>
    <row r="311" spans="1:6" ht="15" x14ac:dyDescent="0.25">
      <c r="A311" s="127"/>
      <c r="B311" s="130">
        <v>308</v>
      </c>
      <c r="C311" s="131">
        <v>2010</v>
      </c>
      <c r="D311" s="131" t="s">
        <v>115</v>
      </c>
      <c r="E311" s="131" t="str">
        <f ca="1">IFERROR(__xludf.DUMMYFUNCTION("IF(
  MAX(
    IFERROR(MAX(FILTER('REGISTRO PROD. v1'!F:F,'REGISTRO PROD. v1'!D:D=B311)),0),
    IFERROR(MAX(FILTER('REGISTRO PROD. v1'!W:W,'REGISTRO PROD. v1'!U:U=B311)),0),
    IFERROR(MAX(FILTER('REGISTRO PROD. v1'!AN:AN,'REGISTRO PROD. v1'!AL:AL=B311)"&amp;"),0),
    IFERROR(MAX(FILTER('REGISTRO PROD. v1'!BE:BE,'REGISTRO PROD. v1'!BC:BC=B311)),0),
    IFERROR(MAX(FILTER('REGISTRO PROD. v1'!BV:BV,'REGISTRO PROD. v1'!BT:BT=B311)),0)
  )=0,
  ""NO"",
  IF(
    MAX(
      IFERROR(MAX(FILTER('REGISTRO PROD. v1'!F"&amp;":F,'REGISTRO PROD. v1'!D:D=B311)),0),
      IFERROR(MAX(FILTER('REGISTRO PROD. v1'!W:W,'REGISTRO PROD. v1'!U:U=B311)),0),
      IFERROR(MAX(FILTER('REGISTRO PROD. v1'!AN:AN,'REGISTRO PROD. v1'!AL:AL=B311)),0),
      IFERROR(MAX(FILTER('REGISTRO PROD. v1'!"&amp;"BE:BE,'REGISTRO PROD. v1'!BC:BC=B311)),0),
      IFERROR(MAX(FILTER('REGISTRO PROD. v1'!BV:BV,'REGISTRO PROD. v1'!BT:BT=B311)),0)
    )&gt;=F311,
    ""SI"",
    ""EN PROCESO""
  )
)
"),"NO")</f>
        <v>NO</v>
      </c>
      <c r="F311" s="132" t="s">
        <v>65</v>
      </c>
    </row>
    <row r="312" spans="1:6" ht="15" x14ac:dyDescent="0.25">
      <c r="A312" s="127"/>
      <c r="B312" s="130">
        <v>309</v>
      </c>
      <c r="C312" s="131">
        <v>2010</v>
      </c>
      <c r="D312" s="131" t="s">
        <v>116</v>
      </c>
      <c r="E312" s="131" t="str">
        <f ca="1">IFERROR(__xludf.DUMMYFUNCTION("IF(
  MAX(
    IFERROR(MAX(FILTER('REGISTRO PROD. v1'!F:F,'REGISTRO PROD. v1'!D:D=B312)),0),
    IFERROR(MAX(FILTER('REGISTRO PROD. v1'!W:W,'REGISTRO PROD. v1'!U:U=B312)),0),
    IFERROR(MAX(FILTER('REGISTRO PROD. v1'!AN:AN,'REGISTRO PROD. v1'!AL:AL=B312)"&amp;"),0),
    IFERROR(MAX(FILTER('REGISTRO PROD. v1'!BE:BE,'REGISTRO PROD. v1'!BC:BC=B312)),0),
    IFERROR(MAX(FILTER('REGISTRO PROD. v1'!BV:BV,'REGISTRO PROD. v1'!BT:BT=B312)),0)
  )=0,
  ""NO"",
  IF(
    MAX(
      IFERROR(MAX(FILTER('REGISTRO PROD. v1'!F"&amp;":F,'REGISTRO PROD. v1'!D:D=B312)),0),
      IFERROR(MAX(FILTER('REGISTRO PROD. v1'!W:W,'REGISTRO PROD. v1'!U:U=B312)),0),
      IFERROR(MAX(FILTER('REGISTRO PROD. v1'!AN:AN,'REGISTRO PROD. v1'!AL:AL=B312)),0),
      IFERROR(MAX(FILTER('REGISTRO PROD. v1'!"&amp;"BE:BE,'REGISTRO PROD. v1'!BC:BC=B312)),0),
      IFERROR(MAX(FILTER('REGISTRO PROD. v1'!BV:BV,'REGISTRO PROD. v1'!BT:BT=B312)),0)
    )&gt;=F312,
    ""SI"",
    ""EN PROCESO""
  )
)
"),"NO")</f>
        <v>NO</v>
      </c>
      <c r="F312" s="132" t="s">
        <v>65</v>
      </c>
    </row>
    <row r="313" spans="1:6" ht="15" x14ac:dyDescent="0.25">
      <c r="B313" s="131">
        <v>310</v>
      </c>
      <c r="C313" s="131">
        <v>2010</v>
      </c>
      <c r="D313" s="131" t="s">
        <v>117</v>
      </c>
      <c r="E313" s="131" t="str">
        <f ca="1">IFERROR(__xludf.DUMMYFUNCTION("IF(
  MAX(
    IFERROR(MAX(FILTER('REGISTRO PROD. v1'!F:F,'REGISTRO PROD. v1'!D:D=B313)),0),
    IFERROR(MAX(FILTER('REGISTRO PROD. v1'!W:W,'REGISTRO PROD. v1'!U:U=B313)),0),
    IFERROR(MAX(FILTER('REGISTRO PROD. v1'!AN:AN,'REGISTRO PROD. v1'!AL:AL=B313)"&amp;"),0),
    IFERROR(MAX(FILTER('REGISTRO PROD. v1'!BE:BE,'REGISTRO PROD. v1'!BC:BC=B313)),0),
    IFERROR(MAX(FILTER('REGISTRO PROD. v1'!BV:BV,'REGISTRO PROD. v1'!BT:BT=B313)),0)
  )=0,
  ""NO"",
  IF(
    MAX(
      IFERROR(MAX(FILTER('REGISTRO PROD. v1'!F"&amp;":F,'REGISTRO PROD. v1'!D:D=B313)),0),
      IFERROR(MAX(FILTER('REGISTRO PROD. v1'!W:W,'REGISTRO PROD. v1'!U:U=B313)),0),
      IFERROR(MAX(FILTER('REGISTRO PROD. v1'!AN:AN,'REGISTRO PROD. v1'!AL:AL=B313)),0),
      IFERROR(MAX(FILTER('REGISTRO PROD. v1'!"&amp;"BE:BE,'REGISTRO PROD. v1'!BC:BC=B313)),0),
      IFERROR(MAX(FILTER('REGISTRO PROD. v1'!BV:BV,'REGISTRO PROD. v1'!BT:BT=B313)),0)
    )&gt;=F313,
    ""SI"",
    ""EN PROCESO""
  )
)
"),"NO")</f>
        <v>NO</v>
      </c>
      <c r="F313" s="132" t="s">
        <v>65</v>
      </c>
    </row>
    <row r="314" spans="1:6" ht="15" x14ac:dyDescent="0.25">
      <c r="B314" s="131">
        <v>311</v>
      </c>
      <c r="C314" s="131">
        <v>2010</v>
      </c>
      <c r="D314" s="131" t="s">
        <v>118</v>
      </c>
      <c r="E314" s="131" t="str">
        <f ca="1">IFERROR(__xludf.DUMMYFUNCTION("IF(
  MAX(
    IFERROR(MAX(FILTER('REGISTRO PROD. v1'!F:F,'REGISTRO PROD. v1'!D:D=B314)),0),
    IFERROR(MAX(FILTER('REGISTRO PROD. v1'!W:W,'REGISTRO PROD. v1'!U:U=B314)),0),
    IFERROR(MAX(FILTER('REGISTRO PROD. v1'!AN:AN,'REGISTRO PROD. v1'!AL:AL=B314)"&amp;"),0),
    IFERROR(MAX(FILTER('REGISTRO PROD. v1'!BE:BE,'REGISTRO PROD. v1'!BC:BC=B314)),0),
    IFERROR(MAX(FILTER('REGISTRO PROD. v1'!BV:BV,'REGISTRO PROD. v1'!BT:BT=B314)),0)
  )=0,
  ""NO"",
  IF(
    MAX(
      IFERROR(MAX(FILTER('REGISTRO PROD. v1'!F"&amp;":F,'REGISTRO PROD. v1'!D:D=B314)),0),
      IFERROR(MAX(FILTER('REGISTRO PROD. v1'!W:W,'REGISTRO PROD. v1'!U:U=B314)),0),
      IFERROR(MAX(FILTER('REGISTRO PROD. v1'!AN:AN,'REGISTRO PROD. v1'!AL:AL=B314)),0),
      IFERROR(MAX(FILTER('REGISTRO PROD. v1'!"&amp;"BE:BE,'REGISTRO PROD. v1'!BC:BC=B314)),0),
      IFERROR(MAX(FILTER('REGISTRO PROD. v1'!BV:BV,'REGISTRO PROD. v1'!BT:BT=B314)),0)
    )&gt;=F314,
    ""SI"",
    ""EN PROCESO""
  )
)
"),"NO")</f>
        <v>NO</v>
      </c>
      <c r="F314" s="132" t="s">
        <v>65</v>
      </c>
    </row>
    <row r="315" spans="1:6" ht="15" x14ac:dyDescent="0.25">
      <c r="B315" s="131">
        <v>312</v>
      </c>
      <c r="C315" s="131">
        <v>2010</v>
      </c>
      <c r="D315" s="131" t="s">
        <v>119</v>
      </c>
      <c r="E315" s="131" t="str">
        <f ca="1">IFERROR(__xludf.DUMMYFUNCTION("IF(
  MAX(
    IFERROR(MAX(FILTER('REGISTRO PROD. v1'!F:F,'REGISTRO PROD. v1'!D:D=B315)),0),
    IFERROR(MAX(FILTER('REGISTRO PROD. v1'!W:W,'REGISTRO PROD. v1'!U:U=B315)),0),
    IFERROR(MAX(FILTER('REGISTRO PROD. v1'!AN:AN,'REGISTRO PROD. v1'!AL:AL=B315)"&amp;"),0),
    IFERROR(MAX(FILTER('REGISTRO PROD. v1'!BE:BE,'REGISTRO PROD. v1'!BC:BC=B315)),0),
    IFERROR(MAX(FILTER('REGISTRO PROD. v1'!BV:BV,'REGISTRO PROD. v1'!BT:BT=B315)),0)
  )=0,
  ""NO"",
  IF(
    MAX(
      IFERROR(MAX(FILTER('REGISTRO PROD. v1'!F"&amp;":F,'REGISTRO PROD. v1'!D:D=B315)),0),
      IFERROR(MAX(FILTER('REGISTRO PROD. v1'!W:W,'REGISTRO PROD. v1'!U:U=B315)),0),
      IFERROR(MAX(FILTER('REGISTRO PROD. v1'!AN:AN,'REGISTRO PROD. v1'!AL:AL=B315)),0),
      IFERROR(MAX(FILTER('REGISTRO PROD. v1'!"&amp;"BE:BE,'REGISTRO PROD. v1'!BC:BC=B315)),0),
      IFERROR(MAX(FILTER('REGISTRO PROD. v1'!BV:BV,'REGISTRO PROD. v1'!BT:BT=B315)),0)
    )&gt;=F315,
    ""SI"",
    ""EN PROCESO""
  )
)
"),"NO")</f>
        <v>NO</v>
      </c>
      <c r="F315" s="132" t="s">
        <v>65</v>
      </c>
    </row>
    <row r="316" spans="1:6" ht="15" x14ac:dyDescent="0.25">
      <c r="B316" s="131">
        <v>313</v>
      </c>
      <c r="C316" s="131">
        <v>2010</v>
      </c>
      <c r="D316" s="131" t="s">
        <v>121</v>
      </c>
      <c r="E316" s="131" t="str">
        <f ca="1">IFERROR(__xludf.DUMMYFUNCTION("IF(
  MAX(
    IFERROR(MAX(FILTER('REGISTRO PROD. v1'!F:F,'REGISTRO PROD. v1'!D:D=B316)),0),
    IFERROR(MAX(FILTER('REGISTRO PROD. v1'!W:W,'REGISTRO PROD. v1'!U:U=B316)),0),
    IFERROR(MAX(FILTER('REGISTRO PROD. v1'!AN:AN,'REGISTRO PROD. v1'!AL:AL=B316)"&amp;"),0),
    IFERROR(MAX(FILTER('REGISTRO PROD. v1'!BE:BE,'REGISTRO PROD. v1'!BC:BC=B316)),0),
    IFERROR(MAX(FILTER('REGISTRO PROD. v1'!BV:BV,'REGISTRO PROD. v1'!BT:BT=B316)),0)
  )=0,
  ""NO"",
  IF(
    MAX(
      IFERROR(MAX(FILTER('REGISTRO PROD. v1'!F"&amp;":F,'REGISTRO PROD. v1'!D:D=B316)),0),
      IFERROR(MAX(FILTER('REGISTRO PROD. v1'!W:W,'REGISTRO PROD. v1'!U:U=B316)),0),
      IFERROR(MAX(FILTER('REGISTRO PROD. v1'!AN:AN,'REGISTRO PROD. v1'!AL:AL=B316)),0),
      IFERROR(MAX(FILTER('REGISTRO PROD. v1'!"&amp;"BE:BE,'REGISTRO PROD. v1'!BC:BC=B316)),0),
      IFERROR(MAX(FILTER('REGISTRO PROD. v1'!BV:BV,'REGISTRO PROD. v1'!BT:BT=B316)),0)
    )&gt;=F316,
    ""SI"",
    ""EN PROCESO""
  )
)
"),"NO")</f>
        <v>NO</v>
      </c>
      <c r="F316" s="132" t="s">
        <v>65</v>
      </c>
    </row>
    <row r="317" spans="1:6" ht="15" x14ac:dyDescent="0.25">
      <c r="B317" s="131">
        <v>314</v>
      </c>
      <c r="C317" s="131">
        <v>2010</v>
      </c>
      <c r="D317" s="131" t="s">
        <v>122</v>
      </c>
      <c r="E317" s="131" t="str">
        <f ca="1">IFERROR(__xludf.DUMMYFUNCTION("IF(
  MAX(
    IFERROR(MAX(FILTER('REGISTRO PROD. v1'!F:F,'REGISTRO PROD. v1'!D:D=B317)),0),
    IFERROR(MAX(FILTER('REGISTRO PROD. v1'!W:W,'REGISTRO PROD. v1'!U:U=B317)),0),
    IFERROR(MAX(FILTER('REGISTRO PROD. v1'!AN:AN,'REGISTRO PROD. v1'!AL:AL=B317)"&amp;"),0),
    IFERROR(MAX(FILTER('REGISTRO PROD. v1'!BE:BE,'REGISTRO PROD. v1'!BC:BC=B317)),0),
    IFERROR(MAX(FILTER('REGISTRO PROD. v1'!BV:BV,'REGISTRO PROD. v1'!BT:BT=B317)),0)
  )=0,
  ""NO"",
  IF(
    MAX(
      IFERROR(MAX(FILTER('REGISTRO PROD. v1'!F"&amp;":F,'REGISTRO PROD. v1'!D:D=B317)),0),
      IFERROR(MAX(FILTER('REGISTRO PROD. v1'!W:W,'REGISTRO PROD. v1'!U:U=B317)),0),
      IFERROR(MAX(FILTER('REGISTRO PROD. v1'!AN:AN,'REGISTRO PROD. v1'!AL:AL=B317)),0),
      IFERROR(MAX(FILTER('REGISTRO PROD. v1'!"&amp;"BE:BE,'REGISTRO PROD. v1'!BC:BC=B317)),0),
      IFERROR(MAX(FILTER('REGISTRO PROD. v1'!BV:BV,'REGISTRO PROD. v1'!BT:BT=B317)),0)
    )&gt;=F317,
    ""SI"",
    ""EN PROCESO""
  )
)
"),"NO")</f>
        <v>NO</v>
      </c>
      <c r="F317" s="132" t="s">
        <v>65</v>
      </c>
    </row>
    <row r="318" spans="1:6" ht="15" x14ac:dyDescent="0.25">
      <c r="B318" s="131">
        <v>315</v>
      </c>
      <c r="C318" s="131">
        <v>2010</v>
      </c>
      <c r="D318" s="131" t="s">
        <v>123</v>
      </c>
      <c r="E318" s="131" t="str">
        <f ca="1">IFERROR(__xludf.DUMMYFUNCTION("IF(
  MAX(
    IFERROR(MAX(FILTER('REGISTRO PROD. v1'!F:F,'REGISTRO PROD. v1'!D:D=B318)),0),
    IFERROR(MAX(FILTER('REGISTRO PROD. v1'!W:W,'REGISTRO PROD. v1'!U:U=B318)),0),
    IFERROR(MAX(FILTER('REGISTRO PROD. v1'!AN:AN,'REGISTRO PROD. v1'!AL:AL=B318)"&amp;"),0),
    IFERROR(MAX(FILTER('REGISTRO PROD. v1'!BE:BE,'REGISTRO PROD. v1'!BC:BC=B318)),0),
    IFERROR(MAX(FILTER('REGISTRO PROD. v1'!BV:BV,'REGISTRO PROD. v1'!BT:BT=B318)),0)
  )=0,
  ""NO"",
  IF(
    MAX(
      IFERROR(MAX(FILTER('REGISTRO PROD. v1'!F"&amp;":F,'REGISTRO PROD. v1'!D:D=B318)),0),
      IFERROR(MAX(FILTER('REGISTRO PROD. v1'!W:W,'REGISTRO PROD. v1'!U:U=B318)),0),
      IFERROR(MAX(FILTER('REGISTRO PROD. v1'!AN:AN,'REGISTRO PROD. v1'!AL:AL=B318)),0),
      IFERROR(MAX(FILTER('REGISTRO PROD. v1'!"&amp;"BE:BE,'REGISTRO PROD. v1'!BC:BC=B318)),0),
      IFERROR(MAX(FILTER('REGISTRO PROD. v1'!BV:BV,'REGISTRO PROD. v1'!BT:BT=B318)),0)
    )&gt;=F318,
    ""SI"",
    ""EN PROCESO""
  )
)
"),"NO")</f>
        <v>NO</v>
      </c>
      <c r="F318" s="132" t="s">
        <v>65</v>
      </c>
    </row>
    <row r="319" spans="1:6" ht="15" x14ac:dyDescent="0.25">
      <c r="B319" s="131">
        <v>316</v>
      </c>
      <c r="C319" s="131">
        <v>2010</v>
      </c>
      <c r="D319" s="131" t="s">
        <v>124</v>
      </c>
      <c r="E319" s="131" t="str">
        <f ca="1">IFERROR(__xludf.DUMMYFUNCTION("IF(
  MAX(
    IFERROR(MAX(FILTER('REGISTRO PROD. v1'!F:F,'REGISTRO PROD. v1'!D:D=B319)),0),
    IFERROR(MAX(FILTER('REGISTRO PROD. v1'!W:W,'REGISTRO PROD. v1'!U:U=B319)),0),
    IFERROR(MAX(FILTER('REGISTRO PROD. v1'!AN:AN,'REGISTRO PROD. v1'!AL:AL=B319)"&amp;"),0),
    IFERROR(MAX(FILTER('REGISTRO PROD. v1'!BE:BE,'REGISTRO PROD. v1'!BC:BC=B319)),0),
    IFERROR(MAX(FILTER('REGISTRO PROD. v1'!BV:BV,'REGISTRO PROD. v1'!BT:BT=B319)),0)
  )=0,
  ""NO"",
  IF(
    MAX(
      IFERROR(MAX(FILTER('REGISTRO PROD. v1'!F"&amp;":F,'REGISTRO PROD. v1'!D:D=B319)),0),
      IFERROR(MAX(FILTER('REGISTRO PROD. v1'!W:W,'REGISTRO PROD. v1'!U:U=B319)),0),
      IFERROR(MAX(FILTER('REGISTRO PROD. v1'!AN:AN,'REGISTRO PROD. v1'!AL:AL=B319)),0),
      IFERROR(MAX(FILTER('REGISTRO PROD. v1'!"&amp;"BE:BE,'REGISTRO PROD. v1'!BC:BC=B319)),0),
      IFERROR(MAX(FILTER('REGISTRO PROD. v1'!BV:BV,'REGISTRO PROD. v1'!BT:BT=B319)),0)
    )&gt;=F319,
    ""SI"",
    ""EN PROCESO""
  )
)
"),"NO")</f>
        <v>NO</v>
      </c>
      <c r="F319" s="132" t="s">
        <v>65</v>
      </c>
    </row>
    <row r="320" spans="1:6" ht="15" x14ac:dyDescent="0.25">
      <c r="B320" s="131">
        <v>317</v>
      </c>
      <c r="C320" s="131">
        <v>2010</v>
      </c>
      <c r="D320" s="131" t="s">
        <v>125</v>
      </c>
      <c r="E320" s="131" t="str">
        <f ca="1">IFERROR(__xludf.DUMMYFUNCTION("IF(
  MAX(
    IFERROR(MAX(FILTER('REGISTRO PROD. v1'!F:F,'REGISTRO PROD. v1'!D:D=B320)),0),
    IFERROR(MAX(FILTER('REGISTRO PROD. v1'!W:W,'REGISTRO PROD. v1'!U:U=B320)),0),
    IFERROR(MAX(FILTER('REGISTRO PROD. v1'!AN:AN,'REGISTRO PROD. v1'!AL:AL=B320)"&amp;"),0),
    IFERROR(MAX(FILTER('REGISTRO PROD. v1'!BE:BE,'REGISTRO PROD. v1'!BC:BC=B320)),0),
    IFERROR(MAX(FILTER('REGISTRO PROD. v1'!BV:BV,'REGISTRO PROD. v1'!BT:BT=B320)),0)
  )=0,
  ""NO"",
  IF(
    MAX(
      IFERROR(MAX(FILTER('REGISTRO PROD. v1'!F"&amp;":F,'REGISTRO PROD. v1'!D:D=B320)),0),
      IFERROR(MAX(FILTER('REGISTRO PROD. v1'!W:W,'REGISTRO PROD. v1'!U:U=B320)),0),
      IFERROR(MAX(FILTER('REGISTRO PROD. v1'!AN:AN,'REGISTRO PROD. v1'!AL:AL=B320)),0),
      IFERROR(MAX(FILTER('REGISTRO PROD. v1'!"&amp;"BE:BE,'REGISTRO PROD. v1'!BC:BC=B320)),0),
      IFERROR(MAX(FILTER('REGISTRO PROD. v1'!BV:BV,'REGISTRO PROD. v1'!BT:BT=B320)),0)
    )&gt;=F320,
    ""SI"",
    ""EN PROCESO""
  )
)
"),"NO")</f>
        <v>NO</v>
      </c>
      <c r="F320" s="132" t="s">
        <v>65</v>
      </c>
    </row>
    <row r="321" spans="2:6" ht="15" x14ac:dyDescent="0.25">
      <c r="B321" s="131">
        <v>318</v>
      </c>
      <c r="C321" s="131">
        <v>2010</v>
      </c>
      <c r="D321" s="131" t="s">
        <v>126</v>
      </c>
      <c r="E321" s="131" t="str">
        <f ca="1">IFERROR(__xludf.DUMMYFUNCTION("IF(
  MAX(
    IFERROR(MAX(FILTER('REGISTRO PROD. v1'!F:F,'REGISTRO PROD. v1'!D:D=B321)),0),
    IFERROR(MAX(FILTER('REGISTRO PROD. v1'!W:W,'REGISTRO PROD. v1'!U:U=B321)),0),
    IFERROR(MAX(FILTER('REGISTRO PROD. v1'!AN:AN,'REGISTRO PROD. v1'!AL:AL=B321)"&amp;"),0),
    IFERROR(MAX(FILTER('REGISTRO PROD. v1'!BE:BE,'REGISTRO PROD. v1'!BC:BC=B321)),0),
    IFERROR(MAX(FILTER('REGISTRO PROD. v1'!BV:BV,'REGISTRO PROD. v1'!BT:BT=B321)),0)
  )=0,
  ""NO"",
  IF(
    MAX(
      IFERROR(MAX(FILTER('REGISTRO PROD. v1'!F"&amp;":F,'REGISTRO PROD. v1'!D:D=B321)),0),
      IFERROR(MAX(FILTER('REGISTRO PROD. v1'!W:W,'REGISTRO PROD. v1'!U:U=B321)),0),
      IFERROR(MAX(FILTER('REGISTRO PROD. v1'!AN:AN,'REGISTRO PROD. v1'!AL:AL=B321)),0),
      IFERROR(MAX(FILTER('REGISTRO PROD. v1'!"&amp;"BE:BE,'REGISTRO PROD. v1'!BC:BC=B321)),0),
      IFERROR(MAX(FILTER('REGISTRO PROD. v1'!BV:BV,'REGISTRO PROD. v1'!BT:BT=B321)),0)
    )&gt;=F321,
    ""SI"",
    ""EN PROCESO""
  )
)
"),"NO")</f>
        <v>NO</v>
      </c>
      <c r="F321" s="132" t="s">
        <v>65</v>
      </c>
    </row>
    <row r="322" spans="2:6" ht="15" x14ac:dyDescent="0.25">
      <c r="B322" s="131">
        <v>319</v>
      </c>
      <c r="C322" s="131">
        <v>2010</v>
      </c>
      <c r="D322" s="131" t="s">
        <v>128</v>
      </c>
      <c r="E322" s="131" t="str">
        <f ca="1">IFERROR(__xludf.DUMMYFUNCTION("IF(
  MAX(
    IFERROR(MAX(FILTER('REGISTRO PROD. v1'!F:F,'REGISTRO PROD. v1'!D:D=B322)),0),
    IFERROR(MAX(FILTER('REGISTRO PROD. v1'!W:W,'REGISTRO PROD. v1'!U:U=B322)),0),
    IFERROR(MAX(FILTER('REGISTRO PROD. v1'!AN:AN,'REGISTRO PROD. v1'!AL:AL=B322)"&amp;"),0),
    IFERROR(MAX(FILTER('REGISTRO PROD. v1'!BE:BE,'REGISTRO PROD. v1'!BC:BC=B322)),0),
    IFERROR(MAX(FILTER('REGISTRO PROD. v1'!BV:BV,'REGISTRO PROD. v1'!BT:BT=B322)),0)
  )=0,
  ""NO"",
  IF(
    MAX(
      IFERROR(MAX(FILTER('REGISTRO PROD. v1'!F"&amp;":F,'REGISTRO PROD. v1'!D:D=B322)),0),
      IFERROR(MAX(FILTER('REGISTRO PROD. v1'!W:W,'REGISTRO PROD. v1'!U:U=B322)),0),
      IFERROR(MAX(FILTER('REGISTRO PROD. v1'!AN:AN,'REGISTRO PROD. v1'!AL:AL=B322)),0),
      IFERROR(MAX(FILTER('REGISTRO PROD. v1'!"&amp;"BE:BE,'REGISTRO PROD. v1'!BC:BC=B322)),0),
      IFERROR(MAX(FILTER('REGISTRO PROD. v1'!BV:BV,'REGISTRO PROD. v1'!BT:BT=B322)),0)
    )&gt;=F322,
    ""SI"",
    ""EN PROCESO""
  )
)
"),"NO")</f>
        <v>NO</v>
      </c>
      <c r="F322" s="132" t="s">
        <v>65</v>
      </c>
    </row>
    <row r="323" spans="2:6" ht="15" x14ac:dyDescent="0.25">
      <c r="B323" s="131">
        <v>320</v>
      </c>
      <c r="C323" s="131">
        <v>2010</v>
      </c>
      <c r="D323" s="131" t="s">
        <v>129</v>
      </c>
      <c r="E323" s="131" t="str">
        <f ca="1">IFERROR(__xludf.DUMMYFUNCTION("IF(
  MAX(
    IFERROR(MAX(FILTER('REGISTRO PROD. v1'!F:F,'REGISTRO PROD. v1'!D:D=B323)),0),
    IFERROR(MAX(FILTER('REGISTRO PROD. v1'!W:W,'REGISTRO PROD. v1'!U:U=B323)),0),
    IFERROR(MAX(FILTER('REGISTRO PROD. v1'!AN:AN,'REGISTRO PROD. v1'!AL:AL=B323)"&amp;"),0),
    IFERROR(MAX(FILTER('REGISTRO PROD. v1'!BE:BE,'REGISTRO PROD. v1'!BC:BC=B323)),0),
    IFERROR(MAX(FILTER('REGISTRO PROD. v1'!BV:BV,'REGISTRO PROD. v1'!BT:BT=B323)),0)
  )=0,
  ""NO"",
  IF(
    MAX(
      IFERROR(MAX(FILTER('REGISTRO PROD. v1'!F"&amp;":F,'REGISTRO PROD. v1'!D:D=B323)),0),
      IFERROR(MAX(FILTER('REGISTRO PROD. v1'!W:W,'REGISTRO PROD. v1'!U:U=B323)),0),
      IFERROR(MAX(FILTER('REGISTRO PROD. v1'!AN:AN,'REGISTRO PROD. v1'!AL:AL=B323)),0),
      IFERROR(MAX(FILTER('REGISTRO PROD. v1'!"&amp;"BE:BE,'REGISTRO PROD. v1'!BC:BC=B323)),0),
      IFERROR(MAX(FILTER('REGISTRO PROD. v1'!BV:BV,'REGISTRO PROD. v1'!BT:BT=B323)),0)
    )&gt;=F323,
    ""SI"",
    ""EN PROCESO""
  )
)
"),"NO")</f>
        <v>NO</v>
      </c>
      <c r="F323" s="132" t="s">
        <v>65</v>
      </c>
    </row>
    <row r="324" spans="2:6" ht="15" x14ac:dyDescent="0.25">
      <c r="B324" s="131">
        <v>321</v>
      </c>
      <c r="C324" s="131">
        <v>2010</v>
      </c>
      <c r="D324" s="131" t="s">
        <v>130</v>
      </c>
      <c r="E324" s="131" t="str">
        <f ca="1">IFERROR(__xludf.DUMMYFUNCTION("IF(
  MAX(
    IFERROR(MAX(FILTER('REGISTRO PROD. v1'!F:F,'REGISTRO PROD. v1'!D:D=B324)),0),
    IFERROR(MAX(FILTER('REGISTRO PROD. v1'!W:W,'REGISTRO PROD. v1'!U:U=B324)),0),
    IFERROR(MAX(FILTER('REGISTRO PROD. v1'!AN:AN,'REGISTRO PROD. v1'!AL:AL=B324)"&amp;"),0),
    IFERROR(MAX(FILTER('REGISTRO PROD. v1'!BE:BE,'REGISTRO PROD. v1'!BC:BC=B324)),0),
    IFERROR(MAX(FILTER('REGISTRO PROD. v1'!BV:BV,'REGISTRO PROD. v1'!BT:BT=B324)),0)
  )=0,
  ""NO"",
  IF(
    MAX(
      IFERROR(MAX(FILTER('REGISTRO PROD. v1'!F"&amp;":F,'REGISTRO PROD. v1'!D:D=B324)),0),
      IFERROR(MAX(FILTER('REGISTRO PROD. v1'!W:W,'REGISTRO PROD. v1'!U:U=B324)),0),
      IFERROR(MAX(FILTER('REGISTRO PROD. v1'!AN:AN,'REGISTRO PROD. v1'!AL:AL=B324)),0),
      IFERROR(MAX(FILTER('REGISTRO PROD. v1'!"&amp;"BE:BE,'REGISTRO PROD. v1'!BC:BC=B324)),0),
      IFERROR(MAX(FILTER('REGISTRO PROD. v1'!BV:BV,'REGISTRO PROD. v1'!BT:BT=B324)),0)
    )&gt;=F324,
    ""SI"",
    ""EN PROCESO""
  )
)
"),"NO")</f>
        <v>NO</v>
      </c>
      <c r="F324" s="132" t="s">
        <v>65</v>
      </c>
    </row>
    <row r="325" spans="2:6" ht="15" x14ac:dyDescent="0.25">
      <c r="B325" s="131">
        <v>322</v>
      </c>
      <c r="C325" s="131">
        <v>2010</v>
      </c>
      <c r="D325" s="131" t="s">
        <v>131</v>
      </c>
      <c r="E325" s="131" t="str">
        <f ca="1">IFERROR(__xludf.DUMMYFUNCTION("IF(
  MAX(
    IFERROR(MAX(FILTER('REGISTRO PROD. v1'!F:F,'REGISTRO PROD. v1'!D:D=B325)),0),
    IFERROR(MAX(FILTER('REGISTRO PROD. v1'!W:W,'REGISTRO PROD. v1'!U:U=B325)),0),
    IFERROR(MAX(FILTER('REGISTRO PROD. v1'!AN:AN,'REGISTRO PROD. v1'!AL:AL=B325)"&amp;"),0),
    IFERROR(MAX(FILTER('REGISTRO PROD. v1'!BE:BE,'REGISTRO PROD. v1'!BC:BC=B325)),0),
    IFERROR(MAX(FILTER('REGISTRO PROD. v1'!BV:BV,'REGISTRO PROD. v1'!BT:BT=B325)),0)
  )=0,
  ""NO"",
  IF(
    MAX(
      IFERROR(MAX(FILTER('REGISTRO PROD. v1'!F"&amp;":F,'REGISTRO PROD. v1'!D:D=B325)),0),
      IFERROR(MAX(FILTER('REGISTRO PROD. v1'!W:W,'REGISTRO PROD. v1'!U:U=B325)),0),
      IFERROR(MAX(FILTER('REGISTRO PROD. v1'!AN:AN,'REGISTRO PROD. v1'!AL:AL=B325)),0),
      IFERROR(MAX(FILTER('REGISTRO PROD. v1'!"&amp;"BE:BE,'REGISTRO PROD. v1'!BC:BC=B325)),0),
      IFERROR(MAX(FILTER('REGISTRO PROD. v1'!BV:BV,'REGISTRO PROD. v1'!BT:BT=B325)),0)
    )&gt;=F325,
    ""SI"",
    ""EN PROCESO""
  )
)
"),"NO")</f>
        <v>NO</v>
      </c>
      <c r="F325" s="132" t="s">
        <v>65</v>
      </c>
    </row>
    <row r="326" spans="2:6" ht="15" x14ac:dyDescent="0.25">
      <c r="B326" s="131">
        <v>323</v>
      </c>
      <c r="C326" s="131">
        <v>2010</v>
      </c>
      <c r="D326" s="131" t="s">
        <v>132</v>
      </c>
      <c r="E326" s="131" t="str">
        <f ca="1">IFERROR(__xludf.DUMMYFUNCTION("IF(
  MAX(
    IFERROR(MAX(FILTER('REGISTRO PROD. v1'!F:F,'REGISTRO PROD. v1'!D:D=B326)),0),
    IFERROR(MAX(FILTER('REGISTRO PROD. v1'!W:W,'REGISTRO PROD. v1'!U:U=B326)),0),
    IFERROR(MAX(FILTER('REGISTRO PROD. v1'!AN:AN,'REGISTRO PROD. v1'!AL:AL=B326)"&amp;"),0),
    IFERROR(MAX(FILTER('REGISTRO PROD. v1'!BE:BE,'REGISTRO PROD. v1'!BC:BC=B326)),0),
    IFERROR(MAX(FILTER('REGISTRO PROD. v1'!BV:BV,'REGISTRO PROD. v1'!BT:BT=B326)),0)
  )=0,
  ""NO"",
  IF(
    MAX(
      IFERROR(MAX(FILTER('REGISTRO PROD. v1'!F"&amp;":F,'REGISTRO PROD. v1'!D:D=B326)),0),
      IFERROR(MAX(FILTER('REGISTRO PROD. v1'!W:W,'REGISTRO PROD. v1'!U:U=B326)),0),
      IFERROR(MAX(FILTER('REGISTRO PROD. v1'!AN:AN,'REGISTRO PROD. v1'!AL:AL=B326)),0),
      IFERROR(MAX(FILTER('REGISTRO PROD. v1'!"&amp;"BE:BE,'REGISTRO PROD. v1'!BC:BC=B326)),0),
      IFERROR(MAX(FILTER('REGISTRO PROD. v1'!BV:BV,'REGISTRO PROD. v1'!BT:BT=B326)),0)
    )&gt;=F326,
    ""SI"",
    ""EN PROCESO""
  )
)
"),"NO")</f>
        <v>NO</v>
      </c>
      <c r="F326" s="132" t="s">
        <v>65</v>
      </c>
    </row>
    <row r="327" spans="2:6" ht="15" x14ac:dyDescent="0.25">
      <c r="B327" s="131">
        <v>324</v>
      </c>
      <c r="C327" s="131">
        <v>2010</v>
      </c>
      <c r="D327" s="131" t="s">
        <v>133</v>
      </c>
      <c r="E327" s="131" t="str">
        <f ca="1">IFERROR(__xludf.DUMMYFUNCTION("IF(
  MAX(
    IFERROR(MAX(FILTER('REGISTRO PROD. v1'!F:F,'REGISTRO PROD. v1'!D:D=B327)),0),
    IFERROR(MAX(FILTER('REGISTRO PROD. v1'!W:W,'REGISTRO PROD. v1'!U:U=B327)),0),
    IFERROR(MAX(FILTER('REGISTRO PROD. v1'!AN:AN,'REGISTRO PROD. v1'!AL:AL=B327)"&amp;"),0),
    IFERROR(MAX(FILTER('REGISTRO PROD. v1'!BE:BE,'REGISTRO PROD. v1'!BC:BC=B327)),0),
    IFERROR(MAX(FILTER('REGISTRO PROD. v1'!BV:BV,'REGISTRO PROD. v1'!BT:BT=B327)),0)
  )=0,
  ""NO"",
  IF(
    MAX(
      IFERROR(MAX(FILTER('REGISTRO PROD. v1'!F"&amp;":F,'REGISTRO PROD. v1'!D:D=B327)),0),
      IFERROR(MAX(FILTER('REGISTRO PROD. v1'!W:W,'REGISTRO PROD. v1'!U:U=B327)),0),
      IFERROR(MAX(FILTER('REGISTRO PROD. v1'!AN:AN,'REGISTRO PROD. v1'!AL:AL=B327)),0),
      IFERROR(MAX(FILTER('REGISTRO PROD. v1'!"&amp;"BE:BE,'REGISTRO PROD. v1'!BC:BC=B327)),0),
      IFERROR(MAX(FILTER('REGISTRO PROD. v1'!BV:BV,'REGISTRO PROD. v1'!BT:BT=B327)),0)
    )&gt;=F327,
    ""SI"",
    ""EN PROCESO""
  )
)
"),"NO")</f>
        <v>NO</v>
      </c>
      <c r="F327" s="132" t="s">
        <v>65</v>
      </c>
    </row>
    <row r="328" spans="2:6" ht="15" x14ac:dyDescent="0.25">
      <c r="B328" s="131">
        <v>325</v>
      </c>
      <c r="C328" s="131">
        <v>2010</v>
      </c>
      <c r="D328" s="131" t="s">
        <v>134</v>
      </c>
      <c r="E328" s="131" t="str">
        <f ca="1">IFERROR(__xludf.DUMMYFUNCTION("IF(
  MAX(
    IFERROR(MAX(FILTER('REGISTRO PROD. v1'!F:F,'REGISTRO PROD. v1'!D:D=B328)),0),
    IFERROR(MAX(FILTER('REGISTRO PROD. v1'!W:W,'REGISTRO PROD. v1'!U:U=B328)),0),
    IFERROR(MAX(FILTER('REGISTRO PROD. v1'!AN:AN,'REGISTRO PROD. v1'!AL:AL=B328)"&amp;"),0),
    IFERROR(MAX(FILTER('REGISTRO PROD. v1'!BE:BE,'REGISTRO PROD. v1'!BC:BC=B328)),0),
    IFERROR(MAX(FILTER('REGISTRO PROD. v1'!BV:BV,'REGISTRO PROD. v1'!BT:BT=B328)),0)
  )=0,
  ""NO"",
  IF(
    MAX(
      IFERROR(MAX(FILTER('REGISTRO PROD. v1'!F"&amp;":F,'REGISTRO PROD. v1'!D:D=B328)),0),
      IFERROR(MAX(FILTER('REGISTRO PROD. v1'!W:W,'REGISTRO PROD. v1'!U:U=B328)),0),
      IFERROR(MAX(FILTER('REGISTRO PROD. v1'!AN:AN,'REGISTRO PROD. v1'!AL:AL=B328)),0),
      IFERROR(MAX(FILTER('REGISTRO PROD. v1'!"&amp;"BE:BE,'REGISTRO PROD. v1'!BC:BC=B328)),0),
      IFERROR(MAX(FILTER('REGISTRO PROD. v1'!BV:BV,'REGISTRO PROD. v1'!BT:BT=B328)),0)
    )&gt;=F328,
    ""SI"",
    ""EN PROCESO""
  )
)
"),"NO")</f>
        <v>NO</v>
      </c>
      <c r="F328" s="132" t="s">
        <v>65</v>
      </c>
    </row>
    <row r="329" spans="2:6" ht="15" x14ac:dyDescent="0.25">
      <c r="B329" s="131">
        <v>326</v>
      </c>
      <c r="C329" s="131">
        <v>2010</v>
      </c>
      <c r="D329" s="131" t="s">
        <v>135</v>
      </c>
      <c r="E329" s="131" t="str">
        <f ca="1">IFERROR(__xludf.DUMMYFUNCTION("IF(
  MAX(
    IFERROR(MAX(FILTER('REGISTRO PROD. v1'!F:F,'REGISTRO PROD. v1'!D:D=B329)),0),
    IFERROR(MAX(FILTER('REGISTRO PROD. v1'!W:W,'REGISTRO PROD. v1'!U:U=B329)),0),
    IFERROR(MAX(FILTER('REGISTRO PROD. v1'!AN:AN,'REGISTRO PROD. v1'!AL:AL=B329)"&amp;"),0),
    IFERROR(MAX(FILTER('REGISTRO PROD. v1'!BE:BE,'REGISTRO PROD. v1'!BC:BC=B329)),0),
    IFERROR(MAX(FILTER('REGISTRO PROD. v1'!BV:BV,'REGISTRO PROD. v1'!BT:BT=B329)),0)
  )=0,
  ""NO"",
  IF(
    MAX(
      IFERROR(MAX(FILTER('REGISTRO PROD. v1'!F"&amp;":F,'REGISTRO PROD. v1'!D:D=B329)),0),
      IFERROR(MAX(FILTER('REGISTRO PROD. v1'!W:W,'REGISTRO PROD. v1'!U:U=B329)),0),
      IFERROR(MAX(FILTER('REGISTRO PROD. v1'!AN:AN,'REGISTRO PROD. v1'!AL:AL=B329)),0),
      IFERROR(MAX(FILTER('REGISTRO PROD. v1'!"&amp;"BE:BE,'REGISTRO PROD. v1'!BC:BC=B329)),0),
      IFERROR(MAX(FILTER('REGISTRO PROD. v1'!BV:BV,'REGISTRO PROD. v1'!BT:BT=B329)),0)
    )&gt;=F329,
    ""SI"",
    ""EN PROCESO""
  )
)
"),"NO")</f>
        <v>NO</v>
      </c>
      <c r="F329" s="132" t="s">
        <v>65</v>
      </c>
    </row>
    <row r="330" spans="2:6" ht="15" x14ac:dyDescent="0.25">
      <c r="B330" s="131">
        <v>327</v>
      </c>
      <c r="C330" s="131">
        <v>2010</v>
      </c>
      <c r="D330" s="131" t="s">
        <v>136</v>
      </c>
      <c r="E330" s="131" t="str">
        <f ca="1">IFERROR(__xludf.DUMMYFUNCTION("IF(
  MAX(
    IFERROR(MAX(FILTER('REGISTRO PROD. v1'!F:F,'REGISTRO PROD. v1'!D:D=B330)),0),
    IFERROR(MAX(FILTER('REGISTRO PROD. v1'!W:W,'REGISTRO PROD. v1'!U:U=B330)),0),
    IFERROR(MAX(FILTER('REGISTRO PROD. v1'!AN:AN,'REGISTRO PROD. v1'!AL:AL=B330)"&amp;"),0),
    IFERROR(MAX(FILTER('REGISTRO PROD. v1'!BE:BE,'REGISTRO PROD. v1'!BC:BC=B330)),0),
    IFERROR(MAX(FILTER('REGISTRO PROD. v1'!BV:BV,'REGISTRO PROD. v1'!BT:BT=B330)),0)
  )=0,
  ""NO"",
  IF(
    MAX(
      IFERROR(MAX(FILTER('REGISTRO PROD. v1'!F"&amp;":F,'REGISTRO PROD. v1'!D:D=B330)),0),
      IFERROR(MAX(FILTER('REGISTRO PROD. v1'!W:W,'REGISTRO PROD. v1'!U:U=B330)),0),
      IFERROR(MAX(FILTER('REGISTRO PROD. v1'!AN:AN,'REGISTRO PROD. v1'!AL:AL=B330)),0),
      IFERROR(MAX(FILTER('REGISTRO PROD. v1'!"&amp;"BE:BE,'REGISTRO PROD. v1'!BC:BC=B330)),0),
      IFERROR(MAX(FILTER('REGISTRO PROD. v1'!BV:BV,'REGISTRO PROD. v1'!BT:BT=B330)),0)
    )&gt;=F330,
    ""SI"",
    ""EN PROCESO""
  )
)
"),"NO")</f>
        <v>NO</v>
      </c>
      <c r="F330" s="132" t="s">
        <v>65</v>
      </c>
    </row>
    <row r="331" spans="2:6" ht="15" x14ac:dyDescent="0.25">
      <c r="B331" s="131">
        <v>328</v>
      </c>
      <c r="C331" s="131">
        <v>2010</v>
      </c>
      <c r="D331" s="131" t="s">
        <v>137</v>
      </c>
      <c r="E331" s="131" t="str">
        <f ca="1">IFERROR(__xludf.DUMMYFUNCTION("IF(
  MAX(
    IFERROR(MAX(FILTER('REGISTRO PROD. v1'!F:F,'REGISTRO PROD. v1'!D:D=B331)),0),
    IFERROR(MAX(FILTER('REGISTRO PROD. v1'!W:W,'REGISTRO PROD. v1'!U:U=B331)),0),
    IFERROR(MAX(FILTER('REGISTRO PROD. v1'!AN:AN,'REGISTRO PROD. v1'!AL:AL=B331)"&amp;"),0),
    IFERROR(MAX(FILTER('REGISTRO PROD. v1'!BE:BE,'REGISTRO PROD. v1'!BC:BC=B331)),0),
    IFERROR(MAX(FILTER('REGISTRO PROD. v1'!BV:BV,'REGISTRO PROD. v1'!BT:BT=B331)),0)
  )=0,
  ""NO"",
  IF(
    MAX(
      IFERROR(MAX(FILTER('REGISTRO PROD. v1'!F"&amp;":F,'REGISTRO PROD. v1'!D:D=B331)),0),
      IFERROR(MAX(FILTER('REGISTRO PROD. v1'!W:W,'REGISTRO PROD. v1'!U:U=B331)),0),
      IFERROR(MAX(FILTER('REGISTRO PROD. v1'!AN:AN,'REGISTRO PROD. v1'!AL:AL=B331)),0),
      IFERROR(MAX(FILTER('REGISTRO PROD. v1'!"&amp;"BE:BE,'REGISTRO PROD. v1'!BC:BC=B331)),0),
      IFERROR(MAX(FILTER('REGISTRO PROD. v1'!BV:BV,'REGISTRO PROD. v1'!BT:BT=B331)),0)
    )&gt;=F331,
    ""SI"",
    ""EN PROCESO""
  )
)
"),"NO")</f>
        <v>NO</v>
      </c>
      <c r="F331" s="132" t="s">
        <v>65</v>
      </c>
    </row>
    <row r="332" spans="2:6" ht="15" x14ac:dyDescent="0.25">
      <c r="B332" s="131">
        <v>329</v>
      </c>
      <c r="C332" s="131">
        <v>2010</v>
      </c>
      <c r="D332" s="131" t="s">
        <v>138</v>
      </c>
      <c r="E332" s="131" t="str">
        <f ca="1">IFERROR(__xludf.DUMMYFUNCTION("IF(
  MAX(
    IFERROR(MAX(FILTER('REGISTRO PROD. v1'!F:F,'REGISTRO PROD. v1'!D:D=B332)),0),
    IFERROR(MAX(FILTER('REGISTRO PROD. v1'!W:W,'REGISTRO PROD. v1'!U:U=B332)),0),
    IFERROR(MAX(FILTER('REGISTRO PROD. v1'!AN:AN,'REGISTRO PROD. v1'!AL:AL=B332)"&amp;"),0),
    IFERROR(MAX(FILTER('REGISTRO PROD. v1'!BE:BE,'REGISTRO PROD. v1'!BC:BC=B332)),0),
    IFERROR(MAX(FILTER('REGISTRO PROD. v1'!BV:BV,'REGISTRO PROD. v1'!BT:BT=B332)),0)
  )=0,
  ""NO"",
  IF(
    MAX(
      IFERROR(MAX(FILTER('REGISTRO PROD. v1'!F"&amp;":F,'REGISTRO PROD. v1'!D:D=B332)),0),
      IFERROR(MAX(FILTER('REGISTRO PROD. v1'!W:W,'REGISTRO PROD. v1'!U:U=B332)),0),
      IFERROR(MAX(FILTER('REGISTRO PROD. v1'!AN:AN,'REGISTRO PROD. v1'!AL:AL=B332)),0),
      IFERROR(MAX(FILTER('REGISTRO PROD. v1'!"&amp;"BE:BE,'REGISTRO PROD. v1'!BC:BC=B332)),0),
      IFERROR(MAX(FILTER('REGISTRO PROD. v1'!BV:BV,'REGISTRO PROD. v1'!BT:BT=B332)),0)
    )&gt;=F332,
    ""SI"",
    ""EN PROCESO""
  )
)
"),"NO")</f>
        <v>NO</v>
      </c>
      <c r="F332" s="132" t="s">
        <v>65</v>
      </c>
    </row>
    <row r="333" spans="2:6" ht="15" x14ac:dyDescent="0.25">
      <c r="B333" s="131">
        <v>330</v>
      </c>
      <c r="C333" s="131">
        <v>2010</v>
      </c>
      <c r="D333" s="131" t="s">
        <v>139</v>
      </c>
      <c r="E333" s="131" t="str">
        <f ca="1">IFERROR(__xludf.DUMMYFUNCTION("IF(
  MAX(
    IFERROR(MAX(FILTER('REGISTRO PROD. v1'!F:F,'REGISTRO PROD. v1'!D:D=B333)),0),
    IFERROR(MAX(FILTER('REGISTRO PROD. v1'!W:W,'REGISTRO PROD. v1'!U:U=B333)),0),
    IFERROR(MAX(FILTER('REGISTRO PROD. v1'!AN:AN,'REGISTRO PROD. v1'!AL:AL=B333)"&amp;"),0),
    IFERROR(MAX(FILTER('REGISTRO PROD. v1'!BE:BE,'REGISTRO PROD. v1'!BC:BC=B333)),0),
    IFERROR(MAX(FILTER('REGISTRO PROD. v1'!BV:BV,'REGISTRO PROD. v1'!BT:BT=B333)),0)
  )=0,
  ""NO"",
  IF(
    MAX(
      IFERROR(MAX(FILTER('REGISTRO PROD. v1'!F"&amp;":F,'REGISTRO PROD. v1'!D:D=B333)),0),
      IFERROR(MAX(FILTER('REGISTRO PROD. v1'!W:W,'REGISTRO PROD. v1'!U:U=B333)),0),
      IFERROR(MAX(FILTER('REGISTRO PROD. v1'!AN:AN,'REGISTRO PROD. v1'!AL:AL=B333)),0),
      IFERROR(MAX(FILTER('REGISTRO PROD. v1'!"&amp;"BE:BE,'REGISTRO PROD. v1'!BC:BC=B333)),0),
      IFERROR(MAX(FILTER('REGISTRO PROD. v1'!BV:BV,'REGISTRO PROD. v1'!BT:BT=B333)),0)
    )&gt;=F333,
    ""SI"",
    ""EN PROCESO""
  )
)
"),"NO")</f>
        <v>NO</v>
      </c>
      <c r="F333" s="132" t="s">
        <v>65</v>
      </c>
    </row>
    <row r="334" spans="2:6" ht="15" x14ac:dyDescent="0.25">
      <c r="B334" s="131">
        <v>331</v>
      </c>
      <c r="C334" s="131">
        <v>2010</v>
      </c>
      <c r="D334" s="131" t="s">
        <v>165</v>
      </c>
      <c r="E334" s="131" t="str">
        <f ca="1">IFERROR(__xludf.DUMMYFUNCTION("IF(
  MAX(
    IFERROR(MAX(FILTER('REGISTRO PROD. v1'!F:F,'REGISTRO PROD. v1'!D:D=B334)),0),
    IFERROR(MAX(FILTER('REGISTRO PROD. v1'!W:W,'REGISTRO PROD. v1'!U:U=B334)),0),
    IFERROR(MAX(FILTER('REGISTRO PROD. v1'!AN:AN,'REGISTRO PROD. v1'!AL:AL=B334)"&amp;"),0),
    IFERROR(MAX(FILTER('REGISTRO PROD. v1'!BE:BE,'REGISTRO PROD. v1'!BC:BC=B334)),0),
    IFERROR(MAX(FILTER('REGISTRO PROD. v1'!BV:BV,'REGISTRO PROD. v1'!BT:BT=B334)),0)
  )=0,
  ""NO"",
  IF(
    MAX(
      IFERROR(MAX(FILTER('REGISTRO PROD. v1'!F"&amp;":F,'REGISTRO PROD. v1'!D:D=B334)),0),
      IFERROR(MAX(FILTER('REGISTRO PROD. v1'!W:W,'REGISTRO PROD. v1'!U:U=B334)),0),
      IFERROR(MAX(FILTER('REGISTRO PROD. v1'!AN:AN,'REGISTRO PROD. v1'!AL:AL=B334)),0),
      IFERROR(MAX(FILTER('REGISTRO PROD. v1'!"&amp;"BE:BE,'REGISTRO PROD. v1'!BC:BC=B334)),0),
      IFERROR(MAX(FILTER('REGISTRO PROD. v1'!BV:BV,'REGISTRO PROD. v1'!BT:BT=B334)),0)
    )&gt;=F334,
    ""SI"",
    ""EN PROCESO""
  )
)
"),"NO")</f>
        <v>NO</v>
      </c>
      <c r="F334" s="132" t="s">
        <v>65</v>
      </c>
    </row>
    <row r="335" spans="2:6" ht="15" x14ac:dyDescent="0.25">
      <c r="B335" s="131">
        <v>332</v>
      </c>
      <c r="C335" s="131">
        <v>2011</v>
      </c>
      <c r="D335" s="131" t="s">
        <v>64</v>
      </c>
      <c r="E335" s="131" t="str">
        <f ca="1">IFERROR(__xludf.DUMMYFUNCTION("IF(
  MAX(
    IFERROR(MAX(FILTER('REGISTRO PROD. v1'!F:F,'REGISTRO PROD. v1'!D:D=B335)),0),
    IFERROR(MAX(FILTER('REGISTRO PROD. v1'!W:W,'REGISTRO PROD. v1'!U:U=B335)),0),
    IFERROR(MAX(FILTER('REGISTRO PROD. v1'!AN:AN,'REGISTRO PROD. v1'!AL:AL=B335)"&amp;"),0),
    IFERROR(MAX(FILTER('REGISTRO PROD. v1'!BE:BE,'REGISTRO PROD. v1'!BC:BC=B335)),0),
    IFERROR(MAX(FILTER('REGISTRO PROD. v1'!BV:BV,'REGISTRO PROD. v1'!BT:BT=B335)),0)
  )=0,
  ""NO"",
  IF(
    MAX(
      IFERROR(MAX(FILTER('REGISTRO PROD. v1'!F"&amp;":F,'REGISTRO PROD. v1'!D:D=B335)),0),
      IFERROR(MAX(FILTER('REGISTRO PROD. v1'!W:W,'REGISTRO PROD. v1'!U:U=B335)),0),
      IFERROR(MAX(FILTER('REGISTRO PROD. v1'!AN:AN,'REGISTRO PROD. v1'!AL:AL=B335)),0),
      IFERROR(MAX(FILTER('REGISTRO PROD. v1'!"&amp;"BE:BE,'REGISTRO PROD. v1'!BC:BC=B335)),0),
      IFERROR(MAX(FILTER('REGISTRO PROD. v1'!BV:BV,'REGISTRO PROD. v1'!BT:BT=B335)),0)
    )&gt;=F335,
    ""SI"",
    ""EN PROCESO""
  )
)
"),"NO")</f>
        <v>NO</v>
      </c>
      <c r="F335" s="132" t="s">
        <v>65</v>
      </c>
    </row>
    <row r="336" spans="2:6" ht="15" x14ac:dyDescent="0.25">
      <c r="B336" s="131">
        <v>333</v>
      </c>
      <c r="C336" s="131">
        <v>2011</v>
      </c>
      <c r="D336" s="131" t="s">
        <v>66</v>
      </c>
      <c r="E336" s="131" t="str">
        <f ca="1">IFERROR(__xludf.DUMMYFUNCTION("IF(
  MAX(
    IFERROR(MAX(FILTER('REGISTRO PROD. v1'!F:F,'REGISTRO PROD. v1'!D:D=B336)),0),
    IFERROR(MAX(FILTER('REGISTRO PROD. v1'!W:W,'REGISTRO PROD. v1'!U:U=B336)),0),
    IFERROR(MAX(FILTER('REGISTRO PROD. v1'!AN:AN,'REGISTRO PROD. v1'!AL:AL=B336)"&amp;"),0),
    IFERROR(MAX(FILTER('REGISTRO PROD. v1'!BE:BE,'REGISTRO PROD. v1'!BC:BC=B336)),0),
    IFERROR(MAX(FILTER('REGISTRO PROD. v1'!BV:BV,'REGISTRO PROD. v1'!BT:BT=B336)),0)
  )=0,
  ""NO"",
  IF(
    MAX(
      IFERROR(MAX(FILTER('REGISTRO PROD. v1'!F"&amp;":F,'REGISTRO PROD. v1'!D:D=B336)),0),
      IFERROR(MAX(FILTER('REGISTRO PROD. v1'!W:W,'REGISTRO PROD. v1'!U:U=B336)),0),
      IFERROR(MAX(FILTER('REGISTRO PROD. v1'!AN:AN,'REGISTRO PROD. v1'!AL:AL=B336)),0),
      IFERROR(MAX(FILTER('REGISTRO PROD. v1'!"&amp;"BE:BE,'REGISTRO PROD. v1'!BC:BC=B336)),0),
      IFERROR(MAX(FILTER('REGISTRO PROD. v1'!BV:BV,'REGISTRO PROD. v1'!BT:BT=B336)),0)
    )&gt;=F336,
    ""SI"",
    ""EN PROCESO""
  )
)
"),"NO")</f>
        <v>NO</v>
      </c>
      <c r="F336" s="132" t="s">
        <v>65</v>
      </c>
    </row>
    <row r="337" spans="2:6" ht="15" x14ac:dyDescent="0.25">
      <c r="B337" s="131">
        <v>334</v>
      </c>
      <c r="C337" s="131">
        <v>2011</v>
      </c>
      <c r="D337" s="131" t="s">
        <v>67</v>
      </c>
      <c r="E337" s="131" t="str">
        <f ca="1">IFERROR(__xludf.DUMMYFUNCTION("IF(
  MAX(
    IFERROR(MAX(FILTER('REGISTRO PROD. v1'!F:F,'REGISTRO PROD. v1'!D:D=B337)),0),
    IFERROR(MAX(FILTER('REGISTRO PROD. v1'!W:W,'REGISTRO PROD. v1'!U:U=B337)),0),
    IFERROR(MAX(FILTER('REGISTRO PROD. v1'!AN:AN,'REGISTRO PROD. v1'!AL:AL=B337)"&amp;"),0),
    IFERROR(MAX(FILTER('REGISTRO PROD. v1'!BE:BE,'REGISTRO PROD. v1'!BC:BC=B337)),0),
    IFERROR(MAX(FILTER('REGISTRO PROD. v1'!BV:BV,'REGISTRO PROD. v1'!BT:BT=B337)),0)
  )=0,
  ""NO"",
  IF(
    MAX(
      IFERROR(MAX(FILTER('REGISTRO PROD. v1'!F"&amp;":F,'REGISTRO PROD. v1'!D:D=B337)),0),
      IFERROR(MAX(FILTER('REGISTRO PROD. v1'!W:W,'REGISTRO PROD. v1'!U:U=B337)),0),
      IFERROR(MAX(FILTER('REGISTRO PROD. v1'!AN:AN,'REGISTRO PROD. v1'!AL:AL=B337)),0),
      IFERROR(MAX(FILTER('REGISTRO PROD. v1'!"&amp;"BE:BE,'REGISTRO PROD. v1'!BC:BC=B337)),0),
      IFERROR(MAX(FILTER('REGISTRO PROD. v1'!BV:BV,'REGISTRO PROD. v1'!BT:BT=B337)),0)
    )&gt;=F337,
    ""SI"",
    ""EN PROCESO""
  )
)
"),"NO")</f>
        <v>NO</v>
      </c>
      <c r="F337" s="132" t="s">
        <v>65</v>
      </c>
    </row>
    <row r="338" spans="2:6" ht="15" x14ac:dyDescent="0.25">
      <c r="B338" s="131">
        <v>335</v>
      </c>
      <c r="C338" s="131">
        <v>2011</v>
      </c>
      <c r="D338" s="131" t="s">
        <v>68</v>
      </c>
      <c r="E338" s="131" t="str">
        <f ca="1">IFERROR(__xludf.DUMMYFUNCTION("IF(
  MAX(
    IFERROR(MAX(FILTER('REGISTRO PROD. v1'!F:F,'REGISTRO PROD. v1'!D:D=B338)),0),
    IFERROR(MAX(FILTER('REGISTRO PROD. v1'!W:W,'REGISTRO PROD. v1'!U:U=B338)),0),
    IFERROR(MAX(FILTER('REGISTRO PROD. v1'!AN:AN,'REGISTRO PROD. v1'!AL:AL=B338)"&amp;"),0),
    IFERROR(MAX(FILTER('REGISTRO PROD. v1'!BE:BE,'REGISTRO PROD. v1'!BC:BC=B338)),0),
    IFERROR(MAX(FILTER('REGISTRO PROD. v1'!BV:BV,'REGISTRO PROD. v1'!BT:BT=B338)),0)
  )=0,
  ""NO"",
  IF(
    MAX(
      IFERROR(MAX(FILTER('REGISTRO PROD. v1'!F"&amp;":F,'REGISTRO PROD. v1'!D:D=B338)),0),
      IFERROR(MAX(FILTER('REGISTRO PROD. v1'!W:W,'REGISTRO PROD. v1'!U:U=B338)),0),
      IFERROR(MAX(FILTER('REGISTRO PROD. v1'!AN:AN,'REGISTRO PROD. v1'!AL:AL=B338)),0),
      IFERROR(MAX(FILTER('REGISTRO PROD. v1'!"&amp;"BE:BE,'REGISTRO PROD. v1'!BC:BC=B338)),0),
      IFERROR(MAX(FILTER('REGISTRO PROD. v1'!BV:BV,'REGISTRO PROD. v1'!BT:BT=B338)),0)
    )&gt;=F338,
    ""SI"",
    ""EN PROCESO""
  )
)
"),"NO")</f>
        <v>NO</v>
      </c>
      <c r="F338" s="132" t="s">
        <v>65</v>
      </c>
    </row>
    <row r="339" spans="2:6" ht="15" x14ac:dyDescent="0.25">
      <c r="B339" s="131">
        <v>336</v>
      </c>
      <c r="C339" s="131">
        <v>2011</v>
      </c>
      <c r="D339" s="131" t="s">
        <v>69</v>
      </c>
      <c r="E339" s="131" t="str">
        <f ca="1">IFERROR(__xludf.DUMMYFUNCTION("IF(
  MAX(
    IFERROR(MAX(FILTER('REGISTRO PROD. v1'!F:F,'REGISTRO PROD. v1'!D:D=B339)),0),
    IFERROR(MAX(FILTER('REGISTRO PROD. v1'!W:W,'REGISTRO PROD. v1'!U:U=B339)),0),
    IFERROR(MAX(FILTER('REGISTRO PROD. v1'!AN:AN,'REGISTRO PROD. v1'!AL:AL=B339)"&amp;"),0),
    IFERROR(MAX(FILTER('REGISTRO PROD. v1'!BE:BE,'REGISTRO PROD. v1'!BC:BC=B339)),0),
    IFERROR(MAX(FILTER('REGISTRO PROD. v1'!BV:BV,'REGISTRO PROD. v1'!BT:BT=B339)),0)
  )=0,
  ""NO"",
  IF(
    MAX(
      IFERROR(MAX(FILTER('REGISTRO PROD. v1'!F"&amp;":F,'REGISTRO PROD. v1'!D:D=B339)),0),
      IFERROR(MAX(FILTER('REGISTRO PROD. v1'!W:W,'REGISTRO PROD. v1'!U:U=B339)),0),
      IFERROR(MAX(FILTER('REGISTRO PROD. v1'!AN:AN,'REGISTRO PROD. v1'!AL:AL=B339)),0),
      IFERROR(MAX(FILTER('REGISTRO PROD. v1'!"&amp;"BE:BE,'REGISTRO PROD. v1'!BC:BC=B339)),0),
      IFERROR(MAX(FILTER('REGISTRO PROD. v1'!BV:BV,'REGISTRO PROD. v1'!BT:BT=B339)),0)
    )&gt;=F339,
    ""SI"",
    ""EN PROCESO""
  )
)
"),"NO")</f>
        <v>NO</v>
      </c>
      <c r="F339" s="132" t="s">
        <v>65</v>
      </c>
    </row>
    <row r="340" spans="2:6" ht="15" x14ac:dyDescent="0.25">
      <c r="B340" s="131">
        <v>337</v>
      </c>
      <c r="C340" s="131">
        <v>2011</v>
      </c>
      <c r="D340" s="131" t="s">
        <v>70</v>
      </c>
      <c r="E340" s="131" t="str">
        <f ca="1">IFERROR(__xludf.DUMMYFUNCTION("IF(
  MAX(
    IFERROR(MAX(FILTER('REGISTRO PROD. v1'!F:F,'REGISTRO PROD. v1'!D:D=B340)),0),
    IFERROR(MAX(FILTER('REGISTRO PROD. v1'!W:W,'REGISTRO PROD. v1'!U:U=B340)),0),
    IFERROR(MAX(FILTER('REGISTRO PROD. v1'!AN:AN,'REGISTRO PROD. v1'!AL:AL=B340)"&amp;"),0),
    IFERROR(MAX(FILTER('REGISTRO PROD. v1'!BE:BE,'REGISTRO PROD. v1'!BC:BC=B340)),0),
    IFERROR(MAX(FILTER('REGISTRO PROD. v1'!BV:BV,'REGISTRO PROD. v1'!BT:BT=B340)),0)
  )=0,
  ""NO"",
  IF(
    MAX(
      IFERROR(MAX(FILTER('REGISTRO PROD. v1'!F"&amp;":F,'REGISTRO PROD. v1'!D:D=B340)),0),
      IFERROR(MAX(FILTER('REGISTRO PROD. v1'!W:W,'REGISTRO PROD. v1'!U:U=B340)),0),
      IFERROR(MAX(FILTER('REGISTRO PROD. v1'!AN:AN,'REGISTRO PROD. v1'!AL:AL=B340)),0),
      IFERROR(MAX(FILTER('REGISTRO PROD. v1'!"&amp;"BE:BE,'REGISTRO PROD. v1'!BC:BC=B340)),0),
      IFERROR(MAX(FILTER('REGISTRO PROD. v1'!BV:BV,'REGISTRO PROD. v1'!BT:BT=B340)),0)
    )&gt;=F340,
    ""SI"",
    ""EN PROCESO""
  )
)
"),"NO")</f>
        <v>NO</v>
      </c>
      <c r="F340" s="132" t="s">
        <v>65</v>
      </c>
    </row>
    <row r="341" spans="2:6" ht="15" x14ac:dyDescent="0.25">
      <c r="B341" s="131">
        <v>338</v>
      </c>
      <c r="C341" s="131">
        <v>2011</v>
      </c>
      <c r="D341" s="131" t="s">
        <v>97</v>
      </c>
      <c r="E341" s="131" t="str">
        <f ca="1">IFERROR(__xludf.DUMMYFUNCTION("IF(
  MAX(
    IFERROR(MAX(FILTER('REGISTRO PROD. v1'!F:F,'REGISTRO PROD. v1'!D:D=B341)),0),
    IFERROR(MAX(FILTER('REGISTRO PROD. v1'!W:W,'REGISTRO PROD. v1'!U:U=B341)),0),
    IFERROR(MAX(FILTER('REGISTRO PROD. v1'!AN:AN,'REGISTRO PROD. v1'!AL:AL=B341)"&amp;"),0),
    IFERROR(MAX(FILTER('REGISTRO PROD. v1'!BE:BE,'REGISTRO PROD. v1'!BC:BC=B341)),0),
    IFERROR(MAX(FILTER('REGISTRO PROD. v1'!BV:BV,'REGISTRO PROD. v1'!BT:BT=B341)),0)
  )=0,
  ""NO"",
  IF(
    MAX(
      IFERROR(MAX(FILTER('REGISTRO PROD. v1'!F"&amp;":F,'REGISTRO PROD. v1'!D:D=B341)),0),
      IFERROR(MAX(FILTER('REGISTRO PROD. v1'!W:W,'REGISTRO PROD. v1'!U:U=B341)),0),
      IFERROR(MAX(FILTER('REGISTRO PROD. v1'!AN:AN,'REGISTRO PROD. v1'!AL:AL=B341)),0),
      IFERROR(MAX(FILTER('REGISTRO PROD. v1'!"&amp;"BE:BE,'REGISTRO PROD. v1'!BC:BC=B341)),0),
      IFERROR(MAX(FILTER('REGISTRO PROD. v1'!BV:BV,'REGISTRO PROD. v1'!BT:BT=B341)),0)
    )&gt;=F341,
    ""SI"",
    ""EN PROCESO""
  )
)
"),"NO")</f>
        <v>NO</v>
      </c>
      <c r="F341" s="132" t="s">
        <v>65</v>
      </c>
    </row>
    <row r="342" spans="2:6" ht="15" x14ac:dyDescent="0.25">
      <c r="B342" s="131">
        <v>339</v>
      </c>
      <c r="C342" s="131">
        <v>2011</v>
      </c>
      <c r="D342" s="131" t="s">
        <v>98</v>
      </c>
      <c r="E342" s="131" t="str">
        <f ca="1">IFERROR(__xludf.DUMMYFUNCTION("IF(
  MAX(
    IFERROR(MAX(FILTER('REGISTRO PROD. v1'!F:F,'REGISTRO PROD. v1'!D:D=B342)),0),
    IFERROR(MAX(FILTER('REGISTRO PROD. v1'!W:W,'REGISTRO PROD. v1'!U:U=B342)),0),
    IFERROR(MAX(FILTER('REGISTRO PROD. v1'!AN:AN,'REGISTRO PROD. v1'!AL:AL=B342)"&amp;"),0),
    IFERROR(MAX(FILTER('REGISTRO PROD. v1'!BE:BE,'REGISTRO PROD. v1'!BC:BC=B342)),0),
    IFERROR(MAX(FILTER('REGISTRO PROD. v1'!BV:BV,'REGISTRO PROD. v1'!BT:BT=B342)),0)
  )=0,
  ""NO"",
  IF(
    MAX(
      IFERROR(MAX(FILTER('REGISTRO PROD. v1'!F"&amp;":F,'REGISTRO PROD. v1'!D:D=B342)),0),
      IFERROR(MAX(FILTER('REGISTRO PROD. v1'!W:W,'REGISTRO PROD. v1'!U:U=B342)),0),
      IFERROR(MAX(FILTER('REGISTRO PROD. v1'!AN:AN,'REGISTRO PROD. v1'!AL:AL=B342)),0),
      IFERROR(MAX(FILTER('REGISTRO PROD. v1'!"&amp;"BE:BE,'REGISTRO PROD. v1'!BC:BC=B342)),0),
      IFERROR(MAX(FILTER('REGISTRO PROD. v1'!BV:BV,'REGISTRO PROD. v1'!BT:BT=B342)),0)
    )&gt;=F342,
    ""SI"",
    ""EN PROCESO""
  )
)
"),"NO")</f>
        <v>NO</v>
      </c>
      <c r="F342" s="132" t="s">
        <v>65</v>
      </c>
    </row>
    <row r="343" spans="2:6" ht="15" x14ac:dyDescent="0.25">
      <c r="B343" s="131">
        <v>340</v>
      </c>
      <c r="C343" s="131">
        <v>2011</v>
      </c>
      <c r="D343" s="131" t="s">
        <v>99</v>
      </c>
      <c r="E343" s="131" t="str">
        <f ca="1">IFERROR(__xludf.DUMMYFUNCTION("IF(
  MAX(
    IFERROR(MAX(FILTER('REGISTRO PROD. v1'!F:F,'REGISTRO PROD. v1'!D:D=B343)),0),
    IFERROR(MAX(FILTER('REGISTRO PROD. v1'!W:W,'REGISTRO PROD. v1'!U:U=B343)),0),
    IFERROR(MAX(FILTER('REGISTRO PROD. v1'!AN:AN,'REGISTRO PROD. v1'!AL:AL=B343)"&amp;"),0),
    IFERROR(MAX(FILTER('REGISTRO PROD. v1'!BE:BE,'REGISTRO PROD. v1'!BC:BC=B343)),0),
    IFERROR(MAX(FILTER('REGISTRO PROD. v1'!BV:BV,'REGISTRO PROD. v1'!BT:BT=B343)),0)
  )=0,
  ""NO"",
  IF(
    MAX(
      IFERROR(MAX(FILTER('REGISTRO PROD. v1'!F"&amp;":F,'REGISTRO PROD. v1'!D:D=B343)),0),
      IFERROR(MAX(FILTER('REGISTRO PROD. v1'!W:W,'REGISTRO PROD. v1'!U:U=B343)),0),
      IFERROR(MAX(FILTER('REGISTRO PROD. v1'!AN:AN,'REGISTRO PROD. v1'!AL:AL=B343)),0),
      IFERROR(MAX(FILTER('REGISTRO PROD. v1'!"&amp;"BE:BE,'REGISTRO PROD. v1'!BC:BC=B343)),0),
      IFERROR(MAX(FILTER('REGISTRO PROD. v1'!BV:BV,'REGISTRO PROD. v1'!BT:BT=B343)),0)
    )&gt;=F343,
    ""SI"",
    ""EN PROCESO""
  )
)
"),"NO")</f>
        <v>NO</v>
      </c>
      <c r="F343" s="132" t="s">
        <v>65</v>
      </c>
    </row>
    <row r="344" spans="2:6" ht="15" x14ac:dyDescent="0.25">
      <c r="B344" s="131">
        <v>341</v>
      </c>
      <c r="C344" s="131">
        <v>2011</v>
      </c>
      <c r="D344" s="131" t="s">
        <v>100</v>
      </c>
      <c r="E344" s="131" t="str">
        <f ca="1">IFERROR(__xludf.DUMMYFUNCTION("IF(
  MAX(
    IFERROR(MAX(FILTER('REGISTRO PROD. v1'!F:F,'REGISTRO PROD. v1'!D:D=B344)),0),
    IFERROR(MAX(FILTER('REGISTRO PROD. v1'!W:W,'REGISTRO PROD. v1'!U:U=B344)),0),
    IFERROR(MAX(FILTER('REGISTRO PROD. v1'!AN:AN,'REGISTRO PROD. v1'!AL:AL=B344)"&amp;"),0),
    IFERROR(MAX(FILTER('REGISTRO PROD. v1'!BE:BE,'REGISTRO PROD. v1'!BC:BC=B344)),0),
    IFERROR(MAX(FILTER('REGISTRO PROD. v1'!BV:BV,'REGISTRO PROD. v1'!BT:BT=B344)),0)
  )=0,
  ""NO"",
  IF(
    MAX(
      IFERROR(MAX(FILTER('REGISTRO PROD. v1'!F"&amp;":F,'REGISTRO PROD. v1'!D:D=B344)),0),
      IFERROR(MAX(FILTER('REGISTRO PROD. v1'!W:W,'REGISTRO PROD. v1'!U:U=B344)),0),
      IFERROR(MAX(FILTER('REGISTRO PROD. v1'!AN:AN,'REGISTRO PROD. v1'!AL:AL=B344)),0),
      IFERROR(MAX(FILTER('REGISTRO PROD. v1'!"&amp;"BE:BE,'REGISTRO PROD. v1'!BC:BC=B344)),0),
      IFERROR(MAX(FILTER('REGISTRO PROD. v1'!BV:BV,'REGISTRO PROD. v1'!BT:BT=B344)),0)
    )&gt;=F344,
    ""SI"",
    ""EN PROCESO""
  )
)
"),"NO")</f>
        <v>NO</v>
      </c>
      <c r="F344" s="132" t="s">
        <v>65</v>
      </c>
    </row>
    <row r="345" spans="2:6" ht="15" x14ac:dyDescent="0.25">
      <c r="B345" s="131">
        <v>342</v>
      </c>
      <c r="C345" s="131">
        <v>2011</v>
      </c>
      <c r="D345" s="131" t="s">
        <v>101</v>
      </c>
      <c r="E345" s="131" t="str">
        <f ca="1">IFERROR(__xludf.DUMMYFUNCTION("IF(
  MAX(
    IFERROR(MAX(FILTER('REGISTRO PROD. v1'!F:F,'REGISTRO PROD. v1'!D:D=B345)),0),
    IFERROR(MAX(FILTER('REGISTRO PROD. v1'!W:W,'REGISTRO PROD. v1'!U:U=B345)),0),
    IFERROR(MAX(FILTER('REGISTRO PROD. v1'!AN:AN,'REGISTRO PROD. v1'!AL:AL=B345)"&amp;"),0),
    IFERROR(MAX(FILTER('REGISTRO PROD. v1'!BE:BE,'REGISTRO PROD. v1'!BC:BC=B345)),0),
    IFERROR(MAX(FILTER('REGISTRO PROD. v1'!BV:BV,'REGISTRO PROD. v1'!BT:BT=B345)),0)
  )=0,
  ""NO"",
  IF(
    MAX(
      IFERROR(MAX(FILTER('REGISTRO PROD. v1'!F"&amp;":F,'REGISTRO PROD. v1'!D:D=B345)),0),
      IFERROR(MAX(FILTER('REGISTRO PROD. v1'!W:W,'REGISTRO PROD. v1'!U:U=B345)),0),
      IFERROR(MAX(FILTER('REGISTRO PROD. v1'!AN:AN,'REGISTRO PROD. v1'!AL:AL=B345)),0),
      IFERROR(MAX(FILTER('REGISTRO PROD. v1'!"&amp;"BE:BE,'REGISTRO PROD. v1'!BC:BC=B345)),0),
      IFERROR(MAX(FILTER('REGISTRO PROD. v1'!BV:BV,'REGISTRO PROD. v1'!BT:BT=B345)),0)
    )&gt;=F345,
    ""SI"",
    ""EN PROCESO""
  )
)
"),"NO")</f>
        <v>NO</v>
      </c>
      <c r="F345" s="132" t="s">
        <v>65</v>
      </c>
    </row>
    <row r="346" spans="2:6" ht="15" x14ac:dyDescent="0.25">
      <c r="B346" s="131">
        <v>343</v>
      </c>
      <c r="C346" s="131">
        <v>2011</v>
      </c>
      <c r="D346" s="131" t="s">
        <v>102</v>
      </c>
      <c r="E346" s="131" t="str">
        <f ca="1">IFERROR(__xludf.DUMMYFUNCTION("IF(
  MAX(
    IFERROR(MAX(FILTER('REGISTRO PROD. v1'!F:F,'REGISTRO PROD. v1'!D:D=B346)),0),
    IFERROR(MAX(FILTER('REGISTRO PROD. v1'!W:W,'REGISTRO PROD. v1'!U:U=B346)),0),
    IFERROR(MAX(FILTER('REGISTRO PROD. v1'!AN:AN,'REGISTRO PROD. v1'!AL:AL=B346)"&amp;"),0),
    IFERROR(MAX(FILTER('REGISTRO PROD. v1'!BE:BE,'REGISTRO PROD. v1'!BC:BC=B346)),0),
    IFERROR(MAX(FILTER('REGISTRO PROD. v1'!BV:BV,'REGISTRO PROD. v1'!BT:BT=B346)),0)
  )=0,
  ""NO"",
  IF(
    MAX(
      IFERROR(MAX(FILTER('REGISTRO PROD. v1'!F"&amp;":F,'REGISTRO PROD. v1'!D:D=B346)),0),
      IFERROR(MAX(FILTER('REGISTRO PROD. v1'!W:W,'REGISTRO PROD. v1'!U:U=B346)),0),
      IFERROR(MAX(FILTER('REGISTRO PROD. v1'!AN:AN,'REGISTRO PROD. v1'!AL:AL=B346)),0),
      IFERROR(MAX(FILTER('REGISTRO PROD. v1'!"&amp;"BE:BE,'REGISTRO PROD. v1'!BC:BC=B346)),0),
      IFERROR(MAX(FILTER('REGISTRO PROD. v1'!BV:BV,'REGISTRO PROD. v1'!BT:BT=B346)),0)
    )&gt;=F346,
    ""SI"",
    ""EN PROCESO""
  )
)
"),"NO")</f>
        <v>NO</v>
      </c>
      <c r="F346" s="132" t="s">
        <v>65</v>
      </c>
    </row>
    <row r="347" spans="2:6" ht="15" x14ac:dyDescent="0.25">
      <c r="B347" s="131">
        <v>344</v>
      </c>
      <c r="C347" s="131">
        <v>2011</v>
      </c>
      <c r="D347" s="131" t="s">
        <v>103</v>
      </c>
      <c r="E347" s="131" t="str">
        <f ca="1">IFERROR(__xludf.DUMMYFUNCTION("IF(
  MAX(
    IFERROR(MAX(FILTER('REGISTRO PROD. v1'!F:F,'REGISTRO PROD. v1'!D:D=B347)),0),
    IFERROR(MAX(FILTER('REGISTRO PROD. v1'!W:W,'REGISTRO PROD. v1'!U:U=B347)),0),
    IFERROR(MAX(FILTER('REGISTRO PROD. v1'!AN:AN,'REGISTRO PROD. v1'!AL:AL=B347)"&amp;"),0),
    IFERROR(MAX(FILTER('REGISTRO PROD. v1'!BE:BE,'REGISTRO PROD. v1'!BC:BC=B347)),0),
    IFERROR(MAX(FILTER('REGISTRO PROD. v1'!BV:BV,'REGISTRO PROD. v1'!BT:BT=B347)),0)
  )=0,
  ""NO"",
  IF(
    MAX(
      IFERROR(MAX(FILTER('REGISTRO PROD. v1'!F"&amp;":F,'REGISTRO PROD. v1'!D:D=B347)),0),
      IFERROR(MAX(FILTER('REGISTRO PROD. v1'!W:W,'REGISTRO PROD. v1'!U:U=B347)),0),
      IFERROR(MAX(FILTER('REGISTRO PROD. v1'!AN:AN,'REGISTRO PROD. v1'!AL:AL=B347)),0),
      IFERROR(MAX(FILTER('REGISTRO PROD. v1'!"&amp;"BE:BE,'REGISTRO PROD. v1'!BC:BC=B347)),0),
      IFERROR(MAX(FILTER('REGISTRO PROD. v1'!BV:BV,'REGISTRO PROD. v1'!BT:BT=B347)),0)
    )&gt;=F347,
    ""SI"",
    ""EN PROCESO""
  )
)
"),"NO")</f>
        <v>NO</v>
      </c>
      <c r="F347" s="132" t="s">
        <v>65</v>
      </c>
    </row>
    <row r="348" spans="2:6" ht="15" x14ac:dyDescent="0.25">
      <c r="B348" s="131">
        <v>345</v>
      </c>
      <c r="C348" s="131">
        <v>2011</v>
      </c>
      <c r="D348" s="131" t="s">
        <v>104</v>
      </c>
      <c r="E348" s="131" t="str">
        <f ca="1">IFERROR(__xludf.DUMMYFUNCTION("IF(
  MAX(
    IFERROR(MAX(FILTER('REGISTRO PROD. v1'!F:F,'REGISTRO PROD. v1'!D:D=B348)),0),
    IFERROR(MAX(FILTER('REGISTRO PROD. v1'!W:W,'REGISTRO PROD. v1'!U:U=B348)),0),
    IFERROR(MAX(FILTER('REGISTRO PROD. v1'!AN:AN,'REGISTRO PROD. v1'!AL:AL=B348)"&amp;"),0),
    IFERROR(MAX(FILTER('REGISTRO PROD. v1'!BE:BE,'REGISTRO PROD. v1'!BC:BC=B348)),0),
    IFERROR(MAX(FILTER('REGISTRO PROD. v1'!BV:BV,'REGISTRO PROD. v1'!BT:BT=B348)),0)
  )=0,
  ""NO"",
  IF(
    MAX(
      IFERROR(MAX(FILTER('REGISTRO PROD. v1'!F"&amp;":F,'REGISTRO PROD. v1'!D:D=B348)),0),
      IFERROR(MAX(FILTER('REGISTRO PROD. v1'!W:W,'REGISTRO PROD. v1'!U:U=B348)),0),
      IFERROR(MAX(FILTER('REGISTRO PROD. v1'!AN:AN,'REGISTRO PROD. v1'!AL:AL=B348)),0),
      IFERROR(MAX(FILTER('REGISTRO PROD. v1'!"&amp;"BE:BE,'REGISTRO PROD. v1'!BC:BC=B348)),0),
      IFERROR(MAX(FILTER('REGISTRO PROD. v1'!BV:BV,'REGISTRO PROD. v1'!BT:BT=B348)),0)
    )&gt;=F348,
    ""SI"",
    ""EN PROCESO""
  )
)
"),"NO")</f>
        <v>NO</v>
      </c>
      <c r="F348" s="132" t="s">
        <v>65</v>
      </c>
    </row>
    <row r="349" spans="2:6" ht="15" x14ac:dyDescent="0.25">
      <c r="B349" s="131">
        <v>346</v>
      </c>
      <c r="C349" s="131">
        <v>2011</v>
      </c>
      <c r="D349" s="131" t="s">
        <v>105</v>
      </c>
      <c r="E349" s="131" t="str">
        <f ca="1">IFERROR(__xludf.DUMMYFUNCTION("IF(
  MAX(
    IFERROR(MAX(FILTER('REGISTRO PROD. v1'!F:F,'REGISTRO PROD. v1'!D:D=B349)),0),
    IFERROR(MAX(FILTER('REGISTRO PROD. v1'!W:W,'REGISTRO PROD. v1'!U:U=B349)),0),
    IFERROR(MAX(FILTER('REGISTRO PROD. v1'!AN:AN,'REGISTRO PROD. v1'!AL:AL=B349)"&amp;"),0),
    IFERROR(MAX(FILTER('REGISTRO PROD. v1'!BE:BE,'REGISTRO PROD. v1'!BC:BC=B349)),0),
    IFERROR(MAX(FILTER('REGISTRO PROD. v1'!BV:BV,'REGISTRO PROD. v1'!BT:BT=B349)),0)
  )=0,
  ""NO"",
  IF(
    MAX(
      IFERROR(MAX(FILTER('REGISTRO PROD. v1'!F"&amp;":F,'REGISTRO PROD. v1'!D:D=B349)),0),
      IFERROR(MAX(FILTER('REGISTRO PROD. v1'!W:W,'REGISTRO PROD. v1'!U:U=B349)),0),
      IFERROR(MAX(FILTER('REGISTRO PROD. v1'!AN:AN,'REGISTRO PROD. v1'!AL:AL=B349)),0),
      IFERROR(MAX(FILTER('REGISTRO PROD. v1'!"&amp;"BE:BE,'REGISTRO PROD. v1'!BC:BC=B349)),0),
      IFERROR(MAX(FILTER('REGISTRO PROD. v1'!BV:BV,'REGISTRO PROD. v1'!BT:BT=B349)),0)
    )&gt;=F349,
    ""SI"",
    ""EN PROCESO""
  )
)
"),"NO")</f>
        <v>NO</v>
      </c>
      <c r="F349" s="132" t="s">
        <v>65</v>
      </c>
    </row>
    <row r="350" spans="2:6" ht="15" x14ac:dyDescent="0.25">
      <c r="B350" s="131">
        <v>347</v>
      </c>
      <c r="C350" s="131">
        <v>2011</v>
      </c>
      <c r="D350" s="131" t="s">
        <v>106</v>
      </c>
      <c r="E350" s="131" t="str">
        <f ca="1">IFERROR(__xludf.DUMMYFUNCTION("IF(
  MAX(
    IFERROR(MAX(FILTER('REGISTRO PROD. v1'!F:F,'REGISTRO PROD. v1'!D:D=B350)),0),
    IFERROR(MAX(FILTER('REGISTRO PROD. v1'!W:W,'REGISTRO PROD. v1'!U:U=B350)),0),
    IFERROR(MAX(FILTER('REGISTRO PROD. v1'!AN:AN,'REGISTRO PROD. v1'!AL:AL=B350)"&amp;"),0),
    IFERROR(MAX(FILTER('REGISTRO PROD. v1'!BE:BE,'REGISTRO PROD. v1'!BC:BC=B350)),0),
    IFERROR(MAX(FILTER('REGISTRO PROD. v1'!BV:BV,'REGISTRO PROD. v1'!BT:BT=B350)),0)
  )=0,
  ""NO"",
  IF(
    MAX(
      IFERROR(MAX(FILTER('REGISTRO PROD. v1'!F"&amp;":F,'REGISTRO PROD. v1'!D:D=B350)),0),
      IFERROR(MAX(FILTER('REGISTRO PROD. v1'!W:W,'REGISTRO PROD. v1'!U:U=B350)),0),
      IFERROR(MAX(FILTER('REGISTRO PROD. v1'!AN:AN,'REGISTRO PROD. v1'!AL:AL=B350)),0),
      IFERROR(MAX(FILTER('REGISTRO PROD. v1'!"&amp;"BE:BE,'REGISTRO PROD. v1'!BC:BC=B350)),0),
      IFERROR(MAX(FILTER('REGISTRO PROD. v1'!BV:BV,'REGISTRO PROD. v1'!BT:BT=B350)),0)
    )&gt;=F350,
    ""SI"",
    ""EN PROCESO""
  )
)
"),"NO")</f>
        <v>NO</v>
      </c>
      <c r="F350" s="132" t="s">
        <v>65</v>
      </c>
    </row>
    <row r="351" spans="2:6" ht="15" x14ac:dyDescent="0.25">
      <c r="B351" s="131">
        <v>348</v>
      </c>
      <c r="C351" s="131">
        <v>2011</v>
      </c>
      <c r="D351" s="131" t="s">
        <v>107</v>
      </c>
      <c r="E351" s="131" t="str">
        <f ca="1">IFERROR(__xludf.DUMMYFUNCTION("IF(
  MAX(
    IFERROR(MAX(FILTER('REGISTRO PROD. v1'!F:F,'REGISTRO PROD. v1'!D:D=B351)),0),
    IFERROR(MAX(FILTER('REGISTRO PROD. v1'!W:W,'REGISTRO PROD. v1'!U:U=B351)),0),
    IFERROR(MAX(FILTER('REGISTRO PROD. v1'!AN:AN,'REGISTRO PROD. v1'!AL:AL=B351)"&amp;"),0),
    IFERROR(MAX(FILTER('REGISTRO PROD. v1'!BE:BE,'REGISTRO PROD. v1'!BC:BC=B351)),0),
    IFERROR(MAX(FILTER('REGISTRO PROD. v1'!BV:BV,'REGISTRO PROD. v1'!BT:BT=B351)),0)
  )=0,
  ""NO"",
  IF(
    MAX(
      IFERROR(MAX(FILTER('REGISTRO PROD. v1'!F"&amp;":F,'REGISTRO PROD. v1'!D:D=B351)),0),
      IFERROR(MAX(FILTER('REGISTRO PROD. v1'!W:W,'REGISTRO PROD. v1'!U:U=B351)),0),
      IFERROR(MAX(FILTER('REGISTRO PROD. v1'!AN:AN,'REGISTRO PROD. v1'!AL:AL=B351)),0),
      IFERROR(MAX(FILTER('REGISTRO PROD. v1'!"&amp;"BE:BE,'REGISTRO PROD. v1'!BC:BC=B351)),0),
      IFERROR(MAX(FILTER('REGISTRO PROD. v1'!BV:BV,'REGISTRO PROD. v1'!BT:BT=B351)),0)
    )&gt;=F351,
    ""SI"",
    ""EN PROCESO""
  )
)
"),"NO")</f>
        <v>NO</v>
      </c>
      <c r="F351" s="132" t="s">
        <v>65</v>
      </c>
    </row>
    <row r="352" spans="2:6" ht="15" x14ac:dyDescent="0.25">
      <c r="B352" s="131">
        <v>349</v>
      </c>
      <c r="C352" s="131">
        <v>2011</v>
      </c>
      <c r="D352" s="131" t="s">
        <v>108</v>
      </c>
      <c r="E352" s="131" t="str">
        <f ca="1">IFERROR(__xludf.DUMMYFUNCTION("IF(
  MAX(
    IFERROR(MAX(FILTER('REGISTRO PROD. v1'!F:F,'REGISTRO PROD. v1'!D:D=B352)),0),
    IFERROR(MAX(FILTER('REGISTRO PROD. v1'!W:W,'REGISTRO PROD. v1'!U:U=B352)),0),
    IFERROR(MAX(FILTER('REGISTRO PROD. v1'!AN:AN,'REGISTRO PROD. v1'!AL:AL=B352)"&amp;"),0),
    IFERROR(MAX(FILTER('REGISTRO PROD. v1'!BE:BE,'REGISTRO PROD. v1'!BC:BC=B352)),0),
    IFERROR(MAX(FILTER('REGISTRO PROD. v1'!BV:BV,'REGISTRO PROD. v1'!BT:BT=B352)),0)
  )=0,
  ""NO"",
  IF(
    MAX(
      IFERROR(MAX(FILTER('REGISTRO PROD. v1'!F"&amp;":F,'REGISTRO PROD. v1'!D:D=B352)),0),
      IFERROR(MAX(FILTER('REGISTRO PROD. v1'!W:W,'REGISTRO PROD. v1'!U:U=B352)),0),
      IFERROR(MAX(FILTER('REGISTRO PROD. v1'!AN:AN,'REGISTRO PROD. v1'!AL:AL=B352)),0),
      IFERROR(MAX(FILTER('REGISTRO PROD. v1'!"&amp;"BE:BE,'REGISTRO PROD. v1'!BC:BC=B352)),0),
      IFERROR(MAX(FILTER('REGISTRO PROD. v1'!BV:BV,'REGISTRO PROD. v1'!BT:BT=B352)),0)
    )&gt;=F352,
    ""SI"",
    ""EN PROCESO""
  )
)
"),"NO")</f>
        <v>NO</v>
      </c>
      <c r="F352" s="132" t="s">
        <v>65</v>
      </c>
    </row>
    <row r="353" spans="2:6" ht="15" x14ac:dyDescent="0.25">
      <c r="B353" s="131">
        <v>350</v>
      </c>
      <c r="C353" s="131">
        <v>2011</v>
      </c>
      <c r="D353" s="131" t="s">
        <v>109</v>
      </c>
      <c r="E353" s="131" t="str">
        <f ca="1">IFERROR(__xludf.DUMMYFUNCTION("IF(
  MAX(
    IFERROR(MAX(FILTER('REGISTRO PROD. v1'!F:F,'REGISTRO PROD. v1'!D:D=B353)),0),
    IFERROR(MAX(FILTER('REGISTRO PROD. v1'!W:W,'REGISTRO PROD. v1'!U:U=B353)),0),
    IFERROR(MAX(FILTER('REGISTRO PROD. v1'!AN:AN,'REGISTRO PROD. v1'!AL:AL=B353)"&amp;"),0),
    IFERROR(MAX(FILTER('REGISTRO PROD. v1'!BE:BE,'REGISTRO PROD. v1'!BC:BC=B353)),0),
    IFERROR(MAX(FILTER('REGISTRO PROD. v1'!BV:BV,'REGISTRO PROD. v1'!BT:BT=B353)),0)
  )=0,
  ""NO"",
  IF(
    MAX(
      IFERROR(MAX(FILTER('REGISTRO PROD. v1'!F"&amp;":F,'REGISTRO PROD. v1'!D:D=B353)),0),
      IFERROR(MAX(FILTER('REGISTRO PROD. v1'!W:W,'REGISTRO PROD. v1'!U:U=B353)),0),
      IFERROR(MAX(FILTER('REGISTRO PROD. v1'!AN:AN,'REGISTRO PROD. v1'!AL:AL=B353)),0),
      IFERROR(MAX(FILTER('REGISTRO PROD. v1'!"&amp;"BE:BE,'REGISTRO PROD. v1'!BC:BC=B353)),0),
      IFERROR(MAX(FILTER('REGISTRO PROD. v1'!BV:BV,'REGISTRO PROD. v1'!BT:BT=B353)),0)
    )&gt;=F353,
    ""SI"",
    ""EN PROCESO""
  )
)
"),"NO")</f>
        <v>NO</v>
      </c>
      <c r="F353" s="132" t="s">
        <v>65</v>
      </c>
    </row>
    <row r="354" spans="2:6" ht="15" x14ac:dyDescent="0.25">
      <c r="B354" s="131">
        <v>351</v>
      </c>
      <c r="C354" s="131">
        <v>2011</v>
      </c>
      <c r="D354" s="131" t="s">
        <v>110</v>
      </c>
      <c r="E354" s="131" t="str">
        <f ca="1">IFERROR(__xludf.DUMMYFUNCTION("IF(
  MAX(
    IFERROR(MAX(FILTER('REGISTRO PROD. v1'!F:F,'REGISTRO PROD. v1'!D:D=B354)),0),
    IFERROR(MAX(FILTER('REGISTRO PROD. v1'!W:W,'REGISTRO PROD. v1'!U:U=B354)),0),
    IFERROR(MAX(FILTER('REGISTRO PROD. v1'!AN:AN,'REGISTRO PROD. v1'!AL:AL=B354)"&amp;"),0),
    IFERROR(MAX(FILTER('REGISTRO PROD. v1'!BE:BE,'REGISTRO PROD. v1'!BC:BC=B354)),0),
    IFERROR(MAX(FILTER('REGISTRO PROD. v1'!BV:BV,'REGISTRO PROD. v1'!BT:BT=B354)),0)
  )=0,
  ""NO"",
  IF(
    MAX(
      IFERROR(MAX(FILTER('REGISTRO PROD. v1'!F"&amp;":F,'REGISTRO PROD. v1'!D:D=B354)),0),
      IFERROR(MAX(FILTER('REGISTRO PROD. v1'!W:W,'REGISTRO PROD. v1'!U:U=B354)),0),
      IFERROR(MAX(FILTER('REGISTRO PROD. v1'!AN:AN,'REGISTRO PROD. v1'!AL:AL=B354)),0),
      IFERROR(MAX(FILTER('REGISTRO PROD. v1'!"&amp;"BE:BE,'REGISTRO PROD. v1'!BC:BC=B354)),0),
      IFERROR(MAX(FILTER('REGISTRO PROD. v1'!BV:BV,'REGISTRO PROD. v1'!BT:BT=B354)),0)
    )&gt;=F354,
    ""SI"",
    ""EN PROCESO""
  )
)
"),"NO")</f>
        <v>NO</v>
      </c>
      <c r="F354" s="132" t="s">
        <v>65</v>
      </c>
    </row>
    <row r="355" spans="2:6" ht="15" x14ac:dyDescent="0.25">
      <c r="B355" s="131">
        <v>352</v>
      </c>
      <c r="C355" s="131">
        <v>2011</v>
      </c>
      <c r="D355" s="131" t="s">
        <v>111</v>
      </c>
      <c r="E355" s="131" t="str">
        <f ca="1">IFERROR(__xludf.DUMMYFUNCTION("IF(
  MAX(
    IFERROR(MAX(FILTER('REGISTRO PROD. v1'!F:F,'REGISTRO PROD. v1'!D:D=B355)),0),
    IFERROR(MAX(FILTER('REGISTRO PROD. v1'!W:W,'REGISTRO PROD. v1'!U:U=B355)),0),
    IFERROR(MAX(FILTER('REGISTRO PROD. v1'!AN:AN,'REGISTRO PROD. v1'!AL:AL=B355)"&amp;"),0),
    IFERROR(MAX(FILTER('REGISTRO PROD. v1'!BE:BE,'REGISTRO PROD. v1'!BC:BC=B355)),0),
    IFERROR(MAX(FILTER('REGISTRO PROD. v1'!BV:BV,'REGISTRO PROD. v1'!BT:BT=B355)),0)
  )=0,
  ""NO"",
  IF(
    MAX(
      IFERROR(MAX(FILTER('REGISTRO PROD. v1'!F"&amp;":F,'REGISTRO PROD. v1'!D:D=B355)),0),
      IFERROR(MAX(FILTER('REGISTRO PROD. v1'!W:W,'REGISTRO PROD. v1'!U:U=B355)),0),
      IFERROR(MAX(FILTER('REGISTRO PROD. v1'!AN:AN,'REGISTRO PROD. v1'!AL:AL=B355)),0),
      IFERROR(MAX(FILTER('REGISTRO PROD. v1'!"&amp;"BE:BE,'REGISTRO PROD. v1'!BC:BC=B355)),0),
      IFERROR(MAX(FILTER('REGISTRO PROD. v1'!BV:BV,'REGISTRO PROD. v1'!BT:BT=B355)),0)
    )&gt;=F355,
    ""SI"",
    ""EN PROCESO""
  )
)
"),"NO")</f>
        <v>NO</v>
      </c>
      <c r="F355" s="132" t="s">
        <v>65</v>
      </c>
    </row>
    <row r="356" spans="2:6" ht="15" x14ac:dyDescent="0.25">
      <c r="B356" s="131">
        <v>353</v>
      </c>
      <c r="C356" s="131">
        <v>2011</v>
      </c>
      <c r="D356" s="131" t="s">
        <v>112</v>
      </c>
      <c r="E356" s="131" t="str">
        <f ca="1">IFERROR(__xludf.DUMMYFUNCTION("IF(
  MAX(
    IFERROR(MAX(FILTER('REGISTRO PROD. v1'!F:F,'REGISTRO PROD. v1'!D:D=B356)),0),
    IFERROR(MAX(FILTER('REGISTRO PROD. v1'!W:W,'REGISTRO PROD. v1'!U:U=B356)),0),
    IFERROR(MAX(FILTER('REGISTRO PROD. v1'!AN:AN,'REGISTRO PROD. v1'!AL:AL=B356)"&amp;"),0),
    IFERROR(MAX(FILTER('REGISTRO PROD. v1'!BE:BE,'REGISTRO PROD. v1'!BC:BC=B356)),0),
    IFERROR(MAX(FILTER('REGISTRO PROD. v1'!BV:BV,'REGISTRO PROD. v1'!BT:BT=B356)),0)
  )=0,
  ""NO"",
  IF(
    MAX(
      IFERROR(MAX(FILTER('REGISTRO PROD. v1'!F"&amp;":F,'REGISTRO PROD. v1'!D:D=B356)),0),
      IFERROR(MAX(FILTER('REGISTRO PROD. v1'!W:W,'REGISTRO PROD. v1'!U:U=B356)),0),
      IFERROR(MAX(FILTER('REGISTRO PROD. v1'!AN:AN,'REGISTRO PROD. v1'!AL:AL=B356)),0),
      IFERROR(MAX(FILTER('REGISTRO PROD. v1'!"&amp;"BE:BE,'REGISTRO PROD. v1'!BC:BC=B356)),0),
      IFERROR(MAX(FILTER('REGISTRO PROD. v1'!BV:BV,'REGISTRO PROD. v1'!BT:BT=B356)),0)
    )&gt;=F356,
    ""SI"",
    ""EN PROCESO""
  )
)
"),"NO")</f>
        <v>NO</v>
      </c>
      <c r="F356" s="132" t="s">
        <v>65</v>
      </c>
    </row>
    <row r="357" spans="2:6" ht="15" x14ac:dyDescent="0.25">
      <c r="B357" s="131">
        <v>354</v>
      </c>
      <c r="C357" s="131">
        <v>2011</v>
      </c>
      <c r="D357" s="131" t="s">
        <v>113</v>
      </c>
      <c r="E357" s="131" t="str">
        <f ca="1">IFERROR(__xludf.DUMMYFUNCTION("IF(
  MAX(
    IFERROR(MAX(FILTER('REGISTRO PROD. v1'!F:F,'REGISTRO PROD. v1'!D:D=B357)),0),
    IFERROR(MAX(FILTER('REGISTRO PROD. v1'!W:W,'REGISTRO PROD. v1'!U:U=B357)),0),
    IFERROR(MAX(FILTER('REGISTRO PROD. v1'!AN:AN,'REGISTRO PROD. v1'!AL:AL=B357)"&amp;"),0),
    IFERROR(MAX(FILTER('REGISTRO PROD. v1'!BE:BE,'REGISTRO PROD. v1'!BC:BC=B357)),0),
    IFERROR(MAX(FILTER('REGISTRO PROD. v1'!BV:BV,'REGISTRO PROD. v1'!BT:BT=B357)),0)
  )=0,
  ""NO"",
  IF(
    MAX(
      IFERROR(MAX(FILTER('REGISTRO PROD. v1'!F"&amp;":F,'REGISTRO PROD. v1'!D:D=B357)),0),
      IFERROR(MAX(FILTER('REGISTRO PROD. v1'!W:W,'REGISTRO PROD. v1'!U:U=B357)),0),
      IFERROR(MAX(FILTER('REGISTRO PROD. v1'!AN:AN,'REGISTRO PROD. v1'!AL:AL=B357)),0),
      IFERROR(MAX(FILTER('REGISTRO PROD. v1'!"&amp;"BE:BE,'REGISTRO PROD. v1'!BC:BC=B357)),0),
      IFERROR(MAX(FILTER('REGISTRO PROD. v1'!BV:BV,'REGISTRO PROD. v1'!BT:BT=B357)),0)
    )&gt;=F357,
    ""SI"",
    ""EN PROCESO""
  )
)
"),"NO")</f>
        <v>NO</v>
      </c>
      <c r="F357" s="132" t="s">
        <v>65</v>
      </c>
    </row>
    <row r="358" spans="2:6" ht="15" x14ac:dyDescent="0.25">
      <c r="B358" s="131">
        <v>355</v>
      </c>
      <c r="C358" s="131">
        <v>2011</v>
      </c>
      <c r="D358" s="131" t="s">
        <v>114</v>
      </c>
      <c r="E358" s="131" t="str">
        <f ca="1">IFERROR(__xludf.DUMMYFUNCTION("IF(
  MAX(
    IFERROR(MAX(FILTER('REGISTRO PROD. v1'!F:F,'REGISTRO PROD. v1'!D:D=B358)),0),
    IFERROR(MAX(FILTER('REGISTRO PROD. v1'!W:W,'REGISTRO PROD. v1'!U:U=B358)),0),
    IFERROR(MAX(FILTER('REGISTRO PROD. v1'!AN:AN,'REGISTRO PROD. v1'!AL:AL=B358)"&amp;"),0),
    IFERROR(MAX(FILTER('REGISTRO PROD. v1'!BE:BE,'REGISTRO PROD. v1'!BC:BC=B358)),0),
    IFERROR(MAX(FILTER('REGISTRO PROD. v1'!BV:BV,'REGISTRO PROD. v1'!BT:BT=B358)),0)
  )=0,
  ""NO"",
  IF(
    MAX(
      IFERROR(MAX(FILTER('REGISTRO PROD. v1'!F"&amp;":F,'REGISTRO PROD. v1'!D:D=B358)),0),
      IFERROR(MAX(FILTER('REGISTRO PROD. v1'!W:W,'REGISTRO PROD. v1'!U:U=B358)),0),
      IFERROR(MAX(FILTER('REGISTRO PROD. v1'!AN:AN,'REGISTRO PROD. v1'!AL:AL=B358)),0),
      IFERROR(MAX(FILTER('REGISTRO PROD. v1'!"&amp;"BE:BE,'REGISTRO PROD. v1'!BC:BC=B358)),0),
      IFERROR(MAX(FILTER('REGISTRO PROD. v1'!BV:BV,'REGISTRO PROD. v1'!BT:BT=B358)),0)
    )&gt;=F358,
    ""SI"",
    ""EN PROCESO""
  )
)
"),"NO")</f>
        <v>NO</v>
      </c>
      <c r="F358" s="132" t="s">
        <v>65</v>
      </c>
    </row>
    <row r="359" spans="2:6" ht="15" x14ac:dyDescent="0.25">
      <c r="B359" s="131">
        <v>356</v>
      </c>
      <c r="C359" s="131">
        <v>2011</v>
      </c>
      <c r="D359" s="131" t="s">
        <v>115</v>
      </c>
      <c r="E359" s="131" t="str">
        <f ca="1">IFERROR(__xludf.DUMMYFUNCTION("IF(
  MAX(
    IFERROR(MAX(FILTER('REGISTRO PROD. v1'!F:F,'REGISTRO PROD. v1'!D:D=B359)),0),
    IFERROR(MAX(FILTER('REGISTRO PROD. v1'!W:W,'REGISTRO PROD. v1'!U:U=B359)),0),
    IFERROR(MAX(FILTER('REGISTRO PROD. v1'!AN:AN,'REGISTRO PROD. v1'!AL:AL=B359)"&amp;"),0),
    IFERROR(MAX(FILTER('REGISTRO PROD. v1'!BE:BE,'REGISTRO PROD. v1'!BC:BC=B359)),0),
    IFERROR(MAX(FILTER('REGISTRO PROD. v1'!BV:BV,'REGISTRO PROD. v1'!BT:BT=B359)),0)
  )=0,
  ""NO"",
  IF(
    MAX(
      IFERROR(MAX(FILTER('REGISTRO PROD. v1'!F"&amp;":F,'REGISTRO PROD. v1'!D:D=B359)),0),
      IFERROR(MAX(FILTER('REGISTRO PROD. v1'!W:W,'REGISTRO PROD. v1'!U:U=B359)),0),
      IFERROR(MAX(FILTER('REGISTRO PROD. v1'!AN:AN,'REGISTRO PROD. v1'!AL:AL=B359)),0),
      IFERROR(MAX(FILTER('REGISTRO PROD. v1'!"&amp;"BE:BE,'REGISTRO PROD. v1'!BC:BC=B359)),0),
      IFERROR(MAX(FILTER('REGISTRO PROD. v1'!BV:BV,'REGISTRO PROD. v1'!BT:BT=B359)),0)
    )&gt;=F359,
    ""SI"",
    ""EN PROCESO""
  )
)
"),"NO")</f>
        <v>NO</v>
      </c>
      <c r="F359" s="132" t="s">
        <v>65</v>
      </c>
    </row>
    <row r="360" spans="2:6" ht="15" x14ac:dyDescent="0.25">
      <c r="B360" s="131">
        <v>357</v>
      </c>
      <c r="C360" s="131">
        <v>2011</v>
      </c>
      <c r="D360" s="131" t="s">
        <v>116</v>
      </c>
      <c r="E360" s="131" t="str">
        <f ca="1">IFERROR(__xludf.DUMMYFUNCTION("IF(
  MAX(
    IFERROR(MAX(FILTER('REGISTRO PROD. v1'!F:F,'REGISTRO PROD. v1'!D:D=B360)),0),
    IFERROR(MAX(FILTER('REGISTRO PROD. v1'!W:W,'REGISTRO PROD. v1'!U:U=B360)),0),
    IFERROR(MAX(FILTER('REGISTRO PROD. v1'!AN:AN,'REGISTRO PROD. v1'!AL:AL=B360)"&amp;"),0),
    IFERROR(MAX(FILTER('REGISTRO PROD. v1'!BE:BE,'REGISTRO PROD. v1'!BC:BC=B360)),0),
    IFERROR(MAX(FILTER('REGISTRO PROD. v1'!BV:BV,'REGISTRO PROD. v1'!BT:BT=B360)),0)
  )=0,
  ""NO"",
  IF(
    MAX(
      IFERROR(MAX(FILTER('REGISTRO PROD. v1'!F"&amp;":F,'REGISTRO PROD. v1'!D:D=B360)),0),
      IFERROR(MAX(FILTER('REGISTRO PROD. v1'!W:W,'REGISTRO PROD. v1'!U:U=B360)),0),
      IFERROR(MAX(FILTER('REGISTRO PROD. v1'!AN:AN,'REGISTRO PROD. v1'!AL:AL=B360)),0),
      IFERROR(MAX(FILTER('REGISTRO PROD. v1'!"&amp;"BE:BE,'REGISTRO PROD. v1'!BC:BC=B360)),0),
      IFERROR(MAX(FILTER('REGISTRO PROD. v1'!BV:BV,'REGISTRO PROD. v1'!BT:BT=B360)),0)
    )&gt;=F360,
    ""SI"",
    ""EN PROCESO""
  )
)
"),"NO")</f>
        <v>NO</v>
      </c>
      <c r="F360" s="132" t="s">
        <v>65</v>
      </c>
    </row>
    <row r="361" spans="2:6" ht="15" x14ac:dyDescent="0.25">
      <c r="B361" s="131">
        <v>358</v>
      </c>
      <c r="C361" s="131">
        <v>2011</v>
      </c>
      <c r="D361" s="131" t="s">
        <v>117</v>
      </c>
      <c r="E361" s="131" t="str">
        <f ca="1">IFERROR(__xludf.DUMMYFUNCTION("IF(
  MAX(
    IFERROR(MAX(FILTER('REGISTRO PROD. v1'!F:F,'REGISTRO PROD. v1'!D:D=B361)),0),
    IFERROR(MAX(FILTER('REGISTRO PROD. v1'!W:W,'REGISTRO PROD. v1'!U:U=B361)),0),
    IFERROR(MAX(FILTER('REGISTRO PROD. v1'!AN:AN,'REGISTRO PROD. v1'!AL:AL=B361)"&amp;"),0),
    IFERROR(MAX(FILTER('REGISTRO PROD. v1'!BE:BE,'REGISTRO PROD. v1'!BC:BC=B361)),0),
    IFERROR(MAX(FILTER('REGISTRO PROD. v1'!BV:BV,'REGISTRO PROD. v1'!BT:BT=B361)),0)
  )=0,
  ""NO"",
  IF(
    MAX(
      IFERROR(MAX(FILTER('REGISTRO PROD. v1'!F"&amp;":F,'REGISTRO PROD. v1'!D:D=B361)),0),
      IFERROR(MAX(FILTER('REGISTRO PROD. v1'!W:W,'REGISTRO PROD. v1'!U:U=B361)),0),
      IFERROR(MAX(FILTER('REGISTRO PROD. v1'!AN:AN,'REGISTRO PROD. v1'!AL:AL=B361)),0),
      IFERROR(MAX(FILTER('REGISTRO PROD. v1'!"&amp;"BE:BE,'REGISTRO PROD. v1'!BC:BC=B361)),0),
      IFERROR(MAX(FILTER('REGISTRO PROD. v1'!BV:BV,'REGISTRO PROD. v1'!BT:BT=B361)),0)
    )&gt;=F361,
    ""SI"",
    ""EN PROCESO""
  )
)
"),"NO")</f>
        <v>NO</v>
      </c>
      <c r="F361" s="132" t="s">
        <v>65</v>
      </c>
    </row>
    <row r="362" spans="2:6" ht="15" x14ac:dyDescent="0.25">
      <c r="B362" s="131">
        <v>359</v>
      </c>
      <c r="C362" s="131">
        <v>2011</v>
      </c>
      <c r="D362" s="131" t="s">
        <v>118</v>
      </c>
      <c r="E362" s="131" t="str">
        <f ca="1">IFERROR(__xludf.DUMMYFUNCTION("IF(
  MAX(
    IFERROR(MAX(FILTER('REGISTRO PROD. v1'!F:F,'REGISTRO PROD. v1'!D:D=B362)),0),
    IFERROR(MAX(FILTER('REGISTRO PROD. v1'!W:W,'REGISTRO PROD. v1'!U:U=B362)),0),
    IFERROR(MAX(FILTER('REGISTRO PROD. v1'!AN:AN,'REGISTRO PROD. v1'!AL:AL=B362)"&amp;"),0),
    IFERROR(MAX(FILTER('REGISTRO PROD. v1'!BE:BE,'REGISTRO PROD. v1'!BC:BC=B362)),0),
    IFERROR(MAX(FILTER('REGISTRO PROD. v1'!BV:BV,'REGISTRO PROD. v1'!BT:BT=B362)),0)
  )=0,
  ""NO"",
  IF(
    MAX(
      IFERROR(MAX(FILTER('REGISTRO PROD. v1'!F"&amp;":F,'REGISTRO PROD. v1'!D:D=B362)),0),
      IFERROR(MAX(FILTER('REGISTRO PROD. v1'!W:W,'REGISTRO PROD. v1'!U:U=B362)),0),
      IFERROR(MAX(FILTER('REGISTRO PROD. v1'!AN:AN,'REGISTRO PROD. v1'!AL:AL=B362)),0),
      IFERROR(MAX(FILTER('REGISTRO PROD. v1'!"&amp;"BE:BE,'REGISTRO PROD. v1'!BC:BC=B362)),0),
      IFERROR(MAX(FILTER('REGISTRO PROD. v1'!BV:BV,'REGISTRO PROD. v1'!BT:BT=B362)),0)
    )&gt;=F362,
    ""SI"",
    ""EN PROCESO""
  )
)
"),"NO")</f>
        <v>NO</v>
      </c>
      <c r="F362" s="132" t="s">
        <v>65</v>
      </c>
    </row>
    <row r="363" spans="2:6" ht="15" x14ac:dyDescent="0.25">
      <c r="B363" s="131">
        <v>360</v>
      </c>
      <c r="C363" s="131">
        <v>2011</v>
      </c>
      <c r="D363" s="131" t="s">
        <v>119</v>
      </c>
      <c r="E363" s="131" t="str">
        <f ca="1">IFERROR(__xludf.DUMMYFUNCTION("IF(
  MAX(
    IFERROR(MAX(FILTER('REGISTRO PROD. v1'!F:F,'REGISTRO PROD. v1'!D:D=B363)),0),
    IFERROR(MAX(FILTER('REGISTRO PROD. v1'!W:W,'REGISTRO PROD. v1'!U:U=B363)),0),
    IFERROR(MAX(FILTER('REGISTRO PROD. v1'!AN:AN,'REGISTRO PROD. v1'!AL:AL=B363)"&amp;"),0),
    IFERROR(MAX(FILTER('REGISTRO PROD. v1'!BE:BE,'REGISTRO PROD. v1'!BC:BC=B363)),0),
    IFERROR(MAX(FILTER('REGISTRO PROD. v1'!BV:BV,'REGISTRO PROD. v1'!BT:BT=B363)),0)
  )=0,
  ""NO"",
  IF(
    MAX(
      IFERROR(MAX(FILTER('REGISTRO PROD. v1'!F"&amp;":F,'REGISTRO PROD. v1'!D:D=B363)),0),
      IFERROR(MAX(FILTER('REGISTRO PROD. v1'!W:W,'REGISTRO PROD. v1'!U:U=B363)),0),
      IFERROR(MAX(FILTER('REGISTRO PROD. v1'!AN:AN,'REGISTRO PROD. v1'!AL:AL=B363)),0),
      IFERROR(MAX(FILTER('REGISTRO PROD. v1'!"&amp;"BE:BE,'REGISTRO PROD. v1'!BC:BC=B363)),0),
      IFERROR(MAX(FILTER('REGISTRO PROD. v1'!BV:BV,'REGISTRO PROD. v1'!BT:BT=B363)),0)
    )&gt;=F363,
    ""SI"",
    ""EN PROCESO""
  )
)
"),"NO")</f>
        <v>NO</v>
      </c>
      <c r="F363" s="132" t="s">
        <v>65</v>
      </c>
    </row>
    <row r="364" spans="2:6" ht="15" x14ac:dyDescent="0.25">
      <c r="B364" s="131">
        <v>361</v>
      </c>
      <c r="C364" s="131">
        <v>2011</v>
      </c>
      <c r="D364" s="131" t="s">
        <v>121</v>
      </c>
      <c r="E364" s="131" t="str">
        <f ca="1">IFERROR(__xludf.DUMMYFUNCTION("IF(
  MAX(
    IFERROR(MAX(FILTER('REGISTRO PROD. v1'!F:F,'REGISTRO PROD. v1'!D:D=B364)),0),
    IFERROR(MAX(FILTER('REGISTRO PROD. v1'!W:W,'REGISTRO PROD. v1'!U:U=B364)),0),
    IFERROR(MAX(FILTER('REGISTRO PROD. v1'!AN:AN,'REGISTRO PROD. v1'!AL:AL=B364)"&amp;"),0),
    IFERROR(MAX(FILTER('REGISTRO PROD. v1'!BE:BE,'REGISTRO PROD. v1'!BC:BC=B364)),0),
    IFERROR(MAX(FILTER('REGISTRO PROD. v1'!BV:BV,'REGISTRO PROD. v1'!BT:BT=B364)),0)
  )=0,
  ""NO"",
  IF(
    MAX(
      IFERROR(MAX(FILTER('REGISTRO PROD. v1'!F"&amp;":F,'REGISTRO PROD. v1'!D:D=B364)),0),
      IFERROR(MAX(FILTER('REGISTRO PROD. v1'!W:W,'REGISTRO PROD. v1'!U:U=B364)),0),
      IFERROR(MAX(FILTER('REGISTRO PROD. v1'!AN:AN,'REGISTRO PROD. v1'!AL:AL=B364)),0),
      IFERROR(MAX(FILTER('REGISTRO PROD. v1'!"&amp;"BE:BE,'REGISTRO PROD. v1'!BC:BC=B364)),0),
      IFERROR(MAX(FILTER('REGISTRO PROD. v1'!BV:BV,'REGISTRO PROD. v1'!BT:BT=B364)),0)
    )&gt;=F364,
    ""SI"",
    ""EN PROCESO""
  )
)
"),"NO")</f>
        <v>NO</v>
      </c>
      <c r="F364" s="132" t="s">
        <v>65</v>
      </c>
    </row>
    <row r="365" spans="2:6" ht="15" x14ac:dyDescent="0.25">
      <c r="B365" s="131">
        <v>362</v>
      </c>
      <c r="C365" s="131">
        <v>2011</v>
      </c>
      <c r="D365" s="131" t="s">
        <v>122</v>
      </c>
      <c r="E365" s="131" t="str">
        <f ca="1">IFERROR(__xludf.DUMMYFUNCTION("IF(
  MAX(
    IFERROR(MAX(FILTER('REGISTRO PROD. v1'!F:F,'REGISTRO PROD. v1'!D:D=B365)),0),
    IFERROR(MAX(FILTER('REGISTRO PROD. v1'!W:W,'REGISTRO PROD. v1'!U:U=B365)),0),
    IFERROR(MAX(FILTER('REGISTRO PROD. v1'!AN:AN,'REGISTRO PROD. v1'!AL:AL=B365)"&amp;"),0),
    IFERROR(MAX(FILTER('REGISTRO PROD. v1'!BE:BE,'REGISTRO PROD. v1'!BC:BC=B365)),0),
    IFERROR(MAX(FILTER('REGISTRO PROD. v1'!BV:BV,'REGISTRO PROD. v1'!BT:BT=B365)),0)
  )=0,
  ""NO"",
  IF(
    MAX(
      IFERROR(MAX(FILTER('REGISTRO PROD. v1'!F"&amp;":F,'REGISTRO PROD. v1'!D:D=B365)),0),
      IFERROR(MAX(FILTER('REGISTRO PROD. v1'!W:W,'REGISTRO PROD. v1'!U:U=B365)),0),
      IFERROR(MAX(FILTER('REGISTRO PROD. v1'!AN:AN,'REGISTRO PROD. v1'!AL:AL=B365)),0),
      IFERROR(MAX(FILTER('REGISTRO PROD. v1'!"&amp;"BE:BE,'REGISTRO PROD. v1'!BC:BC=B365)),0),
      IFERROR(MAX(FILTER('REGISTRO PROD. v1'!BV:BV,'REGISTRO PROD. v1'!BT:BT=B365)),0)
    )&gt;=F365,
    ""SI"",
    ""EN PROCESO""
  )
)
"),"NO")</f>
        <v>NO</v>
      </c>
      <c r="F365" s="132" t="s">
        <v>65</v>
      </c>
    </row>
    <row r="366" spans="2:6" ht="15" x14ac:dyDescent="0.25">
      <c r="B366" s="131">
        <v>363</v>
      </c>
      <c r="C366" s="131">
        <v>2011</v>
      </c>
      <c r="D366" s="131" t="s">
        <v>123</v>
      </c>
      <c r="E366" s="131" t="str">
        <f ca="1">IFERROR(__xludf.DUMMYFUNCTION("IF(
  MAX(
    IFERROR(MAX(FILTER('REGISTRO PROD. v1'!F:F,'REGISTRO PROD. v1'!D:D=B366)),0),
    IFERROR(MAX(FILTER('REGISTRO PROD. v1'!W:W,'REGISTRO PROD. v1'!U:U=B366)),0),
    IFERROR(MAX(FILTER('REGISTRO PROD. v1'!AN:AN,'REGISTRO PROD. v1'!AL:AL=B366)"&amp;"),0),
    IFERROR(MAX(FILTER('REGISTRO PROD. v1'!BE:BE,'REGISTRO PROD. v1'!BC:BC=B366)),0),
    IFERROR(MAX(FILTER('REGISTRO PROD. v1'!BV:BV,'REGISTRO PROD. v1'!BT:BT=B366)),0)
  )=0,
  ""NO"",
  IF(
    MAX(
      IFERROR(MAX(FILTER('REGISTRO PROD. v1'!F"&amp;":F,'REGISTRO PROD. v1'!D:D=B366)),0),
      IFERROR(MAX(FILTER('REGISTRO PROD. v1'!W:W,'REGISTRO PROD. v1'!U:U=B366)),0),
      IFERROR(MAX(FILTER('REGISTRO PROD. v1'!AN:AN,'REGISTRO PROD. v1'!AL:AL=B366)),0),
      IFERROR(MAX(FILTER('REGISTRO PROD. v1'!"&amp;"BE:BE,'REGISTRO PROD. v1'!BC:BC=B366)),0),
      IFERROR(MAX(FILTER('REGISTRO PROD. v1'!BV:BV,'REGISTRO PROD. v1'!BT:BT=B366)),0)
    )&gt;=F366,
    ""SI"",
    ""EN PROCESO""
  )
)
"),"NO")</f>
        <v>NO</v>
      </c>
      <c r="F366" s="132" t="s">
        <v>65</v>
      </c>
    </row>
    <row r="367" spans="2:6" ht="15" x14ac:dyDescent="0.25">
      <c r="B367" s="131">
        <v>364</v>
      </c>
      <c r="C367" s="131">
        <v>2011</v>
      </c>
      <c r="D367" s="131" t="s">
        <v>124</v>
      </c>
      <c r="E367" s="131" t="str">
        <f ca="1">IFERROR(__xludf.DUMMYFUNCTION("IF(
  MAX(
    IFERROR(MAX(FILTER('REGISTRO PROD. v1'!F:F,'REGISTRO PROD. v1'!D:D=B367)),0),
    IFERROR(MAX(FILTER('REGISTRO PROD. v1'!W:W,'REGISTRO PROD. v1'!U:U=B367)),0),
    IFERROR(MAX(FILTER('REGISTRO PROD. v1'!AN:AN,'REGISTRO PROD. v1'!AL:AL=B367)"&amp;"),0),
    IFERROR(MAX(FILTER('REGISTRO PROD. v1'!BE:BE,'REGISTRO PROD. v1'!BC:BC=B367)),0),
    IFERROR(MAX(FILTER('REGISTRO PROD. v1'!BV:BV,'REGISTRO PROD. v1'!BT:BT=B367)),0)
  )=0,
  ""NO"",
  IF(
    MAX(
      IFERROR(MAX(FILTER('REGISTRO PROD. v1'!F"&amp;":F,'REGISTRO PROD. v1'!D:D=B367)),0),
      IFERROR(MAX(FILTER('REGISTRO PROD. v1'!W:W,'REGISTRO PROD. v1'!U:U=B367)),0),
      IFERROR(MAX(FILTER('REGISTRO PROD. v1'!AN:AN,'REGISTRO PROD. v1'!AL:AL=B367)),0),
      IFERROR(MAX(FILTER('REGISTRO PROD. v1'!"&amp;"BE:BE,'REGISTRO PROD. v1'!BC:BC=B367)),0),
      IFERROR(MAX(FILTER('REGISTRO PROD. v1'!BV:BV,'REGISTRO PROD. v1'!BT:BT=B367)),0)
    )&gt;=F367,
    ""SI"",
    ""EN PROCESO""
  )
)
"),"NO")</f>
        <v>NO</v>
      </c>
      <c r="F367" s="132" t="s">
        <v>65</v>
      </c>
    </row>
    <row r="368" spans="2:6" ht="15" x14ac:dyDescent="0.25">
      <c r="B368" s="131">
        <v>365</v>
      </c>
      <c r="C368" s="131">
        <v>2011</v>
      </c>
      <c r="D368" s="131" t="s">
        <v>125</v>
      </c>
      <c r="E368" s="131" t="str">
        <f ca="1">IFERROR(__xludf.DUMMYFUNCTION("IF(
  MAX(
    IFERROR(MAX(FILTER('REGISTRO PROD. v1'!F:F,'REGISTRO PROD. v1'!D:D=B368)),0),
    IFERROR(MAX(FILTER('REGISTRO PROD. v1'!W:W,'REGISTRO PROD. v1'!U:U=B368)),0),
    IFERROR(MAX(FILTER('REGISTRO PROD. v1'!AN:AN,'REGISTRO PROD. v1'!AL:AL=B368)"&amp;"),0),
    IFERROR(MAX(FILTER('REGISTRO PROD. v1'!BE:BE,'REGISTRO PROD. v1'!BC:BC=B368)),0),
    IFERROR(MAX(FILTER('REGISTRO PROD. v1'!BV:BV,'REGISTRO PROD. v1'!BT:BT=B368)),0)
  )=0,
  ""NO"",
  IF(
    MAX(
      IFERROR(MAX(FILTER('REGISTRO PROD. v1'!F"&amp;":F,'REGISTRO PROD. v1'!D:D=B368)),0),
      IFERROR(MAX(FILTER('REGISTRO PROD. v1'!W:W,'REGISTRO PROD. v1'!U:U=B368)),0),
      IFERROR(MAX(FILTER('REGISTRO PROD. v1'!AN:AN,'REGISTRO PROD. v1'!AL:AL=B368)),0),
      IFERROR(MAX(FILTER('REGISTRO PROD. v1'!"&amp;"BE:BE,'REGISTRO PROD. v1'!BC:BC=B368)),0),
      IFERROR(MAX(FILTER('REGISTRO PROD. v1'!BV:BV,'REGISTRO PROD. v1'!BT:BT=B368)),0)
    )&gt;=F368,
    ""SI"",
    ""EN PROCESO""
  )
)
"),"NO")</f>
        <v>NO</v>
      </c>
      <c r="F368" s="132" t="s">
        <v>65</v>
      </c>
    </row>
    <row r="369" spans="2:6" ht="15" x14ac:dyDescent="0.25">
      <c r="B369" s="131">
        <v>366</v>
      </c>
      <c r="C369" s="131">
        <v>2011</v>
      </c>
      <c r="D369" s="131" t="s">
        <v>126</v>
      </c>
      <c r="E369" s="131" t="str">
        <f ca="1">IFERROR(__xludf.DUMMYFUNCTION("IF(
  MAX(
    IFERROR(MAX(FILTER('REGISTRO PROD. v1'!F:F,'REGISTRO PROD. v1'!D:D=B369)),0),
    IFERROR(MAX(FILTER('REGISTRO PROD. v1'!W:W,'REGISTRO PROD. v1'!U:U=B369)),0),
    IFERROR(MAX(FILTER('REGISTRO PROD. v1'!AN:AN,'REGISTRO PROD. v1'!AL:AL=B369)"&amp;"),0),
    IFERROR(MAX(FILTER('REGISTRO PROD. v1'!BE:BE,'REGISTRO PROD. v1'!BC:BC=B369)),0),
    IFERROR(MAX(FILTER('REGISTRO PROD. v1'!BV:BV,'REGISTRO PROD. v1'!BT:BT=B369)),0)
  )=0,
  ""NO"",
  IF(
    MAX(
      IFERROR(MAX(FILTER('REGISTRO PROD. v1'!F"&amp;":F,'REGISTRO PROD. v1'!D:D=B369)),0),
      IFERROR(MAX(FILTER('REGISTRO PROD. v1'!W:W,'REGISTRO PROD. v1'!U:U=B369)),0),
      IFERROR(MAX(FILTER('REGISTRO PROD. v1'!AN:AN,'REGISTRO PROD. v1'!AL:AL=B369)),0),
      IFERROR(MAX(FILTER('REGISTRO PROD. v1'!"&amp;"BE:BE,'REGISTRO PROD. v1'!BC:BC=B369)),0),
      IFERROR(MAX(FILTER('REGISTRO PROD. v1'!BV:BV,'REGISTRO PROD. v1'!BT:BT=B369)),0)
    )&gt;=F369,
    ""SI"",
    ""EN PROCESO""
  )
)
"),"NO")</f>
        <v>NO</v>
      </c>
      <c r="F369" s="132" t="s">
        <v>65</v>
      </c>
    </row>
    <row r="370" spans="2:6" ht="15" x14ac:dyDescent="0.25">
      <c r="B370" s="131">
        <v>367</v>
      </c>
      <c r="C370" s="131">
        <v>2011</v>
      </c>
      <c r="D370" s="131" t="s">
        <v>128</v>
      </c>
      <c r="E370" s="131" t="str">
        <f ca="1">IFERROR(__xludf.DUMMYFUNCTION("IF(
  MAX(
    IFERROR(MAX(FILTER('REGISTRO PROD. v1'!F:F,'REGISTRO PROD. v1'!D:D=B370)),0),
    IFERROR(MAX(FILTER('REGISTRO PROD. v1'!W:W,'REGISTRO PROD. v1'!U:U=B370)),0),
    IFERROR(MAX(FILTER('REGISTRO PROD. v1'!AN:AN,'REGISTRO PROD. v1'!AL:AL=B370)"&amp;"),0),
    IFERROR(MAX(FILTER('REGISTRO PROD. v1'!BE:BE,'REGISTRO PROD. v1'!BC:BC=B370)),0),
    IFERROR(MAX(FILTER('REGISTRO PROD. v1'!BV:BV,'REGISTRO PROD. v1'!BT:BT=B370)),0)
  )=0,
  ""NO"",
  IF(
    MAX(
      IFERROR(MAX(FILTER('REGISTRO PROD. v1'!F"&amp;":F,'REGISTRO PROD. v1'!D:D=B370)),0),
      IFERROR(MAX(FILTER('REGISTRO PROD. v1'!W:W,'REGISTRO PROD. v1'!U:U=B370)),0),
      IFERROR(MAX(FILTER('REGISTRO PROD. v1'!AN:AN,'REGISTRO PROD. v1'!AL:AL=B370)),0),
      IFERROR(MAX(FILTER('REGISTRO PROD. v1'!"&amp;"BE:BE,'REGISTRO PROD. v1'!BC:BC=B370)),0),
      IFERROR(MAX(FILTER('REGISTRO PROD. v1'!BV:BV,'REGISTRO PROD. v1'!BT:BT=B370)),0)
    )&gt;=F370,
    ""SI"",
    ""EN PROCESO""
  )
)
"),"NO")</f>
        <v>NO</v>
      </c>
      <c r="F370" s="132" t="s">
        <v>65</v>
      </c>
    </row>
    <row r="371" spans="2:6" ht="15" x14ac:dyDescent="0.25">
      <c r="B371" s="131">
        <v>368</v>
      </c>
      <c r="C371" s="131">
        <v>2011</v>
      </c>
      <c r="D371" s="131" t="s">
        <v>129</v>
      </c>
      <c r="E371" s="131" t="str">
        <f ca="1">IFERROR(__xludf.DUMMYFUNCTION("IF(
  MAX(
    IFERROR(MAX(FILTER('REGISTRO PROD. v1'!F:F,'REGISTRO PROD. v1'!D:D=B371)),0),
    IFERROR(MAX(FILTER('REGISTRO PROD. v1'!W:W,'REGISTRO PROD. v1'!U:U=B371)),0),
    IFERROR(MAX(FILTER('REGISTRO PROD. v1'!AN:AN,'REGISTRO PROD. v1'!AL:AL=B371)"&amp;"),0),
    IFERROR(MAX(FILTER('REGISTRO PROD. v1'!BE:BE,'REGISTRO PROD. v1'!BC:BC=B371)),0),
    IFERROR(MAX(FILTER('REGISTRO PROD. v1'!BV:BV,'REGISTRO PROD. v1'!BT:BT=B371)),0)
  )=0,
  ""NO"",
  IF(
    MAX(
      IFERROR(MAX(FILTER('REGISTRO PROD. v1'!F"&amp;":F,'REGISTRO PROD. v1'!D:D=B371)),0),
      IFERROR(MAX(FILTER('REGISTRO PROD. v1'!W:W,'REGISTRO PROD. v1'!U:U=B371)),0),
      IFERROR(MAX(FILTER('REGISTRO PROD. v1'!AN:AN,'REGISTRO PROD. v1'!AL:AL=B371)),0),
      IFERROR(MAX(FILTER('REGISTRO PROD. v1'!"&amp;"BE:BE,'REGISTRO PROD. v1'!BC:BC=B371)),0),
      IFERROR(MAX(FILTER('REGISTRO PROD. v1'!BV:BV,'REGISTRO PROD. v1'!BT:BT=B371)),0)
    )&gt;=F371,
    ""SI"",
    ""EN PROCESO""
  )
)
"),"NO")</f>
        <v>NO</v>
      </c>
      <c r="F371" s="132" t="s">
        <v>65</v>
      </c>
    </row>
    <row r="372" spans="2:6" ht="15" x14ac:dyDescent="0.25">
      <c r="B372" s="131">
        <v>369</v>
      </c>
      <c r="C372" s="131">
        <v>2011</v>
      </c>
      <c r="D372" s="131" t="s">
        <v>130</v>
      </c>
      <c r="E372" s="131" t="str">
        <f ca="1">IFERROR(__xludf.DUMMYFUNCTION("IF(
  MAX(
    IFERROR(MAX(FILTER('REGISTRO PROD. v1'!F:F,'REGISTRO PROD. v1'!D:D=B372)),0),
    IFERROR(MAX(FILTER('REGISTRO PROD. v1'!W:W,'REGISTRO PROD. v1'!U:U=B372)),0),
    IFERROR(MAX(FILTER('REGISTRO PROD. v1'!AN:AN,'REGISTRO PROD. v1'!AL:AL=B372)"&amp;"),0),
    IFERROR(MAX(FILTER('REGISTRO PROD. v1'!BE:BE,'REGISTRO PROD. v1'!BC:BC=B372)),0),
    IFERROR(MAX(FILTER('REGISTRO PROD. v1'!BV:BV,'REGISTRO PROD. v1'!BT:BT=B372)),0)
  )=0,
  ""NO"",
  IF(
    MAX(
      IFERROR(MAX(FILTER('REGISTRO PROD. v1'!F"&amp;":F,'REGISTRO PROD. v1'!D:D=B372)),0),
      IFERROR(MAX(FILTER('REGISTRO PROD. v1'!W:W,'REGISTRO PROD. v1'!U:U=B372)),0),
      IFERROR(MAX(FILTER('REGISTRO PROD. v1'!AN:AN,'REGISTRO PROD. v1'!AL:AL=B372)),0),
      IFERROR(MAX(FILTER('REGISTRO PROD. v1'!"&amp;"BE:BE,'REGISTRO PROD. v1'!BC:BC=B372)),0),
      IFERROR(MAX(FILTER('REGISTRO PROD. v1'!BV:BV,'REGISTRO PROD. v1'!BT:BT=B372)),0)
    )&gt;=F372,
    ""SI"",
    ""EN PROCESO""
  )
)
"),"NO")</f>
        <v>NO</v>
      </c>
      <c r="F372" s="132" t="s">
        <v>65</v>
      </c>
    </row>
    <row r="373" spans="2:6" ht="15" x14ac:dyDescent="0.25">
      <c r="B373" s="131">
        <v>370</v>
      </c>
      <c r="C373" s="131">
        <v>2011</v>
      </c>
      <c r="D373" s="131" t="s">
        <v>131</v>
      </c>
      <c r="E373" s="131" t="str">
        <f ca="1">IFERROR(__xludf.DUMMYFUNCTION("IF(
  MAX(
    IFERROR(MAX(FILTER('REGISTRO PROD. v1'!F:F,'REGISTRO PROD. v1'!D:D=B373)),0),
    IFERROR(MAX(FILTER('REGISTRO PROD. v1'!W:W,'REGISTRO PROD. v1'!U:U=B373)),0),
    IFERROR(MAX(FILTER('REGISTRO PROD. v1'!AN:AN,'REGISTRO PROD. v1'!AL:AL=B373)"&amp;"),0),
    IFERROR(MAX(FILTER('REGISTRO PROD. v1'!BE:BE,'REGISTRO PROD. v1'!BC:BC=B373)),0),
    IFERROR(MAX(FILTER('REGISTRO PROD. v1'!BV:BV,'REGISTRO PROD. v1'!BT:BT=B373)),0)
  )=0,
  ""NO"",
  IF(
    MAX(
      IFERROR(MAX(FILTER('REGISTRO PROD. v1'!F"&amp;":F,'REGISTRO PROD. v1'!D:D=B373)),0),
      IFERROR(MAX(FILTER('REGISTRO PROD. v1'!W:W,'REGISTRO PROD. v1'!U:U=B373)),0),
      IFERROR(MAX(FILTER('REGISTRO PROD. v1'!AN:AN,'REGISTRO PROD. v1'!AL:AL=B373)),0),
      IFERROR(MAX(FILTER('REGISTRO PROD. v1'!"&amp;"BE:BE,'REGISTRO PROD. v1'!BC:BC=B373)),0),
      IFERROR(MAX(FILTER('REGISTRO PROD. v1'!BV:BV,'REGISTRO PROD. v1'!BT:BT=B373)),0)
    )&gt;=F373,
    ""SI"",
    ""EN PROCESO""
  )
)
"),"NO")</f>
        <v>NO</v>
      </c>
      <c r="F373" s="132" t="s">
        <v>65</v>
      </c>
    </row>
    <row r="374" spans="2:6" ht="15" x14ac:dyDescent="0.25">
      <c r="B374" s="131">
        <v>371</v>
      </c>
      <c r="C374" s="131">
        <v>2011</v>
      </c>
      <c r="D374" s="131" t="s">
        <v>132</v>
      </c>
      <c r="E374" s="131" t="str">
        <f ca="1">IFERROR(__xludf.DUMMYFUNCTION("IF(
  MAX(
    IFERROR(MAX(FILTER('REGISTRO PROD. v1'!F:F,'REGISTRO PROD. v1'!D:D=B374)),0),
    IFERROR(MAX(FILTER('REGISTRO PROD. v1'!W:W,'REGISTRO PROD. v1'!U:U=B374)),0),
    IFERROR(MAX(FILTER('REGISTRO PROD. v1'!AN:AN,'REGISTRO PROD. v1'!AL:AL=B374)"&amp;"),0),
    IFERROR(MAX(FILTER('REGISTRO PROD. v1'!BE:BE,'REGISTRO PROD. v1'!BC:BC=B374)),0),
    IFERROR(MAX(FILTER('REGISTRO PROD. v1'!BV:BV,'REGISTRO PROD. v1'!BT:BT=B374)),0)
  )=0,
  ""NO"",
  IF(
    MAX(
      IFERROR(MAX(FILTER('REGISTRO PROD. v1'!F"&amp;":F,'REGISTRO PROD. v1'!D:D=B374)),0),
      IFERROR(MAX(FILTER('REGISTRO PROD. v1'!W:W,'REGISTRO PROD. v1'!U:U=B374)),0),
      IFERROR(MAX(FILTER('REGISTRO PROD. v1'!AN:AN,'REGISTRO PROD. v1'!AL:AL=B374)),0),
      IFERROR(MAX(FILTER('REGISTRO PROD. v1'!"&amp;"BE:BE,'REGISTRO PROD. v1'!BC:BC=B374)),0),
      IFERROR(MAX(FILTER('REGISTRO PROD. v1'!BV:BV,'REGISTRO PROD. v1'!BT:BT=B374)),0)
    )&gt;=F374,
    ""SI"",
    ""EN PROCESO""
  )
)
"),"NO")</f>
        <v>NO</v>
      </c>
      <c r="F374" s="132" t="s">
        <v>65</v>
      </c>
    </row>
    <row r="375" spans="2:6" ht="15" x14ac:dyDescent="0.25">
      <c r="B375" s="131">
        <v>372</v>
      </c>
      <c r="C375" s="131">
        <v>2011</v>
      </c>
      <c r="D375" s="131" t="s">
        <v>133</v>
      </c>
      <c r="E375" s="131" t="str">
        <f ca="1">IFERROR(__xludf.DUMMYFUNCTION("IF(
  MAX(
    IFERROR(MAX(FILTER('REGISTRO PROD. v1'!F:F,'REGISTRO PROD. v1'!D:D=B375)),0),
    IFERROR(MAX(FILTER('REGISTRO PROD. v1'!W:W,'REGISTRO PROD. v1'!U:U=B375)),0),
    IFERROR(MAX(FILTER('REGISTRO PROD. v1'!AN:AN,'REGISTRO PROD. v1'!AL:AL=B375)"&amp;"),0),
    IFERROR(MAX(FILTER('REGISTRO PROD. v1'!BE:BE,'REGISTRO PROD. v1'!BC:BC=B375)),0),
    IFERROR(MAX(FILTER('REGISTRO PROD. v1'!BV:BV,'REGISTRO PROD. v1'!BT:BT=B375)),0)
  )=0,
  ""NO"",
  IF(
    MAX(
      IFERROR(MAX(FILTER('REGISTRO PROD. v1'!F"&amp;":F,'REGISTRO PROD. v1'!D:D=B375)),0),
      IFERROR(MAX(FILTER('REGISTRO PROD. v1'!W:W,'REGISTRO PROD. v1'!U:U=B375)),0),
      IFERROR(MAX(FILTER('REGISTRO PROD. v1'!AN:AN,'REGISTRO PROD. v1'!AL:AL=B375)),0),
      IFERROR(MAX(FILTER('REGISTRO PROD. v1'!"&amp;"BE:BE,'REGISTRO PROD. v1'!BC:BC=B375)),0),
      IFERROR(MAX(FILTER('REGISTRO PROD. v1'!BV:BV,'REGISTRO PROD. v1'!BT:BT=B375)),0)
    )&gt;=F375,
    ""SI"",
    ""EN PROCESO""
  )
)
"),"NO")</f>
        <v>NO</v>
      </c>
      <c r="F375" s="132" t="s">
        <v>65</v>
      </c>
    </row>
    <row r="376" spans="2:6" ht="15" x14ac:dyDescent="0.25">
      <c r="B376" s="131">
        <v>373</v>
      </c>
      <c r="C376" s="131">
        <v>2011</v>
      </c>
      <c r="D376" s="131" t="s">
        <v>134</v>
      </c>
      <c r="E376" s="131" t="str">
        <f ca="1">IFERROR(__xludf.DUMMYFUNCTION("IF(
  MAX(
    IFERROR(MAX(FILTER('REGISTRO PROD. v1'!F:F,'REGISTRO PROD. v1'!D:D=B376)),0),
    IFERROR(MAX(FILTER('REGISTRO PROD. v1'!W:W,'REGISTRO PROD. v1'!U:U=B376)),0),
    IFERROR(MAX(FILTER('REGISTRO PROD. v1'!AN:AN,'REGISTRO PROD. v1'!AL:AL=B376)"&amp;"),0),
    IFERROR(MAX(FILTER('REGISTRO PROD. v1'!BE:BE,'REGISTRO PROD. v1'!BC:BC=B376)),0),
    IFERROR(MAX(FILTER('REGISTRO PROD. v1'!BV:BV,'REGISTRO PROD. v1'!BT:BT=B376)),0)
  )=0,
  ""NO"",
  IF(
    MAX(
      IFERROR(MAX(FILTER('REGISTRO PROD. v1'!F"&amp;":F,'REGISTRO PROD. v1'!D:D=B376)),0),
      IFERROR(MAX(FILTER('REGISTRO PROD. v1'!W:W,'REGISTRO PROD. v1'!U:U=B376)),0),
      IFERROR(MAX(FILTER('REGISTRO PROD. v1'!AN:AN,'REGISTRO PROD. v1'!AL:AL=B376)),0),
      IFERROR(MAX(FILTER('REGISTRO PROD. v1'!"&amp;"BE:BE,'REGISTRO PROD. v1'!BC:BC=B376)),0),
      IFERROR(MAX(FILTER('REGISTRO PROD. v1'!BV:BV,'REGISTRO PROD. v1'!BT:BT=B376)),0)
    )&gt;=F376,
    ""SI"",
    ""EN PROCESO""
  )
)
"),"NO")</f>
        <v>NO</v>
      </c>
      <c r="F376" s="132" t="s">
        <v>65</v>
      </c>
    </row>
    <row r="377" spans="2:6" ht="15" x14ac:dyDescent="0.25">
      <c r="B377" s="131">
        <v>374</v>
      </c>
      <c r="C377" s="131">
        <v>2011</v>
      </c>
      <c r="D377" s="131" t="s">
        <v>135</v>
      </c>
      <c r="E377" s="131" t="str">
        <f ca="1">IFERROR(__xludf.DUMMYFUNCTION("IF(
  MAX(
    IFERROR(MAX(FILTER('REGISTRO PROD. v1'!F:F,'REGISTRO PROD. v1'!D:D=B377)),0),
    IFERROR(MAX(FILTER('REGISTRO PROD. v1'!W:W,'REGISTRO PROD. v1'!U:U=B377)),0),
    IFERROR(MAX(FILTER('REGISTRO PROD. v1'!AN:AN,'REGISTRO PROD. v1'!AL:AL=B377)"&amp;"),0),
    IFERROR(MAX(FILTER('REGISTRO PROD. v1'!BE:BE,'REGISTRO PROD. v1'!BC:BC=B377)),0),
    IFERROR(MAX(FILTER('REGISTRO PROD. v1'!BV:BV,'REGISTRO PROD. v1'!BT:BT=B377)),0)
  )=0,
  ""NO"",
  IF(
    MAX(
      IFERROR(MAX(FILTER('REGISTRO PROD. v1'!F"&amp;":F,'REGISTRO PROD. v1'!D:D=B377)),0),
      IFERROR(MAX(FILTER('REGISTRO PROD. v1'!W:W,'REGISTRO PROD. v1'!U:U=B377)),0),
      IFERROR(MAX(FILTER('REGISTRO PROD. v1'!AN:AN,'REGISTRO PROD. v1'!AL:AL=B377)),0),
      IFERROR(MAX(FILTER('REGISTRO PROD. v1'!"&amp;"BE:BE,'REGISTRO PROD. v1'!BC:BC=B377)),0),
      IFERROR(MAX(FILTER('REGISTRO PROD. v1'!BV:BV,'REGISTRO PROD. v1'!BT:BT=B377)),0)
    )&gt;=F377,
    ""SI"",
    ""EN PROCESO""
  )
)
"),"NO")</f>
        <v>NO</v>
      </c>
      <c r="F377" s="132" t="s">
        <v>65</v>
      </c>
    </row>
    <row r="378" spans="2:6" ht="15" x14ac:dyDescent="0.25">
      <c r="B378" s="131">
        <v>375</v>
      </c>
      <c r="C378" s="131">
        <v>2011</v>
      </c>
      <c r="D378" s="131" t="s">
        <v>136</v>
      </c>
      <c r="E378" s="131" t="str">
        <f ca="1">IFERROR(__xludf.DUMMYFUNCTION("IF(
  MAX(
    IFERROR(MAX(FILTER('REGISTRO PROD. v1'!F:F,'REGISTRO PROD. v1'!D:D=B378)),0),
    IFERROR(MAX(FILTER('REGISTRO PROD. v1'!W:W,'REGISTRO PROD. v1'!U:U=B378)),0),
    IFERROR(MAX(FILTER('REGISTRO PROD. v1'!AN:AN,'REGISTRO PROD. v1'!AL:AL=B378)"&amp;"),0),
    IFERROR(MAX(FILTER('REGISTRO PROD. v1'!BE:BE,'REGISTRO PROD. v1'!BC:BC=B378)),0),
    IFERROR(MAX(FILTER('REGISTRO PROD. v1'!BV:BV,'REGISTRO PROD. v1'!BT:BT=B378)),0)
  )=0,
  ""NO"",
  IF(
    MAX(
      IFERROR(MAX(FILTER('REGISTRO PROD. v1'!F"&amp;":F,'REGISTRO PROD. v1'!D:D=B378)),0),
      IFERROR(MAX(FILTER('REGISTRO PROD. v1'!W:W,'REGISTRO PROD. v1'!U:U=B378)),0),
      IFERROR(MAX(FILTER('REGISTRO PROD. v1'!AN:AN,'REGISTRO PROD. v1'!AL:AL=B378)),0),
      IFERROR(MAX(FILTER('REGISTRO PROD. v1'!"&amp;"BE:BE,'REGISTRO PROD. v1'!BC:BC=B378)),0),
      IFERROR(MAX(FILTER('REGISTRO PROD. v1'!BV:BV,'REGISTRO PROD. v1'!BT:BT=B378)),0)
    )&gt;=F378,
    ""SI"",
    ""EN PROCESO""
  )
)
"),"NO")</f>
        <v>NO</v>
      </c>
      <c r="F378" s="132" t="s">
        <v>65</v>
      </c>
    </row>
    <row r="379" spans="2:6" ht="15" x14ac:dyDescent="0.25">
      <c r="B379" s="131">
        <v>376</v>
      </c>
      <c r="C379" s="131">
        <v>2011</v>
      </c>
      <c r="D379" s="131" t="s">
        <v>137</v>
      </c>
      <c r="E379" s="131" t="str">
        <f ca="1">IFERROR(__xludf.DUMMYFUNCTION("IF(
  MAX(
    IFERROR(MAX(FILTER('REGISTRO PROD. v1'!F:F,'REGISTRO PROD. v1'!D:D=B379)),0),
    IFERROR(MAX(FILTER('REGISTRO PROD. v1'!W:W,'REGISTRO PROD. v1'!U:U=B379)),0),
    IFERROR(MAX(FILTER('REGISTRO PROD. v1'!AN:AN,'REGISTRO PROD. v1'!AL:AL=B379)"&amp;"),0),
    IFERROR(MAX(FILTER('REGISTRO PROD. v1'!BE:BE,'REGISTRO PROD. v1'!BC:BC=B379)),0),
    IFERROR(MAX(FILTER('REGISTRO PROD. v1'!BV:BV,'REGISTRO PROD. v1'!BT:BT=B379)),0)
  )=0,
  ""NO"",
  IF(
    MAX(
      IFERROR(MAX(FILTER('REGISTRO PROD. v1'!F"&amp;":F,'REGISTRO PROD. v1'!D:D=B379)),0),
      IFERROR(MAX(FILTER('REGISTRO PROD. v1'!W:W,'REGISTRO PROD. v1'!U:U=B379)),0),
      IFERROR(MAX(FILTER('REGISTRO PROD. v1'!AN:AN,'REGISTRO PROD. v1'!AL:AL=B379)),0),
      IFERROR(MAX(FILTER('REGISTRO PROD. v1'!"&amp;"BE:BE,'REGISTRO PROD. v1'!BC:BC=B379)),0),
      IFERROR(MAX(FILTER('REGISTRO PROD. v1'!BV:BV,'REGISTRO PROD. v1'!BT:BT=B379)),0)
    )&gt;=F379,
    ""SI"",
    ""EN PROCESO""
  )
)
"),"NO")</f>
        <v>NO</v>
      </c>
      <c r="F379" s="132" t="s">
        <v>65</v>
      </c>
    </row>
    <row r="380" spans="2:6" ht="15" x14ac:dyDescent="0.25">
      <c r="B380" s="131">
        <v>377</v>
      </c>
      <c r="C380" s="131">
        <v>2011</v>
      </c>
      <c r="D380" s="131" t="s">
        <v>138</v>
      </c>
      <c r="E380" s="131" t="str">
        <f ca="1">IFERROR(__xludf.DUMMYFUNCTION("IF(
  MAX(
    IFERROR(MAX(FILTER('REGISTRO PROD. v1'!F:F,'REGISTRO PROD. v1'!D:D=B380)),0),
    IFERROR(MAX(FILTER('REGISTRO PROD. v1'!W:W,'REGISTRO PROD. v1'!U:U=B380)),0),
    IFERROR(MAX(FILTER('REGISTRO PROD. v1'!AN:AN,'REGISTRO PROD. v1'!AL:AL=B380)"&amp;"),0),
    IFERROR(MAX(FILTER('REGISTRO PROD. v1'!BE:BE,'REGISTRO PROD. v1'!BC:BC=B380)),0),
    IFERROR(MAX(FILTER('REGISTRO PROD. v1'!BV:BV,'REGISTRO PROD. v1'!BT:BT=B380)),0)
  )=0,
  ""NO"",
  IF(
    MAX(
      IFERROR(MAX(FILTER('REGISTRO PROD. v1'!F"&amp;":F,'REGISTRO PROD. v1'!D:D=B380)),0),
      IFERROR(MAX(FILTER('REGISTRO PROD. v1'!W:W,'REGISTRO PROD. v1'!U:U=B380)),0),
      IFERROR(MAX(FILTER('REGISTRO PROD. v1'!AN:AN,'REGISTRO PROD. v1'!AL:AL=B380)),0),
      IFERROR(MAX(FILTER('REGISTRO PROD. v1'!"&amp;"BE:BE,'REGISTRO PROD. v1'!BC:BC=B380)),0),
      IFERROR(MAX(FILTER('REGISTRO PROD. v1'!BV:BV,'REGISTRO PROD. v1'!BT:BT=B380)),0)
    )&gt;=F380,
    ""SI"",
    ""EN PROCESO""
  )
)
"),"NO")</f>
        <v>NO</v>
      </c>
      <c r="F380" s="132" t="s">
        <v>65</v>
      </c>
    </row>
    <row r="381" spans="2:6" ht="15" x14ac:dyDescent="0.25">
      <c r="B381" s="131">
        <v>378</v>
      </c>
      <c r="C381" s="131">
        <v>2011</v>
      </c>
      <c r="D381" s="131" t="s">
        <v>139</v>
      </c>
      <c r="E381" s="131" t="str">
        <f ca="1">IFERROR(__xludf.DUMMYFUNCTION("IF(
  MAX(
    IFERROR(MAX(FILTER('REGISTRO PROD. v1'!F:F,'REGISTRO PROD. v1'!D:D=B381)),0),
    IFERROR(MAX(FILTER('REGISTRO PROD. v1'!W:W,'REGISTRO PROD. v1'!U:U=B381)),0),
    IFERROR(MAX(FILTER('REGISTRO PROD. v1'!AN:AN,'REGISTRO PROD. v1'!AL:AL=B381)"&amp;"),0),
    IFERROR(MAX(FILTER('REGISTRO PROD. v1'!BE:BE,'REGISTRO PROD. v1'!BC:BC=B381)),0),
    IFERROR(MAX(FILTER('REGISTRO PROD. v1'!BV:BV,'REGISTRO PROD. v1'!BT:BT=B381)),0)
  )=0,
  ""NO"",
  IF(
    MAX(
      IFERROR(MAX(FILTER('REGISTRO PROD. v1'!F"&amp;":F,'REGISTRO PROD. v1'!D:D=B381)),0),
      IFERROR(MAX(FILTER('REGISTRO PROD. v1'!W:W,'REGISTRO PROD. v1'!U:U=B381)),0),
      IFERROR(MAX(FILTER('REGISTRO PROD. v1'!AN:AN,'REGISTRO PROD. v1'!AL:AL=B381)),0),
      IFERROR(MAX(FILTER('REGISTRO PROD. v1'!"&amp;"BE:BE,'REGISTRO PROD. v1'!BC:BC=B381)),0),
      IFERROR(MAX(FILTER('REGISTRO PROD. v1'!BV:BV,'REGISTRO PROD. v1'!BT:BT=B381)),0)
    )&gt;=F381,
    ""SI"",
    ""EN PROCESO""
  )
)
"),"NO")</f>
        <v>NO</v>
      </c>
      <c r="F381" s="132" t="s">
        <v>65</v>
      </c>
    </row>
    <row r="382" spans="2:6" ht="15" x14ac:dyDescent="0.25">
      <c r="B382" s="131">
        <v>379</v>
      </c>
      <c r="C382" s="131">
        <v>2011</v>
      </c>
      <c r="D382" s="131" t="s">
        <v>142</v>
      </c>
      <c r="E382" s="131" t="str">
        <f ca="1">IFERROR(__xludf.DUMMYFUNCTION("IF(
  MAX(
    IFERROR(MAX(FILTER('REGISTRO PROD. v1'!F:F,'REGISTRO PROD. v1'!D:D=B382)),0),
    IFERROR(MAX(FILTER('REGISTRO PROD. v1'!W:W,'REGISTRO PROD. v1'!U:U=B382)),0),
    IFERROR(MAX(FILTER('REGISTRO PROD. v1'!AN:AN,'REGISTRO PROD. v1'!AL:AL=B382)"&amp;"),0),
    IFERROR(MAX(FILTER('REGISTRO PROD. v1'!BE:BE,'REGISTRO PROD. v1'!BC:BC=B382)),0),
    IFERROR(MAX(FILTER('REGISTRO PROD. v1'!BV:BV,'REGISTRO PROD. v1'!BT:BT=B382)),0)
  )=0,
  ""NO"",
  IF(
    MAX(
      IFERROR(MAX(FILTER('REGISTRO PROD. v1'!F"&amp;":F,'REGISTRO PROD. v1'!D:D=B382)),0),
      IFERROR(MAX(FILTER('REGISTRO PROD. v1'!W:W,'REGISTRO PROD. v1'!U:U=B382)),0),
      IFERROR(MAX(FILTER('REGISTRO PROD. v1'!AN:AN,'REGISTRO PROD. v1'!AL:AL=B382)),0),
      IFERROR(MAX(FILTER('REGISTRO PROD. v1'!"&amp;"BE:BE,'REGISTRO PROD. v1'!BC:BC=B382)),0),
      IFERROR(MAX(FILTER('REGISTRO PROD. v1'!BV:BV,'REGISTRO PROD. v1'!BT:BT=B382)),0)
    )&gt;=F382,
    ""SI"",
    ""EN PROCESO""
  )
)
"),"NO")</f>
        <v>NO</v>
      </c>
      <c r="F382" s="132" t="s">
        <v>65</v>
      </c>
    </row>
    <row r="383" spans="2:6" ht="15" x14ac:dyDescent="0.25">
      <c r="B383" s="131">
        <v>380</v>
      </c>
      <c r="C383" s="131">
        <v>2011</v>
      </c>
      <c r="D383" s="131" t="s">
        <v>143</v>
      </c>
      <c r="E383" s="131" t="str">
        <f ca="1">IFERROR(__xludf.DUMMYFUNCTION("IF(
  MAX(
    IFERROR(MAX(FILTER('REGISTRO PROD. v1'!F:F,'REGISTRO PROD. v1'!D:D=B383)),0),
    IFERROR(MAX(FILTER('REGISTRO PROD. v1'!W:W,'REGISTRO PROD. v1'!U:U=B383)),0),
    IFERROR(MAX(FILTER('REGISTRO PROD. v1'!AN:AN,'REGISTRO PROD. v1'!AL:AL=B383)"&amp;"),0),
    IFERROR(MAX(FILTER('REGISTRO PROD. v1'!BE:BE,'REGISTRO PROD. v1'!BC:BC=B383)),0),
    IFERROR(MAX(FILTER('REGISTRO PROD. v1'!BV:BV,'REGISTRO PROD. v1'!BT:BT=B383)),0)
  )=0,
  ""NO"",
  IF(
    MAX(
      IFERROR(MAX(FILTER('REGISTRO PROD. v1'!F"&amp;":F,'REGISTRO PROD. v1'!D:D=B383)),0),
      IFERROR(MAX(FILTER('REGISTRO PROD. v1'!W:W,'REGISTRO PROD. v1'!U:U=B383)),0),
      IFERROR(MAX(FILTER('REGISTRO PROD. v1'!AN:AN,'REGISTRO PROD. v1'!AL:AL=B383)),0),
      IFERROR(MAX(FILTER('REGISTRO PROD. v1'!"&amp;"BE:BE,'REGISTRO PROD. v1'!BC:BC=B383)),0),
      IFERROR(MAX(FILTER('REGISTRO PROD. v1'!BV:BV,'REGISTRO PROD. v1'!BT:BT=B383)),0)
    )&gt;=F383,
    ""SI"",
    ""EN PROCESO""
  )
)
"),"NO")</f>
        <v>NO</v>
      </c>
      <c r="F383" s="132" t="s">
        <v>65</v>
      </c>
    </row>
    <row r="384" spans="2:6" ht="15" x14ac:dyDescent="0.25">
      <c r="B384" s="131">
        <v>381</v>
      </c>
      <c r="C384" s="131">
        <v>2011</v>
      </c>
      <c r="D384" s="131" t="s">
        <v>144</v>
      </c>
      <c r="E384" s="131" t="str">
        <f ca="1">IFERROR(__xludf.DUMMYFUNCTION("IF(
  MAX(
    IFERROR(MAX(FILTER('REGISTRO PROD. v1'!F:F,'REGISTRO PROD. v1'!D:D=B384)),0),
    IFERROR(MAX(FILTER('REGISTRO PROD. v1'!W:W,'REGISTRO PROD. v1'!U:U=B384)),0),
    IFERROR(MAX(FILTER('REGISTRO PROD. v1'!AN:AN,'REGISTRO PROD. v1'!AL:AL=B384)"&amp;"),0),
    IFERROR(MAX(FILTER('REGISTRO PROD. v1'!BE:BE,'REGISTRO PROD. v1'!BC:BC=B384)),0),
    IFERROR(MAX(FILTER('REGISTRO PROD. v1'!BV:BV,'REGISTRO PROD. v1'!BT:BT=B384)),0)
  )=0,
  ""NO"",
  IF(
    MAX(
      IFERROR(MAX(FILTER('REGISTRO PROD. v1'!F"&amp;":F,'REGISTRO PROD. v1'!D:D=B384)),0),
      IFERROR(MAX(FILTER('REGISTRO PROD. v1'!W:W,'REGISTRO PROD. v1'!U:U=B384)),0),
      IFERROR(MAX(FILTER('REGISTRO PROD. v1'!AN:AN,'REGISTRO PROD. v1'!AL:AL=B384)),0),
      IFERROR(MAX(FILTER('REGISTRO PROD. v1'!"&amp;"BE:BE,'REGISTRO PROD. v1'!BC:BC=B384)),0),
      IFERROR(MAX(FILTER('REGISTRO PROD. v1'!BV:BV,'REGISTRO PROD. v1'!BT:BT=B384)),0)
    )&gt;=F384,
    ""SI"",
    ""EN PROCESO""
  )
)
"),"NO")</f>
        <v>NO</v>
      </c>
      <c r="F384" s="132" t="s">
        <v>65</v>
      </c>
    </row>
    <row r="385" spans="2:6" ht="15" x14ac:dyDescent="0.25">
      <c r="B385" s="131">
        <v>382</v>
      </c>
      <c r="C385" s="131">
        <v>2011</v>
      </c>
      <c r="D385" s="131" t="s">
        <v>145</v>
      </c>
      <c r="E385" s="131" t="str">
        <f ca="1">IFERROR(__xludf.DUMMYFUNCTION("IF(
  MAX(
    IFERROR(MAX(FILTER('REGISTRO PROD. v1'!F:F,'REGISTRO PROD. v1'!D:D=B385)),0),
    IFERROR(MAX(FILTER('REGISTRO PROD. v1'!W:W,'REGISTRO PROD. v1'!U:U=B385)),0),
    IFERROR(MAX(FILTER('REGISTRO PROD. v1'!AN:AN,'REGISTRO PROD. v1'!AL:AL=B385)"&amp;"),0),
    IFERROR(MAX(FILTER('REGISTRO PROD. v1'!BE:BE,'REGISTRO PROD. v1'!BC:BC=B385)),0),
    IFERROR(MAX(FILTER('REGISTRO PROD. v1'!BV:BV,'REGISTRO PROD. v1'!BT:BT=B385)),0)
  )=0,
  ""NO"",
  IF(
    MAX(
      IFERROR(MAX(FILTER('REGISTRO PROD. v1'!F"&amp;":F,'REGISTRO PROD. v1'!D:D=B385)),0),
      IFERROR(MAX(FILTER('REGISTRO PROD. v1'!W:W,'REGISTRO PROD. v1'!U:U=B385)),0),
      IFERROR(MAX(FILTER('REGISTRO PROD. v1'!AN:AN,'REGISTRO PROD. v1'!AL:AL=B385)),0),
      IFERROR(MAX(FILTER('REGISTRO PROD. v1'!"&amp;"BE:BE,'REGISTRO PROD. v1'!BC:BC=B385)),0),
      IFERROR(MAX(FILTER('REGISTRO PROD. v1'!BV:BV,'REGISTRO PROD. v1'!BT:BT=B385)),0)
    )&gt;=F385,
    ""SI"",
    ""EN PROCESO""
  )
)
"),"NO")</f>
        <v>NO</v>
      </c>
      <c r="F385" s="132" t="s">
        <v>65</v>
      </c>
    </row>
    <row r="386" spans="2:6" ht="15" x14ac:dyDescent="0.25">
      <c r="B386" s="131">
        <v>383</v>
      </c>
      <c r="C386" s="131">
        <v>2011</v>
      </c>
      <c r="D386" s="131" t="s">
        <v>146</v>
      </c>
      <c r="E386" s="131" t="str">
        <f ca="1">IFERROR(__xludf.DUMMYFUNCTION("IF(
  MAX(
    IFERROR(MAX(FILTER('REGISTRO PROD. v1'!F:F,'REGISTRO PROD. v1'!D:D=B386)),0),
    IFERROR(MAX(FILTER('REGISTRO PROD. v1'!W:W,'REGISTRO PROD. v1'!U:U=B386)),0),
    IFERROR(MAX(FILTER('REGISTRO PROD. v1'!AN:AN,'REGISTRO PROD. v1'!AL:AL=B386)"&amp;"),0),
    IFERROR(MAX(FILTER('REGISTRO PROD. v1'!BE:BE,'REGISTRO PROD. v1'!BC:BC=B386)),0),
    IFERROR(MAX(FILTER('REGISTRO PROD. v1'!BV:BV,'REGISTRO PROD. v1'!BT:BT=B386)),0)
  )=0,
  ""NO"",
  IF(
    MAX(
      IFERROR(MAX(FILTER('REGISTRO PROD. v1'!F"&amp;":F,'REGISTRO PROD. v1'!D:D=B386)),0),
      IFERROR(MAX(FILTER('REGISTRO PROD. v1'!W:W,'REGISTRO PROD. v1'!U:U=B386)),0),
      IFERROR(MAX(FILTER('REGISTRO PROD. v1'!AN:AN,'REGISTRO PROD. v1'!AL:AL=B386)),0),
      IFERROR(MAX(FILTER('REGISTRO PROD. v1'!"&amp;"BE:BE,'REGISTRO PROD. v1'!BC:BC=B386)),0),
      IFERROR(MAX(FILTER('REGISTRO PROD. v1'!BV:BV,'REGISTRO PROD. v1'!BT:BT=B386)),0)
    )&gt;=F386,
    ""SI"",
    ""EN PROCESO""
  )
)
"),"NO")</f>
        <v>NO</v>
      </c>
      <c r="F386" s="132" t="s">
        <v>65</v>
      </c>
    </row>
    <row r="387" spans="2:6" ht="15" x14ac:dyDescent="0.25">
      <c r="B387" s="131">
        <v>384</v>
      </c>
      <c r="C387" s="131">
        <v>2011</v>
      </c>
      <c r="D387" s="131" t="s">
        <v>147</v>
      </c>
      <c r="E387" s="131" t="str">
        <f ca="1">IFERROR(__xludf.DUMMYFUNCTION("IF(
  MAX(
    IFERROR(MAX(FILTER('REGISTRO PROD. v1'!F:F,'REGISTRO PROD. v1'!D:D=B387)),0),
    IFERROR(MAX(FILTER('REGISTRO PROD. v1'!W:W,'REGISTRO PROD. v1'!U:U=B387)),0),
    IFERROR(MAX(FILTER('REGISTRO PROD. v1'!AN:AN,'REGISTRO PROD. v1'!AL:AL=B387)"&amp;"),0),
    IFERROR(MAX(FILTER('REGISTRO PROD. v1'!BE:BE,'REGISTRO PROD. v1'!BC:BC=B387)),0),
    IFERROR(MAX(FILTER('REGISTRO PROD. v1'!BV:BV,'REGISTRO PROD. v1'!BT:BT=B387)),0)
  )=0,
  ""NO"",
  IF(
    MAX(
      IFERROR(MAX(FILTER('REGISTRO PROD. v1'!F"&amp;":F,'REGISTRO PROD. v1'!D:D=B387)),0),
      IFERROR(MAX(FILTER('REGISTRO PROD. v1'!W:W,'REGISTRO PROD. v1'!U:U=B387)),0),
      IFERROR(MAX(FILTER('REGISTRO PROD. v1'!AN:AN,'REGISTRO PROD. v1'!AL:AL=B387)),0),
      IFERROR(MAX(FILTER('REGISTRO PROD. v1'!"&amp;"BE:BE,'REGISTRO PROD. v1'!BC:BC=B387)),0),
      IFERROR(MAX(FILTER('REGISTRO PROD. v1'!BV:BV,'REGISTRO PROD. v1'!BT:BT=B387)),0)
    )&gt;=F387,
    ""SI"",
    ""EN PROCESO""
  )
)
"),"NO")</f>
        <v>NO</v>
      </c>
      <c r="F387" s="132" t="s">
        <v>65</v>
      </c>
    </row>
    <row r="388" spans="2:6" ht="15" x14ac:dyDescent="0.25">
      <c r="B388" s="131">
        <v>385</v>
      </c>
      <c r="C388" s="131">
        <v>2011</v>
      </c>
      <c r="D388" s="131" t="s">
        <v>148</v>
      </c>
      <c r="E388" s="131" t="str">
        <f ca="1">IFERROR(__xludf.DUMMYFUNCTION("IF(
  MAX(
    IFERROR(MAX(FILTER('REGISTRO PROD. v1'!F:F,'REGISTRO PROD. v1'!D:D=B388)),0),
    IFERROR(MAX(FILTER('REGISTRO PROD. v1'!W:W,'REGISTRO PROD. v1'!U:U=B388)),0),
    IFERROR(MAX(FILTER('REGISTRO PROD. v1'!AN:AN,'REGISTRO PROD. v1'!AL:AL=B388)"&amp;"),0),
    IFERROR(MAX(FILTER('REGISTRO PROD. v1'!BE:BE,'REGISTRO PROD. v1'!BC:BC=B388)),0),
    IFERROR(MAX(FILTER('REGISTRO PROD. v1'!BV:BV,'REGISTRO PROD. v1'!BT:BT=B388)),0)
  )=0,
  ""NO"",
  IF(
    MAX(
      IFERROR(MAX(FILTER('REGISTRO PROD. v1'!F"&amp;":F,'REGISTRO PROD. v1'!D:D=B388)),0),
      IFERROR(MAX(FILTER('REGISTRO PROD. v1'!W:W,'REGISTRO PROD. v1'!U:U=B388)),0),
      IFERROR(MAX(FILTER('REGISTRO PROD. v1'!AN:AN,'REGISTRO PROD. v1'!AL:AL=B388)),0),
      IFERROR(MAX(FILTER('REGISTRO PROD. v1'!"&amp;"BE:BE,'REGISTRO PROD. v1'!BC:BC=B388)),0),
      IFERROR(MAX(FILTER('REGISTRO PROD. v1'!BV:BV,'REGISTRO PROD. v1'!BT:BT=B388)),0)
    )&gt;=F388,
    ""SI"",
    ""EN PROCESO""
  )
)
"),"NO")</f>
        <v>NO</v>
      </c>
      <c r="F388" s="132" t="s">
        <v>65</v>
      </c>
    </row>
    <row r="389" spans="2:6" ht="15" x14ac:dyDescent="0.25">
      <c r="B389" s="131">
        <v>386</v>
      </c>
      <c r="C389" s="131">
        <v>2011</v>
      </c>
      <c r="D389" s="131" t="s">
        <v>166</v>
      </c>
      <c r="E389" s="131" t="str">
        <f ca="1">IFERROR(__xludf.DUMMYFUNCTION("IF(
  MAX(
    IFERROR(MAX(FILTER('REGISTRO PROD. v1'!F:F,'REGISTRO PROD. v1'!D:D=B389)),0),
    IFERROR(MAX(FILTER('REGISTRO PROD. v1'!W:W,'REGISTRO PROD. v1'!U:U=B389)),0),
    IFERROR(MAX(FILTER('REGISTRO PROD. v1'!AN:AN,'REGISTRO PROD. v1'!AL:AL=B389)"&amp;"),0),
    IFERROR(MAX(FILTER('REGISTRO PROD. v1'!BE:BE,'REGISTRO PROD. v1'!BC:BC=B389)),0),
    IFERROR(MAX(FILTER('REGISTRO PROD. v1'!BV:BV,'REGISTRO PROD. v1'!BT:BT=B389)),0)
  )=0,
  ""NO"",
  IF(
    MAX(
      IFERROR(MAX(FILTER('REGISTRO PROD. v1'!F"&amp;":F,'REGISTRO PROD. v1'!D:D=B389)),0),
      IFERROR(MAX(FILTER('REGISTRO PROD. v1'!W:W,'REGISTRO PROD. v1'!U:U=B389)),0),
      IFERROR(MAX(FILTER('REGISTRO PROD. v1'!AN:AN,'REGISTRO PROD. v1'!AL:AL=B389)),0),
      IFERROR(MAX(FILTER('REGISTRO PROD. v1'!"&amp;"BE:BE,'REGISTRO PROD. v1'!BC:BC=B389)),0),
      IFERROR(MAX(FILTER('REGISTRO PROD. v1'!BV:BV,'REGISTRO PROD. v1'!BT:BT=B389)),0)
    )&gt;=F389,
    ""SI"",
    ""EN PROCESO""
  )
)
"),"NO")</f>
        <v>NO</v>
      </c>
      <c r="F389" s="132" t="s">
        <v>65</v>
      </c>
    </row>
    <row r="390" spans="2:6" ht="15" x14ac:dyDescent="0.25">
      <c r="B390" s="131">
        <v>387</v>
      </c>
      <c r="C390" s="131">
        <v>2012</v>
      </c>
      <c r="D390" s="131" t="s">
        <v>64</v>
      </c>
      <c r="E390" s="131" t="str">
        <f ca="1">IFERROR(__xludf.DUMMYFUNCTION("IF(
  MAX(
    IFERROR(MAX(FILTER('REGISTRO PROD. v1'!F:F,'REGISTRO PROD. v1'!D:D=B390)),0),
    IFERROR(MAX(FILTER('REGISTRO PROD. v1'!W:W,'REGISTRO PROD. v1'!U:U=B390)),0),
    IFERROR(MAX(FILTER('REGISTRO PROD. v1'!AN:AN,'REGISTRO PROD. v1'!AL:AL=B390)"&amp;"),0),
    IFERROR(MAX(FILTER('REGISTRO PROD. v1'!BE:BE,'REGISTRO PROD. v1'!BC:BC=B390)),0),
    IFERROR(MAX(FILTER('REGISTRO PROD. v1'!BV:BV,'REGISTRO PROD. v1'!BT:BT=B390)),0)
  )=0,
  ""NO"",
  IF(
    MAX(
      IFERROR(MAX(FILTER('REGISTRO PROD. v1'!F"&amp;":F,'REGISTRO PROD. v1'!D:D=B390)),0),
      IFERROR(MAX(FILTER('REGISTRO PROD. v1'!W:W,'REGISTRO PROD. v1'!U:U=B390)),0),
      IFERROR(MAX(FILTER('REGISTRO PROD. v1'!AN:AN,'REGISTRO PROD. v1'!AL:AL=B390)),0),
      IFERROR(MAX(FILTER('REGISTRO PROD. v1'!"&amp;"BE:BE,'REGISTRO PROD. v1'!BC:BC=B390)),0),
      IFERROR(MAX(FILTER('REGISTRO PROD. v1'!BV:BV,'REGISTRO PROD. v1'!BT:BT=B390)),0)
    )&gt;=F390,
    ""SI"",
    ""EN PROCESO""
  )
)
"),"NO")</f>
        <v>NO</v>
      </c>
      <c r="F390" s="132" t="s">
        <v>65</v>
      </c>
    </row>
    <row r="391" spans="2:6" ht="15" x14ac:dyDescent="0.25">
      <c r="B391" s="131">
        <v>388</v>
      </c>
      <c r="C391" s="131">
        <v>2012</v>
      </c>
      <c r="D391" s="131" t="s">
        <v>66</v>
      </c>
      <c r="E391" s="131" t="str">
        <f ca="1">IFERROR(__xludf.DUMMYFUNCTION("IF(
  MAX(
    IFERROR(MAX(FILTER('REGISTRO PROD. v1'!F:F,'REGISTRO PROD. v1'!D:D=B391)),0),
    IFERROR(MAX(FILTER('REGISTRO PROD. v1'!W:W,'REGISTRO PROD. v1'!U:U=B391)),0),
    IFERROR(MAX(FILTER('REGISTRO PROD. v1'!AN:AN,'REGISTRO PROD. v1'!AL:AL=B391)"&amp;"),0),
    IFERROR(MAX(FILTER('REGISTRO PROD. v1'!BE:BE,'REGISTRO PROD. v1'!BC:BC=B391)),0),
    IFERROR(MAX(FILTER('REGISTRO PROD. v1'!BV:BV,'REGISTRO PROD. v1'!BT:BT=B391)),0)
  )=0,
  ""NO"",
  IF(
    MAX(
      IFERROR(MAX(FILTER('REGISTRO PROD. v1'!F"&amp;":F,'REGISTRO PROD. v1'!D:D=B391)),0),
      IFERROR(MAX(FILTER('REGISTRO PROD. v1'!W:W,'REGISTRO PROD. v1'!U:U=B391)),0),
      IFERROR(MAX(FILTER('REGISTRO PROD. v1'!AN:AN,'REGISTRO PROD. v1'!AL:AL=B391)),0),
      IFERROR(MAX(FILTER('REGISTRO PROD. v1'!"&amp;"BE:BE,'REGISTRO PROD. v1'!BC:BC=B391)),0),
      IFERROR(MAX(FILTER('REGISTRO PROD. v1'!BV:BV,'REGISTRO PROD. v1'!BT:BT=B391)),0)
    )&gt;=F391,
    ""SI"",
    ""EN PROCESO""
  )
)
"),"NO")</f>
        <v>NO</v>
      </c>
      <c r="F391" s="132" t="s">
        <v>65</v>
      </c>
    </row>
    <row r="392" spans="2:6" ht="15" x14ac:dyDescent="0.25">
      <c r="B392" s="131">
        <v>389</v>
      </c>
      <c r="C392" s="131">
        <v>2012</v>
      </c>
      <c r="D392" s="131" t="s">
        <v>67</v>
      </c>
      <c r="E392" s="131" t="str">
        <f ca="1">IFERROR(__xludf.DUMMYFUNCTION("IF(
  MAX(
    IFERROR(MAX(FILTER('REGISTRO PROD. v1'!F:F,'REGISTRO PROD. v1'!D:D=B392)),0),
    IFERROR(MAX(FILTER('REGISTRO PROD. v1'!W:W,'REGISTRO PROD. v1'!U:U=B392)),0),
    IFERROR(MAX(FILTER('REGISTRO PROD. v1'!AN:AN,'REGISTRO PROD. v1'!AL:AL=B392)"&amp;"),0),
    IFERROR(MAX(FILTER('REGISTRO PROD. v1'!BE:BE,'REGISTRO PROD. v1'!BC:BC=B392)),0),
    IFERROR(MAX(FILTER('REGISTRO PROD. v1'!BV:BV,'REGISTRO PROD. v1'!BT:BT=B392)),0)
  )=0,
  ""NO"",
  IF(
    MAX(
      IFERROR(MAX(FILTER('REGISTRO PROD. v1'!F"&amp;":F,'REGISTRO PROD. v1'!D:D=B392)),0),
      IFERROR(MAX(FILTER('REGISTRO PROD. v1'!W:W,'REGISTRO PROD. v1'!U:U=B392)),0),
      IFERROR(MAX(FILTER('REGISTRO PROD. v1'!AN:AN,'REGISTRO PROD. v1'!AL:AL=B392)),0),
      IFERROR(MAX(FILTER('REGISTRO PROD. v1'!"&amp;"BE:BE,'REGISTRO PROD. v1'!BC:BC=B392)),0),
      IFERROR(MAX(FILTER('REGISTRO PROD. v1'!BV:BV,'REGISTRO PROD. v1'!BT:BT=B392)),0)
    )&gt;=F392,
    ""SI"",
    ""EN PROCESO""
  )
)
"),"NO")</f>
        <v>NO</v>
      </c>
      <c r="F392" s="132" t="s">
        <v>65</v>
      </c>
    </row>
    <row r="393" spans="2:6" ht="15" x14ac:dyDescent="0.25">
      <c r="B393" s="131">
        <v>390</v>
      </c>
      <c r="C393" s="131">
        <v>2012</v>
      </c>
      <c r="D393" s="131" t="s">
        <v>68</v>
      </c>
      <c r="E393" s="131" t="str">
        <f ca="1">IFERROR(__xludf.DUMMYFUNCTION("IF(
  MAX(
    IFERROR(MAX(FILTER('REGISTRO PROD. v1'!F:F,'REGISTRO PROD. v1'!D:D=B393)),0),
    IFERROR(MAX(FILTER('REGISTRO PROD. v1'!W:W,'REGISTRO PROD. v1'!U:U=B393)),0),
    IFERROR(MAX(FILTER('REGISTRO PROD. v1'!AN:AN,'REGISTRO PROD. v1'!AL:AL=B393)"&amp;"),0),
    IFERROR(MAX(FILTER('REGISTRO PROD. v1'!BE:BE,'REGISTRO PROD. v1'!BC:BC=B393)),0),
    IFERROR(MAX(FILTER('REGISTRO PROD. v1'!BV:BV,'REGISTRO PROD. v1'!BT:BT=B393)),0)
  )=0,
  ""NO"",
  IF(
    MAX(
      IFERROR(MAX(FILTER('REGISTRO PROD. v1'!F"&amp;":F,'REGISTRO PROD. v1'!D:D=B393)),0),
      IFERROR(MAX(FILTER('REGISTRO PROD. v1'!W:W,'REGISTRO PROD. v1'!U:U=B393)),0),
      IFERROR(MAX(FILTER('REGISTRO PROD. v1'!AN:AN,'REGISTRO PROD. v1'!AL:AL=B393)),0),
      IFERROR(MAX(FILTER('REGISTRO PROD. v1'!"&amp;"BE:BE,'REGISTRO PROD. v1'!BC:BC=B393)),0),
      IFERROR(MAX(FILTER('REGISTRO PROD. v1'!BV:BV,'REGISTRO PROD. v1'!BT:BT=B393)),0)
    )&gt;=F393,
    ""SI"",
    ""EN PROCESO""
  )
)
"),"NO")</f>
        <v>NO</v>
      </c>
      <c r="F393" s="132" t="s">
        <v>65</v>
      </c>
    </row>
    <row r="394" spans="2:6" ht="15" x14ac:dyDescent="0.25">
      <c r="B394" s="131">
        <v>391</v>
      </c>
      <c r="C394" s="131">
        <v>2012</v>
      </c>
      <c r="D394" s="131" t="s">
        <v>69</v>
      </c>
      <c r="E394" s="131" t="str">
        <f ca="1">IFERROR(__xludf.DUMMYFUNCTION("IF(
  MAX(
    IFERROR(MAX(FILTER('REGISTRO PROD. v1'!F:F,'REGISTRO PROD. v1'!D:D=B394)),0),
    IFERROR(MAX(FILTER('REGISTRO PROD. v1'!W:W,'REGISTRO PROD. v1'!U:U=B394)),0),
    IFERROR(MAX(FILTER('REGISTRO PROD. v1'!AN:AN,'REGISTRO PROD. v1'!AL:AL=B394)"&amp;"),0),
    IFERROR(MAX(FILTER('REGISTRO PROD. v1'!BE:BE,'REGISTRO PROD. v1'!BC:BC=B394)),0),
    IFERROR(MAX(FILTER('REGISTRO PROD. v1'!BV:BV,'REGISTRO PROD. v1'!BT:BT=B394)),0)
  )=0,
  ""NO"",
  IF(
    MAX(
      IFERROR(MAX(FILTER('REGISTRO PROD. v1'!F"&amp;":F,'REGISTRO PROD. v1'!D:D=B394)),0),
      IFERROR(MAX(FILTER('REGISTRO PROD. v1'!W:W,'REGISTRO PROD. v1'!U:U=B394)),0),
      IFERROR(MAX(FILTER('REGISTRO PROD. v1'!AN:AN,'REGISTRO PROD. v1'!AL:AL=B394)),0),
      IFERROR(MAX(FILTER('REGISTRO PROD. v1'!"&amp;"BE:BE,'REGISTRO PROD. v1'!BC:BC=B394)),0),
      IFERROR(MAX(FILTER('REGISTRO PROD. v1'!BV:BV,'REGISTRO PROD. v1'!BT:BT=B394)),0)
    )&gt;=F394,
    ""SI"",
    ""EN PROCESO""
  )
)
"),"NO")</f>
        <v>NO</v>
      </c>
      <c r="F394" s="132" t="s">
        <v>65</v>
      </c>
    </row>
    <row r="395" spans="2:6" ht="15" x14ac:dyDescent="0.25">
      <c r="B395" s="131">
        <v>392</v>
      </c>
      <c r="C395" s="131">
        <v>2012</v>
      </c>
      <c r="D395" s="131" t="s">
        <v>70</v>
      </c>
      <c r="E395" s="131" t="str">
        <f ca="1">IFERROR(__xludf.DUMMYFUNCTION("IF(
  MAX(
    IFERROR(MAX(FILTER('REGISTRO PROD. v1'!F:F,'REGISTRO PROD. v1'!D:D=B395)),0),
    IFERROR(MAX(FILTER('REGISTRO PROD. v1'!W:W,'REGISTRO PROD. v1'!U:U=B395)),0),
    IFERROR(MAX(FILTER('REGISTRO PROD. v1'!AN:AN,'REGISTRO PROD. v1'!AL:AL=B395)"&amp;"),0),
    IFERROR(MAX(FILTER('REGISTRO PROD. v1'!BE:BE,'REGISTRO PROD. v1'!BC:BC=B395)),0),
    IFERROR(MAX(FILTER('REGISTRO PROD. v1'!BV:BV,'REGISTRO PROD. v1'!BT:BT=B395)),0)
  )=0,
  ""NO"",
  IF(
    MAX(
      IFERROR(MAX(FILTER('REGISTRO PROD. v1'!F"&amp;":F,'REGISTRO PROD. v1'!D:D=B395)),0),
      IFERROR(MAX(FILTER('REGISTRO PROD. v1'!W:W,'REGISTRO PROD. v1'!U:U=B395)),0),
      IFERROR(MAX(FILTER('REGISTRO PROD. v1'!AN:AN,'REGISTRO PROD. v1'!AL:AL=B395)),0),
      IFERROR(MAX(FILTER('REGISTRO PROD. v1'!"&amp;"BE:BE,'REGISTRO PROD. v1'!BC:BC=B395)),0),
      IFERROR(MAX(FILTER('REGISTRO PROD. v1'!BV:BV,'REGISTRO PROD. v1'!BT:BT=B395)),0)
    )&gt;=F395,
    ""SI"",
    ""EN PROCESO""
  )
)
"),"NO")</f>
        <v>NO</v>
      </c>
      <c r="F395" s="132" t="s">
        <v>65</v>
      </c>
    </row>
    <row r="396" spans="2:6" ht="15" x14ac:dyDescent="0.25">
      <c r="B396" s="131">
        <v>393</v>
      </c>
      <c r="C396" s="131">
        <v>2012</v>
      </c>
      <c r="D396" s="131" t="s">
        <v>97</v>
      </c>
      <c r="E396" s="131" t="str">
        <f ca="1">IFERROR(__xludf.DUMMYFUNCTION("IF(
  MAX(
    IFERROR(MAX(FILTER('REGISTRO PROD. v1'!F:F,'REGISTRO PROD. v1'!D:D=B396)),0),
    IFERROR(MAX(FILTER('REGISTRO PROD. v1'!W:W,'REGISTRO PROD. v1'!U:U=B396)),0),
    IFERROR(MAX(FILTER('REGISTRO PROD. v1'!AN:AN,'REGISTRO PROD. v1'!AL:AL=B396)"&amp;"),0),
    IFERROR(MAX(FILTER('REGISTRO PROD. v1'!BE:BE,'REGISTRO PROD. v1'!BC:BC=B396)),0),
    IFERROR(MAX(FILTER('REGISTRO PROD. v1'!BV:BV,'REGISTRO PROD. v1'!BT:BT=B396)),0)
  )=0,
  ""NO"",
  IF(
    MAX(
      IFERROR(MAX(FILTER('REGISTRO PROD. v1'!F"&amp;":F,'REGISTRO PROD. v1'!D:D=B396)),0),
      IFERROR(MAX(FILTER('REGISTRO PROD. v1'!W:W,'REGISTRO PROD. v1'!U:U=B396)),0),
      IFERROR(MAX(FILTER('REGISTRO PROD. v1'!AN:AN,'REGISTRO PROD. v1'!AL:AL=B396)),0),
      IFERROR(MAX(FILTER('REGISTRO PROD. v1'!"&amp;"BE:BE,'REGISTRO PROD. v1'!BC:BC=B396)),0),
      IFERROR(MAX(FILTER('REGISTRO PROD. v1'!BV:BV,'REGISTRO PROD. v1'!BT:BT=B396)),0)
    )&gt;=F396,
    ""SI"",
    ""EN PROCESO""
  )
)
"),"NO")</f>
        <v>NO</v>
      </c>
      <c r="F396" s="132" t="s">
        <v>65</v>
      </c>
    </row>
    <row r="397" spans="2:6" ht="15" x14ac:dyDescent="0.25">
      <c r="B397" s="131">
        <v>394</v>
      </c>
      <c r="C397" s="131">
        <v>2012</v>
      </c>
      <c r="D397" s="131" t="s">
        <v>98</v>
      </c>
      <c r="E397" s="131" t="str">
        <f ca="1">IFERROR(__xludf.DUMMYFUNCTION("IF(
  MAX(
    IFERROR(MAX(FILTER('REGISTRO PROD. v1'!F:F,'REGISTRO PROD. v1'!D:D=B397)),0),
    IFERROR(MAX(FILTER('REGISTRO PROD. v1'!W:W,'REGISTRO PROD. v1'!U:U=B397)),0),
    IFERROR(MAX(FILTER('REGISTRO PROD. v1'!AN:AN,'REGISTRO PROD. v1'!AL:AL=B397)"&amp;"),0),
    IFERROR(MAX(FILTER('REGISTRO PROD. v1'!BE:BE,'REGISTRO PROD. v1'!BC:BC=B397)),0),
    IFERROR(MAX(FILTER('REGISTRO PROD. v1'!BV:BV,'REGISTRO PROD. v1'!BT:BT=B397)),0)
  )=0,
  ""NO"",
  IF(
    MAX(
      IFERROR(MAX(FILTER('REGISTRO PROD. v1'!F"&amp;":F,'REGISTRO PROD. v1'!D:D=B397)),0),
      IFERROR(MAX(FILTER('REGISTRO PROD. v1'!W:W,'REGISTRO PROD. v1'!U:U=B397)),0),
      IFERROR(MAX(FILTER('REGISTRO PROD. v1'!AN:AN,'REGISTRO PROD. v1'!AL:AL=B397)),0),
      IFERROR(MAX(FILTER('REGISTRO PROD. v1'!"&amp;"BE:BE,'REGISTRO PROD. v1'!BC:BC=B397)),0),
      IFERROR(MAX(FILTER('REGISTRO PROD. v1'!BV:BV,'REGISTRO PROD. v1'!BT:BT=B397)),0)
    )&gt;=F397,
    ""SI"",
    ""EN PROCESO""
  )
)
"),"NO")</f>
        <v>NO</v>
      </c>
      <c r="F397" s="132" t="s">
        <v>65</v>
      </c>
    </row>
    <row r="398" spans="2:6" ht="15" x14ac:dyDescent="0.25">
      <c r="B398" s="131">
        <v>395</v>
      </c>
      <c r="C398" s="131">
        <v>2012</v>
      </c>
      <c r="D398" s="131" t="s">
        <v>99</v>
      </c>
      <c r="E398" s="131" t="str">
        <f ca="1">IFERROR(__xludf.DUMMYFUNCTION("IF(
  MAX(
    IFERROR(MAX(FILTER('REGISTRO PROD. v1'!F:F,'REGISTRO PROD. v1'!D:D=B398)),0),
    IFERROR(MAX(FILTER('REGISTRO PROD. v1'!W:W,'REGISTRO PROD. v1'!U:U=B398)),0),
    IFERROR(MAX(FILTER('REGISTRO PROD. v1'!AN:AN,'REGISTRO PROD. v1'!AL:AL=B398)"&amp;"),0),
    IFERROR(MAX(FILTER('REGISTRO PROD. v1'!BE:BE,'REGISTRO PROD. v1'!BC:BC=B398)),0),
    IFERROR(MAX(FILTER('REGISTRO PROD. v1'!BV:BV,'REGISTRO PROD. v1'!BT:BT=B398)),0)
  )=0,
  ""NO"",
  IF(
    MAX(
      IFERROR(MAX(FILTER('REGISTRO PROD. v1'!F"&amp;":F,'REGISTRO PROD. v1'!D:D=B398)),0),
      IFERROR(MAX(FILTER('REGISTRO PROD. v1'!W:W,'REGISTRO PROD. v1'!U:U=B398)),0),
      IFERROR(MAX(FILTER('REGISTRO PROD. v1'!AN:AN,'REGISTRO PROD. v1'!AL:AL=B398)),0),
      IFERROR(MAX(FILTER('REGISTRO PROD. v1'!"&amp;"BE:BE,'REGISTRO PROD. v1'!BC:BC=B398)),0),
      IFERROR(MAX(FILTER('REGISTRO PROD. v1'!BV:BV,'REGISTRO PROD. v1'!BT:BT=B398)),0)
    )&gt;=F398,
    ""SI"",
    ""EN PROCESO""
  )
)
"),"NO")</f>
        <v>NO</v>
      </c>
      <c r="F398" s="132" t="s">
        <v>65</v>
      </c>
    </row>
    <row r="399" spans="2:6" ht="15" x14ac:dyDescent="0.25">
      <c r="B399" s="131">
        <v>396</v>
      </c>
      <c r="C399" s="131">
        <v>2012</v>
      </c>
      <c r="D399" s="131" t="s">
        <v>100</v>
      </c>
      <c r="E399" s="131" t="str">
        <f ca="1">IFERROR(__xludf.DUMMYFUNCTION("IF(
  MAX(
    IFERROR(MAX(FILTER('REGISTRO PROD. v1'!F:F,'REGISTRO PROD. v1'!D:D=B399)),0),
    IFERROR(MAX(FILTER('REGISTRO PROD. v1'!W:W,'REGISTRO PROD. v1'!U:U=B399)),0),
    IFERROR(MAX(FILTER('REGISTRO PROD. v1'!AN:AN,'REGISTRO PROD. v1'!AL:AL=B399)"&amp;"),0),
    IFERROR(MAX(FILTER('REGISTRO PROD. v1'!BE:BE,'REGISTRO PROD. v1'!BC:BC=B399)),0),
    IFERROR(MAX(FILTER('REGISTRO PROD. v1'!BV:BV,'REGISTRO PROD. v1'!BT:BT=B399)),0)
  )=0,
  ""NO"",
  IF(
    MAX(
      IFERROR(MAX(FILTER('REGISTRO PROD. v1'!F"&amp;":F,'REGISTRO PROD. v1'!D:D=B399)),0),
      IFERROR(MAX(FILTER('REGISTRO PROD. v1'!W:W,'REGISTRO PROD. v1'!U:U=B399)),0),
      IFERROR(MAX(FILTER('REGISTRO PROD. v1'!AN:AN,'REGISTRO PROD. v1'!AL:AL=B399)),0),
      IFERROR(MAX(FILTER('REGISTRO PROD. v1'!"&amp;"BE:BE,'REGISTRO PROD. v1'!BC:BC=B399)),0),
      IFERROR(MAX(FILTER('REGISTRO PROD. v1'!BV:BV,'REGISTRO PROD. v1'!BT:BT=B399)),0)
    )&gt;=F399,
    ""SI"",
    ""EN PROCESO""
  )
)
"),"NO")</f>
        <v>NO</v>
      </c>
      <c r="F399" s="132" t="s">
        <v>65</v>
      </c>
    </row>
    <row r="400" spans="2:6" ht="15" x14ac:dyDescent="0.25">
      <c r="B400" s="131">
        <v>397</v>
      </c>
      <c r="C400" s="131">
        <v>2012</v>
      </c>
      <c r="D400" s="131" t="s">
        <v>101</v>
      </c>
      <c r="E400" s="131" t="str">
        <f ca="1">IFERROR(__xludf.DUMMYFUNCTION("IF(
  MAX(
    IFERROR(MAX(FILTER('REGISTRO PROD. v1'!F:F,'REGISTRO PROD. v1'!D:D=B400)),0),
    IFERROR(MAX(FILTER('REGISTRO PROD. v1'!W:W,'REGISTRO PROD. v1'!U:U=B400)),0),
    IFERROR(MAX(FILTER('REGISTRO PROD. v1'!AN:AN,'REGISTRO PROD. v1'!AL:AL=B400)"&amp;"),0),
    IFERROR(MAX(FILTER('REGISTRO PROD. v1'!BE:BE,'REGISTRO PROD. v1'!BC:BC=B400)),0),
    IFERROR(MAX(FILTER('REGISTRO PROD. v1'!BV:BV,'REGISTRO PROD. v1'!BT:BT=B400)),0)
  )=0,
  ""NO"",
  IF(
    MAX(
      IFERROR(MAX(FILTER('REGISTRO PROD. v1'!F"&amp;":F,'REGISTRO PROD. v1'!D:D=B400)),0),
      IFERROR(MAX(FILTER('REGISTRO PROD. v1'!W:W,'REGISTRO PROD. v1'!U:U=B400)),0),
      IFERROR(MAX(FILTER('REGISTRO PROD. v1'!AN:AN,'REGISTRO PROD. v1'!AL:AL=B400)),0),
      IFERROR(MAX(FILTER('REGISTRO PROD. v1'!"&amp;"BE:BE,'REGISTRO PROD. v1'!BC:BC=B400)),0),
      IFERROR(MAX(FILTER('REGISTRO PROD. v1'!BV:BV,'REGISTRO PROD. v1'!BT:BT=B400)),0)
    )&gt;=F400,
    ""SI"",
    ""EN PROCESO""
  )
)
"),"NO")</f>
        <v>NO</v>
      </c>
      <c r="F400" s="132" t="s">
        <v>65</v>
      </c>
    </row>
    <row r="401" spans="2:6" ht="15" x14ac:dyDescent="0.25">
      <c r="B401" s="131">
        <v>398</v>
      </c>
      <c r="C401" s="131">
        <v>2012</v>
      </c>
      <c r="D401" s="131" t="s">
        <v>102</v>
      </c>
      <c r="E401" s="131" t="str">
        <f ca="1">IFERROR(__xludf.DUMMYFUNCTION("IF(
  MAX(
    IFERROR(MAX(FILTER('REGISTRO PROD. v1'!F:F,'REGISTRO PROD. v1'!D:D=B401)),0),
    IFERROR(MAX(FILTER('REGISTRO PROD. v1'!W:W,'REGISTRO PROD. v1'!U:U=B401)),0),
    IFERROR(MAX(FILTER('REGISTRO PROD. v1'!AN:AN,'REGISTRO PROD. v1'!AL:AL=B401)"&amp;"),0),
    IFERROR(MAX(FILTER('REGISTRO PROD. v1'!BE:BE,'REGISTRO PROD. v1'!BC:BC=B401)),0),
    IFERROR(MAX(FILTER('REGISTRO PROD. v1'!BV:BV,'REGISTRO PROD. v1'!BT:BT=B401)),0)
  )=0,
  ""NO"",
  IF(
    MAX(
      IFERROR(MAX(FILTER('REGISTRO PROD. v1'!F"&amp;":F,'REGISTRO PROD. v1'!D:D=B401)),0),
      IFERROR(MAX(FILTER('REGISTRO PROD. v1'!W:W,'REGISTRO PROD. v1'!U:U=B401)),0),
      IFERROR(MAX(FILTER('REGISTRO PROD. v1'!AN:AN,'REGISTRO PROD. v1'!AL:AL=B401)),0),
      IFERROR(MAX(FILTER('REGISTRO PROD. v1'!"&amp;"BE:BE,'REGISTRO PROD. v1'!BC:BC=B401)),0),
      IFERROR(MAX(FILTER('REGISTRO PROD. v1'!BV:BV,'REGISTRO PROD. v1'!BT:BT=B401)),0)
    )&gt;=F401,
    ""SI"",
    ""EN PROCESO""
  )
)
"),"NO")</f>
        <v>NO</v>
      </c>
      <c r="F401" s="132" t="s">
        <v>65</v>
      </c>
    </row>
    <row r="402" spans="2:6" ht="15" x14ac:dyDescent="0.25">
      <c r="B402" s="131">
        <v>399</v>
      </c>
      <c r="C402" s="131">
        <v>2012</v>
      </c>
      <c r="D402" s="131" t="s">
        <v>103</v>
      </c>
      <c r="E402" s="131" t="str">
        <f ca="1">IFERROR(__xludf.DUMMYFUNCTION("IF(
  MAX(
    IFERROR(MAX(FILTER('REGISTRO PROD. v1'!F:F,'REGISTRO PROD. v1'!D:D=B402)),0),
    IFERROR(MAX(FILTER('REGISTRO PROD. v1'!W:W,'REGISTRO PROD. v1'!U:U=B402)),0),
    IFERROR(MAX(FILTER('REGISTRO PROD. v1'!AN:AN,'REGISTRO PROD. v1'!AL:AL=B402)"&amp;"),0),
    IFERROR(MAX(FILTER('REGISTRO PROD. v1'!BE:BE,'REGISTRO PROD. v1'!BC:BC=B402)),0),
    IFERROR(MAX(FILTER('REGISTRO PROD. v1'!BV:BV,'REGISTRO PROD. v1'!BT:BT=B402)),0)
  )=0,
  ""NO"",
  IF(
    MAX(
      IFERROR(MAX(FILTER('REGISTRO PROD. v1'!F"&amp;":F,'REGISTRO PROD. v1'!D:D=B402)),0),
      IFERROR(MAX(FILTER('REGISTRO PROD. v1'!W:W,'REGISTRO PROD. v1'!U:U=B402)),0),
      IFERROR(MAX(FILTER('REGISTRO PROD. v1'!AN:AN,'REGISTRO PROD. v1'!AL:AL=B402)),0),
      IFERROR(MAX(FILTER('REGISTRO PROD. v1'!"&amp;"BE:BE,'REGISTRO PROD. v1'!BC:BC=B402)),0),
      IFERROR(MAX(FILTER('REGISTRO PROD. v1'!BV:BV,'REGISTRO PROD. v1'!BT:BT=B402)),0)
    )&gt;=F402,
    ""SI"",
    ""EN PROCESO""
  )
)
"),"NO")</f>
        <v>NO</v>
      </c>
      <c r="F402" s="132" t="s">
        <v>65</v>
      </c>
    </row>
    <row r="403" spans="2:6" ht="15" x14ac:dyDescent="0.25">
      <c r="B403" s="131">
        <v>400</v>
      </c>
      <c r="C403" s="131">
        <v>2012</v>
      </c>
      <c r="D403" s="131" t="s">
        <v>104</v>
      </c>
      <c r="E403" s="131" t="str">
        <f ca="1">IFERROR(__xludf.DUMMYFUNCTION("IF(
  MAX(
    IFERROR(MAX(FILTER('REGISTRO PROD. v1'!F:F,'REGISTRO PROD. v1'!D:D=B403)),0),
    IFERROR(MAX(FILTER('REGISTRO PROD. v1'!W:W,'REGISTRO PROD. v1'!U:U=B403)),0),
    IFERROR(MAX(FILTER('REGISTRO PROD. v1'!AN:AN,'REGISTRO PROD. v1'!AL:AL=B403)"&amp;"),0),
    IFERROR(MAX(FILTER('REGISTRO PROD. v1'!BE:BE,'REGISTRO PROD. v1'!BC:BC=B403)),0),
    IFERROR(MAX(FILTER('REGISTRO PROD. v1'!BV:BV,'REGISTRO PROD. v1'!BT:BT=B403)),0)
  )=0,
  ""NO"",
  IF(
    MAX(
      IFERROR(MAX(FILTER('REGISTRO PROD. v1'!F"&amp;":F,'REGISTRO PROD. v1'!D:D=B403)),0),
      IFERROR(MAX(FILTER('REGISTRO PROD. v1'!W:W,'REGISTRO PROD. v1'!U:U=B403)),0),
      IFERROR(MAX(FILTER('REGISTRO PROD. v1'!AN:AN,'REGISTRO PROD. v1'!AL:AL=B403)),0),
      IFERROR(MAX(FILTER('REGISTRO PROD. v1'!"&amp;"BE:BE,'REGISTRO PROD. v1'!BC:BC=B403)),0),
      IFERROR(MAX(FILTER('REGISTRO PROD. v1'!BV:BV,'REGISTRO PROD. v1'!BT:BT=B403)),0)
    )&gt;=F403,
    ""SI"",
    ""EN PROCESO""
  )
)
"),"NO")</f>
        <v>NO</v>
      </c>
      <c r="F403" s="132" t="s">
        <v>65</v>
      </c>
    </row>
    <row r="404" spans="2:6" ht="15" x14ac:dyDescent="0.25">
      <c r="B404" s="131">
        <v>401</v>
      </c>
      <c r="C404" s="131">
        <v>2012</v>
      </c>
      <c r="D404" s="131" t="s">
        <v>105</v>
      </c>
      <c r="E404" s="131" t="str">
        <f ca="1">IFERROR(__xludf.DUMMYFUNCTION("IF(
  MAX(
    IFERROR(MAX(FILTER('REGISTRO PROD. v1'!F:F,'REGISTRO PROD. v1'!D:D=B404)),0),
    IFERROR(MAX(FILTER('REGISTRO PROD. v1'!W:W,'REGISTRO PROD. v1'!U:U=B404)),0),
    IFERROR(MAX(FILTER('REGISTRO PROD. v1'!AN:AN,'REGISTRO PROD. v1'!AL:AL=B404)"&amp;"),0),
    IFERROR(MAX(FILTER('REGISTRO PROD. v1'!BE:BE,'REGISTRO PROD. v1'!BC:BC=B404)),0),
    IFERROR(MAX(FILTER('REGISTRO PROD. v1'!BV:BV,'REGISTRO PROD. v1'!BT:BT=B404)),0)
  )=0,
  ""NO"",
  IF(
    MAX(
      IFERROR(MAX(FILTER('REGISTRO PROD. v1'!F"&amp;":F,'REGISTRO PROD. v1'!D:D=B404)),0),
      IFERROR(MAX(FILTER('REGISTRO PROD. v1'!W:W,'REGISTRO PROD. v1'!U:U=B404)),0),
      IFERROR(MAX(FILTER('REGISTRO PROD. v1'!AN:AN,'REGISTRO PROD. v1'!AL:AL=B404)),0),
      IFERROR(MAX(FILTER('REGISTRO PROD. v1'!"&amp;"BE:BE,'REGISTRO PROD. v1'!BC:BC=B404)),0),
      IFERROR(MAX(FILTER('REGISTRO PROD. v1'!BV:BV,'REGISTRO PROD. v1'!BT:BT=B404)),0)
    )&gt;=F404,
    ""SI"",
    ""EN PROCESO""
  )
)
"),"NO")</f>
        <v>NO</v>
      </c>
      <c r="F404" s="132" t="s">
        <v>65</v>
      </c>
    </row>
    <row r="405" spans="2:6" ht="15" x14ac:dyDescent="0.25">
      <c r="B405" s="131">
        <v>402</v>
      </c>
      <c r="C405" s="131">
        <v>2012</v>
      </c>
      <c r="D405" s="131" t="s">
        <v>106</v>
      </c>
      <c r="E405" s="131" t="str">
        <f ca="1">IFERROR(__xludf.DUMMYFUNCTION("IF(
  MAX(
    IFERROR(MAX(FILTER('REGISTRO PROD. v1'!F:F,'REGISTRO PROD. v1'!D:D=B405)),0),
    IFERROR(MAX(FILTER('REGISTRO PROD. v1'!W:W,'REGISTRO PROD. v1'!U:U=B405)),0),
    IFERROR(MAX(FILTER('REGISTRO PROD. v1'!AN:AN,'REGISTRO PROD. v1'!AL:AL=B405)"&amp;"),0),
    IFERROR(MAX(FILTER('REGISTRO PROD. v1'!BE:BE,'REGISTRO PROD. v1'!BC:BC=B405)),0),
    IFERROR(MAX(FILTER('REGISTRO PROD. v1'!BV:BV,'REGISTRO PROD. v1'!BT:BT=B405)),0)
  )=0,
  ""NO"",
  IF(
    MAX(
      IFERROR(MAX(FILTER('REGISTRO PROD. v1'!F"&amp;":F,'REGISTRO PROD. v1'!D:D=B405)),0),
      IFERROR(MAX(FILTER('REGISTRO PROD. v1'!W:W,'REGISTRO PROD. v1'!U:U=B405)),0),
      IFERROR(MAX(FILTER('REGISTRO PROD. v1'!AN:AN,'REGISTRO PROD. v1'!AL:AL=B405)),0),
      IFERROR(MAX(FILTER('REGISTRO PROD. v1'!"&amp;"BE:BE,'REGISTRO PROD. v1'!BC:BC=B405)),0),
      IFERROR(MAX(FILTER('REGISTRO PROD. v1'!BV:BV,'REGISTRO PROD. v1'!BT:BT=B405)),0)
    )&gt;=F405,
    ""SI"",
    ""EN PROCESO""
  )
)
"),"NO")</f>
        <v>NO</v>
      </c>
      <c r="F405" s="132" t="s">
        <v>65</v>
      </c>
    </row>
    <row r="406" spans="2:6" ht="15" x14ac:dyDescent="0.25">
      <c r="B406" s="131">
        <v>403</v>
      </c>
      <c r="C406" s="131">
        <v>2012</v>
      </c>
      <c r="D406" s="131" t="s">
        <v>107</v>
      </c>
      <c r="E406" s="131" t="str">
        <f ca="1">IFERROR(__xludf.DUMMYFUNCTION("IF(
  MAX(
    IFERROR(MAX(FILTER('REGISTRO PROD. v1'!F:F,'REGISTRO PROD. v1'!D:D=B406)),0),
    IFERROR(MAX(FILTER('REGISTRO PROD. v1'!W:W,'REGISTRO PROD. v1'!U:U=B406)),0),
    IFERROR(MAX(FILTER('REGISTRO PROD. v1'!AN:AN,'REGISTRO PROD. v1'!AL:AL=B406)"&amp;"),0),
    IFERROR(MAX(FILTER('REGISTRO PROD. v1'!BE:BE,'REGISTRO PROD. v1'!BC:BC=B406)),0),
    IFERROR(MAX(FILTER('REGISTRO PROD. v1'!BV:BV,'REGISTRO PROD. v1'!BT:BT=B406)),0)
  )=0,
  ""NO"",
  IF(
    MAX(
      IFERROR(MAX(FILTER('REGISTRO PROD. v1'!F"&amp;":F,'REGISTRO PROD. v1'!D:D=B406)),0),
      IFERROR(MAX(FILTER('REGISTRO PROD. v1'!W:W,'REGISTRO PROD. v1'!U:U=B406)),0),
      IFERROR(MAX(FILTER('REGISTRO PROD. v1'!AN:AN,'REGISTRO PROD. v1'!AL:AL=B406)),0),
      IFERROR(MAX(FILTER('REGISTRO PROD. v1'!"&amp;"BE:BE,'REGISTRO PROD. v1'!BC:BC=B406)),0),
      IFERROR(MAX(FILTER('REGISTRO PROD. v1'!BV:BV,'REGISTRO PROD. v1'!BT:BT=B406)),0)
    )&gt;=F406,
    ""SI"",
    ""EN PROCESO""
  )
)
"),"NO")</f>
        <v>NO</v>
      </c>
      <c r="F406" s="132" t="s">
        <v>65</v>
      </c>
    </row>
    <row r="407" spans="2:6" ht="15" x14ac:dyDescent="0.25">
      <c r="B407" s="131">
        <v>404</v>
      </c>
      <c r="C407" s="131">
        <v>2012</v>
      </c>
      <c r="D407" s="131" t="s">
        <v>108</v>
      </c>
      <c r="E407" s="131" t="str">
        <f ca="1">IFERROR(__xludf.DUMMYFUNCTION("IF(
  MAX(
    IFERROR(MAX(FILTER('REGISTRO PROD. v1'!F:F,'REGISTRO PROD. v1'!D:D=B407)),0),
    IFERROR(MAX(FILTER('REGISTRO PROD. v1'!W:W,'REGISTRO PROD. v1'!U:U=B407)),0),
    IFERROR(MAX(FILTER('REGISTRO PROD. v1'!AN:AN,'REGISTRO PROD. v1'!AL:AL=B407)"&amp;"),0),
    IFERROR(MAX(FILTER('REGISTRO PROD. v1'!BE:BE,'REGISTRO PROD. v1'!BC:BC=B407)),0),
    IFERROR(MAX(FILTER('REGISTRO PROD. v1'!BV:BV,'REGISTRO PROD. v1'!BT:BT=B407)),0)
  )=0,
  ""NO"",
  IF(
    MAX(
      IFERROR(MAX(FILTER('REGISTRO PROD. v1'!F"&amp;":F,'REGISTRO PROD. v1'!D:D=B407)),0),
      IFERROR(MAX(FILTER('REGISTRO PROD. v1'!W:W,'REGISTRO PROD. v1'!U:U=B407)),0),
      IFERROR(MAX(FILTER('REGISTRO PROD. v1'!AN:AN,'REGISTRO PROD. v1'!AL:AL=B407)),0),
      IFERROR(MAX(FILTER('REGISTRO PROD. v1'!"&amp;"BE:BE,'REGISTRO PROD. v1'!BC:BC=B407)),0),
      IFERROR(MAX(FILTER('REGISTRO PROD. v1'!BV:BV,'REGISTRO PROD. v1'!BT:BT=B407)),0)
    )&gt;=F407,
    ""SI"",
    ""EN PROCESO""
  )
)
"),"NO")</f>
        <v>NO</v>
      </c>
      <c r="F407" s="132" t="s">
        <v>65</v>
      </c>
    </row>
    <row r="408" spans="2:6" ht="15" x14ac:dyDescent="0.25">
      <c r="B408" s="131">
        <v>405</v>
      </c>
      <c r="C408" s="131">
        <v>2012</v>
      </c>
      <c r="D408" s="131" t="s">
        <v>109</v>
      </c>
      <c r="E408" s="131" t="str">
        <f ca="1">IFERROR(__xludf.DUMMYFUNCTION("IF(
  MAX(
    IFERROR(MAX(FILTER('REGISTRO PROD. v1'!F:F,'REGISTRO PROD. v1'!D:D=B408)),0),
    IFERROR(MAX(FILTER('REGISTRO PROD. v1'!W:W,'REGISTRO PROD. v1'!U:U=B408)),0),
    IFERROR(MAX(FILTER('REGISTRO PROD. v1'!AN:AN,'REGISTRO PROD. v1'!AL:AL=B408)"&amp;"),0),
    IFERROR(MAX(FILTER('REGISTRO PROD. v1'!BE:BE,'REGISTRO PROD. v1'!BC:BC=B408)),0),
    IFERROR(MAX(FILTER('REGISTRO PROD. v1'!BV:BV,'REGISTRO PROD. v1'!BT:BT=B408)),0)
  )=0,
  ""NO"",
  IF(
    MAX(
      IFERROR(MAX(FILTER('REGISTRO PROD. v1'!F"&amp;":F,'REGISTRO PROD. v1'!D:D=B408)),0),
      IFERROR(MAX(FILTER('REGISTRO PROD. v1'!W:W,'REGISTRO PROD. v1'!U:U=B408)),0),
      IFERROR(MAX(FILTER('REGISTRO PROD. v1'!AN:AN,'REGISTRO PROD. v1'!AL:AL=B408)),0),
      IFERROR(MAX(FILTER('REGISTRO PROD. v1'!"&amp;"BE:BE,'REGISTRO PROD. v1'!BC:BC=B408)),0),
      IFERROR(MAX(FILTER('REGISTRO PROD. v1'!BV:BV,'REGISTRO PROD. v1'!BT:BT=B408)),0)
    )&gt;=F408,
    ""SI"",
    ""EN PROCESO""
  )
)
"),"NO")</f>
        <v>NO</v>
      </c>
      <c r="F408" s="132" t="s">
        <v>65</v>
      </c>
    </row>
    <row r="409" spans="2:6" ht="15" x14ac:dyDescent="0.25">
      <c r="B409" s="131">
        <v>406</v>
      </c>
      <c r="C409" s="131">
        <v>2012</v>
      </c>
      <c r="D409" s="131" t="s">
        <v>110</v>
      </c>
      <c r="E409" s="131" t="str">
        <f ca="1">IFERROR(__xludf.DUMMYFUNCTION("IF(
  MAX(
    IFERROR(MAX(FILTER('REGISTRO PROD. v1'!F:F,'REGISTRO PROD. v1'!D:D=B409)),0),
    IFERROR(MAX(FILTER('REGISTRO PROD. v1'!W:W,'REGISTRO PROD. v1'!U:U=B409)),0),
    IFERROR(MAX(FILTER('REGISTRO PROD. v1'!AN:AN,'REGISTRO PROD. v1'!AL:AL=B409)"&amp;"),0),
    IFERROR(MAX(FILTER('REGISTRO PROD. v1'!BE:BE,'REGISTRO PROD. v1'!BC:BC=B409)),0),
    IFERROR(MAX(FILTER('REGISTRO PROD. v1'!BV:BV,'REGISTRO PROD. v1'!BT:BT=B409)),0)
  )=0,
  ""NO"",
  IF(
    MAX(
      IFERROR(MAX(FILTER('REGISTRO PROD. v1'!F"&amp;":F,'REGISTRO PROD. v1'!D:D=B409)),0),
      IFERROR(MAX(FILTER('REGISTRO PROD. v1'!W:W,'REGISTRO PROD. v1'!U:U=B409)),0),
      IFERROR(MAX(FILTER('REGISTRO PROD. v1'!AN:AN,'REGISTRO PROD. v1'!AL:AL=B409)),0),
      IFERROR(MAX(FILTER('REGISTRO PROD. v1'!"&amp;"BE:BE,'REGISTRO PROD. v1'!BC:BC=B409)),0),
      IFERROR(MAX(FILTER('REGISTRO PROD. v1'!BV:BV,'REGISTRO PROD. v1'!BT:BT=B409)),0)
    )&gt;=F409,
    ""SI"",
    ""EN PROCESO""
  )
)
"),"NO")</f>
        <v>NO</v>
      </c>
      <c r="F409" s="132" t="s">
        <v>65</v>
      </c>
    </row>
    <row r="410" spans="2:6" ht="15" x14ac:dyDescent="0.25">
      <c r="B410" s="131">
        <v>407</v>
      </c>
      <c r="C410" s="131">
        <v>2012</v>
      </c>
      <c r="D410" s="131" t="s">
        <v>111</v>
      </c>
      <c r="E410" s="131" t="str">
        <f ca="1">IFERROR(__xludf.DUMMYFUNCTION("IF(
  MAX(
    IFERROR(MAX(FILTER('REGISTRO PROD. v1'!F:F,'REGISTRO PROD. v1'!D:D=B410)),0),
    IFERROR(MAX(FILTER('REGISTRO PROD. v1'!W:W,'REGISTRO PROD. v1'!U:U=B410)),0),
    IFERROR(MAX(FILTER('REGISTRO PROD. v1'!AN:AN,'REGISTRO PROD. v1'!AL:AL=B410)"&amp;"),0),
    IFERROR(MAX(FILTER('REGISTRO PROD. v1'!BE:BE,'REGISTRO PROD. v1'!BC:BC=B410)),0),
    IFERROR(MAX(FILTER('REGISTRO PROD. v1'!BV:BV,'REGISTRO PROD. v1'!BT:BT=B410)),0)
  )=0,
  ""NO"",
  IF(
    MAX(
      IFERROR(MAX(FILTER('REGISTRO PROD. v1'!F"&amp;":F,'REGISTRO PROD. v1'!D:D=B410)),0),
      IFERROR(MAX(FILTER('REGISTRO PROD. v1'!W:W,'REGISTRO PROD. v1'!U:U=B410)),0),
      IFERROR(MAX(FILTER('REGISTRO PROD. v1'!AN:AN,'REGISTRO PROD. v1'!AL:AL=B410)),0),
      IFERROR(MAX(FILTER('REGISTRO PROD. v1'!"&amp;"BE:BE,'REGISTRO PROD. v1'!BC:BC=B410)),0),
      IFERROR(MAX(FILTER('REGISTRO PROD. v1'!BV:BV,'REGISTRO PROD. v1'!BT:BT=B410)),0)
    )&gt;=F410,
    ""SI"",
    ""EN PROCESO""
  )
)
"),"NO")</f>
        <v>NO</v>
      </c>
      <c r="F410" s="132" t="s">
        <v>65</v>
      </c>
    </row>
    <row r="411" spans="2:6" ht="15" x14ac:dyDescent="0.25">
      <c r="B411" s="131">
        <v>408</v>
      </c>
      <c r="C411" s="131">
        <v>2012</v>
      </c>
      <c r="D411" s="131" t="s">
        <v>112</v>
      </c>
      <c r="E411" s="131" t="str">
        <f ca="1">IFERROR(__xludf.DUMMYFUNCTION("IF(
  MAX(
    IFERROR(MAX(FILTER('REGISTRO PROD. v1'!F:F,'REGISTRO PROD. v1'!D:D=B411)),0),
    IFERROR(MAX(FILTER('REGISTRO PROD. v1'!W:W,'REGISTRO PROD. v1'!U:U=B411)),0),
    IFERROR(MAX(FILTER('REGISTRO PROD. v1'!AN:AN,'REGISTRO PROD. v1'!AL:AL=B411)"&amp;"),0),
    IFERROR(MAX(FILTER('REGISTRO PROD. v1'!BE:BE,'REGISTRO PROD. v1'!BC:BC=B411)),0),
    IFERROR(MAX(FILTER('REGISTRO PROD. v1'!BV:BV,'REGISTRO PROD. v1'!BT:BT=B411)),0)
  )=0,
  ""NO"",
  IF(
    MAX(
      IFERROR(MAX(FILTER('REGISTRO PROD. v1'!F"&amp;":F,'REGISTRO PROD. v1'!D:D=B411)),0),
      IFERROR(MAX(FILTER('REGISTRO PROD. v1'!W:W,'REGISTRO PROD. v1'!U:U=B411)),0),
      IFERROR(MAX(FILTER('REGISTRO PROD. v1'!AN:AN,'REGISTRO PROD. v1'!AL:AL=B411)),0),
      IFERROR(MAX(FILTER('REGISTRO PROD. v1'!"&amp;"BE:BE,'REGISTRO PROD. v1'!BC:BC=B411)),0),
      IFERROR(MAX(FILTER('REGISTRO PROD. v1'!BV:BV,'REGISTRO PROD. v1'!BT:BT=B411)),0)
    )&gt;=F411,
    ""SI"",
    ""EN PROCESO""
  )
)
"),"NO")</f>
        <v>NO</v>
      </c>
      <c r="F411" s="132" t="s">
        <v>65</v>
      </c>
    </row>
    <row r="412" spans="2:6" ht="15" x14ac:dyDescent="0.25">
      <c r="B412" s="131">
        <v>409</v>
      </c>
      <c r="C412" s="131">
        <v>2012</v>
      </c>
      <c r="D412" s="131" t="s">
        <v>113</v>
      </c>
      <c r="E412" s="131" t="str">
        <f ca="1">IFERROR(__xludf.DUMMYFUNCTION("IF(
  MAX(
    IFERROR(MAX(FILTER('REGISTRO PROD. v1'!F:F,'REGISTRO PROD. v1'!D:D=B412)),0),
    IFERROR(MAX(FILTER('REGISTRO PROD. v1'!W:W,'REGISTRO PROD. v1'!U:U=B412)),0),
    IFERROR(MAX(FILTER('REGISTRO PROD. v1'!AN:AN,'REGISTRO PROD. v1'!AL:AL=B412)"&amp;"),0),
    IFERROR(MAX(FILTER('REGISTRO PROD. v1'!BE:BE,'REGISTRO PROD. v1'!BC:BC=B412)),0),
    IFERROR(MAX(FILTER('REGISTRO PROD. v1'!BV:BV,'REGISTRO PROD. v1'!BT:BT=B412)),0)
  )=0,
  ""NO"",
  IF(
    MAX(
      IFERROR(MAX(FILTER('REGISTRO PROD. v1'!F"&amp;":F,'REGISTRO PROD. v1'!D:D=B412)),0),
      IFERROR(MAX(FILTER('REGISTRO PROD. v1'!W:W,'REGISTRO PROD. v1'!U:U=B412)),0),
      IFERROR(MAX(FILTER('REGISTRO PROD. v1'!AN:AN,'REGISTRO PROD. v1'!AL:AL=B412)),0),
      IFERROR(MAX(FILTER('REGISTRO PROD. v1'!"&amp;"BE:BE,'REGISTRO PROD. v1'!BC:BC=B412)),0),
      IFERROR(MAX(FILTER('REGISTRO PROD. v1'!BV:BV,'REGISTRO PROD. v1'!BT:BT=B412)),0)
    )&gt;=F412,
    ""SI"",
    ""EN PROCESO""
  )
)
"),"NO")</f>
        <v>NO</v>
      </c>
      <c r="F412" s="132" t="s">
        <v>65</v>
      </c>
    </row>
    <row r="413" spans="2:6" ht="15" x14ac:dyDescent="0.25">
      <c r="B413" s="131">
        <v>410</v>
      </c>
      <c r="C413" s="131">
        <v>2012</v>
      </c>
      <c r="D413" s="131" t="s">
        <v>114</v>
      </c>
      <c r="E413" s="131" t="str">
        <f ca="1">IFERROR(__xludf.DUMMYFUNCTION("IF(
  MAX(
    IFERROR(MAX(FILTER('REGISTRO PROD. v1'!F:F,'REGISTRO PROD. v1'!D:D=B413)),0),
    IFERROR(MAX(FILTER('REGISTRO PROD. v1'!W:W,'REGISTRO PROD. v1'!U:U=B413)),0),
    IFERROR(MAX(FILTER('REGISTRO PROD. v1'!AN:AN,'REGISTRO PROD. v1'!AL:AL=B413)"&amp;"),0),
    IFERROR(MAX(FILTER('REGISTRO PROD. v1'!BE:BE,'REGISTRO PROD. v1'!BC:BC=B413)),0),
    IFERROR(MAX(FILTER('REGISTRO PROD. v1'!BV:BV,'REGISTRO PROD. v1'!BT:BT=B413)),0)
  )=0,
  ""NO"",
  IF(
    MAX(
      IFERROR(MAX(FILTER('REGISTRO PROD. v1'!F"&amp;":F,'REGISTRO PROD. v1'!D:D=B413)),0),
      IFERROR(MAX(FILTER('REGISTRO PROD. v1'!W:W,'REGISTRO PROD. v1'!U:U=B413)),0),
      IFERROR(MAX(FILTER('REGISTRO PROD. v1'!AN:AN,'REGISTRO PROD. v1'!AL:AL=B413)),0),
      IFERROR(MAX(FILTER('REGISTRO PROD. v1'!"&amp;"BE:BE,'REGISTRO PROD. v1'!BC:BC=B413)),0),
      IFERROR(MAX(FILTER('REGISTRO PROD. v1'!BV:BV,'REGISTRO PROD. v1'!BT:BT=B413)),0)
    )&gt;=F413,
    ""SI"",
    ""EN PROCESO""
  )
)
"),"NO")</f>
        <v>NO</v>
      </c>
      <c r="F413" s="132" t="s">
        <v>65</v>
      </c>
    </row>
    <row r="414" spans="2:6" ht="15" x14ac:dyDescent="0.25">
      <c r="B414" s="131">
        <v>411</v>
      </c>
      <c r="C414" s="131">
        <v>2012</v>
      </c>
      <c r="D414" s="131" t="s">
        <v>115</v>
      </c>
      <c r="E414" s="131" t="str">
        <f ca="1">IFERROR(__xludf.DUMMYFUNCTION("IF(
  MAX(
    IFERROR(MAX(FILTER('REGISTRO PROD. v1'!F:F,'REGISTRO PROD. v1'!D:D=B414)),0),
    IFERROR(MAX(FILTER('REGISTRO PROD. v1'!W:W,'REGISTRO PROD. v1'!U:U=B414)),0),
    IFERROR(MAX(FILTER('REGISTRO PROD. v1'!AN:AN,'REGISTRO PROD. v1'!AL:AL=B414)"&amp;"),0),
    IFERROR(MAX(FILTER('REGISTRO PROD. v1'!BE:BE,'REGISTRO PROD. v1'!BC:BC=B414)),0),
    IFERROR(MAX(FILTER('REGISTRO PROD. v1'!BV:BV,'REGISTRO PROD. v1'!BT:BT=B414)),0)
  )=0,
  ""NO"",
  IF(
    MAX(
      IFERROR(MAX(FILTER('REGISTRO PROD. v1'!F"&amp;":F,'REGISTRO PROD. v1'!D:D=B414)),0),
      IFERROR(MAX(FILTER('REGISTRO PROD. v1'!W:W,'REGISTRO PROD. v1'!U:U=B414)),0),
      IFERROR(MAX(FILTER('REGISTRO PROD. v1'!AN:AN,'REGISTRO PROD. v1'!AL:AL=B414)),0),
      IFERROR(MAX(FILTER('REGISTRO PROD. v1'!"&amp;"BE:BE,'REGISTRO PROD. v1'!BC:BC=B414)),0),
      IFERROR(MAX(FILTER('REGISTRO PROD. v1'!BV:BV,'REGISTRO PROD. v1'!BT:BT=B414)),0)
    )&gt;=F414,
    ""SI"",
    ""EN PROCESO""
  )
)
"),"NO")</f>
        <v>NO</v>
      </c>
      <c r="F414" s="132" t="s">
        <v>65</v>
      </c>
    </row>
    <row r="415" spans="2:6" ht="15" x14ac:dyDescent="0.25">
      <c r="B415" s="131">
        <v>412</v>
      </c>
      <c r="C415" s="131">
        <v>2012</v>
      </c>
      <c r="D415" s="131" t="s">
        <v>116</v>
      </c>
      <c r="E415" s="131" t="str">
        <f ca="1">IFERROR(__xludf.DUMMYFUNCTION("IF(
  MAX(
    IFERROR(MAX(FILTER('REGISTRO PROD. v1'!F:F,'REGISTRO PROD. v1'!D:D=B415)),0),
    IFERROR(MAX(FILTER('REGISTRO PROD. v1'!W:W,'REGISTRO PROD. v1'!U:U=B415)),0),
    IFERROR(MAX(FILTER('REGISTRO PROD. v1'!AN:AN,'REGISTRO PROD. v1'!AL:AL=B415)"&amp;"),0),
    IFERROR(MAX(FILTER('REGISTRO PROD. v1'!BE:BE,'REGISTRO PROD. v1'!BC:BC=B415)),0),
    IFERROR(MAX(FILTER('REGISTRO PROD. v1'!BV:BV,'REGISTRO PROD. v1'!BT:BT=B415)),0)
  )=0,
  ""NO"",
  IF(
    MAX(
      IFERROR(MAX(FILTER('REGISTRO PROD. v1'!F"&amp;":F,'REGISTRO PROD. v1'!D:D=B415)),0),
      IFERROR(MAX(FILTER('REGISTRO PROD. v1'!W:W,'REGISTRO PROD. v1'!U:U=B415)),0),
      IFERROR(MAX(FILTER('REGISTRO PROD. v1'!AN:AN,'REGISTRO PROD. v1'!AL:AL=B415)),0),
      IFERROR(MAX(FILTER('REGISTRO PROD. v1'!"&amp;"BE:BE,'REGISTRO PROD. v1'!BC:BC=B415)),0),
      IFERROR(MAX(FILTER('REGISTRO PROD. v1'!BV:BV,'REGISTRO PROD. v1'!BT:BT=B415)),0)
    )&gt;=F415,
    ""SI"",
    ""EN PROCESO""
  )
)
"),"NO")</f>
        <v>NO</v>
      </c>
      <c r="F415" s="132" t="s">
        <v>65</v>
      </c>
    </row>
    <row r="416" spans="2:6" ht="15" x14ac:dyDescent="0.25">
      <c r="B416" s="131">
        <v>413</v>
      </c>
      <c r="C416" s="131">
        <v>2012</v>
      </c>
      <c r="D416" s="131" t="s">
        <v>117</v>
      </c>
      <c r="E416" s="131" t="str">
        <f ca="1">IFERROR(__xludf.DUMMYFUNCTION("IF(
  MAX(
    IFERROR(MAX(FILTER('REGISTRO PROD. v1'!F:F,'REGISTRO PROD. v1'!D:D=B416)),0),
    IFERROR(MAX(FILTER('REGISTRO PROD. v1'!W:W,'REGISTRO PROD. v1'!U:U=B416)),0),
    IFERROR(MAX(FILTER('REGISTRO PROD. v1'!AN:AN,'REGISTRO PROD. v1'!AL:AL=B416)"&amp;"),0),
    IFERROR(MAX(FILTER('REGISTRO PROD. v1'!BE:BE,'REGISTRO PROD. v1'!BC:BC=B416)),0),
    IFERROR(MAX(FILTER('REGISTRO PROD. v1'!BV:BV,'REGISTRO PROD. v1'!BT:BT=B416)),0)
  )=0,
  ""NO"",
  IF(
    MAX(
      IFERROR(MAX(FILTER('REGISTRO PROD. v1'!F"&amp;":F,'REGISTRO PROD. v1'!D:D=B416)),0),
      IFERROR(MAX(FILTER('REGISTRO PROD. v1'!W:W,'REGISTRO PROD. v1'!U:U=B416)),0),
      IFERROR(MAX(FILTER('REGISTRO PROD. v1'!AN:AN,'REGISTRO PROD. v1'!AL:AL=B416)),0),
      IFERROR(MAX(FILTER('REGISTRO PROD. v1'!"&amp;"BE:BE,'REGISTRO PROD. v1'!BC:BC=B416)),0),
      IFERROR(MAX(FILTER('REGISTRO PROD. v1'!BV:BV,'REGISTRO PROD. v1'!BT:BT=B416)),0)
    )&gt;=F416,
    ""SI"",
    ""EN PROCESO""
  )
)
"),"NO")</f>
        <v>NO</v>
      </c>
      <c r="F416" s="132" t="s">
        <v>65</v>
      </c>
    </row>
    <row r="417" spans="2:6" ht="15" x14ac:dyDescent="0.25">
      <c r="B417" s="131">
        <v>414</v>
      </c>
      <c r="C417" s="131">
        <v>2012</v>
      </c>
      <c r="D417" s="131" t="s">
        <v>118</v>
      </c>
      <c r="E417" s="131" t="str">
        <f ca="1">IFERROR(__xludf.DUMMYFUNCTION("IF(
  MAX(
    IFERROR(MAX(FILTER('REGISTRO PROD. v1'!F:F,'REGISTRO PROD. v1'!D:D=B417)),0),
    IFERROR(MAX(FILTER('REGISTRO PROD. v1'!W:W,'REGISTRO PROD. v1'!U:U=B417)),0),
    IFERROR(MAX(FILTER('REGISTRO PROD. v1'!AN:AN,'REGISTRO PROD. v1'!AL:AL=B417)"&amp;"),0),
    IFERROR(MAX(FILTER('REGISTRO PROD. v1'!BE:BE,'REGISTRO PROD. v1'!BC:BC=B417)),0),
    IFERROR(MAX(FILTER('REGISTRO PROD. v1'!BV:BV,'REGISTRO PROD. v1'!BT:BT=B417)),0)
  )=0,
  ""NO"",
  IF(
    MAX(
      IFERROR(MAX(FILTER('REGISTRO PROD. v1'!F"&amp;":F,'REGISTRO PROD. v1'!D:D=B417)),0),
      IFERROR(MAX(FILTER('REGISTRO PROD. v1'!W:W,'REGISTRO PROD. v1'!U:U=B417)),0),
      IFERROR(MAX(FILTER('REGISTRO PROD. v1'!AN:AN,'REGISTRO PROD. v1'!AL:AL=B417)),0),
      IFERROR(MAX(FILTER('REGISTRO PROD. v1'!"&amp;"BE:BE,'REGISTRO PROD. v1'!BC:BC=B417)),0),
      IFERROR(MAX(FILTER('REGISTRO PROD. v1'!BV:BV,'REGISTRO PROD. v1'!BT:BT=B417)),0)
    )&gt;=F417,
    ""SI"",
    ""EN PROCESO""
  )
)
"),"NO")</f>
        <v>NO</v>
      </c>
      <c r="F417" s="132" t="s">
        <v>65</v>
      </c>
    </row>
    <row r="418" spans="2:6" ht="15" x14ac:dyDescent="0.25">
      <c r="B418" s="131">
        <v>415</v>
      </c>
      <c r="C418" s="131">
        <v>2012</v>
      </c>
      <c r="D418" s="131" t="s">
        <v>119</v>
      </c>
      <c r="E418" s="131" t="str">
        <f ca="1">IFERROR(__xludf.DUMMYFUNCTION("IF(
  MAX(
    IFERROR(MAX(FILTER('REGISTRO PROD. v1'!F:F,'REGISTRO PROD. v1'!D:D=B418)),0),
    IFERROR(MAX(FILTER('REGISTRO PROD. v1'!W:W,'REGISTRO PROD. v1'!U:U=B418)),0),
    IFERROR(MAX(FILTER('REGISTRO PROD. v1'!AN:AN,'REGISTRO PROD. v1'!AL:AL=B418)"&amp;"),0),
    IFERROR(MAX(FILTER('REGISTRO PROD. v1'!BE:BE,'REGISTRO PROD. v1'!BC:BC=B418)),0),
    IFERROR(MAX(FILTER('REGISTRO PROD. v1'!BV:BV,'REGISTRO PROD. v1'!BT:BT=B418)),0)
  )=0,
  ""NO"",
  IF(
    MAX(
      IFERROR(MAX(FILTER('REGISTRO PROD. v1'!F"&amp;":F,'REGISTRO PROD. v1'!D:D=B418)),0),
      IFERROR(MAX(FILTER('REGISTRO PROD. v1'!W:W,'REGISTRO PROD. v1'!U:U=B418)),0),
      IFERROR(MAX(FILTER('REGISTRO PROD. v1'!AN:AN,'REGISTRO PROD. v1'!AL:AL=B418)),0),
      IFERROR(MAX(FILTER('REGISTRO PROD. v1'!"&amp;"BE:BE,'REGISTRO PROD. v1'!BC:BC=B418)),0),
      IFERROR(MAX(FILTER('REGISTRO PROD. v1'!BV:BV,'REGISTRO PROD. v1'!BT:BT=B418)),0)
    )&gt;=F418,
    ""SI"",
    ""EN PROCESO""
  )
)
"),"NO")</f>
        <v>NO</v>
      </c>
      <c r="F418" s="132" t="s">
        <v>65</v>
      </c>
    </row>
    <row r="419" spans="2:6" ht="15" x14ac:dyDescent="0.25">
      <c r="B419" s="131">
        <v>416</v>
      </c>
      <c r="C419" s="131">
        <v>2012</v>
      </c>
      <c r="D419" s="131" t="s">
        <v>121</v>
      </c>
      <c r="E419" s="131" t="str">
        <f ca="1">IFERROR(__xludf.DUMMYFUNCTION("IF(
  MAX(
    IFERROR(MAX(FILTER('REGISTRO PROD. v1'!F:F,'REGISTRO PROD. v1'!D:D=B419)),0),
    IFERROR(MAX(FILTER('REGISTRO PROD. v1'!W:W,'REGISTRO PROD. v1'!U:U=B419)),0),
    IFERROR(MAX(FILTER('REGISTRO PROD. v1'!AN:AN,'REGISTRO PROD. v1'!AL:AL=B419)"&amp;"),0),
    IFERROR(MAX(FILTER('REGISTRO PROD. v1'!BE:BE,'REGISTRO PROD. v1'!BC:BC=B419)),0),
    IFERROR(MAX(FILTER('REGISTRO PROD. v1'!BV:BV,'REGISTRO PROD. v1'!BT:BT=B419)),0)
  )=0,
  ""NO"",
  IF(
    MAX(
      IFERROR(MAX(FILTER('REGISTRO PROD. v1'!F"&amp;":F,'REGISTRO PROD. v1'!D:D=B419)),0),
      IFERROR(MAX(FILTER('REGISTRO PROD. v1'!W:W,'REGISTRO PROD. v1'!U:U=B419)),0),
      IFERROR(MAX(FILTER('REGISTRO PROD. v1'!AN:AN,'REGISTRO PROD. v1'!AL:AL=B419)),0),
      IFERROR(MAX(FILTER('REGISTRO PROD. v1'!"&amp;"BE:BE,'REGISTRO PROD. v1'!BC:BC=B419)),0),
      IFERROR(MAX(FILTER('REGISTRO PROD. v1'!BV:BV,'REGISTRO PROD. v1'!BT:BT=B419)),0)
    )&gt;=F419,
    ""SI"",
    ""EN PROCESO""
  )
)
"),"NO")</f>
        <v>NO</v>
      </c>
      <c r="F419" s="132" t="s">
        <v>65</v>
      </c>
    </row>
    <row r="420" spans="2:6" ht="15" x14ac:dyDescent="0.25">
      <c r="B420" s="131">
        <v>417</v>
      </c>
      <c r="C420" s="131">
        <v>2012</v>
      </c>
      <c r="D420" s="131" t="s">
        <v>122</v>
      </c>
      <c r="E420" s="131" t="str">
        <f ca="1">IFERROR(__xludf.DUMMYFUNCTION("IF(
  MAX(
    IFERROR(MAX(FILTER('REGISTRO PROD. v1'!F:F,'REGISTRO PROD. v1'!D:D=B420)),0),
    IFERROR(MAX(FILTER('REGISTRO PROD. v1'!W:W,'REGISTRO PROD. v1'!U:U=B420)),0),
    IFERROR(MAX(FILTER('REGISTRO PROD. v1'!AN:AN,'REGISTRO PROD. v1'!AL:AL=B420)"&amp;"),0),
    IFERROR(MAX(FILTER('REGISTRO PROD. v1'!BE:BE,'REGISTRO PROD. v1'!BC:BC=B420)),0),
    IFERROR(MAX(FILTER('REGISTRO PROD. v1'!BV:BV,'REGISTRO PROD. v1'!BT:BT=B420)),0)
  )=0,
  ""NO"",
  IF(
    MAX(
      IFERROR(MAX(FILTER('REGISTRO PROD. v1'!F"&amp;":F,'REGISTRO PROD. v1'!D:D=B420)),0),
      IFERROR(MAX(FILTER('REGISTRO PROD. v1'!W:W,'REGISTRO PROD. v1'!U:U=B420)),0),
      IFERROR(MAX(FILTER('REGISTRO PROD. v1'!AN:AN,'REGISTRO PROD. v1'!AL:AL=B420)),0),
      IFERROR(MAX(FILTER('REGISTRO PROD. v1'!"&amp;"BE:BE,'REGISTRO PROD. v1'!BC:BC=B420)),0),
      IFERROR(MAX(FILTER('REGISTRO PROD. v1'!BV:BV,'REGISTRO PROD. v1'!BT:BT=B420)),0)
    )&gt;=F420,
    ""SI"",
    ""EN PROCESO""
  )
)
"),"NO")</f>
        <v>NO</v>
      </c>
      <c r="F420" s="132" t="s">
        <v>65</v>
      </c>
    </row>
    <row r="421" spans="2:6" ht="15" x14ac:dyDescent="0.25">
      <c r="B421" s="131">
        <v>418</v>
      </c>
      <c r="C421" s="131">
        <v>2012</v>
      </c>
      <c r="D421" s="131" t="s">
        <v>123</v>
      </c>
      <c r="E421" s="131" t="str">
        <f ca="1">IFERROR(__xludf.DUMMYFUNCTION("IF(
  MAX(
    IFERROR(MAX(FILTER('REGISTRO PROD. v1'!F:F,'REGISTRO PROD. v1'!D:D=B421)),0),
    IFERROR(MAX(FILTER('REGISTRO PROD. v1'!W:W,'REGISTRO PROD. v1'!U:U=B421)),0),
    IFERROR(MAX(FILTER('REGISTRO PROD. v1'!AN:AN,'REGISTRO PROD. v1'!AL:AL=B421)"&amp;"),0),
    IFERROR(MAX(FILTER('REGISTRO PROD. v1'!BE:BE,'REGISTRO PROD. v1'!BC:BC=B421)),0),
    IFERROR(MAX(FILTER('REGISTRO PROD. v1'!BV:BV,'REGISTRO PROD. v1'!BT:BT=B421)),0)
  )=0,
  ""NO"",
  IF(
    MAX(
      IFERROR(MAX(FILTER('REGISTRO PROD. v1'!F"&amp;":F,'REGISTRO PROD. v1'!D:D=B421)),0),
      IFERROR(MAX(FILTER('REGISTRO PROD. v1'!W:W,'REGISTRO PROD. v1'!U:U=B421)),0),
      IFERROR(MAX(FILTER('REGISTRO PROD. v1'!AN:AN,'REGISTRO PROD. v1'!AL:AL=B421)),0),
      IFERROR(MAX(FILTER('REGISTRO PROD. v1'!"&amp;"BE:BE,'REGISTRO PROD. v1'!BC:BC=B421)),0),
      IFERROR(MAX(FILTER('REGISTRO PROD. v1'!BV:BV,'REGISTRO PROD. v1'!BT:BT=B421)),0)
    )&gt;=F421,
    ""SI"",
    ""EN PROCESO""
  )
)
"),"NO")</f>
        <v>NO</v>
      </c>
      <c r="F421" s="132" t="s">
        <v>65</v>
      </c>
    </row>
    <row r="422" spans="2:6" ht="15" x14ac:dyDescent="0.25">
      <c r="B422" s="131">
        <v>419</v>
      </c>
      <c r="C422" s="131">
        <v>2012</v>
      </c>
      <c r="D422" s="131" t="s">
        <v>124</v>
      </c>
      <c r="E422" s="131" t="str">
        <f ca="1">IFERROR(__xludf.DUMMYFUNCTION("IF(
  MAX(
    IFERROR(MAX(FILTER('REGISTRO PROD. v1'!F:F,'REGISTRO PROD. v1'!D:D=B422)),0),
    IFERROR(MAX(FILTER('REGISTRO PROD. v1'!W:W,'REGISTRO PROD. v1'!U:U=B422)),0),
    IFERROR(MAX(FILTER('REGISTRO PROD. v1'!AN:AN,'REGISTRO PROD. v1'!AL:AL=B422)"&amp;"),0),
    IFERROR(MAX(FILTER('REGISTRO PROD. v1'!BE:BE,'REGISTRO PROD. v1'!BC:BC=B422)),0),
    IFERROR(MAX(FILTER('REGISTRO PROD. v1'!BV:BV,'REGISTRO PROD. v1'!BT:BT=B422)),0)
  )=0,
  ""NO"",
  IF(
    MAX(
      IFERROR(MAX(FILTER('REGISTRO PROD. v1'!F"&amp;":F,'REGISTRO PROD. v1'!D:D=B422)),0),
      IFERROR(MAX(FILTER('REGISTRO PROD. v1'!W:W,'REGISTRO PROD. v1'!U:U=B422)),0),
      IFERROR(MAX(FILTER('REGISTRO PROD. v1'!AN:AN,'REGISTRO PROD. v1'!AL:AL=B422)),0),
      IFERROR(MAX(FILTER('REGISTRO PROD. v1'!"&amp;"BE:BE,'REGISTRO PROD. v1'!BC:BC=B422)),0),
      IFERROR(MAX(FILTER('REGISTRO PROD. v1'!BV:BV,'REGISTRO PROD. v1'!BT:BT=B422)),0)
    )&gt;=F422,
    ""SI"",
    ""EN PROCESO""
  )
)
"),"SI")</f>
        <v>SI</v>
      </c>
      <c r="F422" s="132" t="s">
        <v>65</v>
      </c>
    </row>
    <row r="423" spans="2:6" ht="15" x14ac:dyDescent="0.25">
      <c r="B423" s="131">
        <v>420</v>
      </c>
      <c r="C423" s="131">
        <v>2012</v>
      </c>
      <c r="D423" s="131" t="s">
        <v>125</v>
      </c>
      <c r="E423" s="131" t="str">
        <f ca="1">IFERROR(__xludf.DUMMYFUNCTION("IF(
  MAX(
    IFERROR(MAX(FILTER('REGISTRO PROD. v1'!F:F,'REGISTRO PROD. v1'!D:D=B423)),0),
    IFERROR(MAX(FILTER('REGISTRO PROD. v1'!W:W,'REGISTRO PROD. v1'!U:U=B423)),0),
    IFERROR(MAX(FILTER('REGISTRO PROD. v1'!AN:AN,'REGISTRO PROD. v1'!AL:AL=B423)"&amp;"),0),
    IFERROR(MAX(FILTER('REGISTRO PROD. v1'!BE:BE,'REGISTRO PROD. v1'!BC:BC=B423)),0),
    IFERROR(MAX(FILTER('REGISTRO PROD. v1'!BV:BV,'REGISTRO PROD. v1'!BT:BT=B423)),0)
  )=0,
  ""NO"",
  IF(
    MAX(
      IFERROR(MAX(FILTER('REGISTRO PROD. v1'!F"&amp;":F,'REGISTRO PROD. v1'!D:D=B423)),0),
      IFERROR(MAX(FILTER('REGISTRO PROD. v1'!W:W,'REGISTRO PROD. v1'!U:U=B423)),0),
      IFERROR(MAX(FILTER('REGISTRO PROD. v1'!AN:AN,'REGISTRO PROD. v1'!AL:AL=B423)),0),
      IFERROR(MAX(FILTER('REGISTRO PROD. v1'!"&amp;"BE:BE,'REGISTRO PROD. v1'!BC:BC=B423)),0),
      IFERROR(MAX(FILTER('REGISTRO PROD. v1'!BV:BV,'REGISTRO PROD. v1'!BT:BT=B423)),0)
    )&gt;=F423,
    ""SI"",
    ""EN PROCESO""
  )
)
"),"NO")</f>
        <v>NO</v>
      </c>
      <c r="F423" s="132" t="s">
        <v>65</v>
      </c>
    </row>
    <row r="424" spans="2:6" ht="15" x14ac:dyDescent="0.25">
      <c r="B424" s="131">
        <v>421</v>
      </c>
      <c r="C424" s="131">
        <v>2012</v>
      </c>
      <c r="D424" s="131" t="s">
        <v>126</v>
      </c>
      <c r="E424" s="131" t="str">
        <f ca="1">IFERROR(__xludf.DUMMYFUNCTION("IF(
  MAX(
    IFERROR(MAX(FILTER('REGISTRO PROD. v1'!F:F,'REGISTRO PROD. v1'!D:D=B424)),0),
    IFERROR(MAX(FILTER('REGISTRO PROD. v1'!W:W,'REGISTRO PROD. v1'!U:U=B424)),0),
    IFERROR(MAX(FILTER('REGISTRO PROD. v1'!AN:AN,'REGISTRO PROD. v1'!AL:AL=B424)"&amp;"),0),
    IFERROR(MAX(FILTER('REGISTRO PROD. v1'!BE:BE,'REGISTRO PROD. v1'!BC:BC=B424)),0),
    IFERROR(MAX(FILTER('REGISTRO PROD. v1'!BV:BV,'REGISTRO PROD. v1'!BT:BT=B424)),0)
  )=0,
  ""NO"",
  IF(
    MAX(
      IFERROR(MAX(FILTER('REGISTRO PROD. v1'!F"&amp;":F,'REGISTRO PROD. v1'!D:D=B424)),0),
      IFERROR(MAX(FILTER('REGISTRO PROD. v1'!W:W,'REGISTRO PROD. v1'!U:U=B424)),0),
      IFERROR(MAX(FILTER('REGISTRO PROD. v1'!AN:AN,'REGISTRO PROD. v1'!AL:AL=B424)),0),
      IFERROR(MAX(FILTER('REGISTRO PROD. v1'!"&amp;"BE:BE,'REGISTRO PROD. v1'!BC:BC=B424)),0),
      IFERROR(MAX(FILTER('REGISTRO PROD. v1'!BV:BV,'REGISTRO PROD. v1'!BT:BT=B424)),0)
    )&gt;=F424,
    ""SI"",
    ""EN PROCESO""
  )
)
"),"NO")</f>
        <v>NO</v>
      </c>
      <c r="F424" s="132" t="s">
        <v>65</v>
      </c>
    </row>
    <row r="425" spans="2:6" ht="15" x14ac:dyDescent="0.25">
      <c r="B425" s="131">
        <v>422</v>
      </c>
      <c r="C425" s="131">
        <v>2012</v>
      </c>
      <c r="D425" s="131" t="s">
        <v>128</v>
      </c>
      <c r="E425" s="131" t="str">
        <f ca="1">IFERROR(__xludf.DUMMYFUNCTION("IF(
  MAX(
    IFERROR(MAX(FILTER('REGISTRO PROD. v1'!F:F,'REGISTRO PROD. v1'!D:D=B425)),0),
    IFERROR(MAX(FILTER('REGISTRO PROD. v1'!W:W,'REGISTRO PROD. v1'!U:U=B425)),0),
    IFERROR(MAX(FILTER('REGISTRO PROD. v1'!AN:AN,'REGISTRO PROD. v1'!AL:AL=B425)"&amp;"),0),
    IFERROR(MAX(FILTER('REGISTRO PROD. v1'!BE:BE,'REGISTRO PROD. v1'!BC:BC=B425)),0),
    IFERROR(MAX(FILTER('REGISTRO PROD. v1'!BV:BV,'REGISTRO PROD. v1'!BT:BT=B425)),0)
  )=0,
  ""NO"",
  IF(
    MAX(
      IFERROR(MAX(FILTER('REGISTRO PROD. v1'!F"&amp;":F,'REGISTRO PROD. v1'!D:D=B425)),0),
      IFERROR(MAX(FILTER('REGISTRO PROD. v1'!W:W,'REGISTRO PROD. v1'!U:U=B425)),0),
      IFERROR(MAX(FILTER('REGISTRO PROD. v1'!AN:AN,'REGISTRO PROD. v1'!AL:AL=B425)),0),
      IFERROR(MAX(FILTER('REGISTRO PROD. v1'!"&amp;"BE:BE,'REGISTRO PROD. v1'!BC:BC=B425)),0),
      IFERROR(MAX(FILTER('REGISTRO PROD. v1'!BV:BV,'REGISTRO PROD. v1'!BT:BT=B425)),0)
    )&gt;=F425,
    ""SI"",
    ""EN PROCESO""
  )
)
"),"NO")</f>
        <v>NO</v>
      </c>
      <c r="F425" s="132" t="s">
        <v>65</v>
      </c>
    </row>
    <row r="426" spans="2:6" ht="15" x14ac:dyDescent="0.25">
      <c r="B426" s="131">
        <v>423</v>
      </c>
      <c r="C426" s="131">
        <v>2012</v>
      </c>
      <c r="D426" s="131" t="s">
        <v>129</v>
      </c>
      <c r="E426" s="131" t="str">
        <f ca="1">IFERROR(__xludf.DUMMYFUNCTION("IF(
  MAX(
    IFERROR(MAX(FILTER('REGISTRO PROD. v1'!F:F,'REGISTRO PROD. v1'!D:D=B426)),0),
    IFERROR(MAX(FILTER('REGISTRO PROD. v1'!W:W,'REGISTRO PROD. v1'!U:U=B426)),0),
    IFERROR(MAX(FILTER('REGISTRO PROD. v1'!AN:AN,'REGISTRO PROD. v1'!AL:AL=B426)"&amp;"),0),
    IFERROR(MAX(FILTER('REGISTRO PROD. v1'!BE:BE,'REGISTRO PROD. v1'!BC:BC=B426)),0),
    IFERROR(MAX(FILTER('REGISTRO PROD. v1'!BV:BV,'REGISTRO PROD. v1'!BT:BT=B426)),0)
  )=0,
  ""NO"",
  IF(
    MAX(
      IFERROR(MAX(FILTER('REGISTRO PROD. v1'!F"&amp;":F,'REGISTRO PROD. v1'!D:D=B426)),0),
      IFERROR(MAX(FILTER('REGISTRO PROD. v1'!W:W,'REGISTRO PROD. v1'!U:U=B426)),0),
      IFERROR(MAX(FILTER('REGISTRO PROD. v1'!AN:AN,'REGISTRO PROD. v1'!AL:AL=B426)),0),
      IFERROR(MAX(FILTER('REGISTRO PROD. v1'!"&amp;"BE:BE,'REGISTRO PROD. v1'!BC:BC=B426)),0),
      IFERROR(MAX(FILTER('REGISTRO PROD. v1'!BV:BV,'REGISTRO PROD. v1'!BT:BT=B426)),0)
    )&gt;=F426,
    ""SI"",
    ""EN PROCESO""
  )
)
"),"NO")</f>
        <v>NO</v>
      </c>
      <c r="F426" s="132" t="s">
        <v>65</v>
      </c>
    </row>
    <row r="427" spans="2:6" ht="15" x14ac:dyDescent="0.25">
      <c r="B427" s="131">
        <v>424</v>
      </c>
      <c r="C427" s="131">
        <v>2012</v>
      </c>
      <c r="D427" s="131" t="s">
        <v>130</v>
      </c>
      <c r="E427" s="131" t="str">
        <f ca="1">IFERROR(__xludf.DUMMYFUNCTION("IF(
  MAX(
    IFERROR(MAX(FILTER('REGISTRO PROD. v1'!F:F,'REGISTRO PROD. v1'!D:D=B427)),0),
    IFERROR(MAX(FILTER('REGISTRO PROD. v1'!W:W,'REGISTRO PROD. v1'!U:U=B427)),0),
    IFERROR(MAX(FILTER('REGISTRO PROD. v1'!AN:AN,'REGISTRO PROD. v1'!AL:AL=B427)"&amp;"),0),
    IFERROR(MAX(FILTER('REGISTRO PROD. v1'!BE:BE,'REGISTRO PROD. v1'!BC:BC=B427)),0),
    IFERROR(MAX(FILTER('REGISTRO PROD. v1'!BV:BV,'REGISTRO PROD. v1'!BT:BT=B427)),0)
  )=0,
  ""NO"",
  IF(
    MAX(
      IFERROR(MAX(FILTER('REGISTRO PROD. v1'!F"&amp;":F,'REGISTRO PROD. v1'!D:D=B427)),0),
      IFERROR(MAX(FILTER('REGISTRO PROD. v1'!W:W,'REGISTRO PROD. v1'!U:U=B427)),0),
      IFERROR(MAX(FILTER('REGISTRO PROD. v1'!AN:AN,'REGISTRO PROD. v1'!AL:AL=B427)),0),
      IFERROR(MAX(FILTER('REGISTRO PROD. v1'!"&amp;"BE:BE,'REGISTRO PROD. v1'!BC:BC=B427)),0),
      IFERROR(MAX(FILTER('REGISTRO PROD. v1'!BV:BV,'REGISTRO PROD. v1'!BT:BT=B427)),0)
    )&gt;=F427,
    ""SI"",
    ""EN PROCESO""
  )
)
"),"NO")</f>
        <v>NO</v>
      </c>
      <c r="F427" s="132" t="s">
        <v>65</v>
      </c>
    </row>
    <row r="428" spans="2:6" ht="15" x14ac:dyDescent="0.25">
      <c r="B428" s="131">
        <v>425</v>
      </c>
      <c r="C428" s="131">
        <v>2012</v>
      </c>
      <c r="D428" s="131" t="s">
        <v>131</v>
      </c>
      <c r="E428" s="131" t="str">
        <f ca="1">IFERROR(__xludf.DUMMYFUNCTION("IF(
  MAX(
    IFERROR(MAX(FILTER('REGISTRO PROD. v1'!F:F,'REGISTRO PROD. v1'!D:D=B428)),0),
    IFERROR(MAX(FILTER('REGISTRO PROD. v1'!W:W,'REGISTRO PROD. v1'!U:U=B428)),0),
    IFERROR(MAX(FILTER('REGISTRO PROD. v1'!AN:AN,'REGISTRO PROD. v1'!AL:AL=B428)"&amp;"),0),
    IFERROR(MAX(FILTER('REGISTRO PROD. v1'!BE:BE,'REGISTRO PROD. v1'!BC:BC=B428)),0),
    IFERROR(MAX(FILTER('REGISTRO PROD. v1'!BV:BV,'REGISTRO PROD. v1'!BT:BT=B428)),0)
  )=0,
  ""NO"",
  IF(
    MAX(
      IFERROR(MAX(FILTER('REGISTRO PROD. v1'!F"&amp;":F,'REGISTRO PROD. v1'!D:D=B428)),0),
      IFERROR(MAX(FILTER('REGISTRO PROD. v1'!W:W,'REGISTRO PROD. v1'!U:U=B428)),0),
      IFERROR(MAX(FILTER('REGISTRO PROD. v1'!AN:AN,'REGISTRO PROD. v1'!AL:AL=B428)),0),
      IFERROR(MAX(FILTER('REGISTRO PROD. v1'!"&amp;"BE:BE,'REGISTRO PROD. v1'!BC:BC=B428)),0),
      IFERROR(MAX(FILTER('REGISTRO PROD. v1'!BV:BV,'REGISTRO PROD. v1'!BT:BT=B428)),0)
    )&gt;=F428,
    ""SI"",
    ""EN PROCESO""
  )
)
"),"NO")</f>
        <v>NO</v>
      </c>
      <c r="F428" s="132" t="s">
        <v>65</v>
      </c>
    </row>
    <row r="429" spans="2:6" ht="15" x14ac:dyDescent="0.25">
      <c r="B429" s="131">
        <v>426</v>
      </c>
      <c r="C429" s="131">
        <v>2012</v>
      </c>
      <c r="D429" s="131" t="s">
        <v>132</v>
      </c>
      <c r="E429" s="131" t="str">
        <f ca="1">IFERROR(__xludf.DUMMYFUNCTION("IF(
  MAX(
    IFERROR(MAX(FILTER('REGISTRO PROD. v1'!F:F,'REGISTRO PROD. v1'!D:D=B429)),0),
    IFERROR(MAX(FILTER('REGISTRO PROD. v1'!W:W,'REGISTRO PROD. v1'!U:U=B429)),0),
    IFERROR(MAX(FILTER('REGISTRO PROD. v1'!AN:AN,'REGISTRO PROD. v1'!AL:AL=B429)"&amp;"),0),
    IFERROR(MAX(FILTER('REGISTRO PROD. v1'!BE:BE,'REGISTRO PROD. v1'!BC:BC=B429)),0),
    IFERROR(MAX(FILTER('REGISTRO PROD. v1'!BV:BV,'REGISTRO PROD. v1'!BT:BT=B429)),0)
  )=0,
  ""NO"",
  IF(
    MAX(
      IFERROR(MAX(FILTER('REGISTRO PROD. v1'!F"&amp;":F,'REGISTRO PROD. v1'!D:D=B429)),0),
      IFERROR(MAX(FILTER('REGISTRO PROD. v1'!W:W,'REGISTRO PROD. v1'!U:U=B429)),0),
      IFERROR(MAX(FILTER('REGISTRO PROD. v1'!AN:AN,'REGISTRO PROD. v1'!AL:AL=B429)),0),
      IFERROR(MAX(FILTER('REGISTRO PROD. v1'!"&amp;"BE:BE,'REGISTRO PROD. v1'!BC:BC=B429)),0),
      IFERROR(MAX(FILTER('REGISTRO PROD. v1'!BV:BV,'REGISTRO PROD. v1'!BT:BT=B429)),0)
    )&gt;=F429,
    ""SI"",
    ""EN PROCESO""
  )
)
"),"NO")</f>
        <v>NO</v>
      </c>
      <c r="F429" s="132" t="s">
        <v>65</v>
      </c>
    </row>
    <row r="430" spans="2:6" ht="15" x14ac:dyDescent="0.25">
      <c r="B430" s="131">
        <v>427</v>
      </c>
      <c r="C430" s="131">
        <v>2012</v>
      </c>
      <c r="D430" s="131" t="s">
        <v>133</v>
      </c>
      <c r="E430" s="131" t="str">
        <f ca="1">IFERROR(__xludf.DUMMYFUNCTION("IF(
  MAX(
    IFERROR(MAX(FILTER('REGISTRO PROD. v1'!F:F,'REGISTRO PROD. v1'!D:D=B430)),0),
    IFERROR(MAX(FILTER('REGISTRO PROD. v1'!W:W,'REGISTRO PROD. v1'!U:U=B430)),0),
    IFERROR(MAX(FILTER('REGISTRO PROD. v1'!AN:AN,'REGISTRO PROD. v1'!AL:AL=B430)"&amp;"),0),
    IFERROR(MAX(FILTER('REGISTRO PROD. v1'!BE:BE,'REGISTRO PROD. v1'!BC:BC=B430)),0),
    IFERROR(MAX(FILTER('REGISTRO PROD. v1'!BV:BV,'REGISTRO PROD. v1'!BT:BT=B430)),0)
  )=0,
  ""NO"",
  IF(
    MAX(
      IFERROR(MAX(FILTER('REGISTRO PROD. v1'!F"&amp;":F,'REGISTRO PROD. v1'!D:D=B430)),0),
      IFERROR(MAX(FILTER('REGISTRO PROD. v1'!W:W,'REGISTRO PROD. v1'!U:U=B430)),0),
      IFERROR(MAX(FILTER('REGISTRO PROD. v1'!AN:AN,'REGISTRO PROD. v1'!AL:AL=B430)),0),
      IFERROR(MAX(FILTER('REGISTRO PROD. v1'!"&amp;"BE:BE,'REGISTRO PROD. v1'!BC:BC=B430)),0),
      IFERROR(MAX(FILTER('REGISTRO PROD. v1'!BV:BV,'REGISTRO PROD. v1'!BT:BT=B430)),0)
    )&gt;=F430,
    ""SI"",
    ""EN PROCESO""
  )
)
"),"NO")</f>
        <v>NO</v>
      </c>
      <c r="F430" s="132" t="s">
        <v>65</v>
      </c>
    </row>
    <row r="431" spans="2:6" ht="15" x14ac:dyDescent="0.25">
      <c r="B431" s="131">
        <v>428</v>
      </c>
      <c r="C431" s="131">
        <v>2012</v>
      </c>
      <c r="D431" s="131" t="s">
        <v>134</v>
      </c>
      <c r="E431" s="131" t="str">
        <f ca="1">IFERROR(__xludf.DUMMYFUNCTION("IF(
  MAX(
    IFERROR(MAX(FILTER('REGISTRO PROD. v1'!F:F,'REGISTRO PROD. v1'!D:D=B431)),0),
    IFERROR(MAX(FILTER('REGISTRO PROD. v1'!W:W,'REGISTRO PROD. v1'!U:U=B431)),0),
    IFERROR(MAX(FILTER('REGISTRO PROD. v1'!AN:AN,'REGISTRO PROD. v1'!AL:AL=B431)"&amp;"),0),
    IFERROR(MAX(FILTER('REGISTRO PROD. v1'!BE:BE,'REGISTRO PROD. v1'!BC:BC=B431)),0),
    IFERROR(MAX(FILTER('REGISTRO PROD. v1'!BV:BV,'REGISTRO PROD. v1'!BT:BT=B431)),0)
  )=0,
  ""NO"",
  IF(
    MAX(
      IFERROR(MAX(FILTER('REGISTRO PROD. v1'!F"&amp;":F,'REGISTRO PROD. v1'!D:D=B431)),0),
      IFERROR(MAX(FILTER('REGISTRO PROD. v1'!W:W,'REGISTRO PROD. v1'!U:U=B431)),0),
      IFERROR(MAX(FILTER('REGISTRO PROD. v1'!AN:AN,'REGISTRO PROD. v1'!AL:AL=B431)),0),
      IFERROR(MAX(FILTER('REGISTRO PROD. v1'!"&amp;"BE:BE,'REGISTRO PROD. v1'!BC:BC=B431)),0),
      IFERROR(MAX(FILTER('REGISTRO PROD. v1'!BV:BV,'REGISTRO PROD. v1'!BT:BT=B431)),0)
    )&gt;=F431,
    ""SI"",
    ""EN PROCESO""
  )
)
"),"NO")</f>
        <v>NO</v>
      </c>
      <c r="F431" s="132" t="s">
        <v>65</v>
      </c>
    </row>
    <row r="432" spans="2:6" ht="15" x14ac:dyDescent="0.25">
      <c r="B432" s="131">
        <v>429</v>
      </c>
      <c r="C432" s="131">
        <v>2012</v>
      </c>
      <c r="D432" s="131" t="s">
        <v>135</v>
      </c>
      <c r="E432" s="131" t="str">
        <f ca="1">IFERROR(__xludf.DUMMYFUNCTION("IF(
  MAX(
    IFERROR(MAX(FILTER('REGISTRO PROD. v1'!F:F,'REGISTRO PROD. v1'!D:D=B432)),0),
    IFERROR(MAX(FILTER('REGISTRO PROD. v1'!W:W,'REGISTRO PROD. v1'!U:U=B432)),0),
    IFERROR(MAX(FILTER('REGISTRO PROD. v1'!AN:AN,'REGISTRO PROD. v1'!AL:AL=B432)"&amp;"),0),
    IFERROR(MAX(FILTER('REGISTRO PROD. v1'!BE:BE,'REGISTRO PROD. v1'!BC:BC=B432)),0),
    IFERROR(MAX(FILTER('REGISTRO PROD. v1'!BV:BV,'REGISTRO PROD. v1'!BT:BT=B432)),0)
  )=0,
  ""NO"",
  IF(
    MAX(
      IFERROR(MAX(FILTER('REGISTRO PROD. v1'!F"&amp;":F,'REGISTRO PROD. v1'!D:D=B432)),0),
      IFERROR(MAX(FILTER('REGISTRO PROD. v1'!W:W,'REGISTRO PROD. v1'!U:U=B432)),0),
      IFERROR(MAX(FILTER('REGISTRO PROD. v1'!AN:AN,'REGISTRO PROD. v1'!AL:AL=B432)),0),
      IFERROR(MAX(FILTER('REGISTRO PROD. v1'!"&amp;"BE:BE,'REGISTRO PROD. v1'!BC:BC=B432)),0),
      IFERROR(MAX(FILTER('REGISTRO PROD. v1'!BV:BV,'REGISTRO PROD. v1'!BT:BT=B432)),0)
    )&gt;=F432,
    ""SI"",
    ""EN PROCESO""
  )
)
"),"NO")</f>
        <v>NO</v>
      </c>
      <c r="F432" s="132" t="s">
        <v>65</v>
      </c>
    </row>
    <row r="433" spans="2:6" ht="15" x14ac:dyDescent="0.25">
      <c r="B433" s="131">
        <v>430</v>
      </c>
      <c r="C433" s="131">
        <v>2012</v>
      </c>
      <c r="D433" s="131" t="s">
        <v>136</v>
      </c>
      <c r="E433" s="131" t="str">
        <f ca="1">IFERROR(__xludf.DUMMYFUNCTION("IF(
  MAX(
    IFERROR(MAX(FILTER('REGISTRO PROD. v1'!F:F,'REGISTRO PROD. v1'!D:D=B433)),0),
    IFERROR(MAX(FILTER('REGISTRO PROD. v1'!W:W,'REGISTRO PROD. v1'!U:U=B433)),0),
    IFERROR(MAX(FILTER('REGISTRO PROD. v1'!AN:AN,'REGISTRO PROD. v1'!AL:AL=B433)"&amp;"),0),
    IFERROR(MAX(FILTER('REGISTRO PROD. v1'!BE:BE,'REGISTRO PROD. v1'!BC:BC=B433)),0),
    IFERROR(MAX(FILTER('REGISTRO PROD. v1'!BV:BV,'REGISTRO PROD. v1'!BT:BT=B433)),0)
  )=0,
  ""NO"",
  IF(
    MAX(
      IFERROR(MAX(FILTER('REGISTRO PROD. v1'!F"&amp;":F,'REGISTRO PROD. v1'!D:D=B433)),0),
      IFERROR(MAX(FILTER('REGISTRO PROD. v1'!W:W,'REGISTRO PROD. v1'!U:U=B433)),0),
      IFERROR(MAX(FILTER('REGISTRO PROD. v1'!AN:AN,'REGISTRO PROD. v1'!AL:AL=B433)),0),
      IFERROR(MAX(FILTER('REGISTRO PROD. v1'!"&amp;"BE:BE,'REGISTRO PROD. v1'!BC:BC=B433)),0),
      IFERROR(MAX(FILTER('REGISTRO PROD. v1'!BV:BV,'REGISTRO PROD. v1'!BT:BT=B433)),0)
    )&gt;=F433,
    ""SI"",
    ""EN PROCESO""
  )
)
"),"NO")</f>
        <v>NO</v>
      </c>
      <c r="F433" s="132" t="s">
        <v>65</v>
      </c>
    </row>
    <row r="434" spans="2:6" ht="15" x14ac:dyDescent="0.25">
      <c r="B434" s="131">
        <v>431</v>
      </c>
      <c r="C434" s="131">
        <v>2012</v>
      </c>
      <c r="D434" s="131" t="s">
        <v>137</v>
      </c>
      <c r="E434" s="131" t="str">
        <f ca="1">IFERROR(__xludf.DUMMYFUNCTION("IF(
  MAX(
    IFERROR(MAX(FILTER('REGISTRO PROD. v1'!F:F,'REGISTRO PROD. v1'!D:D=B434)),0),
    IFERROR(MAX(FILTER('REGISTRO PROD. v1'!W:W,'REGISTRO PROD. v1'!U:U=B434)),0),
    IFERROR(MAX(FILTER('REGISTRO PROD. v1'!AN:AN,'REGISTRO PROD. v1'!AL:AL=B434)"&amp;"),0),
    IFERROR(MAX(FILTER('REGISTRO PROD. v1'!BE:BE,'REGISTRO PROD. v1'!BC:BC=B434)),0),
    IFERROR(MAX(FILTER('REGISTRO PROD. v1'!BV:BV,'REGISTRO PROD. v1'!BT:BT=B434)),0)
  )=0,
  ""NO"",
  IF(
    MAX(
      IFERROR(MAX(FILTER('REGISTRO PROD. v1'!F"&amp;":F,'REGISTRO PROD. v1'!D:D=B434)),0),
      IFERROR(MAX(FILTER('REGISTRO PROD. v1'!W:W,'REGISTRO PROD. v1'!U:U=B434)),0),
      IFERROR(MAX(FILTER('REGISTRO PROD. v1'!AN:AN,'REGISTRO PROD. v1'!AL:AL=B434)),0),
      IFERROR(MAX(FILTER('REGISTRO PROD. v1'!"&amp;"BE:BE,'REGISTRO PROD. v1'!BC:BC=B434)),0),
      IFERROR(MAX(FILTER('REGISTRO PROD. v1'!BV:BV,'REGISTRO PROD. v1'!BT:BT=B434)),0)
    )&gt;=F434,
    ""SI"",
    ""EN PROCESO""
  )
)
"),"NO")</f>
        <v>NO</v>
      </c>
      <c r="F434" s="132" t="s">
        <v>65</v>
      </c>
    </row>
    <row r="435" spans="2:6" ht="15" x14ac:dyDescent="0.25">
      <c r="B435" s="131">
        <v>432</v>
      </c>
      <c r="C435" s="131">
        <v>2012</v>
      </c>
      <c r="D435" s="131" t="s">
        <v>138</v>
      </c>
      <c r="E435" s="131" t="str">
        <f ca="1">IFERROR(__xludf.DUMMYFUNCTION("IF(
  MAX(
    IFERROR(MAX(FILTER('REGISTRO PROD. v1'!F:F,'REGISTRO PROD. v1'!D:D=B435)),0),
    IFERROR(MAX(FILTER('REGISTRO PROD. v1'!W:W,'REGISTRO PROD. v1'!U:U=B435)),0),
    IFERROR(MAX(FILTER('REGISTRO PROD. v1'!AN:AN,'REGISTRO PROD. v1'!AL:AL=B435)"&amp;"),0),
    IFERROR(MAX(FILTER('REGISTRO PROD. v1'!BE:BE,'REGISTRO PROD. v1'!BC:BC=B435)),0),
    IFERROR(MAX(FILTER('REGISTRO PROD. v1'!BV:BV,'REGISTRO PROD. v1'!BT:BT=B435)),0)
  )=0,
  ""NO"",
  IF(
    MAX(
      IFERROR(MAX(FILTER('REGISTRO PROD. v1'!F"&amp;":F,'REGISTRO PROD. v1'!D:D=B435)),0),
      IFERROR(MAX(FILTER('REGISTRO PROD. v1'!W:W,'REGISTRO PROD. v1'!U:U=B435)),0),
      IFERROR(MAX(FILTER('REGISTRO PROD. v1'!AN:AN,'REGISTRO PROD. v1'!AL:AL=B435)),0),
      IFERROR(MAX(FILTER('REGISTRO PROD. v1'!"&amp;"BE:BE,'REGISTRO PROD. v1'!BC:BC=B435)),0),
      IFERROR(MAX(FILTER('REGISTRO PROD. v1'!BV:BV,'REGISTRO PROD. v1'!BT:BT=B435)),0)
    )&gt;=F435,
    ""SI"",
    ""EN PROCESO""
  )
)
"),"NO")</f>
        <v>NO</v>
      </c>
      <c r="F435" s="132" t="s">
        <v>65</v>
      </c>
    </row>
    <row r="436" spans="2:6" ht="15" x14ac:dyDescent="0.25">
      <c r="B436" s="131">
        <v>433</v>
      </c>
      <c r="C436" s="131">
        <v>2012</v>
      </c>
      <c r="D436" s="131" t="s">
        <v>139</v>
      </c>
      <c r="E436" s="131" t="str">
        <f ca="1">IFERROR(__xludf.DUMMYFUNCTION("IF(
  MAX(
    IFERROR(MAX(FILTER('REGISTRO PROD. v1'!F:F,'REGISTRO PROD. v1'!D:D=B436)),0),
    IFERROR(MAX(FILTER('REGISTRO PROD. v1'!W:W,'REGISTRO PROD. v1'!U:U=B436)),0),
    IFERROR(MAX(FILTER('REGISTRO PROD. v1'!AN:AN,'REGISTRO PROD. v1'!AL:AL=B436)"&amp;"),0),
    IFERROR(MAX(FILTER('REGISTRO PROD. v1'!BE:BE,'REGISTRO PROD. v1'!BC:BC=B436)),0),
    IFERROR(MAX(FILTER('REGISTRO PROD. v1'!BV:BV,'REGISTRO PROD. v1'!BT:BT=B436)),0)
  )=0,
  ""NO"",
  IF(
    MAX(
      IFERROR(MAX(FILTER('REGISTRO PROD. v1'!F"&amp;":F,'REGISTRO PROD. v1'!D:D=B436)),0),
      IFERROR(MAX(FILTER('REGISTRO PROD. v1'!W:W,'REGISTRO PROD. v1'!U:U=B436)),0),
      IFERROR(MAX(FILTER('REGISTRO PROD. v1'!AN:AN,'REGISTRO PROD. v1'!AL:AL=B436)),0),
      IFERROR(MAX(FILTER('REGISTRO PROD. v1'!"&amp;"BE:BE,'REGISTRO PROD. v1'!BC:BC=B436)),0),
      IFERROR(MAX(FILTER('REGISTRO PROD. v1'!BV:BV,'REGISTRO PROD. v1'!BT:BT=B436)),0)
    )&gt;=F436,
    ""SI"",
    ""EN PROCESO""
  )
)
"),"NO")</f>
        <v>NO</v>
      </c>
      <c r="F436" s="132" t="s">
        <v>65</v>
      </c>
    </row>
    <row r="437" spans="2:6" ht="15" x14ac:dyDescent="0.25">
      <c r="B437" s="131">
        <v>434</v>
      </c>
      <c r="C437" s="131">
        <v>2012</v>
      </c>
      <c r="D437" s="131" t="s">
        <v>142</v>
      </c>
      <c r="E437" s="131" t="str">
        <f ca="1">IFERROR(__xludf.DUMMYFUNCTION("IF(
  MAX(
    IFERROR(MAX(FILTER('REGISTRO PROD. v1'!F:F,'REGISTRO PROD. v1'!D:D=B437)),0),
    IFERROR(MAX(FILTER('REGISTRO PROD. v1'!W:W,'REGISTRO PROD. v1'!U:U=B437)),0),
    IFERROR(MAX(FILTER('REGISTRO PROD. v1'!AN:AN,'REGISTRO PROD. v1'!AL:AL=B437)"&amp;"),0),
    IFERROR(MAX(FILTER('REGISTRO PROD. v1'!BE:BE,'REGISTRO PROD. v1'!BC:BC=B437)),0),
    IFERROR(MAX(FILTER('REGISTRO PROD. v1'!BV:BV,'REGISTRO PROD. v1'!BT:BT=B437)),0)
  )=0,
  ""NO"",
  IF(
    MAX(
      IFERROR(MAX(FILTER('REGISTRO PROD. v1'!F"&amp;":F,'REGISTRO PROD. v1'!D:D=B437)),0),
      IFERROR(MAX(FILTER('REGISTRO PROD. v1'!W:W,'REGISTRO PROD. v1'!U:U=B437)),0),
      IFERROR(MAX(FILTER('REGISTRO PROD. v1'!AN:AN,'REGISTRO PROD. v1'!AL:AL=B437)),0),
      IFERROR(MAX(FILTER('REGISTRO PROD. v1'!"&amp;"BE:BE,'REGISTRO PROD. v1'!BC:BC=B437)),0),
      IFERROR(MAX(FILTER('REGISTRO PROD. v1'!BV:BV,'REGISTRO PROD. v1'!BT:BT=B437)),0)
    )&gt;=F437,
    ""SI"",
    ""EN PROCESO""
  )
)
"),"NO")</f>
        <v>NO</v>
      </c>
      <c r="F437" s="132" t="s">
        <v>65</v>
      </c>
    </row>
    <row r="438" spans="2:6" ht="15" x14ac:dyDescent="0.25">
      <c r="B438" s="131">
        <v>435</v>
      </c>
      <c r="C438" s="131">
        <v>2012</v>
      </c>
      <c r="D438" s="131" t="s">
        <v>143</v>
      </c>
      <c r="E438" s="131" t="str">
        <f ca="1">IFERROR(__xludf.DUMMYFUNCTION("IF(
  MAX(
    IFERROR(MAX(FILTER('REGISTRO PROD. v1'!F:F,'REGISTRO PROD. v1'!D:D=B438)),0),
    IFERROR(MAX(FILTER('REGISTRO PROD. v1'!W:W,'REGISTRO PROD. v1'!U:U=B438)),0),
    IFERROR(MAX(FILTER('REGISTRO PROD. v1'!AN:AN,'REGISTRO PROD. v1'!AL:AL=B438)"&amp;"),0),
    IFERROR(MAX(FILTER('REGISTRO PROD. v1'!BE:BE,'REGISTRO PROD. v1'!BC:BC=B438)),0),
    IFERROR(MAX(FILTER('REGISTRO PROD. v1'!BV:BV,'REGISTRO PROD. v1'!BT:BT=B438)),0)
  )=0,
  ""NO"",
  IF(
    MAX(
      IFERROR(MAX(FILTER('REGISTRO PROD. v1'!F"&amp;":F,'REGISTRO PROD. v1'!D:D=B438)),0),
      IFERROR(MAX(FILTER('REGISTRO PROD. v1'!W:W,'REGISTRO PROD. v1'!U:U=B438)),0),
      IFERROR(MAX(FILTER('REGISTRO PROD. v1'!AN:AN,'REGISTRO PROD. v1'!AL:AL=B438)),0),
      IFERROR(MAX(FILTER('REGISTRO PROD. v1'!"&amp;"BE:BE,'REGISTRO PROD. v1'!BC:BC=B438)),0),
      IFERROR(MAX(FILTER('REGISTRO PROD. v1'!BV:BV,'REGISTRO PROD. v1'!BT:BT=B438)),0)
    )&gt;=F438,
    ""SI"",
    ""EN PROCESO""
  )
)
"),"NO")</f>
        <v>NO</v>
      </c>
      <c r="F438" s="132" t="s">
        <v>65</v>
      </c>
    </row>
    <row r="439" spans="2:6" ht="15" x14ac:dyDescent="0.25">
      <c r="B439" s="131">
        <v>436</v>
      </c>
      <c r="C439" s="131">
        <v>2012</v>
      </c>
      <c r="D439" s="131" t="s">
        <v>144</v>
      </c>
      <c r="E439" s="131" t="str">
        <f ca="1">IFERROR(__xludf.DUMMYFUNCTION("IF(
  MAX(
    IFERROR(MAX(FILTER('REGISTRO PROD. v1'!F:F,'REGISTRO PROD. v1'!D:D=B439)),0),
    IFERROR(MAX(FILTER('REGISTRO PROD. v1'!W:W,'REGISTRO PROD. v1'!U:U=B439)),0),
    IFERROR(MAX(FILTER('REGISTRO PROD. v1'!AN:AN,'REGISTRO PROD. v1'!AL:AL=B439)"&amp;"),0),
    IFERROR(MAX(FILTER('REGISTRO PROD. v1'!BE:BE,'REGISTRO PROD. v1'!BC:BC=B439)),0),
    IFERROR(MAX(FILTER('REGISTRO PROD. v1'!BV:BV,'REGISTRO PROD. v1'!BT:BT=B439)),0)
  )=0,
  ""NO"",
  IF(
    MAX(
      IFERROR(MAX(FILTER('REGISTRO PROD. v1'!F"&amp;":F,'REGISTRO PROD. v1'!D:D=B439)),0),
      IFERROR(MAX(FILTER('REGISTRO PROD. v1'!W:W,'REGISTRO PROD. v1'!U:U=B439)),0),
      IFERROR(MAX(FILTER('REGISTRO PROD. v1'!AN:AN,'REGISTRO PROD. v1'!AL:AL=B439)),0),
      IFERROR(MAX(FILTER('REGISTRO PROD. v1'!"&amp;"BE:BE,'REGISTRO PROD. v1'!BC:BC=B439)),0),
      IFERROR(MAX(FILTER('REGISTRO PROD. v1'!BV:BV,'REGISTRO PROD. v1'!BT:BT=B439)),0)
    )&gt;=F439,
    ""SI"",
    ""EN PROCESO""
  )
)
"),"NO")</f>
        <v>NO</v>
      </c>
      <c r="F439" s="132" t="s">
        <v>65</v>
      </c>
    </row>
    <row r="440" spans="2:6" ht="15" x14ac:dyDescent="0.25">
      <c r="B440" s="131">
        <v>437</v>
      </c>
      <c r="C440" s="131">
        <v>2012</v>
      </c>
      <c r="D440" s="131" t="s">
        <v>145</v>
      </c>
      <c r="E440" s="131" t="str">
        <f ca="1">IFERROR(__xludf.DUMMYFUNCTION("IF(
  MAX(
    IFERROR(MAX(FILTER('REGISTRO PROD. v1'!F:F,'REGISTRO PROD. v1'!D:D=B440)),0),
    IFERROR(MAX(FILTER('REGISTRO PROD. v1'!W:W,'REGISTRO PROD. v1'!U:U=B440)),0),
    IFERROR(MAX(FILTER('REGISTRO PROD. v1'!AN:AN,'REGISTRO PROD. v1'!AL:AL=B440)"&amp;"),0),
    IFERROR(MAX(FILTER('REGISTRO PROD. v1'!BE:BE,'REGISTRO PROD. v1'!BC:BC=B440)),0),
    IFERROR(MAX(FILTER('REGISTRO PROD. v1'!BV:BV,'REGISTRO PROD. v1'!BT:BT=B440)),0)
  )=0,
  ""NO"",
  IF(
    MAX(
      IFERROR(MAX(FILTER('REGISTRO PROD. v1'!F"&amp;":F,'REGISTRO PROD. v1'!D:D=B440)),0),
      IFERROR(MAX(FILTER('REGISTRO PROD. v1'!W:W,'REGISTRO PROD. v1'!U:U=B440)),0),
      IFERROR(MAX(FILTER('REGISTRO PROD. v1'!AN:AN,'REGISTRO PROD. v1'!AL:AL=B440)),0),
      IFERROR(MAX(FILTER('REGISTRO PROD. v1'!"&amp;"BE:BE,'REGISTRO PROD. v1'!BC:BC=B440)),0),
      IFERROR(MAX(FILTER('REGISTRO PROD. v1'!BV:BV,'REGISTRO PROD. v1'!BT:BT=B440)),0)
    )&gt;=F440,
    ""SI"",
    ""EN PROCESO""
  )
)
"),"NO")</f>
        <v>NO</v>
      </c>
      <c r="F440" s="132" t="s">
        <v>65</v>
      </c>
    </row>
    <row r="441" spans="2:6" ht="15" x14ac:dyDescent="0.25">
      <c r="B441" s="131">
        <v>438</v>
      </c>
      <c r="C441" s="131">
        <v>2012</v>
      </c>
      <c r="D441" s="131" t="s">
        <v>146</v>
      </c>
      <c r="E441" s="131" t="str">
        <f ca="1">IFERROR(__xludf.DUMMYFUNCTION("IF(
  MAX(
    IFERROR(MAX(FILTER('REGISTRO PROD. v1'!F:F,'REGISTRO PROD. v1'!D:D=B441)),0),
    IFERROR(MAX(FILTER('REGISTRO PROD. v1'!W:W,'REGISTRO PROD. v1'!U:U=B441)),0),
    IFERROR(MAX(FILTER('REGISTRO PROD. v1'!AN:AN,'REGISTRO PROD. v1'!AL:AL=B441)"&amp;"),0),
    IFERROR(MAX(FILTER('REGISTRO PROD. v1'!BE:BE,'REGISTRO PROD. v1'!BC:BC=B441)),0),
    IFERROR(MAX(FILTER('REGISTRO PROD. v1'!BV:BV,'REGISTRO PROD. v1'!BT:BT=B441)),0)
  )=0,
  ""NO"",
  IF(
    MAX(
      IFERROR(MAX(FILTER('REGISTRO PROD. v1'!F"&amp;":F,'REGISTRO PROD. v1'!D:D=B441)),0),
      IFERROR(MAX(FILTER('REGISTRO PROD. v1'!W:W,'REGISTRO PROD. v1'!U:U=B441)),0),
      IFERROR(MAX(FILTER('REGISTRO PROD. v1'!AN:AN,'REGISTRO PROD. v1'!AL:AL=B441)),0),
      IFERROR(MAX(FILTER('REGISTRO PROD. v1'!"&amp;"BE:BE,'REGISTRO PROD. v1'!BC:BC=B441)),0),
      IFERROR(MAX(FILTER('REGISTRO PROD. v1'!BV:BV,'REGISTRO PROD. v1'!BT:BT=B441)),0)
    )&gt;=F441,
    ""SI"",
    ""EN PROCESO""
  )
)
"),"NO")</f>
        <v>NO</v>
      </c>
      <c r="F441" s="132" t="s">
        <v>65</v>
      </c>
    </row>
    <row r="442" spans="2:6" ht="15" x14ac:dyDescent="0.25">
      <c r="B442" s="131">
        <v>439</v>
      </c>
      <c r="C442" s="131">
        <v>2012</v>
      </c>
      <c r="D442" s="131" t="s">
        <v>147</v>
      </c>
      <c r="E442" s="131" t="str">
        <f ca="1">IFERROR(__xludf.DUMMYFUNCTION("IF(
  MAX(
    IFERROR(MAX(FILTER('REGISTRO PROD. v1'!F:F,'REGISTRO PROD. v1'!D:D=B442)),0),
    IFERROR(MAX(FILTER('REGISTRO PROD. v1'!W:W,'REGISTRO PROD. v1'!U:U=B442)),0),
    IFERROR(MAX(FILTER('REGISTRO PROD. v1'!AN:AN,'REGISTRO PROD. v1'!AL:AL=B442)"&amp;"),0),
    IFERROR(MAX(FILTER('REGISTRO PROD. v1'!BE:BE,'REGISTRO PROD. v1'!BC:BC=B442)),0),
    IFERROR(MAX(FILTER('REGISTRO PROD. v1'!BV:BV,'REGISTRO PROD. v1'!BT:BT=B442)),0)
  )=0,
  ""NO"",
  IF(
    MAX(
      IFERROR(MAX(FILTER('REGISTRO PROD. v1'!F"&amp;":F,'REGISTRO PROD. v1'!D:D=B442)),0),
      IFERROR(MAX(FILTER('REGISTRO PROD. v1'!W:W,'REGISTRO PROD. v1'!U:U=B442)),0),
      IFERROR(MAX(FILTER('REGISTRO PROD. v1'!AN:AN,'REGISTRO PROD. v1'!AL:AL=B442)),0),
      IFERROR(MAX(FILTER('REGISTRO PROD. v1'!"&amp;"BE:BE,'REGISTRO PROD. v1'!BC:BC=B442)),0),
      IFERROR(MAX(FILTER('REGISTRO PROD. v1'!BV:BV,'REGISTRO PROD. v1'!BT:BT=B442)),0)
    )&gt;=F442,
    ""SI"",
    ""EN PROCESO""
  )
)
"),"NO")</f>
        <v>NO</v>
      </c>
      <c r="F442" s="132" t="s">
        <v>65</v>
      </c>
    </row>
    <row r="443" spans="2:6" ht="15" x14ac:dyDescent="0.25">
      <c r="B443" s="131">
        <v>440</v>
      </c>
      <c r="C443" s="131">
        <v>2012</v>
      </c>
      <c r="D443" s="131" t="s">
        <v>148</v>
      </c>
      <c r="E443" s="131" t="str">
        <f ca="1">IFERROR(__xludf.DUMMYFUNCTION("IF(
  MAX(
    IFERROR(MAX(FILTER('REGISTRO PROD. v1'!F:F,'REGISTRO PROD. v1'!D:D=B443)),0),
    IFERROR(MAX(FILTER('REGISTRO PROD. v1'!W:W,'REGISTRO PROD. v1'!U:U=B443)),0),
    IFERROR(MAX(FILTER('REGISTRO PROD. v1'!AN:AN,'REGISTRO PROD. v1'!AL:AL=B443)"&amp;"),0),
    IFERROR(MAX(FILTER('REGISTRO PROD. v1'!BE:BE,'REGISTRO PROD. v1'!BC:BC=B443)),0),
    IFERROR(MAX(FILTER('REGISTRO PROD. v1'!BV:BV,'REGISTRO PROD. v1'!BT:BT=B443)),0)
  )=0,
  ""NO"",
  IF(
    MAX(
      IFERROR(MAX(FILTER('REGISTRO PROD. v1'!F"&amp;":F,'REGISTRO PROD. v1'!D:D=B443)),0),
      IFERROR(MAX(FILTER('REGISTRO PROD. v1'!W:W,'REGISTRO PROD. v1'!U:U=B443)),0),
      IFERROR(MAX(FILTER('REGISTRO PROD. v1'!AN:AN,'REGISTRO PROD. v1'!AL:AL=B443)),0),
      IFERROR(MAX(FILTER('REGISTRO PROD. v1'!"&amp;"BE:BE,'REGISTRO PROD. v1'!BC:BC=B443)),0),
      IFERROR(MAX(FILTER('REGISTRO PROD. v1'!BV:BV,'REGISTRO PROD. v1'!BT:BT=B443)),0)
    )&gt;=F443,
    ""SI"",
    ""EN PROCESO""
  )
)
"),"NO")</f>
        <v>NO</v>
      </c>
      <c r="F443" s="132" t="s">
        <v>65</v>
      </c>
    </row>
    <row r="444" spans="2:6" ht="15" x14ac:dyDescent="0.25">
      <c r="B444" s="131">
        <v>441</v>
      </c>
      <c r="C444" s="131">
        <v>2012</v>
      </c>
      <c r="D444" s="131" t="s">
        <v>149</v>
      </c>
      <c r="E444" s="131" t="str">
        <f ca="1">IFERROR(__xludf.DUMMYFUNCTION("IF(
  MAX(
    IFERROR(MAX(FILTER('REGISTRO PROD. v1'!F:F,'REGISTRO PROD. v1'!D:D=B444)),0),
    IFERROR(MAX(FILTER('REGISTRO PROD. v1'!W:W,'REGISTRO PROD. v1'!U:U=B444)),0),
    IFERROR(MAX(FILTER('REGISTRO PROD. v1'!AN:AN,'REGISTRO PROD. v1'!AL:AL=B444)"&amp;"),0),
    IFERROR(MAX(FILTER('REGISTRO PROD. v1'!BE:BE,'REGISTRO PROD. v1'!BC:BC=B444)),0),
    IFERROR(MAX(FILTER('REGISTRO PROD. v1'!BV:BV,'REGISTRO PROD. v1'!BT:BT=B444)),0)
  )=0,
  ""NO"",
  IF(
    MAX(
      IFERROR(MAX(FILTER('REGISTRO PROD. v1'!F"&amp;":F,'REGISTRO PROD. v1'!D:D=B444)),0),
      IFERROR(MAX(FILTER('REGISTRO PROD. v1'!W:W,'REGISTRO PROD. v1'!U:U=B444)),0),
      IFERROR(MAX(FILTER('REGISTRO PROD. v1'!AN:AN,'REGISTRO PROD. v1'!AL:AL=B444)),0),
      IFERROR(MAX(FILTER('REGISTRO PROD. v1'!"&amp;"BE:BE,'REGISTRO PROD. v1'!BC:BC=B444)),0),
      IFERROR(MAX(FILTER('REGISTRO PROD. v1'!BV:BV,'REGISTRO PROD. v1'!BT:BT=B444)),0)
    )&gt;=F444,
    ""SI"",
    ""EN PROCESO""
  )
)
"),"NO")</f>
        <v>NO</v>
      </c>
      <c r="F444" s="132" t="s">
        <v>65</v>
      </c>
    </row>
    <row r="445" spans="2:6" ht="15" x14ac:dyDescent="0.25">
      <c r="B445" s="131">
        <v>442</v>
      </c>
      <c r="C445" s="131">
        <v>2012</v>
      </c>
      <c r="D445" s="131" t="s">
        <v>150</v>
      </c>
      <c r="E445" s="131" t="str">
        <f ca="1">IFERROR(__xludf.DUMMYFUNCTION("IF(
  MAX(
    IFERROR(MAX(FILTER('REGISTRO PROD. v1'!F:F,'REGISTRO PROD. v1'!D:D=B445)),0),
    IFERROR(MAX(FILTER('REGISTRO PROD. v1'!W:W,'REGISTRO PROD. v1'!U:U=B445)),0),
    IFERROR(MAX(FILTER('REGISTRO PROD. v1'!AN:AN,'REGISTRO PROD. v1'!AL:AL=B445)"&amp;"),0),
    IFERROR(MAX(FILTER('REGISTRO PROD. v1'!BE:BE,'REGISTRO PROD. v1'!BC:BC=B445)),0),
    IFERROR(MAX(FILTER('REGISTRO PROD. v1'!BV:BV,'REGISTRO PROD. v1'!BT:BT=B445)),0)
  )=0,
  ""NO"",
  IF(
    MAX(
      IFERROR(MAX(FILTER('REGISTRO PROD. v1'!F"&amp;":F,'REGISTRO PROD. v1'!D:D=B445)),0),
      IFERROR(MAX(FILTER('REGISTRO PROD. v1'!W:W,'REGISTRO PROD. v1'!U:U=B445)),0),
      IFERROR(MAX(FILTER('REGISTRO PROD. v1'!AN:AN,'REGISTRO PROD. v1'!AL:AL=B445)),0),
      IFERROR(MAX(FILTER('REGISTRO PROD. v1'!"&amp;"BE:BE,'REGISTRO PROD. v1'!BC:BC=B445)),0),
      IFERROR(MAX(FILTER('REGISTRO PROD. v1'!BV:BV,'REGISTRO PROD. v1'!BT:BT=B445)),0)
    )&gt;=F445,
    ""SI"",
    ""EN PROCESO""
  )
)
"),"NO")</f>
        <v>NO</v>
      </c>
      <c r="F445" s="132" t="s">
        <v>65</v>
      </c>
    </row>
    <row r="446" spans="2:6" ht="15" x14ac:dyDescent="0.25">
      <c r="B446" s="131">
        <v>443</v>
      </c>
      <c r="C446" s="131">
        <v>2012</v>
      </c>
      <c r="D446" s="131" t="s">
        <v>151</v>
      </c>
      <c r="E446" s="131" t="str">
        <f ca="1">IFERROR(__xludf.DUMMYFUNCTION("IF(
  MAX(
    IFERROR(MAX(FILTER('REGISTRO PROD. v1'!F:F,'REGISTRO PROD. v1'!D:D=B446)),0),
    IFERROR(MAX(FILTER('REGISTRO PROD. v1'!W:W,'REGISTRO PROD. v1'!U:U=B446)),0),
    IFERROR(MAX(FILTER('REGISTRO PROD. v1'!AN:AN,'REGISTRO PROD. v1'!AL:AL=B446)"&amp;"),0),
    IFERROR(MAX(FILTER('REGISTRO PROD. v1'!BE:BE,'REGISTRO PROD. v1'!BC:BC=B446)),0),
    IFERROR(MAX(FILTER('REGISTRO PROD. v1'!BV:BV,'REGISTRO PROD. v1'!BT:BT=B446)),0)
  )=0,
  ""NO"",
  IF(
    MAX(
      IFERROR(MAX(FILTER('REGISTRO PROD. v1'!F"&amp;":F,'REGISTRO PROD. v1'!D:D=B446)),0),
      IFERROR(MAX(FILTER('REGISTRO PROD. v1'!W:W,'REGISTRO PROD. v1'!U:U=B446)),0),
      IFERROR(MAX(FILTER('REGISTRO PROD. v1'!AN:AN,'REGISTRO PROD. v1'!AL:AL=B446)),0),
      IFERROR(MAX(FILTER('REGISTRO PROD. v1'!"&amp;"BE:BE,'REGISTRO PROD. v1'!BC:BC=B446)),0),
      IFERROR(MAX(FILTER('REGISTRO PROD. v1'!BV:BV,'REGISTRO PROD. v1'!BT:BT=B446)),0)
    )&gt;=F446,
    ""SI"",
    ""EN PROCESO""
  )
)
"),"NO")</f>
        <v>NO</v>
      </c>
      <c r="F446" s="132" t="s">
        <v>65</v>
      </c>
    </row>
    <row r="447" spans="2:6" ht="15" x14ac:dyDescent="0.25">
      <c r="B447" s="131">
        <v>444</v>
      </c>
      <c r="C447" s="131">
        <v>2012</v>
      </c>
      <c r="D447" s="131" t="s">
        <v>152</v>
      </c>
      <c r="E447" s="131" t="str">
        <f ca="1">IFERROR(__xludf.DUMMYFUNCTION("IF(
  MAX(
    IFERROR(MAX(FILTER('REGISTRO PROD. v1'!F:F,'REGISTRO PROD. v1'!D:D=B447)),0),
    IFERROR(MAX(FILTER('REGISTRO PROD. v1'!W:W,'REGISTRO PROD. v1'!U:U=B447)),0),
    IFERROR(MAX(FILTER('REGISTRO PROD. v1'!AN:AN,'REGISTRO PROD. v1'!AL:AL=B447)"&amp;"),0),
    IFERROR(MAX(FILTER('REGISTRO PROD. v1'!BE:BE,'REGISTRO PROD. v1'!BC:BC=B447)),0),
    IFERROR(MAX(FILTER('REGISTRO PROD. v1'!BV:BV,'REGISTRO PROD. v1'!BT:BT=B447)),0)
  )=0,
  ""NO"",
  IF(
    MAX(
      IFERROR(MAX(FILTER('REGISTRO PROD. v1'!F"&amp;":F,'REGISTRO PROD. v1'!D:D=B447)),0),
      IFERROR(MAX(FILTER('REGISTRO PROD. v1'!W:W,'REGISTRO PROD. v1'!U:U=B447)),0),
      IFERROR(MAX(FILTER('REGISTRO PROD. v1'!AN:AN,'REGISTRO PROD. v1'!AL:AL=B447)),0),
      IFERROR(MAX(FILTER('REGISTRO PROD. v1'!"&amp;"BE:BE,'REGISTRO PROD. v1'!BC:BC=B447)),0),
      IFERROR(MAX(FILTER('REGISTRO PROD. v1'!BV:BV,'REGISTRO PROD. v1'!BT:BT=B447)),0)
    )&gt;=F447,
    ""SI"",
    ""EN PROCESO""
  )
)
"),"NO")</f>
        <v>NO</v>
      </c>
      <c r="F447" s="132" t="s">
        <v>65</v>
      </c>
    </row>
    <row r="448" spans="2:6" ht="15" x14ac:dyDescent="0.25">
      <c r="B448" s="131">
        <v>445</v>
      </c>
      <c r="C448" s="131">
        <v>2012</v>
      </c>
      <c r="D448" s="131" t="s">
        <v>153</v>
      </c>
      <c r="E448" s="131" t="str">
        <f ca="1">IFERROR(__xludf.DUMMYFUNCTION("IF(
  MAX(
    IFERROR(MAX(FILTER('REGISTRO PROD. v1'!F:F,'REGISTRO PROD. v1'!D:D=B448)),0),
    IFERROR(MAX(FILTER('REGISTRO PROD. v1'!W:W,'REGISTRO PROD. v1'!U:U=B448)),0),
    IFERROR(MAX(FILTER('REGISTRO PROD. v1'!AN:AN,'REGISTRO PROD. v1'!AL:AL=B448)"&amp;"),0),
    IFERROR(MAX(FILTER('REGISTRO PROD. v1'!BE:BE,'REGISTRO PROD. v1'!BC:BC=B448)),0),
    IFERROR(MAX(FILTER('REGISTRO PROD. v1'!BV:BV,'REGISTRO PROD. v1'!BT:BT=B448)),0)
  )=0,
  ""NO"",
  IF(
    MAX(
      IFERROR(MAX(FILTER('REGISTRO PROD. v1'!F"&amp;":F,'REGISTRO PROD. v1'!D:D=B448)),0),
      IFERROR(MAX(FILTER('REGISTRO PROD. v1'!W:W,'REGISTRO PROD. v1'!U:U=B448)),0),
      IFERROR(MAX(FILTER('REGISTRO PROD. v1'!AN:AN,'REGISTRO PROD. v1'!AL:AL=B448)),0),
      IFERROR(MAX(FILTER('REGISTRO PROD. v1'!"&amp;"BE:BE,'REGISTRO PROD. v1'!BC:BC=B448)),0),
      IFERROR(MAX(FILTER('REGISTRO PROD. v1'!BV:BV,'REGISTRO PROD. v1'!BT:BT=B448)),0)
    )&gt;=F448,
    ""SI"",
    ""EN PROCESO""
  )
)
"),"NO")</f>
        <v>NO</v>
      </c>
      <c r="F448" s="132" t="s">
        <v>65</v>
      </c>
    </row>
    <row r="449" spans="2:6" ht="15" x14ac:dyDescent="0.25">
      <c r="B449" s="131">
        <v>446</v>
      </c>
      <c r="C449" s="131">
        <v>2012</v>
      </c>
      <c r="D449" s="131" t="s">
        <v>154</v>
      </c>
      <c r="E449" s="131" t="str">
        <f ca="1">IFERROR(__xludf.DUMMYFUNCTION("IF(
  MAX(
    IFERROR(MAX(FILTER('REGISTRO PROD. v1'!F:F,'REGISTRO PROD. v1'!D:D=B449)),0),
    IFERROR(MAX(FILTER('REGISTRO PROD. v1'!W:W,'REGISTRO PROD. v1'!U:U=B449)),0),
    IFERROR(MAX(FILTER('REGISTRO PROD. v1'!AN:AN,'REGISTRO PROD. v1'!AL:AL=B449)"&amp;"),0),
    IFERROR(MAX(FILTER('REGISTRO PROD. v1'!BE:BE,'REGISTRO PROD. v1'!BC:BC=B449)),0),
    IFERROR(MAX(FILTER('REGISTRO PROD. v1'!BV:BV,'REGISTRO PROD. v1'!BT:BT=B449)),0)
  )=0,
  ""NO"",
  IF(
    MAX(
      IFERROR(MAX(FILTER('REGISTRO PROD. v1'!F"&amp;":F,'REGISTRO PROD. v1'!D:D=B449)),0),
      IFERROR(MAX(FILTER('REGISTRO PROD. v1'!W:W,'REGISTRO PROD. v1'!U:U=B449)),0),
      IFERROR(MAX(FILTER('REGISTRO PROD. v1'!AN:AN,'REGISTRO PROD. v1'!AL:AL=B449)),0),
      IFERROR(MAX(FILTER('REGISTRO PROD. v1'!"&amp;"BE:BE,'REGISTRO PROD. v1'!BC:BC=B449)),0),
      IFERROR(MAX(FILTER('REGISTRO PROD. v1'!BV:BV,'REGISTRO PROD. v1'!BT:BT=B449)),0)
    )&gt;=F449,
    ""SI"",
    ""EN PROCESO""
  )
)
"),"NO")</f>
        <v>NO</v>
      </c>
      <c r="F449" s="132" t="s">
        <v>65</v>
      </c>
    </row>
    <row r="450" spans="2:6" ht="15" x14ac:dyDescent="0.25">
      <c r="B450" s="131">
        <v>447</v>
      </c>
      <c r="C450" s="131">
        <v>2012</v>
      </c>
      <c r="D450" s="131" t="s">
        <v>168</v>
      </c>
      <c r="E450" s="131" t="str">
        <f ca="1">IFERROR(__xludf.DUMMYFUNCTION("IF(
  MAX(
    IFERROR(MAX(FILTER('REGISTRO PROD. v1'!F:F,'REGISTRO PROD. v1'!D:D=B450)),0),
    IFERROR(MAX(FILTER('REGISTRO PROD. v1'!W:W,'REGISTRO PROD. v1'!U:U=B450)),0),
    IFERROR(MAX(FILTER('REGISTRO PROD. v1'!AN:AN,'REGISTRO PROD. v1'!AL:AL=B450)"&amp;"),0),
    IFERROR(MAX(FILTER('REGISTRO PROD. v1'!BE:BE,'REGISTRO PROD. v1'!BC:BC=B450)),0),
    IFERROR(MAX(FILTER('REGISTRO PROD. v1'!BV:BV,'REGISTRO PROD. v1'!BT:BT=B450)),0)
  )=0,
  ""NO"",
  IF(
    MAX(
      IFERROR(MAX(FILTER('REGISTRO PROD. v1'!F"&amp;":F,'REGISTRO PROD. v1'!D:D=B450)),0),
      IFERROR(MAX(FILTER('REGISTRO PROD. v1'!W:W,'REGISTRO PROD. v1'!U:U=B450)),0),
      IFERROR(MAX(FILTER('REGISTRO PROD. v1'!AN:AN,'REGISTRO PROD. v1'!AL:AL=B450)),0),
      IFERROR(MAX(FILTER('REGISTRO PROD. v1'!"&amp;"BE:BE,'REGISTRO PROD. v1'!BC:BC=B450)),0),
      IFERROR(MAX(FILTER('REGISTRO PROD. v1'!BV:BV,'REGISTRO PROD. v1'!BT:BT=B450)),0)
    )&gt;=F450,
    ""SI"",
    ""EN PROCESO""
  )
)
"),"NO")</f>
        <v>NO</v>
      </c>
      <c r="F450" s="132" t="s">
        <v>65</v>
      </c>
    </row>
    <row r="451" spans="2:6" ht="15" x14ac:dyDescent="0.25">
      <c r="B451" s="131">
        <v>448</v>
      </c>
      <c r="C451" s="131">
        <v>2013</v>
      </c>
      <c r="D451" s="131" t="s">
        <v>64</v>
      </c>
      <c r="E451" s="131" t="str">
        <f ca="1">IFERROR(__xludf.DUMMYFUNCTION("IF(
  MAX(
    IFERROR(MAX(FILTER('REGISTRO PROD. v1'!F:F,'REGISTRO PROD. v1'!D:D=B451)),0),
    IFERROR(MAX(FILTER('REGISTRO PROD. v1'!W:W,'REGISTRO PROD. v1'!U:U=B451)),0),
    IFERROR(MAX(FILTER('REGISTRO PROD. v1'!AN:AN,'REGISTRO PROD. v1'!AL:AL=B451)"&amp;"),0),
    IFERROR(MAX(FILTER('REGISTRO PROD. v1'!BE:BE,'REGISTRO PROD. v1'!BC:BC=B451)),0),
    IFERROR(MAX(FILTER('REGISTRO PROD. v1'!BV:BV,'REGISTRO PROD. v1'!BT:BT=B451)),0)
  )=0,
  ""NO"",
  IF(
    MAX(
      IFERROR(MAX(FILTER('REGISTRO PROD. v1'!F"&amp;":F,'REGISTRO PROD. v1'!D:D=B451)),0),
      IFERROR(MAX(FILTER('REGISTRO PROD. v1'!W:W,'REGISTRO PROD. v1'!U:U=B451)),0),
      IFERROR(MAX(FILTER('REGISTRO PROD. v1'!AN:AN,'REGISTRO PROD. v1'!AL:AL=B451)),0),
      IFERROR(MAX(FILTER('REGISTRO PROD. v1'!"&amp;"BE:BE,'REGISTRO PROD. v1'!BC:BC=B451)),0),
      IFERROR(MAX(FILTER('REGISTRO PROD. v1'!BV:BV,'REGISTRO PROD. v1'!BT:BT=B451)),0)
    )&gt;=F451,
    ""SI"",
    ""EN PROCESO""
  )
)
"),"NO")</f>
        <v>NO</v>
      </c>
      <c r="F451" s="132" t="s">
        <v>65</v>
      </c>
    </row>
    <row r="452" spans="2:6" ht="15" x14ac:dyDescent="0.25">
      <c r="B452" s="131">
        <v>449</v>
      </c>
      <c r="C452" s="131">
        <v>2013</v>
      </c>
      <c r="D452" s="131" t="s">
        <v>66</v>
      </c>
      <c r="E452" s="131" t="str">
        <f ca="1">IFERROR(__xludf.DUMMYFUNCTION("IF(
  MAX(
    IFERROR(MAX(FILTER('REGISTRO PROD. v1'!F:F,'REGISTRO PROD. v1'!D:D=B452)),0),
    IFERROR(MAX(FILTER('REGISTRO PROD. v1'!W:W,'REGISTRO PROD. v1'!U:U=B452)),0),
    IFERROR(MAX(FILTER('REGISTRO PROD. v1'!AN:AN,'REGISTRO PROD. v1'!AL:AL=B452)"&amp;"),0),
    IFERROR(MAX(FILTER('REGISTRO PROD. v1'!BE:BE,'REGISTRO PROD. v1'!BC:BC=B452)),0),
    IFERROR(MAX(FILTER('REGISTRO PROD. v1'!BV:BV,'REGISTRO PROD. v1'!BT:BT=B452)),0)
  )=0,
  ""NO"",
  IF(
    MAX(
      IFERROR(MAX(FILTER('REGISTRO PROD. v1'!F"&amp;":F,'REGISTRO PROD. v1'!D:D=B452)),0),
      IFERROR(MAX(FILTER('REGISTRO PROD. v1'!W:W,'REGISTRO PROD. v1'!U:U=B452)),0),
      IFERROR(MAX(FILTER('REGISTRO PROD. v1'!AN:AN,'REGISTRO PROD. v1'!AL:AL=B452)),0),
      IFERROR(MAX(FILTER('REGISTRO PROD. v1'!"&amp;"BE:BE,'REGISTRO PROD. v1'!BC:BC=B452)),0),
      IFERROR(MAX(FILTER('REGISTRO PROD. v1'!BV:BV,'REGISTRO PROD. v1'!BT:BT=B452)),0)
    )&gt;=F452,
    ""SI"",
    ""EN PROCESO""
  )
)
"),"NO")</f>
        <v>NO</v>
      </c>
      <c r="F452" s="132" t="s">
        <v>65</v>
      </c>
    </row>
    <row r="453" spans="2:6" ht="15" x14ac:dyDescent="0.25">
      <c r="B453" s="131">
        <v>450</v>
      </c>
      <c r="C453" s="131">
        <v>2013</v>
      </c>
      <c r="D453" s="131" t="s">
        <v>67</v>
      </c>
      <c r="E453" s="131" t="str">
        <f ca="1">IFERROR(__xludf.DUMMYFUNCTION("IF(
  MAX(
    IFERROR(MAX(FILTER('REGISTRO PROD. v1'!F:F,'REGISTRO PROD. v1'!D:D=B453)),0),
    IFERROR(MAX(FILTER('REGISTRO PROD. v1'!W:W,'REGISTRO PROD. v1'!U:U=B453)),0),
    IFERROR(MAX(FILTER('REGISTRO PROD. v1'!AN:AN,'REGISTRO PROD. v1'!AL:AL=B453)"&amp;"),0),
    IFERROR(MAX(FILTER('REGISTRO PROD. v1'!BE:BE,'REGISTRO PROD. v1'!BC:BC=B453)),0),
    IFERROR(MAX(FILTER('REGISTRO PROD. v1'!BV:BV,'REGISTRO PROD. v1'!BT:BT=B453)),0)
  )=0,
  ""NO"",
  IF(
    MAX(
      IFERROR(MAX(FILTER('REGISTRO PROD. v1'!F"&amp;":F,'REGISTRO PROD. v1'!D:D=B453)),0),
      IFERROR(MAX(FILTER('REGISTRO PROD. v1'!W:W,'REGISTRO PROD. v1'!U:U=B453)),0),
      IFERROR(MAX(FILTER('REGISTRO PROD. v1'!AN:AN,'REGISTRO PROD. v1'!AL:AL=B453)),0),
      IFERROR(MAX(FILTER('REGISTRO PROD. v1'!"&amp;"BE:BE,'REGISTRO PROD. v1'!BC:BC=B453)),0),
      IFERROR(MAX(FILTER('REGISTRO PROD. v1'!BV:BV,'REGISTRO PROD. v1'!BT:BT=B453)),0)
    )&gt;=F453,
    ""SI"",
    ""EN PROCESO""
  )
)
"),"NO")</f>
        <v>NO</v>
      </c>
      <c r="F453" s="132" t="s">
        <v>65</v>
      </c>
    </row>
    <row r="454" spans="2:6" ht="15" x14ac:dyDescent="0.25">
      <c r="B454" s="131">
        <v>451</v>
      </c>
      <c r="C454" s="131">
        <v>2013</v>
      </c>
      <c r="D454" s="131" t="s">
        <v>68</v>
      </c>
      <c r="E454" s="131" t="str">
        <f ca="1">IFERROR(__xludf.DUMMYFUNCTION("IF(
  MAX(
    IFERROR(MAX(FILTER('REGISTRO PROD. v1'!F:F,'REGISTRO PROD. v1'!D:D=B454)),0),
    IFERROR(MAX(FILTER('REGISTRO PROD. v1'!W:W,'REGISTRO PROD. v1'!U:U=B454)),0),
    IFERROR(MAX(FILTER('REGISTRO PROD. v1'!AN:AN,'REGISTRO PROD. v1'!AL:AL=B454)"&amp;"),0),
    IFERROR(MAX(FILTER('REGISTRO PROD. v1'!BE:BE,'REGISTRO PROD. v1'!BC:BC=B454)),0),
    IFERROR(MAX(FILTER('REGISTRO PROD. v1'!BV:BV,'REGISTRO PROD. v1'!BT:BT=B454)),0)
  )=0,
  ""NO"",
  IF(
    MAX(
      IFERROR(MAX(FILTER('REGISTRO PROD. v1'!F"&amp;":F,'REGISTRO PROD. v1'!D:D=B454)),0),
      IFERROR(MAX(FILTER('REGISTRO PROD. v1'!W:W,'REGISTRO PROD. v1'!U:U=B454)),0),
      IFERROR(MAX(FILTER('REGISTRO PROD. v1'!AN:AN,'REGISTRO PROD. v1'!AL:AL=B454)),0),
      IFERROR(MAX(FILTER('REGISTRO PROD. v1'!"&amp;"BE:BE,'REGISTRO PROD. v1'!BC:BC=B454)),0),
      IFERROR(MAX(FILTER('REGISTRO PROD. v1'!BV:BV,'REGISTRO PROD. v1'!BT:BT=B454)),0)
    )&gt;=F454,
    ""SI"",
    ""EN PROCESO""
  )
)
"),"NO")</f>
        <v>NO</v>
      </c>
      <c r="F454" s="132" t="s">
        <v>65</v>
      </c>
    </row>
    <row r="455" spans="2:6" ht="15" x14ac:dyDescent="0.25">
      <c r="B455" s="131">
        <v>452</v>
      </c>
      <c r="C455" s="131">
        <v>2013</v>
      </c>
      <c r="D455" s="131" t="s">
        <v>69</v>
      </c>
      <c r="E455" s="131" t="str">
        <f ca="1">IFERROR(__xludf.DUMMYFUNCTION("IF(
  MAX(
    IFERROR(MAX(FILTER('REGISTRO PROD. v1'!F:F,'REGISTRO PROD. v1'!D:D=B455)),0),
    IFERROR(MAX(FILTER('REGISTRO PROD. v1'!W:W,'REGISTRO PROD. v1'!U:U=B455)),0),
    IFERROR(MAX(FILTER('REGISTRO PROD. v1'!AN:AN,'REGISTRO PROD. v1'!AL:AL=B455)"&amp;"),0),
    IFERROR(MAX(FILTER('REGISTRO PROD. v1'!BE:BE,'REGISTRO PROD. v1'!BC:BC=B455)),0),
    IFERROR(MAX(FILTER('REGISTRO PROD. v1'!BV:BV,'REGISTRO PROD. v1'!BT:BT=B455)),0)
  )=0,
  ""NO"",
  IF(
    MAX(
      IFERROR(MAX(FILTER('REGISTRO PROD. v1'!F"&amp;":F,'REGISTRO PROD. v1'!D:D=B455)),0),
      IFERROR(MAX(FILTER('REGISTRO PROD. v1'!W:W,'REGISTRO PROD. v1'!U:U=B455)),0),
      IFERROR(MAX(FILTER('REGISTRO PROD. v1'!AN:AN,'REGISTRO PROD. v1'!AL:AL=B455)),0),
      IFERROR(MAX(FILTER('REGISTRO PROD. v1'!"&amp;"BE:BE,'REGISTRO PROD. v1'!BC:BC=B455)),0),
      IFERROR(MAX(FILTER('REGISTRO PROD. v1'!BV:BV,'REGISTRO PROD. v1'!BT:BT=B455)),0)
    )&gt;=F455,
    ""SI"",
    ""EN PROCESO""
  )
)
"),"NO")</f>
        <v>NO</v>
      </c>
      <c r="F455" s="132" t="s">
        <v>65</v>
      </c>
    </row>
    <row r="456" spans="2:6" ht="15" x14ac:dyDescent="0.25">
      <c r="B456" s="131">
        <v>453</v>
      </c>
      <c r="C456" s="131">
        <v>2013</v>
      </c>
      <c r="D456" s="131" t="s">
        <v>70</v>
      </c>
      <c r="E456" s="131" t="str">
        <f ca="1">IFERROR(__xludf.DUMMYFUNCTION("IF(
  MAX(
    IFERROR(MAX(FILTER('REGISTRO PROD. v1'!F:F,'REGISTRO PROD. v1'!D:D=B456)),0),
    IFERROR(MAX(FILTER('REGISTRO PROD. v1'!W:W,'REGISTRO PROD. v1'!U:U=B456)),0),
    IFERROR(MAX(FILTER('REGISTRO PROD. v1'!AN:AN,'REGISTRO PROD. v1'!AL:AL=B456)"&amp;"),0),
    IFERROR(MAX(FILTER('REGISTRO PROD. v1'!BE:BE,'REGISTRO PROD. v1'!BC:BC=B456)),0),
    IFERROR(MAX(FILTER('REGISTRO PROD. v1'!BV:BV,'REGISTRO PROD. v1'!BT:BT=B456)),0)
  )=0,
  ""NO"",
  IF(
    MAX(
      IFERROR(MAX(FILTER('REGISTRO PROD. v1'!F"&amp;":F,'REGISTRO PROD. v1'!D:D=B456)),0),
      IFERROR(MAX(FILTER('REGISTRO PROD. v1'!W:W,'REGISTRO PROD. v1'!U:U=B456)),0),
      IFERROR(MAX(FILTER('REGISTRO PROD. v1'!AN:AN,'REGISTRO PROD. v1'!AL:AL=B456)),0),
      IFERROR(MAX(FILTER('REGISTRO PROD. v1'!"&amp;"BE:BE,'REGISTRO PROD. v1'!BC:BC=B456)),0),
      IFERROR(MAX(FILTER('REGISTRO PROD. v1'!BV:BV,'REGISTRO PROD. v1'!BT:BT=B456)),0)
    )&gt;=F456,
    ""SI"",
    ""EN PROCESO""
  )
)
"),"NO")</f>
        <v>NO</v>
      </c>
      <c r="F456" s="132" t="s">
        <v>65</v>
      </c>
    </row>
    <row r="457" spans="2:6" ht="15" x14ac:dyDescent="0.25">
      <c r="B457" s="131">
        <v>454</v>
      </c>
      <c r="C457" s="131">
        <v>2013</v>
      </c>
      <c r="D457" s="131" t="s">
        <v>97</v>
      </c>
      <c r="E457" s="131" t="str">
        <f ca="1">IFERROR(__xludf.DUMMYFUNCTION("IF(
  MAX(
    IFERROR(MAX(FILTER('REGISTRO PROD. v1'!F:F,'REGISTRO PROD. v1'!D:D=B457)),0),
    IFERROR(MAX(FILTER('REGISTRO PROD. v1'!W:W,'REGISTRO PROD. v1'!U:U=B457)),0),
    IFERROR(MAX(FILTER('REGISTRO PROD. v1'!AN:AN,'REGISTRO PROD. v1'!AL:AL=B457)"&amp;"),0),
    IFERROR(MAX(FILTER('REGISTRO PROD. v1'!BE:BE,'REGISTRO PROD. v1'!BC:BC=B457)),0),
    IFERROR(MAX(FILTER('REGISTRO PROD. v1'!BV:BV,'REGISTRO PROD. v1'!BT:BT=B457)),0)
  )=0,
  ""NO"",
  IF(
    MAX(
      IFERROR(MAX(FILTER('REGISTRO PROD. v1'!F"&amp;":F,'REGISTRO PROD. v1'!D:D=B457)),0),
      IFERROR(MAX(FILTER('REGISTRO PROD. v1'!W:W,'REGISTRO PROD. v1'!U:U=B457)),0),
      IFERROR(MAX(FILTER('REGISTRO PROD. v1'!AN:AN,'REGISTRO PROD. v1'!AL:AL=B457)),0),
      IFERROR(MAX(FILTER('REGISTRO PROD. v1'!"&amp;"BE:BE,'REGISTRO PROD. v1'!BC:BC=B457)),0),
      IFERROR(MAX(FILTER('REGISTRO PROD. v1'!BV:BV,'REGISTRO PROD. v1'!BT:BT=B457)),0)
    )&gt;=F457,
    ""SI"",
    ""EN PROCESO""
  )
)
"),"NO")</f>
        <v>NO</v>
      </c>
      <c r="F457" s="132" t="s">
        <v>65</v>
      </c>
    </row>
    <row r="458" spans="2:6" ht="15" x14ac:dyDescent="0.25">
      <c r="B458" s="131">
        <v>455</v>
      </c>
      <c r="C458" s="131">
        <v>2013</v>
      </c>
      <c r="D458" s="131" t="s">
        <v>98</v>
      </c>
      <c r="E458" s="131" t="str">
        <f ca="1">IFERROR(__xludf.DUMMYFUNCTION("IF(
  MAX(
    IFERROR(MAX(FILTER('REGISTRO PROD. v1'!F:F,'REGISTRO PROD. v1'!D:D=B458)),0),
    IFERROR(MAX(FILTER('REGISTRO PROD. v1'!W:W,'REGISTRO PROD. v1'!U:U=B458)),0),
    IFERROR(MAX(FILTER('REGISTRO PROD. v1'!AN:AN,'REGISTRO PROD. v1'!AL:AL=B458)"&amp;"),0),
    IFERROR(MAX(FILTER('REGISTRO PROD. v1'!BE:BE,'REGISTRO PROD. v1'!BC:BC=B458)),0),
    IFERROR(MAX(FILTER('REGISTRO PROD. v1'!BV:BV,'REGISTRO PROD. v1'!BT:BT=B458)),0)
  )=0,
  ""NO"",
  IF(
    MAX(
      IFERROR(MAX(FILTER('REGISTRO PROD. v1'!F"&amp;":F,'REGISTRO PROD. v1'!D:D=B458)),0),
      IFERROR(MAX(FILTER('REGISTRO PROD. v1'!W:W,'REGISTRO PROD. v1'!U:U=B458)),0),
      IFERROR(MAX(FILTER('REGISTRO PROD. v1'!AN:AN,'REGISTRO PROD. v1'!AL:AL=B458)),0),
      IFERROR(MAX(FILTER('REGISTRO PROD. v1'!"&amp;"BE:BE,'REGISTRO PROD. v1'!BC:BC=B458)),0),
      IFERROR(MAX(FILTER('REGISTRO PROD. v1'!BV:BV,'REGISTRO PROD. v1'!BT:BT=B458)),0)
    )&gt;=F458,
    ""SI"",
    ""EN PROCESO""
  )
)
"),"NO")</f>
        <v>NO</v>
      </c>
      <c r="F458" s="132" t="s">
        <v>65</v>
      </c>
    </row>
    <row r="459" spans="2:6" ht="15" x14ac:dyDescent="0.25">
      <c r="B459" s="131">
        <v>456</v>
      </c>
      <c r="C459" s="131">
        <v>2013</v>
      </c>
      <c r="D459" s="131" t="s">
        <v>99</v>
      </c>
      <c r="E459" s="131" t="str">
        <f ca="1">IFERROR(__xludf.DUMMYFUNCTION("IF(
  MAX(
    IFERROR(MAX(FILTER('REGISTRO PROD. v1'!F:F,'REGISTRO PROD. v1'!D:D=B459)),0),
    IFERROR(MAX(FILTER('REGISTRO PROD. v1'!W:W,'REGISTRO PROD. v1'!U:U=B459)),0),
    IFERROR(MAX(FILTER('REGISTRO PROD. v1'!AN:AN,'REGISTRO PROD. v1'!AL:AL=B459)"&amp;"),0),
    IFERROR(MAX(FILTER('REGISTRO PROD. v1'!BE:BE,'REGISTRO PROD. v1'!BC:BC=B459)),0),
    IFERROR(MAX(FILTER('REGISTRO PROD. v1'!BV:BV,'REGISTRO PROD. v1'!BT:BT=B459)),0)
  )=0,
  ""NO"",
  IF(
    MAX(
      IFERROR(MAX(FILTER('REGISTRO PROD. v1'!F"&amp;":F,'REGISTRO PROD. v1'!D:D=B459)),0),
      IFERROR(MAX(FILTER('REGISTRO PROD. v1'!W:W,'REGISTRO PROD. v1'!U:U=B459)),0),
      IFERROR(MAX(FILTER('REGISTRO PROD. v1'!AN:AN,'REGISTRO PROD. v1'!AL:AL=B459)),0),
      IFERROR(MAX(FILTER('REGISTRO PROD. v1'!"&amp;"BE:BE,'REGISTRO PROD. v1'!BC:BC=B459)),0),
      IFERROR(MAX(FILTER('REGISTRO PROD. v1'!BV:BV,'REGISTRO PROD. v1'!BT:BT=B459)),0)
    )&gt;=F459,
    ""SI"",
    ""EN PROCESO""
  )
)
"),"NO")</f>
        <v>NO</v>
      </c>
      <c r="F459" s="132" t="s">
        <v>65</v>
      </c>
    </row>
    <row r="460" spans="2:6" ht="15" x14ac:dyDescent="0.25">
      <c r="B460" s="131">
        <v>457</v>
      </c>
      <c r="C460" s="131">
        <v>2013</v>
      </c>
      <c r="D460" s="131" t="s">
        <v>100</v>
      </c>
      <c r="E460" s="131" t="str">
        <f ca="1">IFERROR(__xludf.DUMMYFUNCTION("IF(
  MAX(
    IFERROR(MAX(FILTER('REGISTRO PROD. v1'!F:F,'REGISTRO PROD. v1'!D:D=B460)),0),
    IFERROR(MAX(FILTER('REGISTRO PROD. v1'!W:W,'REGISTRO PROD. v1'!U:U=B460)),0),
    IFERROR(MAX(FILTER('REGISTRO PROD. v1'!AN:AN,'REGISTRO PROD. v1'!AL:AL=B460)"&amp;"),0),
    IFERROR(MAX(FILTER('REGISTRO PROD. v1'!BE:BE,'REGISTRO PROD. v1'!BC:BC=B460)),0),
    IFERROR(MAX(FILTER('REGISTRO PROD. v1'!BV:BV,'REGISTRO PROD. v1'!BT:BT=B460)),0)
  )=0,
  ""NO"",
  IF(
    MAX(
      IFERROR(MAX(FILTER('REGISTRO PROD. v1'!F"&amp;":F,'REGISTRO PROD. v1'!D:D=B460)),0),
      IFERROR(MAX(FILTER('REGISTRO PROD. v1'!W:W,'REGISTRO PROD. v1'!U:U=B460)),0),
      IFERROR(MAX(FILTER('REGISTRO PROD. v1'!AN:AN,'REGISTRO PROD. v1'!AL:AL=B460)),0),
      IFERROR(MAX(FILTER('REGISTRO PROD. v1'!"&amp;"BE:BE,'REGISTRO PROD. v1'!BC:BC=B460)),0),
      IFERROR(MAX(FILTER('REGISTRO PROD. v1'!BV:BV,'REGISTRO PROD. v1'!BT:BT=B460)),0)
    )&gt;=F460,
    ""SI"",
    ""EN PROCESO""
  )
)
"),"NO")</f>
        <v>NO</v>
      </c>
      <c r="F460" s="132" t="s">
        <v>65</v>
      </c>
    </row>
    <row r="461" spans="2:6" ht="15" x14ac:dyDescent="0.25">
      <c r="B461" s="131">
        <v>458</v>
      </c>
      <c r="C461" s="131">
        <v>2013</v>
      </c>
      <c r="D461" s="131" t="s">
        <v>101</v>
      </c>
      <c r="E461" s="131" t="str">
        <f ca="1">IFERROR(__xludf.DUMMYFUNCTION("IF(
  MAX(
    IFERROR(MAX(FILTER('REGISTRO PROD. v1'!F:F,'REGISTRO PROD. v1'!D:D=B461)),0),
    IFERROR(MAX(FILTER('REGISTRO PROD. v1'!W:W,'REGISTRO PROD. v1'!U:U=B461)),0),
    IFERROR(MAX(FILTER('REGISTRO PROD. v1'!AN:AN,'REGISTRO PROD. v1'!AL:AL=B461)"&amp;"),0),
    IFERROR(MAX(FILTER('REGISTRO PROD. v1'!BE:BE,'REGISTRO PROD. v1'!BC:BC=B461)),0),
    IFERROR(MAX(FILTER('REGISTRO PROD. v1'!BV:BV,'REGISTRO PROD. v1'!BT:BT=B461)),0)
  )=0,
  ""NO"",
  IF(
    MAX(
      IFERROR(MAX(FILTER('REGISTRO PROD. v1'!F"&amp;":F,'REGISTRO PROD. v1'!D:D=B461)),0),
      IFERROR(MAX(FILTER('REGISTRO PROD. v1'!W:W,'REGISTRO PROD. v1'!U:U=B461)),0),
      IFERROR(MAX(FILTER('REGISTRO PROD. v1'!AN:AN,'REGISTRO PROD. v1'!AL:AL=B461)),0),
      IFERROR(MAX(FILTER('REGISTRO PROD. v1'!"&amp;"BE:BE,'REGISTRO PROD. v1'!BC:BC=B461)),0),
      IFERROR(MAX(FILTER('REGISTRO PROD. v1'!BV:BV,'REGISTRO PROD. v1'!BT:BT=B461)),0)
    )&gt;=F461,
    ""SI"",
    ""EN PROCESO""
  )
)
"),"NO")</f>
        <v>NO</v>
      </c>
      <c r="F461" s="132" t="s">
        <v>65</v>
      </c>
    </row>
    <row r="462" spans="2:6" ht="15" x14ac:dyDescent="0.25">
      <c r="B462" s="131">
        <v>459</v>
      </c>
      <c r="C462" s="131">
        <v>2013</v>
      </c>
      <c r="D462" s="131" t="s">
        <v>102</v>
      </c>
      <c r="E462" s="131" t="str">
        <f ca="1">IFERROR(__xludf.DUMMYFUNCTION("IF(
  MAX(
    IFERROR(MAX(FILTER('REGISTRO PROD. v1'!F:F,'REGISTRO PROD. v1'!D:D=B462)),0),
    IFERROR(MAX(FILTER('REGISTRO PROD. v1'!W:W,'REGISTRO PROD. v1'!U:U=B462)),0),
    IFERROR(MAX(FILTER('REGISTRO PROD. v1'!AN:AN,'REGISTRO PROD. v1'!AL:AL=B462)"&amp;"),0),
    IFERROR(MAX(FILTER('REGISTRO PROD. v1'!BE:BE,'REGISTRO PROD. v1'!BC:BC=B462)),0),
    IFERROR(MAX(FILTER('REGISTRO PROD. v1'!BV:BV,'REGISTRO PROD. v1'!BT:BT=B462)),0)
  )=0,
  ""NO"",
  IF(
    MAX(
      IFERROR(MAX(FILTER('REGISTRO PROD. v1'!F"&amp;":F,'REGISTRO PROD. v1'!D:D=B462)),0),
      IFERROR(MAX(FILTER('REGISTRO PROD. v1'!W:W,'REGISTRO PROD. v1'!U:U=B462)),0),
      IFERROR(MAX(FILTER('REGISTRO PROD. v1'!AN:AN,'REGISTRO PROD. v1'!AL:AL=B462)),0),
      IFERROR(MAX(FILTER('REGISTRO PROD. v1'!"&amp;"BE:BE,'REGISTRO PROD. v1'!BC:BC=B462)),0),
      IFERROR(MAX(FILTER('REGISTRO PROD. v1'!BV:BV,'REGISTRO PROD. v1'!BT:BT=B462)),0)
    )&gt;=F462,
    ""SI"",
    ""EN PROCESO""
  )
)
"),"NO")</f>
        <v>NO</v>
      </c>
      <c r="F462" s="132" t="s">
        <v>65</v>
      </c>
    </row>
    <row r="463" spans="2:6" ht="15" x14ac:dyDescent="0.25">
      <c r="B463" s="131">
        <v>460</v>
      </c>
      <c r="C463" s="131">
        <v>2013</v>
      </c>
      <c r="D463" s="131" t="s">
        <v>103</v>
      </c>
      <c r="E463" s="131" t="str">
        <f ca="1">IFERROR(__xludf.DUMMYFUNCTION("IF(
  MAX(
    IFERROR(MAX(FILTER('REGISTRO PROD. v1'!F:F,'REGISTRO PROD. v1'!D:D=B463)),0),
    IFERROR(MAX(FILTER('REGISTRO PROD. v1'!W:W,'REGISTRO PROD. v1'!U:U=B463)),0),
    IFERROR(MAX(FILTER('REGISTRO PROD. v1'!AN:AN,'REGISTRO PROD. v1'!AL:AL=B463)"&amp;"),0),
    IFERROR(MAX(FILTER('REGISTRO PROD. v1'!BE:BE,'REGISTRO PROD. v1'!BC:BC=B463)),0),
    IFERROR(MAX(FILTER('REGISTRO PROD. v1'!BV:BV,'REGISTRO PROD. v1'!BT:BT=B463)),0)
  )=0,
  ""NO"",
  IF(
    MAX(
      IFERROR(MAX(FILTER('REGISTRO PROD. v1'!F"&amp;":F,'REGISTRO PROD. v1'!D:D=B463)),0),
      IFERROR(MAX(FILTER('REGISTRO PROD. v1'!W:W,'REGISTRO PROD. v1'!U:U=B463)),0),
      IFERROR(MAX(FILTER('REGISTRO PROD. v1'!AN:AN,'REGISTRO PROD. v1'!AL:AL=B463)),0),
      IFERROR(MAX(FILTER('REGISTRO PROD. v1'!"&amp;"BE:BE,'REGISTRO PROD. v1'!BC:BC=B463)),0),
      IFERROR(MAX(FILTER('REGISTRO PROD. v1'!BV:BV,'REGISTRO PROD. v1'!BT:BT=B463)),0)
    )&gt;=F463,
    ""SI"",
    ""EN PROCESO""
  )
)
"),"NO")</f>
        <v>NO</v>
      </c>
      <c r="F463" s="132" t="s">
        <v>65</v>
      </c>
    </row>
    <row r="464" spans="2:6" ht="15" x14ac:dyDescent="0.25">
      <c r="B464" s="131">
        <v>461</v>
      </c>
      <c r="C464" s="131">
        <v>2013</v>
      </c>
      <c r="D464" s="131" t="s">
        <v>104</v>
      </c>
      <c r="E464" s="131" t="str">
        <f ca="1">IFERROR(__xludf.DUMMYFUNCTION("IF(
  MAX(
    IFERROR(MAX(FILTER('REGISTRO PROD. v1'!F:F,'REGISTRO PROD. v1'!D:D=B464)),0),
    IFERROR(MAX(FILTER('REGISTRO PROD. v1'!W:W,'REGISTRO PROD. v1'!U:U=B464)),0),
    IFERROR(MAX(FILTER('REGISTRO PROD. v1'!AN:AN,'REGISTRO PROD. v1'!AL:AL=B464)"&amp;"),0),
    IFERROR(MAX(FILTER('REGISTRO PROD. v1'!BE:BE,'REGISTRO PROD. v1'!BC:BC=B464)),0),
    IFERROR(MAX(FILTER('REGISTRO PROD. v1'!BV:BV,'REGISTRO PROD. v1'!BT:BT=B464)),0)
  )=0,
  ""NO"",
  IF(
    MAX(
      IFERROR(MAX(FILTER('REGISTRO PROD. v1'!F"&amp;":F,'REGISTRO PROD. v1'!D:D=B464)),0),
      IFERROR(MAX(FILTER('REGISTRO PROD. v1'!W:W,'REGISTRO PROD. v1'!U:U=B464)),0),
      IFERROR(MAX(FILTER('REGISTRO PROD. v1'!AN:AN,'REGISTRO PROD. v1'!AL:AL=B464)),0),
      IFERROR(MAX(FILTER('REGISTRO PROD. v1'!"&amp;"BE:BE,'REGISTRO PROD. v1'!BC:BC=B464)),0),
      IFERROR(MAX(FILTER('REGISTRO PROD. v1'!BV:BV,'REGISTRO PROD. v1'!BT:BT=B464)),0)
    )&gt;=F464,
    ""SI"",
    ""EN PROCESO""
  )
)
"),"NO")</f>
        <v>NO</v>
      </c>
      <c r="F464" s="132" t="s">
        <v>65</v>
      </c>
    </row>
    <row r="465" spans="2:6" ht="15" x14ac:dyDescent="0.25">
      <c r="B465" s="131">
        <v>462</v>
      </c>
      <c r="C465" s="131">
        <v>2013</v>
      </c>
      <c r="D465" s="131" t="s">
        <v>105</v>
      </c>
      <c r="E465" s="131" t="str">
        <f ca="1">IFERROR(__xludf.DUMMYFUNCTION("IF(
  MAX(
    IFERROR(MAX(FILTER('REGISTRO PROD. v1'!F:F,'REGISTRO PROD. v1'!D:D=B465)),0),
    IFERROR(MAX(FILTER('REGISTRO PROD. v1'!W:W,'REGISTRO PROD. v1'!U:U=B465)),0),
    IFERROR(MAX(FILTER('REGISTRO PROD. v1'!AN:AN,'REGISTRO PROD. v1'!AL:AL=B465)"&amp;"),0),
    IFERROR(MAX(FILTER('REGISTRO PROD. v1'!BE:BE,'REGISTRO PROD. v1'!BC:BC=B465)),0),
    IFERROR(MAX(FILTER('REGISTRO PROD. v1'!BV:BV,'REGISTRO PROD. v1'!BT:BT=B465)),0)
  )=0,
  ""NO"",
  IF(
    MAX(
      IFERROR(MAX(FILTER('REGISTRO PROD. v1'!F"&amp;":F,'REGISTRO PROD. v1'!D:D=B465)),0),
      IFERROR(MAX(FILTER('REGISTRO PROD. v1'!W:W,'REGISTRO PROD. v1'!U:U=B465)),0),
      IFERROR(MAX(FILTER('REGISTRO PROD. v1'!AN:AN,'REGISTRO PROD. v1'!AL:AL=B465)),0),
      IFERROR(MAX(FILTER('REGISTRO PROD. v1'!"&amp;"BE:BE,'REGISTRO PROD. v1'!BC:BC=B465)),0),
      IFERROR(MAX(FILTER('REGISTRO PROD. v1'!BV:BV,'REGISTRO PROD. v1'!BT:BT=B465)),0)
    )&gt;=F465,
    ""SI"",
    ""EN PROCESO""
  )
)
"),"NO")</f>
        <v>NO</v>
      </c>
      <c r="F465" s="132" t="s">
        <v>65</v>
      </c>
    </row>
    <row r="466" spans="2:6" ht="15" x14ac:dyDescent="0.25">
      <c r="B466" s="131">
        <v>463</v>
      </c>
      <c r="C466" s="131">
        <v>2013</v>
      </c>
      <c r="D466" s="131" t="s">
        <v>106</v>
      </c>
      <c r="E466" s="131" t="str">
        <f ca="1">IFERROR(__xludf.DUMMYFUNCTION("IF(
  MAX(
    IFERROR(MAX(FILTER('REGISTRO PROD. v1'!F:F,'REGISTRO PROD. v1'!D:D=B466)),0),
    IFERROR(MAX(FILTER('REGISTRO PROD. v1'!W:W,'REGISTRO PROD. v1'!U:U=B466)),0),
    IFERROR(MAX(FILTER('REGISTRO PROD. v1'!AN:AN,'REGISTRO PROD. v1'!AL:AL=B466)"&amp;"),0),
    IFERROR(MAX(FILTER('REGISTRO PROD. v1'!BE:BE,'REGISTRO PROD. v1'!BC:BC=B466)),0),
    IFERROR(MAX(FILTER('REGISTRO PROD. v1'!BV:BV,'REGISTRO PROD. v1'!BT:BT=B466)),0)
  )=0,
  ""NO"",
  IF(
    MAX(
      IFERROR(MAX(FILTER('REGISTRO PROD. v1'!F"&amp;":F,'REGISTRO PROD. v1'!D:D=B466)),0),
      IFERROR(MAX(FILTER('REGISTRO PROD. v1'!W:W,'REGISTRO PROD. v1'!U:U=B466)),0),
      IFERROR(MAX(FILTER('REGISTRO PROD. v1'!AN:AN,'REGISTRO PROD. v1'!AL:AL=B466)),0),
      IFERROR(MAX(FILTER('REGISTRO PROD. v1'!"&amp;"BE:BE,'REGISTRO PROD. v1'!BC:BC=B466)),0),
      IFERROR(MAX(FILTER('REGISTRO PROD. v1'!BV:BV,'REGISTRO PROD. v1'!BT:BT=B466)),0)
    )&gt;=F466,
    ""SI"",
    ""EN PROCESO""
  )
)
"),"NO")</f>
        <v>NO</v>
      </c>
      <c r="F466" s="132" t="s">
        <v>65</v>
      </c>
    </row>
    <row r="467" spans="2:6" ht="15" x14ac:dyDescent="0.25">
      <c r="B467" s="131">
        <v>464</v>
      </c>
      <c r="C467" s="131">
        <v>2013</v>
      </c>
      <c r="D467" s="131" t="s">
        <v>107</v>
      </c>
      <c r="E467" s="131" t="str">
        <f ca="1">IFERROR(__xludf.DUMMYFUNCTION("IF(
  MAX(
    IFERROR(MAX(FILTER('REGISTRO PROD. v1'!F:F,'REGISTRO PROD. v1'!D:D=B467)),0),
    IFERROR(MAX(FILTER('REGISTRO PROD. v1'!W:W,'REGISTRO PROD. v1'!U:U=B467)),0),
    IFERROR(MAX(FILTER('REGISTRO PROD. v1'!AN:AN,'REGISTRO PROD. v1'!AL:AL=B467)"&amp;"),0),
    IFERROR(MAX(FILTER('REGISTRO PROD. v1'!BE:BE,'REGISTRO PROD. v1'!BC:BC=B467)),0),
    IFERROR(MAX(FILTER('REGISTRO PROD. v1'!BV:BV,'REGISTRO PROD. v1'!BT:BT=B467)),0)
  )=0,
  ""NO"",
  IF(
    MAX(
      IFERROR(MAX(FILTER('REGISTRO PROD. v1'!F"&amp;":F,'REGISTRO PROD. v1'!D:D=B467)),0),
      IFERROR(MAX(FILTER('REGISTRO PROD. v1'!W:W,'REGISTRO PROD. v1'!U:U=B467)),0),
      IFERROR(MAX(FILTER('REGISTRO PROD. v1'!AN:AN,'REGISTRO PROD. v1'!AL:AL=B467)),0),
      IFERROR(MAX(FILTER('REGISTRO PROD. v1'!"&amp;"BE:BE,'REGISTRO PROD. v1'!BC:BC=B467)),0),
      IFERROR(MAX(FILTER('REGISTRO PROD. v1'!BV:BV,'REGISTRO PROD. v1'!BT:BT=B467)),0)
    )&gt;=F467,
    ""SI"",
    ""EN PROCESO""
  )
)
"),"NO")</f>
        <v>NO</v>
      </c>
      <c r="F467" s="132" t="s">
        <v>65</v>
      </c>
    </row>
    <row r="468" spans="2:6" ht="15" x14ac:dyDescent="0.25">
      <c r="B468" s="131">
        <v>465</v>
      </c>
      <c r="C468" s="131">
        <v>2013</v>
      </c>
      <c r="D468" s="131" t="s">
        <v>108</v>
      </c>
      <c r="E468" s="131" t="str">
        <f ca="1">IFERROR(__xludf.DUMMYFUNCTION("IF(
  MAX(
    IFERROR(MAX(FILTER('REGISTRO PROD. v1'!F:F,'REGISTRO PROD. v1'!D:D=B468)),0),
    IFERROR(MAX(FILTER('REGISTRO PROD. v1'!W:W,'REGISTRO PROD. v1'!U:U=B468)),0),
    IFERROR(MAX(FILTER('REGISTRO PROD. v1'!AN:AN,'REGISTRO PROD. v1'!AL:AL=B468)"&amp;"),0),
    IFERROR(MAX(FILTER('REGISTRO PROD. v1'!BE:BE,'REGISTRO PROD. v1'!BC:BC=B468)),0),
    IFERROR(MAX(FILTER('REGISTRO PROD. v1'!BV:BV,'REGISTRO PROD. v1'!BT:BT=B468)),0)
  )=0,
  ""NO"",
  IF(
    MAX(
      IFERROR(MAX(FILTER('REGISTRO PROD. v1'!F"&amp;":F,'REGISTRO PROD. v1'!D:D=B468)),0),
      IFERROR(MAX(FILTER('REGISTRO PROD. v1'!W:W,'REGISTRO PROD. v1'!U:U=B468)),0),
      IFERROR(MAX(FILTER('REGISTRO PROD. v1'!AN:AN,'REGISTRO PROD. v1'!AL:AL=B468)),0),
      IFERROR(MAX(FILTER('REGISTRO PROD. v1'!"&amp;"BE:BE,'REGISTRO PROD. v1'!BC:BC=B468)),0),
      IFERROR(MAX(FILTER('REGISTRO PROD. v1'!BV:BV,'REGISTRO PROD. v1'!BT:BT=B468)),0)
    )&gt;=F468,
    ""SI"",
    ""EN PROCESO""
  )
)
"),"NO")</f>
        <v>NO</v>
      </c>
      <c r="F468" s="132" t="s">
        <v>65</v>
      </c>
    </row>
    <row r="469" spans="2:6" ht="15" x14ac:dyDescent="0.25">
      <c r="B469" s="131">
        <v>466</v>
      </c>
      <c r="C469" s="131">
        <v>2013</v>
      </c>
      <c r="D469" s="131" t="s">
        <v>109</v>
      </c>
      <c r="E469" s="131" t="str">
        <f ca="1">IFERROR(__xludf.DUMMYFUNCTION("IF(
  MAX(
    IFERROR(MAX(FILTER('REGISTRO PROD. v1'!F:F,'REGISTRO PROD. v1'!D:D=B469)),0),
    IFERROR(MAX(FILTER('REGISTRO PROD. v1'!W:W,'REGISTRO PROD. v1'!U:U=B469)),0),
    IFERROR(MAX(FILTER('REGISTRO PROD. v1'!AN:AN,'REGISTRO PROD. v1'!AL:AL=B469)"&amp;"),0),
    IFERROR(MAX(FILTER('REGISTRO PROD. v1'!BE:BE,'REGISTRO PROD. v1'!BC:BC=B469)),0),
    IFERROR(MAX(FILTER('REGISTRO PROD. v1'!BV:BV,'REGISTRO PROD. v1'!BT:BT=B469)),0)
  )=0,
  ""NO"",
  IF(
    MAX(
      IFERROR(MAX(FILTER('REGISTRO PROD. v1'!F"&amp;":F,'REGISTRO PROD. v1'!D:D=B469)),0),
      IFERROR(MAX(FILTER('REGISTRO PROD. v1'!W:W,'REGISTRO PROD. v1'!U:U=B469)),0),
      IFERROR(MAX(FILTER('REGISTRO PROD. v1'!AN:AN,'REGISTRO PROD. v1'!AL:AL=B469)),0),
      IFERROR(MAX(FILTER('REGISTRO PROD. v1'!"&amp;"BE:BE,'REGISTRO PROD. v1'!BC:BC=B469)),0),
      IFERROR(MAX(FILTER('REGISTRO PROD. v1'!BV:BV,'REGISTRO PROD. v1'!BT:BT=B469)),0)
    )&gt;=F469,
    ""SI"",
    ""EN PROCESO""
  )
)
"),"NO")</f>
        <v>NO</v>
      </c>
      <c r="F469" s="132" t="s">
        <v>65</v>
      </c>
    </row>
    <row r="470" spans="2:6" ht="15" x14ac:dyDescent="0.25">
      <c r="B470" s="131">
        <v>467</v>
      </c>
      <c r="C470" s="131">
        <v>2013</v>
      </c>
      <c r="D470" s="131" t="s">
        <v>110</v>
      </c>
      <c r="E470" s="131" t="str">
        <f ca="1">IFERROR(__xludf.DUMMYFUNCTION("IF(
  MAX(
    IFERROR(MAX(FILTER('REGISTRO PROD. v1'!F:F,'REGISTRO PROD. v1'!D:D=B470)),0),
    IFERROR(MAX(FILTER('REGISTRO PROD. v1'!W:W,'REGISTRO PROD. v1'!U:U=B470)),0),
    IFERROR(MAX(FILTER('REGISTRO PROD. v1'!AN:AN,'REGISTRO PROD. v1'!AL:AL=B470)"&amp;"),0),
    IFERROR(MAX(FILTER('REGISTRO PROD. v1'!BE:BE,'REGISTRO PROD. v1'!BC:BC=B470)),0),
    IFERROR(MAX(FILTER('REGISTRO PROD. v1'!BV:BV,'REGISTRO PROD. v1'!BT:BT=B470)),0)
  )=0,
  ""NO"",
  IF(
    MAX(
      IFERROR(MAX(FILTER('REGISTRO PROD. v1'!F"&amp;":F,'REGISTRO PROD. v1'!D:D=B470)),0),
      IFERROR(MAX(FILTER('REGISTRO PROD. v1'!W:W,'REGISTRO PROD. v1'!U:U=B470)),0),
      IFERROR(MAX(FILTER('REGISTRO PROD. v1'!AN:AN,'REGISTRO PROD. v1'!AL:AL=B470)),0),
      IFERROR(MAX(FILTER('REGISTRO PROD. v1'!"&amp;"BE:BE,'REGISTRO PROD. v1'!BC:BC=B470)),0),
      IFERROR(MAX(FILTER('REGISTRO PROD. v1'!BV:BV,'REGISTRO PROD. v1'!BT:BT=B470)),0)
    )&gt;=F470,
    ""SI"",
    ""EN PROCESO""
  )
)
"),"NO")</f>
        <v>NO</v>
      </c>
      <c r="F470" s="132" t="s">
        <v>65</v>
      </c>
    </row>
    <row r="471" spans="2:6" ht="15" x14ac:dyDescent="0.25">
      <c r="B471" s="131">
        <v>468</v>
      </c>
      <c r="C471" s="131">
        <v>2013</v>
      </c>
      <c r="D471" s="131" t="s">
        <v>111</v>
      </c>
      <c r="E471" s="131" t="str">
        <f ca="1">IFERROR(__xludf.DUMMYFUNCTION("IF(
  MAX(
    IFERROR(MAX(FILTER('REGISTRO PROD. v1'!F:F,'REGISTRO PROD. v1'!D:D=B471)),0),
    IFERROR(MAX(FILTER('REGISTRO PROD. v1'!W:W,'REGISTRO PROD. v1'!U:U=B471)),0),
    IFERROR(MAX(FILTER('REGISTRO PROD. v1'!AN:AN,'REGISTRO PROD. v1'!AL:AL=B471)"&amp;"),0),
    IFERROR(MAX(FILTER('REGISTRO PROD. v1'!BE:BE,'REGISTRO PROD. v1'!BC:BC=B471)),0),
    IFERROR(MAX(FILTER('REGISTRO PROD. v1'!BV:BV,'REGISTRO PROD. v1'!BT:BT=B471)),0)
  )=0,
  ""NO"",
  IF(
    MAX(
      IFERROR(MAX(FILTER('REGISTRO PROD. v1'!F"&amp;":F,'REGISTRO PROD. v1'!D:D=B471)),0),
      IFERROR(MAX(FILTER('REGISTRO PROD. v1'!W:W,'REGISTRO PROD. v1'!U:U=B471)),0),
      IFERROR(MAX(FILTER('REGISTRO PROD. v1'!AN:AN,'REGISTRO PROD. v1'!AL:AL=B471)),0),
      IFERROR(MAX(FILTER('REGISTRO PROD. v1'!"&amp;"BE:BE,'REGISTRO PROD. v1'!BC:BC=B471)),0),
      IFERROR(MAX(FILTER('REGISTRO PROD. v1'!BV:BV,'REGISTRO PROD. v1'!BT:BT=B471)),0)
    )&gt;=F471,
    ""SI"",
    ""EN PROCESO""
  )
)
"),"NO")</f>
        <v>NO</v>
      </c>
      <c r="F471" s="132" t="s">
        <v>65</v>
      </c>
    </row>
    <row r="472" spans="2:6" ht="15" x14ac:dyDescent="0.25">
      <c r="B472" s="131">
        <v>469</v>
      </c>
      <c r="C472" s="131">
        <v>2013</v>
      </c>
      <c r="D472" s="131" t="s">
        <v>112</v>
      </c>
      <c r="E472" s="131" t="str">
        <f ca="1">IFERROR(__xludf.DUMMYFUNCTION("IF(
  MAX(
    IFERROR(MAX(FILTER('REGISTRO PROD. v1'!F:F,'REGISTRO PROD. v1'!D:D=B472)),0),
    IFERROR(MAX(FILTER('REGISTRO PROD. v1'!W:W,'REGISTRO PROD. v1'!U:U=B472)),0),
    IFERROR(MAX(FILTER('REGISTRO PROD. v1'!AN:AN,'REGISTRO PROD. v1'!AL:AL=B472)"&amp;"),0),
    IFERROR(MAX(FILTER('REGISTRO PROD. v1'!BE:BE,'REGISTRO PROD. v1'!BC:BC=B472)),0),
    IFERROR(MAX(FILTER('REGISTRO PROD. v1'!BV:BV,'REGISTRO PROD. v1'!BT:BT=B472)),0)
  )=0,
  ""NO"",
  IF(
    MAX(
      IFERROR(MAX(FILTER('REGISTRO PROD. v1'!F"&amp;":F,'REGISTRO PROD. v1'!D:D=B472)),0),
      IFERROR(MAX(FILTER('REGISTRO PROD. v1'!W:W,'REGISTRO PROD. v1'!U:U=B472)),0),
      IFERROR(MAX(FILTER('REGISTRO PROD. v1'!AN:AN,'REGISTRO PROD. v1'!AL:AL=B472)),0),
      IFERROR(MAX(FILTER('REGISTRO PROD. v1'!"&amp;"BE:BE,'REGISTRO PROD. v1'!BC:BC=B472)),0),
      IFERROR(MAX(FILTER('REGISTRO PROD. v1'!BV:BV,'REGISTRO PROD. v1'!BT:BT=B472)),0)
    )&gt;=F472,
    ""SI"",
    ""EN PROCESO""
  )
)
"),"NO")</f>
        <v>NO</v>
      </c>
      <c r="F472" s="132" t="s">
        <v>65</v>
      </c>
    </row>
    <row r="473" spans="2:6" ht="15" x14ac:dyDescent="0.25">
      <c r="B473" s="131">
        <v>470</v>
      </c>
      <c r="C473" s="131">
        <v>2013</v>
      </c>
      <c r="D473" s="131" t="s">
        <v>113</v>
      </c>
      <c r="E473" s="131" t="str">
        <f ca="1">IFERROR(__xludf.DUMMYFUNCTION("IF(
  MAX(
    IFERROR(MAX(FILTER('REGISTRO PROD. v1'!F:F,'REGISTRO PROD. v1'!D:D=B473)),0),
    IFERROR(MAX(FILTER('REGISTRO PROD. v1'!W:W,'REGISTRO PROD. v1'!U:U=B473)),0),
    IFERROR(MAX(FILTER('REGISTRO PROD. v1'!AN:AN,'REGISTRO PROD. v1'!AL:AL=B473)"&amp;"),0),
    IFERROR(MAX(FILTER('REGISTRO PROD. v1'!BE:BE,'REGISTRO PROD. v1'!BC:BC=B473)),0),
    IFERROR(MAX(FILTER('REGISTRO PROD. v1'!BV:BV,'REGISTRO PROD. v1'!BT:BT=B473)),0)
  )=0,
  ""NO"",
  IF(
    MAX(
      IFERROR(MAX(FILTER('REGISTRO PROD. v1'!F"&amp;":F,'REGISTRO PROD. v1'!D:D=B473)),0),
      IFERROR(MAX(FILTER('REGISTRO PROD. v1'!W:W,'REGISTRO PROD. v1'!U:U=B473)),0),
      IFERROR(MAX(FILTER('REGISTRO PROD. v1'!AN:AN,'REGISTRO PROD. v1'!AL:AL=B473)),0),
      IFERROR(MAX(FILTER('REGISTRO PROD. v1'!"&amp;"BE:BE,'REGISTRO PROD. v1'!BC:BC=B473)),0),
      IFERROR(MAX(FILTER('REGISTRO PROD. v1'!BV:BV,'REGISTRO PROD. v1'!BT:BT=B473)),0)
    )&gt;=F473,
    ""SI"",
    ""EN PROCESO""
  )
)
"),"NO")</f>
        <v>NO</v>
      </c>
      <c r="F473" s="132" t="s">
        <v>65</v>
      </c>
    </row>
    <row r="474" spans="2:6" ht="15" x14ac:dyDescent="0.25">
      <c r="B474" s="131">
        <v>471</v>
      </c>
      <c r="C474" s="131">
        <v>2013</v>
      </c>
      <c r="D474" s="131" t="s">
        <v>114</v>
      </c>
      <c r="E474" s="131" t="str">
        <f ca="1">IFERROR(__xludf.DUMMYFUNCTION("IF(
  MAX(
    IFERROR(MAX(FILTER('REGISTRO PROD. v1'!F:F,'REGISTRO PROD. v1'!D:D=B474)),0),
    IFERROR(MAX(FILTER('REGISTRO PROD. v1'!W:W,'REGISTRO PROD. v1'!U:U=B474)),0),
    IFERROR(MAX(FILTER('REGISTRO PROD. v1'!AN:AN,'REGISTRO PROD. v1'!AL:AL=B474)"&amp;"),0),
    IFERROR(MAX(FILTER('REGISTRO PROD. v1'!BE:BE,'REGISTRO PROD. v1'!BC:BC=B474)),0),
    IFERROR(MAX(FILTER('REGISTRO PROD. v1'!BV:BV,'REGISTRO PROD. v1'!BT:BT=B474)),0)
  )=0,
  ""NO"",
  IF(
    MAX(
      IFERROR(MAX(FILTER('REGISTRO PROD. v1'!F"&amp;":F,'REGISTRO PROD. v1'!D:D=B474)),0),
      IFERROR(MAX(FILTER('REGISTRO PROD. v1'!W:W,'REGISTRO PROD. v1'!U:U=B474)),0),
      IFERROR(MAX(FILTER('REGISTRO PROD. v1'!AN:AN,'REGISTRO PROD. v1'!AL:AL=B474)),0),
      IFERROR(MAX(FILTER('REGISTRO PROD. v1'!"&amp;"BE:BE,'REGISTRO PROD. v1'!BC:BC=B474)),0),
      IFERROR(MAX(FILTER('REGISTRO PROD. v1'!BV:BV,'REGISTRO PROD. v1'!BT:BT=B474)),0)
    )&gt;=F474,
    ""SI"",
    ""EN PROCESO""
  )
)
"),"NO")</f>
        <v>NO</v>
      </c>
      <c r="F474" s="132" t="s">
        <v>65</v>
      </c>
    </row>
    <row r="475" spans="2:6" ht="15" x14ac:dyDescent="0.25">
      <c r="B475" s="131">
        <v>472</v>
      </c>
      <c r="C475" s="131">
        <v>2013</v>
      </c>
      <c r="D475" s="131" t="s">
        <v>115</v>
      </c>
      <c r="E475" s="131" t="str">
        <f ca="1">IFERROR(__xludf.DUMMYFUNCTION("IF(
  MAX(
    IFERROR(MAX(FILTER('REGISTRO PROD. v1'!F:F,'REGISTRO PROD. v1'!D:D=B475)),0),
    IFERROR(MAX(FILTER('REGISTRO PROD. v1'!W:W,'REGISTRO PROD. v1'!U:U=B475)),0),
    IFERROR(MAX(FILTER('REGISTRO PROD. v1'!AN:AN,'REGISTRO PROD. v1'!AL:AL=B475)"&amp;"),0),
    IFERROR(MAX(FILTER('REGISTRO PROD. v1'!BE:BE,'REGISTRO PROD. v1'!BC:BC=B475)),0),
    IFERROR(MAX(FILTER('REGISTRO PROD. v1'!BV:BV,'REGISTRO PROD. v1'!BT:BT=B475)),0)
  )=0,
  ""NO"",
  IF(
    MAX(
      IFERROR(MAX(FILTER('REGISTRO PROD. v1'!F"&amp;":F,'REGISTRO PROD. v1'!D:D=B475)),0),
      IFERROR(MAX(FILTER('REGISTRO PROD. v1'!W:W,'REGISTRO PROD. v1'!U:U=B475)),0),
      IFERROR(MAX(FILTER('REGISTRO PROD. v1'!AN:AN,'REGISTRO PROD. v1'!AL:AL=B475)),0),
      IFERROR(MAX(FILTER('REGISTRO PROD. v1'!"&amp;"BE:BE,'REGISTRO PROD. v1'!BC:BC=B475)),0),
      IFERROR(MAX(FILTER('REGISTRO PROD. v1'!BV:BV,'REGISTRO PROD. v1'!BT:BT=B475)),0)
    )&gt;=F475,
    ""SI"",
    ""EN PROCESO""
  )
)
"),"NO")</f>
        <v>NO</v>
      </c>
      <c r="F475" s="132" t="s">
        <v>65</v>
      </c>
    </row>
    <row r="476" spans="2:6" ht="15" x14ac:dyDescent="0.25">
      <c r="B476" s="131">
        <v>473</v>
      </c>
      <c r="C476" s="131">
        <v>2013</v>
      </c>
      <c r="D476" s="131" t="s">
        <v>116</v>
      </c>
      <c r="E476" s="131" t="str">
        <f ca="1">IFERROR(__xludf.DUMMYFUNCTION("IF(
  MAX(
    IFERROR(MAX(FILTER('REGISTRO PROD. v1'!F:F,'REGISTRO PROD. v1'!D:D=B476)),0),
    IFERROR(MAX(FILTER('REGISTRO PROD. v1'!W:W,'REGISTRO PROD. v1'!U:U=B476)),0),
    IFERROR(MAX(FILTER('REGISTRO PROD. v1'!AN:AN,'REGISTRO PROD. v1'!AL:AL=B476)"&amp;"),0),
    IFERROR(MAX(FILTER('REGISTRO PROD. v1'!BE:BE,'REGISTRO PROD. v1'!BC:BC=B476)),0),
    IFERROR(MAX(FILTER('REGISTRO PROD. v1'!BV:BV,'REGISTRO PROD. v1'!BT:BT=B476)),0)
  )=0,
  ""NO"",
  IF(
    MAX(
      IFERROR(MAX(FILTER('REGISTRO PROD. v1'!F"&amp;":F,'REGISTRO PROD. v1'!D:D=B476)),0),
      IFERROR(MAX(FILTER('REGISTRO PROD. v1'!W:W,'REGISTRO PROD. v1'!U:U=B476)),0),
      IFERROR(MAX(FILTER('REGISTRO PROD. v1'!AN:AN,'REGISTRO PROD. v1'!AL:AL=B476)),0),
      IFERROR(MAX(FILTER('REGISTRO PROD. v1'!"&amp;"BE:BE,'REGISTRO PROD. v1'!BC:BC=B476)),0),
      IFERROR(MAX(FILTER('REGISTRO PROD. v1'!BV:BV,'REGISTRO PROD. v1'!BT:BT=B476)),0)
    )&gt;=F476,
    ""SI"",
    ""EN PROCESO""
  )
)
"),"NO")</f>
        <v>NO</v>
      </c>
      <c r="F476" s="132" t="s">
        <v>65</v>
      </c>
    </row>
    <row r="477" spans="2:6" ht="15" x14ac:dyDescent="0.25">
      <c r="B477" s="131">
        <v>474</v>
      </c>
      <c r="C477" s="131">
        <v>2013</v>
      </c>
      <c r="D477" s="131" t="s">
        <v>117</v>
      </c>
      <c r="E477" s="131" t="str">
        <f ca="1">IFERROR(__xludf.DUMMYFUNCTION("IF(
  MAX(
    IFERROR(MAX(FILTER('REGISTRO PROD. v1'!F:F,'REGISTRO PROD. v1'!D:D=B477)),0),
    IFERROR(MAX(FILTER('REGISTRO PROD. v1'!W:W,'REGISTRO PROD. v1'!U:U=B477)),0),
    IFERROR(MAX(FILTER('REGISTRO PROD. v1'!AN:AN,'REGISTRO PROD. v1'!AL:AL=B477)"&amp;"),0),
    IFERROR(MAX(FILTER('REGISTRO PROD. v1'!BE:BE,'REGISTRO PROD. v1'!BC:BC=B477)),0),
    IFERROR(MAX(FILTER('REGISTRO PROD. v1'!BV:BV,'REGISTRO PROD. v1'!BT:BT=B477)),0)
  )=0,
  ""NO"",
  IF(
    MAX(
      IFERROR(MAX(FILTER('REGISTRO PROD. v1'!F"&amp;":F,'REGISTRO PROD. v1'!D:D=B477)),0),
      IFERROR(MAX(FILTER('REGISTRO PROD. v1'!W:W,'REGISTRO PROD. v1'!U:U=B477)),0),
      IFERROR(MAX(FILTER('REGISTRO PROD. v1'!AN:AN,'REGISTRO PROD. v1'!AL:AL=B477)),0),
      IFERROR(MAX(FILTER('REGISTRO PROD. v1'!"&amp;"BE:BE,'REGISTRO PROD. v1'!BC:BC=B477)),0),
      IFERROR(MAX(FILTER('REGISTRO PROD. v1'!BV:BV,'REGISTRO PROD. v1'!BT:BT=B477)),0)
    )&gt;=F477,
    ""SI"",
    ""EN PROCESO""
  )
)
"),"NO")</f>
        <v>NO</v>
      </c>
      <c r="F477" s="132" t="s">
        <v>65</v>
      </c>
    </row>
    <row r="478" spans="2:6" ht="15" x14ac:dyDescent="0.25">
      <c r="B478" s="131">
        <v>475</v>
      </c>
      <c r="C478" s="131">
        <v>2013</v>
      </c>
      <c r="D478" s="131" t="s">
        <v>118</v>
      </c>
      <c r="E478" s="131" t="str">
        <f ca="1">IFERROR(__xludf.DUMMYFUNCTION("IF(
  MAX(
    IFERROR(MAX(FILTER('REGISTRO PROD. v1'!F:F,'REGISTRO PROD. v1'!D:D=B478)),0),
    IFERROR(MAX(FILTER('REGISTRO PROD. v1'!W:W,'REGISTRO PROD. v1'!U:U=B478)),0),
    IFERROR(MAX(FILTER('REGISTRO PROD. v1'!AN:AN,'REGISTRO PROD. v1'!AL:AL=B478)"&amp;"),0),
    IFERROR(MAX(FILTER('REGISTRO PROD. v1'!BE:BE,'REGISTRO PROD. v1'!BC:BC=B478)),0),
    IFERROR(MAX(FILTER('REGISTRO PROD. v1'!BV:BV,'REGISTRO PROD. v1'!BT:BT=B478)),0)
  )=0,
  ""NO"",
  IF(
    MAX(
      IFERROR(MAX(FILTER('REGISTRO PROD. v1'!F"&amp;":F,'REGISTRO PROD. v1'!D:D=B478)),0),
      IFERROR(MAX(FILTER('REGISTRO PROD. v1'!W:W,'REGISTRO PROD. v1'!U:U=B478)),0),
      IFERROR(MAX(FILTER('REGISTRO PROD. v1'!AN:AN,'REGISTRO PROD. v1'!AL:AL=B478)),0),
      IFERROR(MAX(FILTER('REGISTRO PROD. v1'!"&amp;"BE:BE,'REGISTRO PROD. v1'!BC:BC=B478)),0),
      IFERROR(MAX(FILTER('REGISTRO PROD. v1'!BV:BV,'REGISTRO PROD. v1'!BT:BT=B478)),0)
    )&gt;=F478,
    ""SI"",
    ""EN PROCESO""
  )
)
"),"NO")</f>
        <v>NO</v>
      </c>
      <c r="F478" s="132" t="s">
        <v>65</v>
      </c>
    </row>
    <row r="479" spans="2:6" ht="15" x14ac:dyDescent="0.25">
      <c r="B479" s="131">
        <v>476</v>
      </c>
      <c r="C479" s="131">
        <v>2013</v>
      </c>
      <c r="D479" s="131" t="s">
        <v>119</v>
      </c>
      <c r="E479" s="131" t="str">
        <f ca="1">IFERROR(__xludf.DUMMYFUNCTION("IF(
  MAX(
    IFERROR(MAX(FILTER('REGISTRO PROD. v1'!F:F,'REGISTRO PROD. v1'!D:D=B479)),0),
    IFERROR(MAX(FILTER('REGISTRO PROD. v1'!W:W,'REGISTRO PROD. v1'!U:U=B479)),0),
    IFERROR(MAX(FILTER('REGISTRO PROD. v1'!AN:AN,'REGISTRO PROD. v1'!AL:AL=B479)"&amp;"),0),
    IFERROR(MAX(FILTER('REGISTRO PROD. v1'!BE:BE,'REGISTRO PROD. v1'!BC:BC=B479)),0),
    IFERROR(MAX(FILTER('REGISTRO PROD. v1'!BV:BV,'REGISTRO PROD. v1'!BT:BT=B479)),0)
  )=0,
  ""NO"",
  IF(
    MAX(
      IFERROR(MAX(FILTER('REGISTRO PROD. v1'!F"&amp;":F,'REGISTRO PROD. v1'!D:D=B479)),0),
      IFERROR(MAX(FILTER('REGISTRO PROD. v1'!W:W,'REGISTRO PROD. v1'!U:U=B479)),0),
      IFERROR(MAX(FILTER('REGISTRO PROD. v1'!AN:AN,'REGISTRO PROD. v1'!AL:AL=B479)),0),
      IFERROR(MAX(FILTER('REGISTRO PROD. v1'!"&amp;"BE:BE,'REGISTRO PROD. v1'!BC:BC=B479)),0),
      IFERROR(MAX(FILTER('REGISTRO PROD. v1'!BV:BV,'REGISTRO PROD. v1'!BT:BT=B479)),0)
    )&gt;=F479,
    ""SI"",
    ""EN PROCESO""
  )
)
"),"NO")</f>
        <v>NO</v>
      </c>
      <c r="F479" s="132" t="s">
        <v>65</v>
      </c>
    </row>
    <row r="480" spans="2:6" ht="15" x14ac:dyDescent="0.25">
      <c r="B480" s="131">
        <v>477</v>
      </c>
      <c r="C480" s="131">
        <v>2013</v>
      </c>
      <c r="D480" s="131" t="s">
        <v>121</v>
      </c>
      <c r="E480" s="131" t="str">
        <f ca="1">IFERROR(__xludf.DUMMYFUNCTION("IF(
  MAX(
    IFERROR(MAX(FILTER('REGISTRO PROD. v1'!F:F,'REGISTRO PROD. v1'!D:D=B480)),0),
    IFERROR(MAX(FILTER('REGISTRO PROD. v1'!W:W,'REGISTRO PROD. v1'!U:U=B480)),0),
    IFERROR(MAX(FILTER('REGISTRO PROD. v1'!AN:AN,'REGISTRO PROD. v1'!AL:AL=B480)"&amp;"),0),
    IFERROR(MAX(FILTER('REGISTRO PROD. v1'!BE:BE,'REGISTRO PROD. v1'!BC:BC=B480)),0),
    IFERROR(MAX(FILTER('REGISTRO PROD. v1'!BV:BV,'REGISTRO PROD. v1'!BT:BT=B480)),0)
  )=0,
  ""NO"",
  IF(
    MAX(
      IFERROR(MAX(FILTER('REGISTRO PROD. v1'!F"&amp;":F,'REGISTRO PROD. v1'!D:D=B480)),0),
      IFERROR(MAX(FILTER('REGISTRO PROD. v1'!W:W,'REGISTRO PROD. v1'!U:U=B480)),0),
      IFERROR(MAX(FILTER('REGISTRO PROD. v1'!AN:AN,'REGISTRO PROD. v1'!AL:AL=B480)),0),
      IFERROR(MAX(FILTER('REGISTRO PROD. v1'!"&amp;"BE:BE,'REGISTRO PROD. v1'!BC:BC=B480)),0),
      IFERROR(MAX(FILTER('REGISTRO PROD. v1'!BV:BV,'REGISTRO PROD. v1'!BT:BT=B480)),0)
    )&gt;=F480,
    ""SI"",
    ""EN PROCESO""
  )
)
"),"NO")</f>
        <v>NO</v>
      </c>
      <c r="F480" s="132" t="s">
        <v>65</v>
      </c>
    </row>
    <row r="481" spans="2:6" ht="15" x14ac:dyDescent="0.25">
      <c r="B481" s="131">
        <v>478</v>
      </c>
      <c r="C481" s="131">
        <v>2013</v>
      </c>
      <c r="D481" s="131" t="s">
        <v>122</v>
      </c>
      <c r="E481" s="131" t="str">
        <f ca="1">IFERROR(__xludf.DUMMYFUNCTION("IF(
  MAX(
    IFERROR(MAX(FILTER('REGISTRO PROD. v1'!F:F,'REGISTRO PROD. v1'!D:D=B481)),0),
    IFERROR(MAX(FILTER('REGISTRO PROD. v1'!W:W,'REGISTRO PROD. v1'!U:U=B481)),0),
    IFERROR(MAX(FILTER('REGISTRO PROD. v1'!AN:AN,'REGISTRO PROD. v1'!AL:AL=B481)"&amp;"),0),
    IFERROR(MAX(FILTER('REGISTRO PROD. v1'!BE:BE,'REGISTRO PROD. v1'!BC:BC=B481)),0),
    IFERROR(MAX(FILTER('REGISTRO PROD. v1'!BV:BV,'REGISTRO PROD. v1'!BT:BT=B481)),0)
  )=0,
  ""NO"",
  IF(
    MAX(
      IFERROR(MAX(FILTER('REGISTRO PROD. v1'!F"&amp;":F,'REGISTRO PROD. v1'!D:D=B481)),0),
      IFERROR(MAX(FILTER('REGISTRO PROD. v1'!W:W,'REGISTRO PROD. v1'!U:U=B481)),0),
      IFERROR(MAX(FILTER('REGISTRO PROD. v1'!AN:AN,'REGISTRO PROD. v1'!AL:AL=B481)),0),
      IFERROR(MAX(FILTER('REGISTRO PROD. v1'!"&amp;"BE:BE,'REGISTRO PROD. v1'!BC:BC=B481)),0),
      IFERROR(MAX(FILTER('REGISTRO PROD. v1'!BV:BV,'REGISTRO PROD. v1'!BT:BT=B481)),0)
    )&gt;=F481,
    ""SI"",
    ""EN PROCESO""
  )
)
"),"NO")</f>
        <v>NO</v>
      </c>
      <c r="F481" s="132" t="s">
        <v>65</v>
      </c>
    </row>
    <row r="482" spans="2:6" ht="15" x14ac:dyDescent="0.25">
      <c r="B482" s="131">
        <v>479</v>
      </c>
      <c r="C482" s="131">
        <v>2013</v>
      </c>
      <c r="D482" s="131" t="s">
        <v>123</v>
      </c>
      <c r="E482" s="131" t="str">
        <f ca="1">IFERROR(__xludf.DUMMYFUNCTION("IF(
  MAX(
    IFERROR(MAX(FILTER('REGISTRO PROD. v1'!F:F,'REGISTRO PROD. v1'!D:D=B482)),0),
    IFERROR(MAX(FILTER('REGISTRO PROD. v1'!W:W,'REGISTRO PROD. v1'!U:U=B482)),0),
    IFERROR(MAX(FILTER('REGISTRO PROD. v1'!AN:AN,'REGISTRO PROD. v1'!AL:AL=B482)"&amp;"),0),
    IFERROR(MAX(FILTER('REGISTRO PROD. v1'!BE:BE,'REGISTRO PROD. v1'!BC:BC=B482)),0),
    IFERROR(MAX(FILTER('REGISTRO PROD. v1'!BV:BV,'REGISTRO PROD. v1'!BT:BT=B482)),0)
  )=0,
  ""NO"",
  IF(
    MAX(
      IFERROR(MAX(FILTER('REGISTRO PROD. v1'!F"&amp;":F,'REGISTRO PROD. v1'!D:D=B482)),0),
      IFERROR(MAX(FILTER('REGISTRO PROD. v1'!W:W,'REGISTRO PROD. v1'!U:U=B482)),0),
      IFERROR(MAX(FILTER('REGISTRO PROD. v1'!AN:AN,'REGISTRO PROD. v1'!AL:AL=B482)),0),
      IFERROR(MAX(FILTER('REGISTRO PROD. v1'!"&amp;"BE:BE,'REGISTRO PROD. v1'!BC:BC=B482)),0),
      IFERROR(MAX(FILTER('REGISTRO PROD. v1'!BV:BV,'REGISTRO PROD. v1'!BT:BT=B482)),0)
    )&gt;=F482,
    ""SI"",
    ""EN PROCESO""
  )
)
"),"NO")</f>
        <v>NO</v>
      </c>
      <c r="F482" s="132" t="s">
        <v>65</v>
      </c>
    </row>
    <row r="483" spans="2:6" ht="15" x14ac:dyDescent="0.25">
      <c r="B483" s="131">
        <v>480</v>
      </c>
      <c r="C483" s="131">
        <v>2013</v>
      </c>
      <c r="D483" s="131" t="s">
        <v>124</v>
      </c>
      <c r="E483" s="131" t="str">
        <f ca="1">IFERROR(__xludf.DUMMYFUNCTION("IF(
  MAX(
    IFERROR(MAX(FILTER('REGISTRO PROD. v1'!F:F,'REGISTRO PROD. v1'!D:D=B483)),0),
    IFERROR(MAX(FILTER('REGISTRO PROD. v1'!W:W,'REGISTRO PROD. v1'!U:U=B483)),0),
    IFERROR(MAX(FILTER('REGISTRO PROD. v1'!AN:AN,'REGISTRO PROD. v1'!AL:AL=B483)"&amp;"),0),
    IFERROR(MAX(FILTER('REGISTRO PROD. v1'!BE:BE,'REGISTRO PROD. v1'!BC:BC=B483)),0),
    IFERROR(MAX(FILTER('REGISTRO PROD. v1'!BV:BV,'REGISTRO PROD. v1'!BT:BT=B483)),0)
  )=0,
  ""NO"",
  IF(
    MAX(
      IFERROR(MAX(FILTER('REGISTRO PROD. v1'!F"&amp;":F,'REGISTRO PROD. v1'!D:D=B483)),0),
      IFERROR(MAX(FILTER('REGISTRO PROD. v1'!W:W,'REGISTRO PROD. v1'!U:U=B483)),0),
      IFERROR(MAX(FILTER('REGISTRO PROD. v1'!AN:AN,'REGISTRO PROD. v1'!AL:AL=B483)),0),
      IFERROR(MAX(FILTER('REGISTRO PROD. v1'!"&amp;"BE:BE,'REGISTRO PROD. v1'!BC:BC=B483)),0),
      IFERROR(MAX(FILTER('REGISTRO PROD. v1'!BV:BV,'REGISTRO PROD. v1'!BT:BT=B483)),0)
    )&gt;=F483,
    ""SI"",
    ""EN PROCESO""
  )
)
"),"NO")</f>
        <v>NO</v>
      </c>
      <c r="F483" s="132" t="s">
        <v>65</v>
      </c>
    </row>
    <row r="484" spans="2:6" ht="15" x14ac:dyDescent="0.25">
      <c r="B484" s="131">
        <v>481</v>
      </c>
      <c r="C484" s="131">
        <v>2013</v>
      </c>
      <c r="D484" s="131" t="s">
        <v>125</v>
      </c>
      <c r="E484" s="131" t="str">
        <f ca="1">IFERROR(__xludf.DUMMYFUNCTION("IF(
  MAX(
    IFERROR(MAX(FILTER('REGISTRO PROD. v1'!F:F,'REGISTRO PROD. v1'!D:D=B484)),0),
    IFERROR(MAX(FILTER('REGISTRO PROD. v1'!W:W,'REGISTRO PROD. v1'!U:U=B484)),0),
    IFERROR(MAX(FILTER('REGISTRO PROD. v1'!AN:AN,'REGISTRO PROD. v1'!AL:AL=B484)"&amp;"),0),
    IFERROR(MAX(FILTER('REGISTRO PROD. v1'!BE:BE,'REGISTRO PROD. v1'!BC:BC=B484)),0),
    IFERROR(MAX(FILTER('REGISTRO PROD. v1'!BV:BV,'REGISTRO PROD. v1'!BT:BT=B484)),0)
  )=0,
  ""NO"",
  IF(
    MAX(
      IFERROR(MAX(FILTER('REGISTRO PROD. v1'!F"&amp;":F,'REGISTRO PROD. v1'!D:D=B484)),0),
      IFERROR(MAX(FILTER('REGISTRO PROD. v1'!W:W,'REGISTRO PROD. v1'!U:U=B484)),0),
      IFERROR(MAX(FILTER('REGISTRO PROD. v1'!AN:AN,'REGISTRO PROD. v1'!AL:AL=B484)),0),
      IFERROR(MAX(FILTER('REGISTRO PROD. v1'!"&amp;"BE:BE,'REGISTRO PROD. v1'!BC:BC=B484)),0),
      IFERROR(MAX(FILTER('REGISTRO PROD. v1'!BV:BV,'REGISTRO PROD. v1'!BT:BT=B484)),0)
    )&gt;=F484,
    ""SI"",
    ""EN PROCESO""
  )
)
"),"NO")</f>
        <v>NO</v>
      </c>
      <c r="F484" s="132" t="s">
        <v>65</v>
      </c>
    </row>
    <row r="485" spans="2:6" ht="15" x14ac:dyDescent="0.25">
      <c r="B485" s="131">
        <v>482</v>
      </c>
      <c r="C485" s="131">
        <v>2013</v>
      </c>
      <c r="D485" s="131" t="s">
        <v>126</v>
      </c>
      <c r="E485" s="131" t="str">
        <f ca="1">IFERROR(__xludf.DUMMYFUNCTION("IF(
  MAX(
    IFERROR(MAX(FILTER('REGISTRO PROD. v1'!F:F,'REGISTRO PROD. v1'!D:D=B485)),0),
    IFERROR(MAX(FILTER('REGISTRO PROD. v1'!W:W,'REGISTRO PROD. v1'!U:U=B485)),0),
    IFERROR(MAX(FILTER('REGISTRO PROD. v1'!AN:AN,'REGISTRO PROD. v1'!AL:AL=B485)"&amp;"),0),
    IFERROR(MAX(FILTER('REGISTRO PROD. v1'!BE:BE,'REGISTRO PROD. v1'!BC:BC=B485)),0),
    IFERROR(MAX(FILTER('REGISTRO PROD. v1'!BV:BV,'REGISTRO PROD. v1'!BT:BT=B485)),0)
  )=0,
  ""NO"",
  IF(
    MAX(
      IFERROR(MAX(FILTER('REGISTRO PROD. v1'!F"&amp;":F,'REGISTRO PROD. v1'!D:D=B485)),0),
      IFERROR(MAX(FILTER('REGISTRO PROD. v1'!W:W,'REGISTRO PROD. v1'!U:U=B485)),0),
      IFERROR(MAX(FILTER('REGISTRO PROD. v1'!AN:AN,'REGISTRO PROD. v1'!AL:AL=B485)),0),
      IFERROR(MAX(FILTER('REGISTRO PROD. v1'!"&amp;"BE:BE,'REGISTRO PROD. v1'!BC:BC=B485)),0),
      IFERROR(MAX(FILTER('REGISTRO PROD. v1'!BV:BV,'REGISTRO PROD. v1'!BT:BT=B485)),0)
    )&gt;=F485,
    ""SI"",
    ""EN PROCESO""
  )
)
"),"NO")</f>
        <v>NO</v>
      </c>
      <c r="F485" s="132" t="s">
        <v>65</v>
      </c>
    </row>
    <row r="486" spans="2:6" ht="15" x14ac:dyDescent="0.25">
      <c r="B486" s="131">
        <v>483</v>
      </c>
      <c r="C486" s="131">
        <v>2013</v>
      </c>
      <c r="D486" s="131" t="s">
        <v>128</v>
      </c>
      <c r="E486" s="131" t="str">
        <f ca="1">IFERROR(__xludf.DUMMYFUNCTION("IF(
  MAX(
    IFERROR(MAX(FILTER('REGISTRO PROD. v1'!F:F,'REGISTRO PROD. v1'!D:D=B486)),0),
    IFERROR(MAX(FILTER('REGISTRO PROD. v1'!W:W,'REGISTRO PROD. v1'!U:U=B486)),0),
    IFERROR(MAX(FILTER('REGISTRO PROD. v1'!AN:AN,'REGISTRO PROD. v1'!AL:AL=B486)"&amp;"),0),
    IFERROR(MAX(FILTER('REGISTRO PROD. v1'!BE:BE,'REGISTRO PROD. v1'!BC:BC=B486)),0),
    IFERROR(MAX(FILTER('REGISTRO PROD. v1'!BV:BV,'REGISTRO PROD. v1'!BT:BT=B486)),0)
  )=0,
  ""NO"",
  IF(
    MAX(
      IFERROR(MAX(FILTER('REGISTRO PROD. v1'!F"&amp;":F,'REGISTRO PROD. v1'!D:D=B486)),0),
      IFERROR(MAX(FILTER('REGISTRO PROD. v1'!W:W,'REGISTRO PROD. v1'!U:U=B486)),0),
      IFERROR(MAX(FILTER('REGISTRO PROD. v1'!AN:AN,'REGISTRO PROD. v1'!AL:AL=B486)),0),
      IFERROR(MAX(FILTER('REGISTRO PROD. v1'!"&amp;"BE:BE,'REGISTRO PROD. v1'!BC:BC=B486)),0),
      IFERROR(MAX(FILTER('REGISTRO PROD. v1'!BV:BV,'REGISTRO PROD. v1'!BT:BT=B486)),0)
    )&gt;=F486,
    ""SI"",
    ""EN PROCESO""
  )
)
"),"NO")</f>
        <v>NO</v>
      </c>
      <c r="F486" s="132" t="s">
        <v>65</v>
      </c>
    </row>
    <row r="487" spans="2:6" ht="15" x14ac:dyDescent="0.25">
      <c r="B487" s="131">
        <v>484</v>
      </c>
      <c r="C487" s="131">
        <v>2013</v>
      </c>
      <c r="D487" s="131" t="s">
        <v>129</v>
      </c>
      <c r="E487" s="131" t="str">
        <f ca="1">IFERROR(__xludf.DUMMYFUNCTION("IF(
  MAX(
    IFERROR(MAX(FILTER('REGISTRO PROD. v1'!F:F,'REGISTRO PROD. v1'!D:D=B487)),0),
    IFERROR(MAX(FILTER('REGISTRO PROD. v1'!W:W,'REGISTRO PROD. v1'!U:U=B487)),0),
    IFERROR(MAX(FILTER('REGISTRO PROD. v1'!AN:AN,'REGISTRO PROD. v1'!AL:AL=B487)"&amp;"),0),
    IFERROR(MAX(FILTER('REGISTRO PROD. v1'!BE:BE,'REGISTRO PROD. v1'!BC:BC=B487)),0),
    IFERROR(MAX(FILTER('REGISTRO PROD. v1'!BV:BV,'REGISTRO PROD. v1'!BT:BT=B487)),0)
  )=0,
  ""NO"",
  IF(
    MAX(
      IFERROR(MAX(FILTER('REGISTRO PROD. v1'!F"&amp;":F,'REGISTRO PROD. v1'!D:D=B487)),0),
      IFERROR(MAX(FILTER('REGISTRO PROD. v1'!W:W,'REGISTRO PROD. v1'!U:U=B487)),0),
      IFERROR(MAX(FILTER('REGISTRO PROD. v1'!AN:AN,'REGISTRO PROD. v1'!AL:AL=B487)),0),
      IFERROR(MAX(FILTER('REGISTRO PROD. v1'!"&amp;"BE:BE,'REGISTRO PROD. v1'!BC:BC=B487)),0),
      IFERROR(MAX(FILTER('REGISTRO PROD. v1'!BV:BV,'REGISTRO PROD. v1'!BT:BT=B487)),0)
    )&gt;=F487,
    ""SI"",
    ""EN PROCESO""
  )
)
"),"NO")</f>
        <v>NO</v>
      </c>
      <c r="F487" s="132" t="s">
        <v>65</v>
      </c>
    </row>
    <row r="488" spans="2:6" ht="15" x14ac:dyDescent="0.25">
      <c r="B488" s="131">
        <v>485</v>
      </c>
      <c r="C488" s="131">
        <v>2013</v>
      </c>
      <c r="D488" s="131" t="s">
        <v>130</v>
      </c>
      <c r="E488" s="131" t="str">
        <f ca="1">IFERROR(__xludf.DUMMYFUNCTION("IF(
  MAX(
    IFERROR(MAX(FILTER('REGISTRO PROD. v1'!F:F,'REGISTRO PROD. v1'!D:D=B488)),0),
    IFERROR(MAX(FILTER('REGISTRO PROD. v1'!W:W,'REGISTRO PROD. v1'!U:U=B488)),0),
    IFERROR(MAX(FILTER('REGISTRO PROD. v1'!AN:AN,'REGISTRO PROD. v1'!AL:AL=B488)"&amp;"),0),
    IFERROR(MAX(FILTER('REGISTRO PROD. v1'!BE:BE,'REGISTRO PROD. v1'!BC:BC=B488)),0),
    IFERROR(MAX(FILTER('REGISTRO PROD. v1'!BV:BV,'REGISTRO PROD. v1'!BT:BT=B488)),0)
  )=0,
  ""NO"",
  IF(
    MAX(
      IFERROR(MAX(FILTER('REGISTRO PROD. v1'!F"&amp;":F,'REGISTRO PROD. v1'!D:D=B488)),0),
      IFERROR(MAX(FILTER('REGISTRO PROD. v1'!W:W,'REGISTRO PROD. v1'!U:U=B488)),0),
      IFERROR(MAX(FILTER('REGISTRO PROD. v1'!AN:AN,'REGISTRO PROD. v1'!AL:AL=B488)),0),
      IFERROR(MAX(FILTER('REGISTRO PROD. v1'!"&amp;"BE:BE,'REGISTRO PROD. v1'!BC:BC=B488)),0),
      IFERROR(MAX(FILTER('REGISTRO PROD. v1'!BV:BV,'REGISTRO PROD. v1'!BT:BT=B488)),0)
    )&gt;=F488,
    ""SI"",
    ""EN PROCESO""
  )
)
"),"NO")</f>
        <v>NO</v>
      </c>
      <c r="F488" s="132" t="s">
        <v>65</v>
      </c>
    </row>
    <row r="489" spans="2:6" ht="15" x14ac:dyDescent="0.25">
      <c r="B489" s="131">
        <v>486</v>
      </c>
      <c r="C489" s="131">
        <v>2013</v>
      </c>
      <c r="D489" s="131" t="s">
        <v>131</v>
      </c>
      <c r="E489" s="131" t="str">
        <f ca="1">IFERROR(__xludf.DUMMYFUNCTION("IF(
  MAX(
    IFERROR(MAX(FILTER('REGISTRO PROD. v1'!F:F,'REGISTRO PROD. v1'!D:D=B489)),0),
    IFERROR(MAX(FILTER('REGISTRO PROD. v1'!W:W,'REGISTRO PROD. v1'!U:U=B489)),0),
    IFERROR(MAX(FILTER('REGISTRO PROD. v1'!AN:AN,'REGISTRO PROD. v1'!AL:AL=B489)"&amp;"),0),
    IFERROR(MAX(FILTER('REGISTRO PROD. v1'!BE:BE,'REGISTRO PROD. v1'!BC:BC=B489)),0),
    IFERROR(MAX(FILTER('REGISTRO PROD. v1'!BV:BV,'REGISTRO PROD. v1'!BT:BT=B489)),0)
  )=0,
  ""NO"",
  IF(
    MAX(
      IFERROR(MAX(FILTER('REGISTRO PROD. v1'!F"&amp;":F,'REGISTRO PROD. v1'!D:D=B489)),0),
      IFERROR(MAX(FILTER('REGISTRO PROD. v1'!W:W,'REGISTRO PROD. v1'!U:U=B489)),0),
      IFERROR(MAX(FILTER('REGISTRO PROD. v1'!AN:AN,'REGISTRO PROD. v1'!AL:AL=B489)),0),
      IFERROR(MAX(FILTER('REGISTRO PROD. v1'!"&amp;"BE:BE,'REGISTRO PROD. v1'!BC:BC=B489)),0),
      IFERROR(MAX(FILTER('REGISTRO PROD. v1'!BV:BV,'REGISTRO PROD. v1'!BT:BT=B489)),0)
    )&gt;=F489,
    ""SI"",
    ""EN PROCESO""
  )
)
"),"NO")</f>
        <v>NO</v>
      </c>
      <c r="F489" s="132" t="s">
        <v>65</v>
      </c>
    </row>
    <row r="490" spans="2:6" ht="15" x14ac:dyDescent="0.25">
      <c r="B490" s="131">
        <v>487</v>
      </c>
      <c r="C490" s="131">
        <v>2013</v>
      </c>
      <c r="D490" s="131" t="s">
        <v>132</v>
      </c>
      <c r="E490" s="131" t="str">
        <f ca="1">IFERROR(__xludf.DUMMYFUNCTION("IF(
  MAX(
    IFERROR(MAX(FILTER('REGISTRO PROD. v1'!F:F,'REGISTRO PROD. v1'!D:D=B490)),0),
    IFERROR(MAX(FILTER('REGISTRO PROD. v1'!W:W,'REGISTRO PROD. v1'!U:U=B490)),0),
    IFERROR(MAX(FILTER('REGISTRO PROD. v1'!AN:AN,'REGISTRO PROD. v1'!AL:AL=B490)"&amp;"),0),
    IFERROR(MAX(FILTER('REGISTRO PROD. v1'!BE:BE,'REGISTRO PROD. v1'!BC:BC=B490)),0),
    IFERROR(MAX(FILTER('REGISTRO PROD. v1'!BV:BV,'REGISTRO PROD. v1'!BT:BT=B490)),0)
  )=0,
  ""NO"",
  IF(
    MAX(
      IFERROR(MAX(FILTER('REGISTRO PROD. v1'!F"&amp;":F,'REGISTRO PROD. v1'!D:D=B490)),0),
      IFERROR(MAX(FILTER('REGISTRO PROD. v1'!W:W,'REGISTRO PROD. v1'!U:U=B490)),0),
      IFERROR(MAX(FILTER('REGISTRO PROD. v1'!AN:AN,'REGISTRO PROD. v1'!AL:AL=B490)),0),
      IFERROR(MAX(FILTER('REGISTRO PROD. v1'!"&amp;"BE:BE,'REGISTRO PROD. v1'!BC:BC=B490)),0),
      IFERROR(MAX(FILTER('REGISTRO PROD. v1'!BV:BV,'REGISTRO PROD. v1'!BT:BT=B490)),0)
    )&gt;=F490,
    ""SI"",
    ""EN PROCESO""
  )
)
"),"NO")</f>
        <v>NO</v>
      </c>
      <c r="F490" s="132" t="s">
        <v>65</v>
      </c>
    </row>
    <row r="491" spans="2:6" ht="15" x14ac:dyDescent="0.25">
      <c r="B491" s="131">
        <v>488</v>
      </c>
      <c r="C491" s="131">
        <v>2013</v>
      </c>
      <c r="D491" s="131" t="s">
        <v>133</v>
      </c>
      <c r="E491" s="131" t="str">
        <f ca="1">IFERROR(__xludf.DUMMYFUNCTION("IF(
  MAX(
    IFERROR(MAX(FILTER('REGISTRO PROD. v1'!F:F,'REGISTRO PROD. v1'!D:D=B491)),0),
    IFERROR(MAX(FILTER('REGISTRO PROD. v1'!W:W,'REGISTRO PROD. v1'!U:U=B491)),0),
    IFERROR(MAX(FILTER('REGISTRO PROD. v1'!AN:AN,'REGISTRO PROD. v1'!AL:AL=B491)"&amp;"),0),
    IFERROR(MAX(FILTER('REGISTRO PROD. v1'!BE:BE,'REGISTRO PROD. v1'!BC:BC=B491)),0),
    IFERROR(MAX(FILTER('REGISTRO PROD. v1'!BV:BV,'REGISTRO PROD. v1'!BT:BT=B491)),0)
  )=0,
  ""NO"",
  IF(
    MAX(
      IFERROR(MAX(FILTER('REGISTRO PROD. v1'!F"&amp;":F,'REGISTRO PROD. v1'!D:D=B491)),0),
      IFERROR(MAX(FILTER('REGISTRO PROD. v1'!W:W,'REGISTRO PROD. v1'!U:U=B491)),0),
      IFERROR(MAX(FILTER('REGISTRO PROD. v1'!AN:AN,'REGISTRO PROD. v1'!AL:AL=B491)),0),
      IFERROR(MAX(FILTER('REGISTRO PROD. v1'!"&amp;"BE:BE,'REGISTRO PROD. v1'!BC:BC=B491)),0),
      IFERROR(MAX(FILTER('REGISTRO PROD. v1'!BV:BV,'REGISTRO PROD. v1'!BT:BT=B491)),0)
    )&gt;=F491,
    ""SI"",
    ""EN PROCESO""
  )
)
"),"NO")</f>
        <v>NO</v>
      </c>
      <c r="F491" s="132" t="s">
        <v>65</v>
      </c>
    </row>
    <row r="492" spans="2:6" ht="15" x14ac:dyDescent="0.25">
      <c r="B492" s="131">
        <v>489</v>
      </c>
      <c r="C492" s="131">
        <v>2013</v>
      </c>
      <c r="D492" s="131" t="s">
        <v>134</v>
      </c>
      <c r="E492" s="131" t="str">
        <f ca="1">IFERROR(__xludf.DUMMYFUNCTION("IF(
  MAX(
    IFERROR(MAX(FILTER('REGISTRO PROD. v1'!F:F,'REGISTRO PROD. v1'!D:D=B492)),0),
    IFERROR(MAX(FILTER('REGISTRO PROD. v1'!W:W,'REGISTRO PROD. v1'!U:U=B492)),0),
    IFERROR(MAX(FILTER('REGISTRO PROD. v1'!AN:AN,'REGISTRO PROD. v1'!AL:AL=B492)"&amp;"),0),
    IFERROR(MAX(FILTER('REGISTRO PROD. v1'!BE:BE,'REGISTRO PROD. v1'!BC:BC=B492)),0),
    IFERROR(MAX(FILTER('REGISTRO PROD. v1'!BV:BV,'REGISTRO PROD. v1'!BT:BT=B492)),0)
  )=0,
  ""NO"",
  IF(
    MAX(
      IFERROR(MAX(FILTER('REGISTRO PROD. v1'!F"&amp;":F,'REGISTRO PROD. v1'!D:D=B492)),0),
      IFERROR(MAX(FILTER('REGISTRO PROD. v1'!W:W,'REGISTRO PROD. v1'!U:U=B492)),0),
      IFERROR(MAX(FILTER('REGISTRO PROD. v1'!AN:AN,'REGISTRO PROD. v1'!AL:AL=B492)),0),
      IFERROR(MAX(FILTER('REGISTRO PROD. v1'!"&amp;"BE:BE,'REGISTRO PROD. v1'!BC:BC=B492)),0),
      IFERROR(MAX(FILTER('REGISTRO PROD. v1'!BV:BV,'REGISTRO PROD. v1'!BT:BT=B492)),0)
    )&gt;=F492,
    ""SI"",
    ""EN PROCESO""
  )
)
"),"NO")</f>
        <v>NO</v>
      </c>
      <c r="F492" s="132" t="s">
        <v>65</v>
      </c>
    </row>
    <row r="493" spans="2:6" ht="15" x14ac:dyDescent="0.25">
      <c r="B493" s="131">
        <v>490</v>
      </c>
      <c r="C493" s="131">
        <v>2013</v>
      </c>
      <c r="D493" s="131" t="s">
        <v>135</v>
      </c>
      <c r="E493" s="131" t="str">
        <f ca="1">IFERROR(__xludf.DUMMYFUNCTION("IF(
  MAX(
    IFERROR(MAX(FILTER('REGISTRO PROD. v1'!F:F,'REGISTRO PROD. v1'!D:D=B493)),0),
    IFERROR(MAX(FILTER('REGISTRO PROD. v1'!W:W,'REGISTRO PROD. v1'!U:U=B493)),0),
    IFERROR(MAX(FILTER('REGISTRO PROD. v1'!AN:AN,'REGISTRO PROD. v1'!AL:AL=B493)"&amp;"),0),
    IFERROR(MAX(FILTER('REGISTRO PROD. v1'!BE:BE,'REGISTRO PROD. v1'!BC:BC=B493)),0),
    IFERROR(MAX(FILTER('REGISTRO PROD. v1'!BV:BV,'REGISTRO PROD. v1'!BT:BT=B493)),0)
  )=0,
  ""NO"",
  IF(
    MAX(
      IFERROR(MAX(FILTER('REGISTRO PROD. v1'!F"&amp;":F,'REGISTRO PROD. v1'!D:D=B493)),0),
      IFERROR(MAX(FILTER('REGISTRO PROD. v1'!W:W,'REGISTRO PROD. v1'!U:U=B493)),0),
      IFERROR(MAX(FILTER('REGISTRO PROD. v1'!AN:AN,'REGISTRO PROD. v1'!AL:AL=B493)),0),
      IFERROR(MAX(FILTER('REGISTRO PROD. v1'!"&amp;"BE:BE,'REGISTRO PROD. v1'!BC:BC=B493)),0),
      IFERROR(MAX(FILTER('REGISTRO PROD. v1'!BV:BV,'REGISTRO PROD. v1'!BT:BT=B493)),0)
    )&gt;=F493,
    ""SI"",
    ""EN PROCESO""
  )
)
"),"NO")</f>
        <v>NO</v>
      </c>
      <c r="F493" s="132" t="s">
        <v>65</v>
      </c>
    </row>
    <row r="494" spans="2:6" ht="15" x14ac:dyDescent="0.25">
      <c r="B494" s="131">
        <v>491</v>
      </c>
      <c r="C494" s="131">
        <v>2013</v>
      </c>
      <c r="D494" s="131" t="s">
        <v>136</v>
      </c>
      <c r="E494" s="131" t="str">
        <f ca="1">IFERROR(__xludf.DUMMYFUNCTION("IF(
  MAX(
    IFERROR(MAX(FILTER('REGISTRO PROD. v1'!F:F,'REGISTRO PROD. v1'!D:D=B494)),0),
    IFERROR(MAX(FILTER('REGISTRO PROD. v1'!W:W,'REGISTRO PROD. v1'!U:U=B494)),0),
    IFERROR(MAX(FILTER('REGISTRO PROD. v1'!AN:AN,'REGISTRO PROD. v1'!AL:AL=B494)"&amp;"),0),
    IFERROR(MAX(FILTER('REGISTRO PROD. v1'!BE:BE,'REGISTRO PROD. v1'!BC:BC=B494)),0),
    IFERROR(MAX(FILTER('REGISTRO PROD. v1'!BV:BV,'REGISTRO PROD. v1'!BT:BT=B494)),0)
  )=0,
  ""NO"",
  IF(
    MAX(
      IFERROR(MAX(FILTER('REGISTRO PROD. v1'!F"&amp;":F,'REGISTRO PROD. v1'!D:D=B494)),0),
      IFERROR(MAX(FILTER('REGISTRO PROD. v1'!W:W,'REGISTRO PROD. v1'!U:U=B494)),0),
      IFERROR(MAX(FILTER('REGISTRO PROD. v1'!AN:AN,'REGISTRO PROD. v1'!AL:AL=B494)),0),
      IFERROR(MAX(FILTER('REGISTRO PROD. v1'!"&amp;"BE:BE,'REGISTRO PROD. v1'!BC:BC=B494)),0),
      IFERROR(MAX(FILTER('REGISTRO PROD. v1'!BV:BV,'REGISTRO PROD. v1'!BT:BT=B494)),0)
    )&gt;=F494,
    ""SI"",
    ""EN PROCESO""
  )
)
"),"NO")</f>
        <v>NO</v>
      </c>
      <c r="F494" s="132" t="s">
        <v>65</v>
      </c>
    </row>
    <row r="495" spans="2:6" ht="15" x14ac:dyDescent="0.25">
      <c r="B495" s="131">
        <v>492</v>
      </c>
      <c r="C495" s="131">
        <v>2013</v>
      </c>
      <c r="D495" s="131" t="s">
        <v>137</v>
      </c>
      <c r="E495" s="131" t="str">
        <f ca="1">IFERROR(__xludf.DUMMYFUNCTION("IF(
  MAX(
    IFERROR(MAX(FILTER('REGISTRO PROD. v1'!F:F,'REGISTRO PROD. v1'!D:D=B495)),0),
    IFERROR(MAX(FILTER('REGISTRO PROD. v1'!W:W,'REGISTRO PROD. v1'!U:U=B495)),0),
    IFERROR(MAX(FILTER('REGISTRO PROD. v1'!AN:AN,'REGISTRO PROD. v1'!AL:AL=B495)"&amp;"),0),
    IFERROR(MAX(FILTER('REGISTRO PROD. v1'!BE:BE,'REGISTRO PROD. v1'!BC:BC=B495)),0),
    IFERROR(MAX(FILTER('REGISTRO PROD. v1'!BV:BV,'REGISTRO PROD. v1'!BT:BT=B495)),0)
  )=0,
  ""NO"",
  IF(
    MAX(
      IFERROR(MAX(FILTER('REGISTRO PROD. v1'!F"&amp;":F,'REGISTRO PROD. v1'!D:D=B495)),0),
      IFERROR(MAX(FILTER('REGISTRO PROD. v1'!W:W,'REGISTRO PROD. v1'!U:U=B495)),0),
      IFERROR(MAX(FILTER('REGISTRO PROD. v1'!AN:AN,'REGISTRO PROD. v1'!AL:AL=B495)),0),
      IFERROR(MAX(FILTER('REGISTRO PROD. v1'!"&amp;"BE:BE,'REGISTRO PROD. v1'!BC:BC=B495)),0),
      IFERROR(MAX(FILTER('REGISTRO PROD. v1'!BV:BV,'REGISTRO PROD. v1'!BT:BT=B495)),0)
    )&gt;=F495,
    ""SI"",
    ""EN PROCESO""
  )
)
"),"NO")</f>
        <v>NO</v>
      </c>
      <c r="F495" s="132" t="s">
        <v>65</v>
      </c>
    </row>
    <row r="496" spans="2:6" ht="15" x14ac:dyDescent="0.25">
      <c r="B496" s="131">
        <v>493</v>
      </c>
      <c r="C496" s="131">
        <v>2013</v>
      </c>
      <c r="D496" s="131" t="s">
        <v>138</v>
      </c>
      <c r="E496" s="131" t="str">
        <f ca="1">IFERROR(__xludf.DUMMYFUNCTION("IF(
  MAX(
    IFERROR(MAX(FILTER('REGISTRO PROD. v1'!F:F,'REGISTRO PROD. v1'!D:D=B496)),0),
    IFERROR(MAX(FILTER('REGISTRO PROD. v1'!W:W,'REGISTRO PROD. v1'!U:U=B496)),0),
    IFERROR(MAX(FILTER('REGISTRO PROD. v1'!AN:AN,'REGISTRO PROD. v1'!AL:AL=B496)"&amp;"),0),
    IFERROR(MAX(FILTER('REGISTRO PROD. v1'!BE:BE,'REGISTRO PROD. v1'!BC:BC=B496)),0),
    IFERROR(MAX(FILTER('REGISTRO PROD. v1'!BV:BV,'REGISTRO PROD. v1'!BT:BT=B496)),0)
  )=0,
  ""NO"",
  IF(
    MAX(
      IFERROR(MAX(FILTER('REGISTRO PROD. v1'!F"&amp;":F,'REGISTRO PROD. v1'!D:D=B496)),0),
      IFERROR(MAX(FILTER('REGISTRO PROD. v1'!W:W,'REGISTRO PROD. v1'!U:U=B496)),0),
      IFERROR(MAX(FILTER('REGISTRO PROD. v1'!AN:AN,'REGISTRO PROD. v1'!AL:AL=B496)),0),
      IFERROR(MAX(FILTER('REGISTRO PROD. v1'!"&amp;"BE:BE,'REGISTRO PROD. v1'!BC:BC=B496)),0),
      IFERROR(MAX(FILTER('REGISTRO PROD. v1'!BV:BV,'REGISTRO PROD. v1'!BT:BT=B496)),0)
    )&gt;=F496,
    ""SI"",
    ""EN PROCESO""
  )
)
"),"NO")</f>
        <v>NO</v>
      </c>
      <c r="F496" s="132" t="s">
        <v>65</v>
      </c>
    </row>
    <row r="497" spans="2:6" ht="15" x14ac:dyDescent="0.25">
      <c r="B497" s="131">
        <v>494</v>
      </c>
      <c r="C497" s="131">
        <v>2013</v>
      </c>
      <c r="D497" s="131" t="s">
        <v>139</v>
      </c>
      <c r="E497" s="131" t="str">
        <f ca="1">IFERROR(__xludf.DUMMYFUNCTION("IF(
  MAX(
    IFERROR(MAX(FILTER('REGISTRO PROD. v1'!F:F,'REGISTRO PROD. v1'!D:D=B497)),0),
    IFERROR(MAX(FILTER('REGISTRO PROD. v1'!W:W,'REGISTRO PROD. v1'!U:U=B497)),0),
    IFERROR(MAX(FILTER('REGISTRO PROD. v1'!AN:AN,'REGISTRO PROD. v1'!AL:AL=B497)"&amp;"),0),
    IFERROR(MAX(FILTER('REGISTRO PROD. v1'!BE:BE,'REGISTRO PROD. v1'!BC:BC=B497)),0),
    IFERROR(MAX(FILTER('REGISTRO PROD. v1'!BV:BV,'REGISTRO PROD. v1'!BT:BT=B497)),0)
  )=0,
  ""NO"",
  IF(
    MAX(
      IFERROR(MAX(FILTER('REGISTRO PROD. v1'!F"&amp;":F,'REGISTRO PROD. v1'!D:D=B497)),0),
      IFERROR(MAX(FILTER('REGISTRO PROD. v1'!W:W,'REGISTRO PROD. v1'!U:U=B497)),0),
      IFERROR(MAX(FILTER('REGISTRO PROD. v1'!AN:AN,'REGISTRO PROD. v1'!AL:AL=B497)),0),
      IFERROR(MAX(FILTER('REGISTRO PROD. v1'!"&amp;"BE:BE,'REGISTRO PROD. v1'!BC:BC=B497)),0),
      IFERROR(MAX(FILTER('REGISTRO PROD. v1'!BV:BV,'REGISTRO PROD. v1'!BT:BT=B497)),0)
    )&gt;=F497,
    ""SI"",
    ""EN PROCESO""
  )
)
"),"NO")</f>
        <v>NO</v>
      </c>
      <c r="F497" s="132" t="s">
        <v>65</v>
      </c>
    </row>
    <row r="498" spans="2:6" ht="15" x14ac:dyDescent="0.25">
      <c r="B498" s="131">
        <v>495</v>
      </c>
      <c r="C498" s="131">
        <v>2013</v>
      </c>
      <c r="D498" s="131" t="s">
        <v>142</v>
      </c>
      <c r="E498" s="131" t="str">
        <f ca="1">IFERROR(__xludf.DUMMYFUNCTION("IF(
  MAX(
    IFERROR(MAX(FILTER('REGISTRO PROD. v1'!F:F,'REGISTRO PROD. v1'!D:D=B498)),0),
    IFERROR(MAX(FILTER('REGISTRO PROD. v1'!W:W,'REGISTRO PROD. v1'!U:U=B498)),0),
    IFERROR(MAX(FILTER('REGISTRO PROD. v1'!AN:AN,'REGISTRO PROD. v1'!AL:AL=B498)"&amp;"),0),
    IFERROR(MAX(FILTER('REGISTRO PROD. v1'!BE:BE,'REGISTRO PROD. v1'!BC:BC=B498)),0),
    IFERROR(MAX(FILTER('REGISTRO PROD. v1'!BV:BV,'REGISTRO PROD. v1'!BT:BT=B498)),0)
  )=0,
  ""NO"",
  IF(
    MAX(
      IFERROR(MAX(FILTER('REGISTRO PROD. v1'!F"&amp;":F,'REGISTRO PROD. v1'!D:D=B498)),0),
      IFERROR(MAX(FILTER('REGISTRO PROD. v1'!W:W,'REGISTRO PROD. v1'!U:U=B498)),0),
      IFERROR(MAX(FILTER('REGISTRO PROD. v1'!AN:AN,'REGISTRO PROD. v1'!AL:AL=B498)),0),
      IFERROR(MAX(FILTER('REGISTRO PROD. v1'!"&amp;"BE:BE,'REGISTRO PROD. v1'!BC:BC=B498)),0),
      IFERROR(MAX(FILTER('REGISTRO PROD. v1'!BV:BV,'REGISTRO PROD. v1'!BT:BT=B498)),0)
    )&gt;=F498,
    ""SI"",
    ""EN PROCESO""
  )
)
"),"NO")</f>
        <v>NO</v>
      </c>
      <c r="F498" s="132" t="s">
        <v>65</v>
      </c>
    </row>
    <row r="499" spans="2:6" ht="15" x14ac:dyDescent="0.25">
      <c r="B499" s="131">
        <v>496</v>
      </c>
      <c r="C499" s="131">
        <v>2013</v>
      </c>
      <c r="D499" s="131" t="s">
        <v>143</v>
      </c>
      <c r="E499" s="131" t="str">
        <f ca="1">IFERROR(__xludf.DUMMYFUNCTION("IF(
  MAX(
    IFERROR(MAX(FILTER('REGISTRO PROD. v1'!F:F,'REGISTRO PROD. v1'!D:D=B499)),0),
    IFERROR(MAX(FILTER('REGISTRO PROD. v1'!W:W,'REGISTRO PROD. v1'!U:U=B499)),0),
    IFERROR(MAX(FILTER('REGISTRO PROD. v1'!AN:AN,'REGISTRO PROD. v1'!AL:AL=B499)"&amp;"),0),
    IFERROR(MAX(FILTER('REGISTRO PROD. v1'!BE:BE,'REGISTRO PROD. v1'!BC:BC=B499)),0),
    IFERROR(MAX(FILTER('REGISTRO PROD. v1'!BV:BV,'REGISTRO PROD. v1'!BT:BT=B499)),0)
  )=0,
  ""NO"",
  IF(
    MAX(
      IFERROR(MAX(FILTER('REGISTRO PROD. v1'!F"&amp;":F,'REGISTRO PROD. v1'!D:D=B499)),0),
      IFERROR(MAX(FILTER('REGISTRO PROD. v1'!W:W,'REGISTRO PROD. v1'!U:U=B499)),0),
      IFERROR(MAX(FILTER('REGISTRO PROD. v1'!AN:AN,'REGISTRO PROD. v1'!AL:AL=B499)),0),
      IFERROR(MAX(FILTER('REGISTRO PROD. v1'!"&amp;"BE:BE,'REGISTRO PROD. v1'!BC:BC=B499)),0),
      IFERROR(MAX(FILTER('REGISTRO PROD. v1'!BV:BV,'REGISTRO PROD. v1'!BT:BT=B499)),0)
    )&gt;=F499,
    ""SI"",
    ""EN PROCESO""
  )
)
"),"NO")</f>
        <v>NO</v>
      </c>
      <c r="F499" s="132" t="s">
        <v>65</v>
      </c>
    </row>
    <row r="500" spans="2:6" ht="15" x14ac:dyDescent="0.25">
      <c r="B500" s="131">
        <v>497</v>
      </c>
      <c r="C500" s="131">
        <v>2013</v>
      </c>
      <c r="D500" s="131" t="s">
        <v>144</v>
      </c>
      <c r="E500" s="131" t="str">
        <f ca="1">IFERROR(__xludf.DUMMYFUNCTION("IF(
  MAX(
    IFERROR(MAX(FILTER('REGISTRO PROD. v1'!F:F,'REGISTRO PROD. v1'!D:D=B500)),0),
    IFERROR(MAX(FILTER('REGISTRO PROD. v1'!W:W,'REGISTRO PROD. v1'!U:U=B500)),0),
    IFERROR(MAX(FILTER('REGISTRO PROD. v1'!AN:AN,'REGISTRO PROD. v1'!AL:AL=B500)"&amp;"),0),
    IFERROR(MAX(FILTER('REGISTRO PROD. v1'!BE:BE,'REGISTRO PROD. v1'!BC:BC=B500)),0),
    IFERROR(MAX(FILTER('REGISTRO PROD. v1'!BV:BV,'REGISTRO PROD. v1'!BT:BT=B500)),0)
  )=0,
  ""NO"",
  IF(
    MAX(
      IFERROR(MAX(FILTER('REGISTRO PROD. v1'!F"&amp;":F,'REGISTRO PROD. v1'!D:D=B500)),0),
      IFERROR(MAX(FILTER('REGISTRO PROD. v1'!W:W,'REGISTRO PROD. v1'!U:U=B500)),0),
      IFERROR(MAX(FILTER('REGISTRO PROD. v1'!AN:AN,'REGISTRO PROD. v1'!AL:AL=B500)),0),
      IFERROR(MAX(FILTER('REGISTRO PROD. v1'!"&amp;"BE:BE,'REGISTRO PROD. v1'!BC:BC=B500)),0),
      IFERROR(MAX(FILTER('REGISTRO PROD. v1'!BV:BV,'REGISTRO PROD. v1'!BT:BT=B500)),0)
    )&gt;=F500,
    ""SI"",
    ""EN PROCESO""
  )
)
"),"NO")</f>
        <v>NO</v>
      </c>
      <c r="F500" s="132" t="s">
        <v>65</v>
      </c>
    </row>
    <row r="501" spans="2:6" ht="15" x14ac:dyDescent="0.25">
      <c r="B501" s="131">
        <v>498</v>
      </c>
      <c r="C501" s="131">
        <v>2013</v>
      </c>
      <c r="D501" s="131" t="s">
        <v>145</v>
      </c>
      <c r="E501" s="131" t="str">
        <f ca="1">IFERROR(__xludf.DUMMYFUNCTION("IF(
  MAX(
    IFERROR(MAX(FILTER('REGISTRO PROD. v1'!F:F,'REGISTRO PROD. v1'!D:D=B501)),0),
    IFERROR(MAX(FILTER('REGISTRO PROD. v1'!W:W,'REGISTRO PROD. v1'!U:U=B501)),0),
    IFERROR(MAX(FILTER('REGISTRO PROD. v1'!AN:AN,'REGISTRO PROD. v1'!AL:AL=B501)"&amp;"),0),
    IFERROR(MAX(FILTER('REGISTRO PROD. v1'!BE:BE,'REGISTRO PROD. v1'!BC:BC=B501)),0),
    IFERROR(MAX(FILTER('REGISTRO PROD. v1'!BV:BV,'REGISTRO PROD. v1'!BT:BT=B501)),0)
  )=0,
  ""NO"",
  IF(
    MAX(
      IFERROR(MAX(FILTER('REGISTRO PROD. v1'!F"&amp;":F,'REGISTRO PROD. v1'!D:D=B501)),0),
      IFERROR(MAX(FILTER('REGISTRO PROD. v1'!W:W,'REGISTRO PROD. v1'!U:U=B501)),0),
      IFERROR(MAX(FILTER('REGISTRO PROD. v1'!AN:AN,'REGISTRO PROD. v1'!AL:AL=B501)),0),
      IFERROR(MAX(FILTER('REGISTRO PROD. v1'!"&amp;"BE:BE,'REGISTRO PROD. v1'!BC:BC=B501)),0),
      IFERROR(MAX(FILTER('REGISTRO PROD. v1'!BV:BV,'REGISTRO PROD. v1'!BT:BT=B501)),0)
    )&gt;=F501,
    ""SI"",
    ""EN PROCESO""
  )
)
"),"NO")</f>
        <v>NO</v>
      </c>
      <c r="F501" s="132" t="s">
        <v>65</v>
      </c>
    </row>
    <row r="502" spans="2:6" ht="15" x14ac:dyDescent="0.25">
      <c r="B502" s="131">
        <v>499</v>
      </c>
      <c r="C502" s="131">
        <v>2013</v>
      </c>
      <c r="D502" s="131" t="s">
        <v>146</v>
      </c>
      <c r="E502" s="131" t="str">
        <f ca="1">IFERROR(__xludf.DUMMYFUNCTION("IF(
  MAX(
    IFERROR(MAX(FILTER('REGISTRO PROD. v1'!F:F,'REGISTRO PROD. v1'!D:D=B502)),0),
    IFERROR(MAX(FILTER('REGISTRO PROD. v1'!W:W,'REGISTRO PROD. v1'!U:U=B502)),0),
    IFERROR(MAX(FILTER('REGISTRO PROD. v1'!AN:AN,'REGISTRO PROD. v1'!AL:AL=B502)"&amp;"),0),
    IFERROR(MAX(FILTER('REGISTRO PROD. v1'!BE:BE,'REGISTRO PROD. v1'!BC:BC=B502)),0),
    IFERROR(MAX(FILTER('REGISTRO PROD. v1'!BV:BV,'REGISTRO PROD. v1'!BT:BT=B502)),0)
  )=0,
  ""NO"",
  IF(
    MAX(
      IFERROR(MAX(FILTER('REGISTRO PROD. v1'!F"&amp;":F,'REGISTRO PROD. v1'!D:D=B502)),0),
      IFERROR(MAX(FILTER('REGISTRO PROD. v1'!W:W,'REGISTRO PROD. v1'!U:U=B502)),0),
      IFERROR(MAX(FILTER('REGISTRO PROD. v1'!AN:AN,'REGISTRO PROD. v1'!AL:AL=B502)),0),
      IFERROR(MAX(FILTER('REGISTRO PROD. v1'!"&amp;"BE:BE,'REGISTRO PROD. v1'!BC:BC=B502)),0),
      IFERROR(MAX(FILTER('REGISTRO PROD. v1'!BV:BV,'REGISTRO PROD. v1'!BT:BT=B502)),0)
    )&gt;=F502,
    ""SI"",
    ""EN PROCESO""
  )
)
"),"NO")</f>
        <v>NO</v>
      </c>
      <c r="F502" s="132" t="s">
        <v>65</v>
      </c>
    </row>
    <row r="503" spans="2:6" ht="15" x14ac:dyDescent="0.25">
      <c r="B503" s="131">
        <v>500</v>
      </c>
      <c r="C503" s="131">
        <v>2013</v>
      </c>
      <c r="D503" s="131" t="s">
        <v>147</v>
      </c>
      <c r="E503" s="131" t="s">
        <v>170</v>
      </c>
      <c r="F503" s="132" t="s">
        <v>65</v>
      </c>
    </row>
    <row r="504" spans="2:6" ht="15" x14ac:dyDescent="0.25">
      <c r="B504" s="131">
        <v>501</v>
      </c>
      <c r="C504" s="131">
        <v>2013</v>
      </c>
      <c r="D504" s="131" t="s">
        <v>148</v>
      </c>
      <c r="E504" s="131" t="s">
        <v>170</v>
      </c>
      <c r="F504" s="132" t="s">
        <v>65</v>
      </c>
    </row>
    <row r="505" spans="2:6" ht="15" x14ac:dyDescent="0.25">
      <c r="B505" s="131">
        <v>502</v>
      </c>
      <c r="C505" s="131">
        <v>2013</v>
      </c>
      <c r="D505" s="131" t="s">
        <v>149</v>
      </c>
      <c r="E505" s="131" t="s">
        <v>170</v>
      </c>
      <c r="F505" s="132" t="s">
        <v>65</v>
      </c>
    </row>
    <row r="506" spans="2:6" ht="15" x14ac:dyDescent="0.25">
      <c r="B506" s="131">
        <v>503</v>
      </c>
      <c r="C506" s="131">
        <v>2013</v>
      </c>
      <c r="D506" s="131" t="s">
        <v>150</v>
      </c>
      <c r="E506" s="131" t="str">
        <f ca="1">IFERROR(__xludf.DUMMYFUNCTION("IF(
  MAX(
    IFERROR(MAX(FILTER('REGISTRO PROD. v1'!F:F,'REGISTRO PROD. v1'!D:D=B506)),0),
    IFERROR(MAX(FILTER('REGISTRO PROD. v1'!W:W,'REGISTRO PROD. v1'!U:U=B506)),0),
    IFERROR(MAX(FILTER('REGISTRO PROD. v1'!AN:AN,'REGISTRO PROD. v1'!AL:AL=B506)"&amp;"),0),
    IFERROR(MAX(FILTER('REGISTRO PROD. v1'!BE:BE,'REGISTRO PROD. v1'!BC:BC=B506)),0),
    IFERROR(MAX(FILTER('REGISTRO PROD. v1'!BV:BV,'REGISTRO PROD. v1'!BT:BT=B506)),0)
  )=0,
  ""NO"",
  IF(
    MAX(
      IFERROR(MAX(FILTER('REGISTRO PROD. v1'!F"&amp;":F,'REGISTRO PROD. v1'!D:D=B506)),0),
      IFERROR(MAX(FILTER('REGISTRO PROD. v1'!W:W,'REGISTRO PROD. v1'!U:U=B506)),0),
      IFERROR(MAX(FILTER('REGISTRO PROD. v1'!AN:AN,'REGISTRO PROD. v1'!AL:AL=B506)),0),
      IFERROR(MAX(FILTER('REGISTRO PROD. v1'!"&amp;"BE:BE,'REGISTRO PROD. v1'!BC:BC=B506)),0),
      IFERROR(MAX(FILTER('REGISTRO PROD. v1'!BV:BV,'REGISTRO PROD. v1'!BT:BT=B506)),0)
    )&gt;=F506,
    ""SI"",
    ""EN PROCESO""
  )
)
"),"NO")</f>
        <v>NO</v>
      </c>
      <c r="F506" s="132" t="s">
        <v>65</v>
      </c>
    </row>
    <row r="507" spans="2:6" ht="15" x14ac:dyDescent="0.25">
      <c r="B507" s="131">
        <v>504</v>
      </c>
      <c r="C507" s="131">
        <v>2013</v>
      </c>
      <c r="D507" s="131" t="s">
        <v>151</v>
      </c>
      <c r="E507" s="131" t="s">
        <v>170</v>
      </c>
      <c r="F507" s="132" t="s">
        <v>65</v>
      </c>
    </row>
    <row r="508" spans="2:6" ht="15" x14ac:dyDescent="0.25">
      <c r="B508" s="131">
        <v>505</v>
      </c>
      <c r="C508" s="131">
        <v>2013</v>
      </c>
      <c r="D508" s="131" t="s">
        <v>152</v>
      </c>
      <c r="E508" s="131" t="s">
        <v>54</v>
      </c>
      <c r="F508" s="132" t="s">
        <v>65</v>
      </c>
    </row>
    <row r="509" spans="2:6" ht="15" x14ac:dyDescent="0.25">
      <c r="B509" s="131">
        <v>506</v>
      </c>
      <c r="C509" s="131">
        <v>2013</v>
      </c>
      <c r="D509" s="131" t="s">
        <v>153</v>
      </c>
      <c r="E509" s="131" t="str">
        <f ca="1">IFERROR(__xludf.DUMMYFUNCTION("IF(
  MAX(
    IFERROR(MAX(FILTER('REGISTRO PROD. v1'!F:F,'REGISTRO PROD. v1'!D:D=B509)),0),
    IFERROR(MAX(FILTER('REGISTRO PROD. v1'!W:W,'REGISTRO PROD. v1'!U:U=B509)),0),
    IFERROR(MAX(FILTER('REGISTRO PROD. v1'!AN:AN,'REGISTRO PROD. v1'!AL:AL=B509)"&amp;"),0),
    IFERROR(MAX(FILTER('REGISTRO PROD. v1'!BE:BE,'REGISTRO PROD. v1'!BC:BC=B509)),0),
    IFERROR(MAX(FILTER('REGISTRO PROD. v1'!BV:BV,'REGISTRO PROD. v1'!BT:BT=B509)),0)
  )=0,
  ""NO"",
  IF(
    MAX(
      IFERROR(MAX(FILTER('REGISTRO PROD. v1'!F"&amp;":F,'REGISTRO PROD. v1'!D:D=B509)),0),
      IFERROR(MAX(FILTER('REGISTRO PROD. v1'!W:W,'REGISTRO PROD. v1'!U:U=B509)),0),
      IFERROR(MAX(FILTER('REGISTRO PROD. v1'!AN:AN,'REGISTRO PROD. v1'!AL:AL=B509)),0),
      IFERROR(MAX(FILTER('REGISTRO PROD. v1'!"&amp;"BE:BE,'REGISTRO PROD. v1'!BC:BC=B509)),0),
      IFERROR(MAX(FILTER('REGISTRO PROD. v1'!BV:BV,'REGISTRO PROD. v1'!BT:BT=B509)),0)
    )&gt;=F509,
    ""SI"",
    ""EN PROCESO""
  )
)
"),"NO")</f>
        <v>NO</v>
      </c>
      <c r="F509" s="132" t="s">
        <v>65</v>
      </c>
    </row>
    <row r="510" spans="2:6" ht="15" x14ac:dyDescent="0.25">
      <c r="B510" s="131">
        <v>507</v>
      </c>
      <c r="C510" s="131">
        <v>2013</v>
      </c>
      <c r="D510" s="131" t="s">
        <v>154</v>
      </c>
      <c r="E510" s="131" t="str">
        <f ca="1">IFERROR(__xludf.DUMMYFUNCTION("IF(
  MAX(
    IFERROR(MAX(FILTER('REGISTRO PROD. v1'!F:F,'REGISTRO PROD. v1'!D:D=B510)),0),
    IFERROR(MAX(FILTER('REGISTRO PROD. v1'!W:W,'REGISTRO PROD. v1'!U:U=B510)),0),
    IFERROR(MAX(FILTER('REGISTRO PROD. v1'!AN:AN,'REGISTRO PROD. v1'!AL:AL=B510)"&amp;"),0),
    IFERROR(MAX(FILTER('REGISTRO PROD. v1'!BE:BE,'REGISTRO PROD. v1'!BC:BC=B510)),0),
    IFERROR(MAX(FILTER('REGISTRO PROD. v1'!BV:BV,'REGISTRO PROD. v1'!BT:BT=B510)),0)
  )=0,
  ""NO"",
  IF(
    MAX(
      IFERROR(MAX(FILTER('REGISTRO PROD. v1'!F"&amp;":F,'REGISTRO PROD. v1'!D:D=B510)),0),
      IFERROR(MAX(FILTER('REGISTRO PROD. v1'!W:W,'REGISTRO PROD. v1'!U:U=B510)),0),
      IFERROR(MAX(FILTER('REGISTRO PROD. v1'!AN:AN,'REGISTRO PROD. v1'!AL:AL=B510)),0),
      IFERROR(MAX(FILTER('REGISTRO PROD. v1'!"&amp;"BE:BE,'REGISTRO PROD. v1'!BC:BC=B510)),0),
      IFERROR(MAX(FILTER('REGISTRO PROD. v1'!BV:BV,'REGISTRO PROD. v1'!BT:BT=B510)),0)
    )&gt;=F510,
    ""SI"",
    ""EN PROCESO""
  )
)
"),"NO")</f>
        <v>NO</v>
      </c>
      <c r="F510" s="132" t="s">
        <v>65</v>
      </c>
    </row>
    <row r="511" spans="2:6" ht="15" x14ac:dyDescent="0.25">
      <c r="B511" s="131">
        <v>508</v>
      </c>
      <c r="C511" s="131">
        <v>2013</v>
      </c>
      <c r="D511" s="131" t="s">
        <v>155</v>
      </c>
      <c r="E511" s="131" t="s">
        <v>170</v>
      </c>
      <c r="F511" s="132" t="s">
        <v>65</v>
      </c>
    </row>
    <row r="512" spans="2:6" ht="15" x14ac:dyDescent="0.25">
      <c r="B512" s="131">
        <v>509</v>
      </c>
      <c r="C512" s="131">
        <v>2013</v>
      </c>
      <c r="D512" s="131" t="s">
        <v>156</v>
      </c>
      <c r="E512" s="131" t="s">
        <v>170</v>
      </c>
      <c r="F512" s="132" t="s">
        <v>65</v>
      </c>
    </row>
    <row r="513" spans="2:6" ht="15" x14ac:dyDescent="0.25">
      <c r="B513" s="131">
        <v>510</v>
      </c>
      <c r="C513" s="131">
        <v>2013</v>
      </c>
      <c r="D513" s="131" t="s">
        <v>171</v>
      </c>
      <c r="E513" s="131" t="s">
        <v>170</v>
      </c>
      <c r="F513" s="132" t="s">
        <v>65</v>
      </c>
    </row>
    <row r="514" spans="2:6" ht="15" x14ac:dyDescent="0.25">
      <c r="B514" s="131">
        <v>511</v>
      </c>
      <c r="C514" s="131">
        <v>2014</v>
      </c>
      <c r="D514" s="131" t="s">
        <v>64</v>
      </c>
      <c r="E514" s="131" t="s">
        <v>54</v>
      </c>
      <c r="F514" s="132" t="s">
        <v>65</v>
      </c>
    </row>
    <row r="515" spans="2:6" ht="15" x14ac:dyDescent="0.25">
      <c r="B515" s="131">
        <v>512</v>
      </c>
      <c r="C515" s="131">
        <v>2014</v>
      </c>
      <c r="D515" s="131" t="s">
        <v>66</v>
      </c>
      <c r="E515" s="131" t="s">
        <v>170</v>
      </c>
      <c r="F515" s="132" t="s">
        <v>65</v>
      </c>
    </row>
    <row r="516" spans="2:6" ht="15" x14ac:dyDescent="0.25">
      <c r="B516" s="131">
        <v>513</v>
      </c>
      <c r="C516" s="131">
        <v>2014</v>
      </c>
      <c r="D516" s="131" t="s">
        <v>67</v>
      </c>
      <c r="E516" s="131" t="s">
        <v>170</v>
      </c>
      <c r="F516" s="132" t="s">
        <v>65</v>
      </c>
    </row>
    <row r="517" spans="2:6" ht="15" x14ac:dyDescent="0.25">
      <c r="B517" s="131">
        <v>514</v>
      </c>
      <c r="C517" s="131">
        <v>2014</v>
      </c>
      <c r="D517" s="131" t="s">
        <v>68</v>
      </c>
      <c r="E517" s="131" t="s">
        <v>170</v>
      </c>
      <c r="F517" s="132" t="s">
        <v>65</v>
      </c>
    </row>
    <row r="518" spans="2:6" ht="15" x14ac:dyDescent="0.25">
      <c r="B518" s="131">
        <v>515</v>
      </c>
      <c r="C518" s="131">
        <v>2014</v>
      </c>
      <c r="D518" s="131" t="s">
        <v>69</v>
      </c>
      <c r="E518" s="131" t="s">
        <v>170</v>
      </c>
      <c r="F518" s="132" t="s">
        <v>65</v>
      </c>
    </row>
    <row r="519" spans="2:6" ht="15" x14ac:dyDescent="0.25">
      <c r="B519" s="131">
        <v>516</v>
      </c>
      <c r="C519" s="131">
        <v>2014</v>
      </c>
      <c r="D519" s="131" t="s">
        <v>70</v>
      </c>
      <c r="E519" s="131" t="str">
        <f ca="1">IFERROR(__xludf.DUMMYFUNCTION("IF(
  MAX(
    IFERROR(MAX(FILTER('REGISTRO PROD. v1'!F:F,'REGISTRO PROD. v1'!D:D=B519)),0),
    IFERROR(MAX(FILTER('REGISTRO PROD. v1'!W:W,'REGISTRO PROD. v1'!U:U=B519)),0),
    IFERROR(MAX(FILTER('REGISTRO PROD. v1'!AN:AN,'REGISTRO PROD. v1'!AL:AL=B519)"&amp;"),0),
    IFERROR(MAX(FILTER('REGISTRO PROD. v1'!BE:BE,'REGISTRO PROD. v1'!BC:BC=B519)),0),
    IFERROR(MAX(FILTER('REGISTRO PROD. v1'!BV:BV,'REGISTRO PROD. v1'!BT:BT=B519)),0)
  )=0,
  ""NO"",
  IF(
    MAX(
      IFERROR(MAX(FILTER('REGISTRO PROD. v1'!F"&amp;":F,'REGISTRO PROD. v1'!D:D=B519)),0),
      IFERROR(MAX(FILTER('REGISTRO PROD. v1'!W:W,'REGISTRO PROD. v1'!U:U=B519)),0),
      IFERROR(MAX(FILTER('REGISTRO PROD. v1'!AN:AN,'REGISTRO PROD. v1'!AL:AL=B519)),0),
      IFERROR(MAX(FILTER('REGISTRO PROD. v1'!"&amp;"BE:BE,'REGISTRO PROD. v1'!BC:BC=B519)),0),
      IFERROR(MAX(FILTER('REGISTRO PROD. v1'!BV:BV,'REGISTRO PROD. v1'!BT:BT=B519)),0)
    )&gt;=F519,
    ""SI"",
    ""EN PROCESO""
  )
)
"),"NO")</f>
        <v>NO</v>
      </c>
      <c r="F519" s="132" t="s">
        <v>65</v>
      </c>
    </row>
    <row r="520" spans="2:6" ht="15" x14ac:dyDescent="0.25">
      <c r="B520" s="131">
        <v>517</v>
      </c>
      <c r="C520" s="131">
        <v>2014</v>
      </c>
      <c r="D520" s="131" t="s">
        <v>97</v>
      </c>
      <c r="E520" s="131" t="str">
        <f ca="1">IFERROR(__xludf.DUMMYFUNCTION("IF(
  MAX(
    IFERROR(MAX(FILTER('REGISTRO PROD. v1'!F:F,'REGISTRO PROD. v1'!D:D=B520)),0),
    IFERROR(MAX(FILTER('REGISTRO PROD. v1'!W:W,'REGISTRO PROD. v1'!U:U=B520)),0),
    IFERROR(MAX(FILTER('REGISTRO PROD. v1'!AN:AN,'REGISTRO PROD. v1'!AL:AL=B520)"&amp;"),0),
    IFERROR(MAX(FILTER('REGISTRO PROD. v1'!BE:BE,'REGISTRO PROD. v1'!BC:BC=B520)),0),
    IFERROR(MAX(FILTER('REGISTRO PROD. v1'!BV:BV,'REGISTRO PROD. v1'!BT:BT=B520)),0)
  )=0,
  ""NO"",
  IF(
    MAX(
      IFERROR(MAX(FILTER('REGISTRO PROD. v1'!F"&amp;":F,'REGISTRO PROD. v1'!D:D=B520)),0),
      IFERROR(MAX(FILTER('REGISTRO PROD. v1'!W:W,'REGISTRO PROD. v1'!U:U=B520)),0),
      IFERROR(MAX(FILTER('REGISTRO PROD. v1'!AN:AN,'REGISTRO PROD. v1'!AL:AL=B520)),0),
      IFERROR(MAX(FILTER('REGISTRO PROD. v1'!"&amp;"BE:BE,'REGISTRO PROD. v1'!BC:BC=B520)),0),
      IFERROR(MAX(FILTER('REGISTRO PROD. v1'!BV:BV,'REGISTRO PROD. v1'!BT:BT=B520)),0)
    )&gt;=F520,
    ""SI"",
    ""EN PROCESO""
  )
)
"),"SI")</f>
        <v>SI</v>
      </c>
      <c r="F520" s="132" t="s">
        <v>65</v>
      </c>
    </row>
    <row r="521" spans="2:6" ht="15" x14ac:dyDescent="0.25">
      <c r="B521" s="131">
        <v>518</v>
      </c>
      <c r="C521" s="131">
        <v>2014</v>
      </c>
      <c r="D521" s="131" t="s">
        <v>98</v>
      </c>
      <c r="E521" s="131" t="s">
        <v>170</v>
      </c>
      <c r="F521" s="132" t="s">
        <v>65</v>
      </c>
    </row>
    <row r="522" spans="2:6" ht="15" x14ac:dyDescent="0.25">
      <c r="B522" s="131">
        <v>519</v>
      </c>
      <c r="C522" s="131">
        <v>2014</v>
      </c>
      <c r="D522" s="131" t="s">
        <v>99</v>
      </c>
      <c r="E522" s="131" t="s">
        <v>170</v>
      </c>
      <c r="F522" s="132" t="s">
        <v>65</v>
      </c>
    </row>
    <row r="523" spans="2:6" ht="15" x14ac:dyDescent="0.25">
      <c r="B523" s="131">
        <v>520</v>
      </c>
      <c r="C523" s="131">
        <v>2014</v>
      </c>
      <c r="D523" s="131" t="s">
        <v>100</v>
      </c>
      <c r="E523" s="131" t="s">
        <v>172</v>
      </c>
      <c r="F523" s="132" t="s">
        <v>65</v>
      </c>
    </row>
    <row r="524" spans="2:6" ht="15" x14ac:dyDescent="0.25">
      <c r="B524" s="131">
        <v>521</v>
      </c>
      <c r="C524" s="131">
        <v>2014</v>
      </c>
      <c r="D524" s="131" t="s">
        <v>101</v>
      </c>
      <c r="E524" s="131" t="s">
        <v>170</v>
      </c>
      <c r="F524" s="132" t="s">
        <v>65</v>
      </c>
    </row>
    <row r="525" spans="2:6" ht="15" x14ac:dyDescent="0.25">
      <c r="B525" s="131">
        <v>522</v>
      </c>
      <c r="C525" s="131">
        <v>2014</v>
      </c>
      <c r="D525" s="131" t="s">
        <v>102</v>
      </c>
      <c r="E525" s="131" t="str">
        <f ca="1">IFERROR(__xludf.DUMMYFUNCTION("IF(
  MAX(
    IFERROR(MAX(FILTER('REGISTRO PROD. v1'!F:F,'REGISTRO PROD. v1'!D:D=B525)),0),
    IFERROR(MAX(FILTER('REGISTRO PROD. v1'!W:W,'REGISTRO PROD. v1'!U:U=B525)),0),
    IFERROR(MAX(FILTER('REGISTRO PROD. v1'!AN:AN,'REGISTRO PROD. v1'!AL:AL=B525)"&amp;"),0),
    IFERROR(MAX(FILTER('REGISTRO PROD. v1'!BE:BE,'REGISTRO PROD. v1'!BC:BC=B525)),0),
    IFERROR(MAX(FILTER('REGISTRO PROD. v1'!BV:BV,'REGISTRO PROD. v1'!BT:BT=B525)),0)
  )=0,
  ""NO"",
  IF(
    MAX(
      IFERROR(MAX(FILTER('REGISTRO PROD. v1'!F"&amp;":F,'REGISTRO PROD. v1'!D:D=B525)),0),
      IFERROR(MAX(FILTER('REGISTRO PROD. v1'!W:W,'REGISTRO PROD. v1'!U:U=B525)),0),
      IFERROR(MAX(FILTER('REGISTRO PROD. v1'!AN:AN,'REGISTRO PROD. v1'!AL:AL=B525)),0),
      IFERROR(MAX(FILTER('REGISTRO PROD. v1'!"&amp;"BE:BE,'REGISTRO PROD. v1'!BC:BC=B525)),0),
      IFERROR(MAX(FILTER('REGISTRO PROD. v1'!BV:BV,'REGISTRO PROD. v1'!BT:BT=B525)),0)
    )&gt;=F525,
    ""SI"",
    ""EN PROCESO""
  )
)
"),"SI")</f>
        <v>SI</v>
      </c>
      <c r="F525" s="132" t="s">
        <v>65</v>
      </c>
    </row>
    <row r="526" spans="2:6" ht="15" x14ac:dyDescent="0.25">
      <c r="B526" s="131">
        <v>523</v>
      </c>
      <c r="C526" s="131">
        <v>2014</v>
      </c>
      <c r="D526" s="131" t="s">
        <v>103</v>
      </c>
      <c r="E526" s="131" t="str">
        <f ca="1">IFERROR(__xludf.DUMMYFUNCTION("IF(
  MAX(
    IFERROR(MAX(FILTER('REGISTRO PROD. v1'!F:F,'REGISTRO PROD. v1'!D:D=B526)),0),
    IFERROR(MAX(FILTER('REGISTRO PROD. v1'!W:W,'REGISTRO PROD. v1'!U:U=B526)),0),
    IFERROR(MAX(FILTER('REGISTRO PROD. v1'!AN:AN,'REGISTRO PROD. v1'!AL:AL=B526)"&amp;"),0),
    IFERROR(MAX(FILTER('REGISTRO PROD. v1'!BE:BE,'REGISTRO PROD. v1'!BC:BC=B526)),0),
    IFERROR(MAX(FILTER('REGISTRO PROD. v1'!BV:BV,'REGISTRO PROD. v1'!BT:BT=B526)),0)
  )=0,
  ""NO"",
  IF(
    MAX(
      IFERROR(MAX(FILTER('REGISTRO PROD. v1'!F"&amp;":F,'REGISTRO PROD. v1'!D:D=B526)),0),
      IFERROR(MAX(FILTER('REGISTRO PROD. v1'!W:W,'REGISTRO PROD. v1'!U:U=B526)),0),
      IFERROR(MAX(FILTER('REGISTRO PROD. v1'!AN:AN,'REGISTRO PROD. v1'!AL:AL=B526)),0),
      IFERROR(MAX(FILTER('REGISTRO PROD. v1'!"&amp;"BE:BE,'REGISTRO PROD. v1'!BC:BC=B526)),0),
      IFERROR(MAX(FILTER('REGISTRO PROD. v1'!BV:BV,'REGISTRO PROD. v1'!BT:BT=B526)),0)
    )&gt;=F526,
    ""SI"",
    ""EN PROCESO""
  )
)
"),"EN PROCESO")</f>
        <v>EN PROCESO</v>
      </c>
      <c r="F526" s="132" t="s">
        <v>65</v>
      </c>
    </row>
    <row r="527" spans="2:6" ht="15" x14ac:dyDescent="0.25">
      <c r="B527" s="131">
        <v>524</v>
      </c>
      <c r="C527" s="131">
        <v>2014</v>
      </c>
      <c r="D527" s="131" t="s">
        <v>104</v>
      </c>
      <c r="E527" s="131" t="str">
        <f ca="1">IFERROR(__xludf.DUMMYFUNCTION("IF(
  MAX(
    IFERROR(MAX(FILTER('REGISTRO PROD. v1'!F:F,'REGISTRO PROD. v1'!D:D=B527)),0),
    IFERROR(MAX(FILTER('REGISTRO PROD. v1'!W:W,'REGISTRO PROD. v1'!U:U=B527)),0),
    IFERROR(MAX(FILTER('REGISTRO PROD. v1'!AN:AN,'REGISTRO PROD. v1'!AL:AL=B527)"&amp;"),0),
    IFERROR(MAX(FILTER('REGISTRO PROD. v1'!BE:BE,'REGISTRO PROD. v1'!BC:BC=B527)),0),
    IFERROR(MAX(FILTER('REGISTRO PROD. v1'!BV:BV,'REGISTRO PROD. v1'!BT:BT=B527)),0)
  )=0,
  ""NO"",
  IF(
    MAX(
      IFERROR(MAX(FILTER('REGISTRO PROD. v1'!F"&amp;":F,'REGISTRO PROD. v1'!D:D=B527)),0),
      IFERROR(MAX(FILTER('REGISTRO PROD. v1'!W:W,'REGISTRO PROD. v1'!U:U=B527)),0),
      IFERROR(MAX(FILTER('REGISTRO PROD. v1'!AN:AN,'REGISTRO PROD. v1'!AL:AL=B527)),0),
      IFERROR(MAX(FILTER('REGISTRO PROD. v1'!"&amp;"BE:BE,'REGISTRO PROD. v1'!BC:BC=B527)),0),
      IFERROR(MAX(FILTER('REGISTRO PROD. v1'!BV:BV,'REGISTRO PROD. v1'!BT:BT=B527)),0)
    )&gt;=F527,
    ""SI"",
    ""EN PROCESO""
  )
)
"),"EN PROCESO")</f>
        <v>EN PROCESO</v>
      </c>
      <c r="F527" s="132" t="s">
        <v>65</v>
      </c>
    </row>
    <row r="528" spans="2:6" ht="15" x14ac:dyDescent="0.25">
      <c r="B528" s="131">
        <v>525</v>
      </c>
      <c r="C528" s="131">
        <v>2014</v>
      </c>
      <c r="D528" s="131" t="s">
        <v>105</v>
      </c>
      <c r="E528" s="131" t="s">
        <v>173</v>
      </c>
      <c r="F528" s="132" t="s">
        <v>65</v>
      </c>
    </row>
    <row r="529" spans="2:6" ht="15" x14ac:dyDescent="0.25">
      <c r="B529" s="131">
        <v>526</v>
      </c>
      <c r="C529" s="131">
        <v>2014</v>
      </c>
      <c r="D529" s="131" t="s">
        <v>106</v>
      </c>
      <c r="E529" s="131" t="str">
        <f ca="1">IFERROR(__xludf.DUMMYFUNCTION("IF(
  MAX(
    IFERROR(MAX(FILTER('REGISTRO PROD. v1'!F:F,'REGISTRO PROD. v1'!D:D=B529)),0),
    IFERROR(MAX(FILTER('REGISTRO PROD. v1'!W:W,'REGISTRO PROD. v1'!U:U=B529)),0),
    IFERROR(MAX(FILTER('REGISTRO PROD. v1'!AN:AN,'REGISTRO PROD. v1'!AL:AL=B529)"&amp;"),0),
    IFERROR(MAX(FILTER('REGISTRO PROD. v1'!BE:BE,'REGISTRO PROD. v1'!BC:BC=B529)),0),
    IFERROR(MAX(FILTER('REGISTRO PROD. v1'!BV:BV,'REGISTRO PROD. v1'!BT:BT=B529)),0)
  )=0,
  ""NO"",
  IF(
    MAX(
      IFERROR(MAX(FILTER('REGISTRO PROD. v1'!F"&amp;":F,'REGISTRO PROD. v1'!D:D=B529)),0),
      IFERROR(MAX(FILTER('REGISTRO PROD. v1'!W:W,'REGISTRO PROD. v1'!U:U=B529)),0),
      IFERROR(MAX(FILTER('REGISTRO PROD. v1'!AN:AN,'REGISTRO PROD. v1'!AL:AL=B529)),0),
      IFERROR(MAX(FILTER('REGISTRO PROD. v1'!"&amp;"BE:BE,'REGISTRO PROD. v1'!BC:BC=B529)),0),
      IFERROR(MAX(FILTER('REGISTRO PROD. v1'!BV:BV,'REGISTRO PROD. v1'!BT:BT=B529)),0)
    )&gt;=F529,
    ""SI"",
    ""EN PROCESO""
  )
)
"),"EN PROCESO")</f>
        <v>EN PROCESO</v>
      </c>
      <c r="F529" s="132" t="s">
        <v>65</v>
      </c>
    </row>
    <row r="530" spans="2:6" ht="15" x14ac:dyDescent="0.25">
      <c r="B530" s="131">
        <v>527</v>
      </c>
      <c r="C530" s="131">
        <v>2014</v>
      </c>
      <c r="D530" s="131" t="s">
        <v>107</v>
      </c>
      <c r="E530" s="131" t="s">
        <v>170</v>
      </c>
      <c r="F530" s="132" t="s">
        <v>65</v>
      </c>
    </row>
    <row r="531" spans="2:6" ht="15" x14ac:dyDescent="0.25">
      <c r="B531" s="131">
        <v>528</v>
      </c>
      <c r="C531" s="131">
        <v>2014</v>
      </c>
      <c r="D531" s="131" t="s">
        <v>108</v>
      </c>
      <c r="E531" s="131" t="s">
        <v>170</v>
      </c>
      <c r="F531" s="132" t="s">
        <v>65</v>
      </c>
    </row>
    <row r="532" spans="2:6" ht="15" x14ac:dyDescent="0.25">
      <c r="B532" s="131">
        <v>529</v>
      </c>
      <c r="C532" s="131">
        <v>2014</v>
      </c>
      <c r="D532" s="131" t="s">
        <v>109</v>
      </c>
      <c r="E532" s="131" t="s">
        <v>54</v>
      </c>
      <c r="F532" s="132" t="s">
        <v>65</v>
      </c>
    </row>
    <row r="533" spans="2:6" ht="15" x14ac:dyDescent="0.25">
      <c r="B533" s="131">
        <v>530</v>
      </c>
      <c r="C533" s="131">
        <v>2014</v>
      </c>
      <c r="D533" s="131" t="s">
        <v>110</v>
      </c>
      <c r="E533" s="131" t="s">
        <v>170</v>
      </c>
      <c r="F533" s="132" t="s">
        <v>65</v>
      </c>
    </row>
    <row r="534" spans="2:6" ht="15" x14ac:dyDescent="0.25">
      <c r="B534" s="131">
        <v>531</v>
      </c>
      <c r="C534" s="131">
        <v>2014</v>
      </c>
      <c r="D534" s="131" t="s">
        <v>111</v>
      </c>
      <c r="E534" s="131" t="s">
        <v>54</v>
      </c>
      <c r="F534" s="132" t="s">
        <v>65</v>
      </c>
    </row>
    <row r="535" spans="2:6" ht="15" x14ac:dyDescent="0.25">
      <c r="B535" s="131">
        <v>532</v>
      </c>
      <c r="C535" s="131">
        <v>2014</v>
      </c>
      <c r="D535" s="131" t="s">
        <v>112</v>
      </c>
      <c r="E535" s="131" t="s">
        <v>170</v>
      </c>
      <c r="F535" s="132" t="s">
        <v>65</v>
      </c>
    </row>
    <row r="536" spans="2:6" ht="15" x14ac:dyDescent="0.25">
      <c r="B536" s="131">
        <v>533</v>
      </c>
      <c r="C536" s="131">
        <v>2014</v>
      </c>
      <c r="D536" s="131" t="s">
        <v>113</v>
      </c>
      <c r="E536" s="131" t="s">
        <v>170</v>
      </c>
      <c r="F536" s="132" t="s">
        <v>65</v>
      </c>
    </row>
    <row r="537" spans="2:6" ht="15" x14ac:dyDescent="0.25">
      <c r="B537" s="131">
        <v>534</v>
      </c>
      <c r="C537" s="131">
        <v>2014</v>
      </c>
      <c r="D537" s="131" t="s">
        <v>114</v>
      </c>
      <c r="E537" s="131" t="str">
        <f ca="1">IFERROR(__xludf.DUMMYFUNCTION("IF(
  MAX(
    IFERROR(MAX(FILTER('REGISTRO PROD. v1'!F:F,'REGISTRO PROD. v1'!D:D=B537)),0),
    IFERROR(MAX(FILTER('REGISTRO PROD. v1'!W:W,'REGISTRO PROD. v1'!U:U=B537)),0),
    IFERROR(MAX(FILTER('REGISTRO PROD. v1'!AN:AN,'REGISTRO PROD. v1'!AL:AL=B537)"&amp;"),0),
    IFERROR(MAX(FILTER('REGISTRO PROD. v1'!BE:BE,'REGISTRO PROD. v1'!BC:BC=B537)),0),
    IFERROR(MAX(FILTER('REGISTRO PROD. v1'!BV:BV,'REGISTRO PROD. v1'!BT:BT=B537)),0)
  )=0,
  ""NO"",
  IF(
    MAX(
      IFERROR(MAX(FILTER('REGISTRO PROD. v1'!F"&amp;":F,'REGISTRO PROD. v1'!D:D=B537)),0),
      IFERROR(MAX(FILTER('REGISTRO PROD. v1'!W:W,'REGISTRO PROD. v1'!U:U=B537)),0),
      IFERROR(MAX(FILTER('REGISTRO PROD. v1'!AN:AN,'REGISTRO PROD. v1'!AL:AL=B537)),0),
      IFERROR(MAX(FILTER('REGISTRO PROD. v1'!"&amp;"BE:BE,'REGISTRO PROD. v1'!BC:BC=B537)),0),
      IFERROR(MAX(FILTER('REGISTRO PROD. v1'!BV:BV,'REGISTRO PROD. v1'!BT:BT=B537)),0)
    )&gt;=F537,
    ""SI"",
    ""EN PROCESO""
  )
)
"),"EN PROCESO")</f>
        <v>EN PROCESO</v>
      </c>
      <c r="F537" s="132" t="s">
        <v>65</v>
      </c>
    </row>
    <row r="538" spans="2:6" ht="15" x14ac:dyDescent="0.25">
      <c r="B538" s="131">
        <v>535</v>
      </c>
      <c r="C538" s="131">
        <v>2014</v>
      </c>
      <c r="D538" s="131" t="s">
        <v>115</v>
      </c>
      <c r="E538" s="131" t="str">
        <f ca="1">IFERROR(__xludf.DUMMYFUNCTION("IF(
  MAX(
    IFERROR(MAX(FILTER('REGISTRO PROD. v1'!F:F,'REGISTRO PROD. v1'!D:D=B538)),0),
    IFERROR(MAX(FILTER('REGISTRO PROD. v1'!W:W,'REGISTRO PROD. v1'!U:U=B538)),0),
    IFERROR(MAX(FILTER('REGISTRO PROD. v1'!AN:AN,'REGISTRO PROD. v1'!AL:AL=B538)"&amp;"),0),
    IFERROR(MAX(FILTER('REGISTRO PROD. v1'!BE:BE,'REGISTRO PROD. v1'!BC:BC=B538)),0),
    IFERROR(MAX(FILTER('REGISTRO PROD. v1'!BV:BV,'REGISTRO PROD. v1'!BT:BT=B538)),0)
  )=0,
  ""NO"",
  IF(
    MAX(
      IFERROR(MAX(FILTER('REGISTRO PROD. v1'!F"&amp;":F,'REGISTRO PROD. v1'!D:D=B538)),0),
      IFERROR(MAX(FILTER('REGISTRO PROD. v1'!W:W,'REGISTRO PROD. v1'!U:U=B538)),0),
      IFERROR(MAX(FILTER('REGISTRO PROD. v1'!AN:AN,'REGISTRO PROD. v1'!AL:AL=B538)),0),
      IFERROR(MAX(FILTER('REGISTRO PROD. v1'!"&amp;"BE:BE,'REGISTRO PROD. v1'!BC:BC=B538)),0),
      IFERROR(MAX(FILTER('REGISTRO PROD. v1'!BV:BV,'REGISTRO PROD. v1'!BT:BT=B538)),0)
    )&gt;=F538,
    ""SI"",
    ""EN PROCESO""
  )
)
"),"SI")</f>
        <v>SI</v>
      </c>
      <c r="F538" s="132" t="s">
        <v>65</v>
      </c>
    </row>
    <row r="539" spans="2:6" ht="15" x14ac:dyDescent="0.25">
      <c r="B539" s="131">
        <v>536</v>
      </c>
      <c r="C539" s="131">
        <v>2014</v>
      </c>
      <c r="D539" s="131" t="s">
        <v>116</v>
      </c>
      <c r="E539" s="131" t="str">
        <f ca="1">IFERROR(__xludf.DUMMYFUNCTION("IF(
  MAX(
    IFERROR(MAX(FILTER('REGISTRO PROD. v1'!F:F,'REGISTRO PROD. v1'!D:D=B539)),0),
    IFERROR(MAX(FILTER('REGISTRO PROD. v1'!W:W,'REGISTRO PROD. v1'!U:U=B539)),0),
    IFERROR(MAX(FILTER('REGISTRO PROD. v1'!AN:AN,'REGISTRO PROD. v1'!AL:AL=B539)"&amp;"),0),
    IFERROR(MAX(FILTER('REGISTRO PROD. v1'!BE:BE,'REGISTRO PROD. v1'!BC:BC=B539)),0),
    IFERROR(MAX(FILTER('REGISTRO PROD. v1'!BV:BV,'REGISTRO PROD. v1'!BT:BT=B539)),0)
  )=0,
  ""NO"",
  IF(
    MAX(
      IFERROR(MAX(FILTER('REGISTRO PROD. v1'!F"&amp;":F,'REGISTRO PROD. v1'!D:D=B539)),0),
      IFERROR(MAX(FILTER('REGISTRO PROD. v1'!W:W,'REGISTRO PROD. v1'!U:U=B539)),0),
      IFERROR(MAX(FILTER('REGISTRO PROD. v1'!AN:AN,'REGISTRO PROD. v1'!AL:AL=B539)),0),
      IFERROR(MAX(FILTER('REGISTRO PROD. v1'!"&amp;"BE:BE,'REGISTRO PROD. v1'!BC:BC=B539)),0),
      IFERROR(MAX(FILTER('REGISTRO PROD. v1'!BV:BV,'REGISTRO PROD. v1'!BT:BT=B539)),0)
    )&gt;=F539,
    ""SI"",
    ""EN PROCESO""
  )
)
"),"SI")</f>
        <v>SI</v>
      </c>
      <c r="F539" s="132" t="s">
        <v>65</v>
      </c>
    </row>
    <row r="540" spans="2:6" ht="15" x14ac:dyDescent="0.25">
      <c r="B540" s="131">
        <v>537</v>
      </c>
      <c r="C540" s="131">
        <v>2014</v>
      </c>
      <c r="D540" s="131" t="s">
        <v>117</v>
      </c>
      <c r="E540" s="131" t="str">
        <f ca="1">IFERROR(__xludf.DUMMYFUNCTION("IF(
  MAX(
    IFERROR(MAX(FILTER('REGISTRO PROD. v1'!F:F,'REGISTRO PROD. v1'!D:D=B540)),0),
    IFERROR(MAX(FILTER('REGISTRO PROD. v1'!W:W,'REGISTRO PROD. v1'!U:U=B540)),0),
    IFERROR(MAX(FILTER('REGISTRO PROD. v1'!AN:AN,'REGISTRO PROD. v1'!AL:AL=B540)"&amp;"),0),
    IFERROR(MAX(FILTER('REGISTRO PROD. v1'!BE:BE,'REGISTRO PROD. v1'!BC:BC=B540)),0),
    IFERROR(MAX(FILTER('REGISTRO PROD. v1'!BV:BV,'REGISTRO PROD. v1'!BT:BT=B540)),0)
  )=0,
  ""NO"",
  IF(
    MAX(
      IFERROR(MAX(FILTER('REGISTRO PROD. v1'!F"&amp;":F,'REGISTRO PROD. v1'!D:D=B540)),0),
      IFERROR(MAX(FILTER('REGISTRO PROD. v1'!W:W,'REGISTRO PROD. v1'!U:U=B540)),0),
      IFERROR(MAX(FILTER('REGISTRO PROD. v1'!AN:AN,'REGISTRO PROD. v1'!AL:AL=B540)),0),
      IFERROR(MAX(FILTER('REGISTRO PROD. v1'!"&amp;"BE:BE,'REGISTRO PROD. v1'!BC:BC=B540)),0),
      IFERROR(MAX(FILTER('REGISTRO PROD. v1'!BV:BV,'REGISTRO PROD. v1'!BT:BT=B540)),0)
    )&gt;=F540,
    ""SI"",
    ""EN PROCESO""
  )
)
"),"SI")</f>
        <v>SI</v>
      </c>
      <c r="F540" s="132" t="s">
        <v>65</v>
      </c>
    </row>
    <row r="541" spans="2:6" ht="15" x14ac:dyDescent="0.25">
      <c r="B541" s="131">
        <v>538</v>
      </c>
      <c r="C541" s="131">
        <v>2014</v>
      </c>
      <c r="D541" s="131" t="s">
        <v>118</v>
      </c>
      <c r="E541" s="131" t="s">
        <v>174</v>
      </c>
      <c r="F541" s="132" t="s">
        <v>65</v>
      </c>
    </row>
    <row r="542" spans="2:6" ht="15" x14ac:dyDescent="0.25">
      <c r="B542" s="131">
        <v>539</v>
      </c>
      <c r="C542" s="131">
        <v>2014</v>
      </c>
      <c r="D542" s="131" t="s">
        <v>119</v>
      </c>
      <c r="E542" s="131" t="s">
        <v>54</v>
      </c>
      <c r="F542" s="132" t="s">
        <v>65</v>
      </c>
    </row>
    <row r="543" spans="2:6" ht="15" x14ac:dyDescent="0.25">
      <c r="B543" s="131">
        <v>540</v>
      </c>
      <c r="C543" s="131">
        <v>2014</v>
      </c>
      <c r="D543" s="131" t="s">
        <v>121</v>
      </c>
      <c r="E543" s="131" t="s">
        <v>54</v>
      </c>
      <c r="F543" s="132" t="s">
        <v>65</v>
      </c>
    </row>
    <row r="544" spans="2:6" ht="15" x14ac:dyDescent="0.25">
      <c r="B544" s="131">
        <v>541</v>
      </c>
      <c r="C544" s="131">
        <v>2014</v>
      </c>
      <c r="D544" s="131" t="s">
        <v>122</v>
      </c>
      <c r="E544" s="131" t="str">
        <f ca="1">IFERROR(__xludf.DUMMYFUNCTION("IF(
  MAX(
    IFERROR(MAX(FILTER('REGISTRO PROD. v1'!F:F,'REGISTRO PROD. v1'!D:D=B544)),0),
    IFERROR(MAX(FILTER('REGISTRO PROD. v1'!W:W,'REGISTRO PROD. v1'!U:U=B544)),0),
    IFERROR(MAX(FILTER('REGISTRO PROD. v1'!AN:AN,'REGISTRO PROD. v1'!AL:AL=B544)"&amp;"),0),
    IFERROR(MAX(FILTER('REGISTRO PROD. v1'!BE:BE,'REGISTRO PROD. v1'!BC:BC=B544)),0),
    IFERROR(MAX(FILTER('REGISTRO PROD. v1'!BV:BV,'REGISTRO PROD. v1'!BT:BT=B544)),0)
  )=0,
  ""NO"",
  IF(
    MAX(
      IFERROR(MAX(FILTER('REGISTRO PROD. v1'!F"&amp;":F,'REGISTRO PROD. v1'!D:D=B544)),0),
      IFERROR(MAX(FILTER('REGISTRO PROD. v1'!W:W,'REGISTRO PROD. v1'!U:U=B544)),0),
      IFERROR(MAX(FILTER('REGISTRO PROD. v1'!AN:AN,'REGISTRO PROD. v1'!AL:AL=B544)),0),
      IFERROR(MAX(FILTER('REGISTRO PROD. v1'!"&amp;"BE:BE,'REGISTRO PROD. v1'!BC:BC=B544)),0),
      IFERROR(MAX(FILTER('REGISTRO PROD. v1'!BV:BV,'REGISTRO PROD. v1'!BT:BT=B544)),0)
    )&gt;=F544,
    ""SI"",
    ""EN PROCESO""
  )
)
"),"SI")</f>
        <v>SI</v>
      </c>
      <c r="F544" s="132" t="s">
        <v>65</v>
      </c>
    </row>
    <row r="545" spans="2:6" ht="15" x14ac:dyDescent="0.25">
      <c r="B545" s="131">
        <v>542</v>
      </c>
      <c r="C545" s="131">
        <v>2014</v>
      </c>
      <c r="D545" s="131" t="s">
        <v>123</v>
      </c>
      <c r="E545" s="131" t="s">
        <v>54</v>
      </c>
      <c r="F545" s="132" t="s">
        <v>65</v>
      </c>
    </row>
    <row r="546" spans="2:6" ht="15" x14ac:dyDescent="0.25">
      <c r="B546" s="131">
        <v>543</v>
      </c>
      <c r="C546" s="131">
        <v>2014</v>
      </c>
      <c r="D546" s="131" t="s">
        <v>124</v>
      </c>
      <c r="E546" s="131" t="s">
        <v>54</v>
      </c>
      <c r="F546" s="132" t="s">
        <v>65</v>
      </c>
    </row>
    <row r="547" spans="2:6" ht="15" x14ac:dyDescent="0.25">
      <c r="B547" s="131">
        <v>544</v>
      </c>
      <c r="C547" s="131">
        <v>2014</v>
      </c>
      <c r="D547" s="131" t="s">
        <v>125</v>
      </c>
      <c r="E547" s="131" t="str">
        <f ca="1">IFERROR(__xludf.DUMMYFUNCTION("IF(
  MAX(
    IFERROR(MAX(FILTER('REGISTRO PROD. v1'!F:F,'REGISTRO PROD. v1'!D:D=B547)),0),
    IFERROR(MAX(FILTER('REGISTRO PROD. v1'!W:W,'REGISTRO PROD. v1'!U:U=B547)),0),
    IFERROR(MAX(FILTER('REGISTRO PROD. v1'!AN:AN,'REGISTRO PROD. v1'!AL:AL=B547)"&amp;"),0),
    IFERROR(MAX(FILTER('REGISTRO PROD. v1'!BE:BE,'REGISTRO PROD. v1'!BC:BC=B547)),0),
    IFERROR(MAX(FILTER('REGISTRO PROD. v1'!BV:BV,'REGISTRO PROD. v1'!BT:BT=B547)),0)
  )=0,
  ""NO"",
  IF(
    MAX(
      IFERROR(MAX(FILTER('REGISTRO PROD. v1'!F"&amp;":F,'REGISTRO PROD. v1'!D:D=B547)),0),
      IFERROR(MAX(FILTER('REGISTRO PROD. v1'!W:W,'REGISTRO PROD. v1'!U:U=B547)),0),
      IFERROR(MAX(FILTER('REGISTRO PROD. v1'!AN:AN,'REGISTRO PROD. v1'!AL:AL=B547)),0),
      IFERROR(MAX(FILTER('REGISTRO PROD. v1'!"&amp;"BE:BE,'REGISTRO PROD. v1'!BC:BC=B547)),0),
      IFERROR(MAX(FILTER('REGISTRO PROD. v1'!BV:BV,'REGISTRO PROD. v1'!BT:BT=B547)),0)
    )&gt;=F547,
    ""SI"",
    ""EN PROCESO""
  )
)
"),"SI")</f>
        <v>SI</v>
      </c>
      <c r="F547" s="132" t="s">
        <v>65</v>
      </c>
    </row>
    <row r="548" spans="2:6" ht="15" x14ac:dyDescent="0.25">
      <c r="B548" s="131">
        <v>545</v>
      </c>
      <c r="C548" s="131">
        <v>2014</v>
      </c>
      <c r="D548" s="131" t="s">
        <v>126</v>
      </c>
      <c r="E548" s="131" t="str">
        <f ca="1">IFERROR(__xludf.DUMMYFUNCTION("IF(
  MAX(
    IFERROR(MAX(FILTER('REGISTRO PROD. v1'!F:F,'REGISTRO PROD. v1'!D:D=B548)),0),
    IFERROR(MAX(FILTER('REGISTRO PROD. v1'!W:W,'REGISTRO PROD. v1'!U:U=B548)),0),
    IFERROR(MAX(FILTER('REGISTRO PROD. v1'!AN:AN,'REGISTRO PROD. v1'!AL:AL=B548)"&amp;"),0),
    IFERROR(MAX(FILTER('REGISTRO PROD. v1'!BE:BE,'REGISTRO PROD. v1'!BC:BC=B548)),0),
    IFERROR(MAX(FILTER('REGISTRO PROD. v1'!BV:BV,'REGISTRO PROD. v1'!BT:BT=B548)),0)
  )=0,
  ""NO"",
  IF(
    MAX(
      IFERROR(MAX(FILTER('REGISTRO PROD. v1'!F"&amp;":F,'REGISTRO PROD. v1'!D:D=B548)),0),
      IFERROR(MAX(FILTER('REGISTRO PROD. v1'!W:W,'REGISTRO PROD. v1'!U:U=B548)),0),
      IFERROR(MAX(FILTER('REGISTRO PROD. v1'!AN:AN,'REGISTRO PROD. v1'!AL:AL=B548)),0),
      IFERROR(MAX(FILTER('REGISTRO PROD. v1'!"&amp;"BE:BE,'REGISTRO PROD. v1'!BC:BC=B548)),0),
      IFERROR(MAX(FILTER('REGISTRO PROD. v1'!BV:BV,'REGISTRO PROD. v1'!BT:BT=B548)),0)
    )&gt;=F548,
    ""SI"",
    ""EN PROCESO""
  )
)
"),"SI")</f>
        <v>SI</v>
      </c>
      <c r="F548" s="132" t="s">
        <v>65</v>
      </c>
    </row>
    <row r="549" spans="2:6" ht="15" x14ac:dyDescent="0.25">
      <c r="B549" s="131">
        <v>546</v>
      </c>
      <c r="C549" s="131">
        <v>2014</v>
      </c>
      <c r="D549" s="131" t="s">
        <v>128</v>
      </c>
      <c r="E549" s="131" t="str">
        <f ca="1">IFERROR(__xludf.DUMMYFUNCTION("IF(
  MAX(
    IFERROR(MAX(FILTER('REGISTRO PROD. v1'!F:F,'REGISTRO PROD. v1'!D:D=B549)),0),
    IFERROR(MAX(FILTER('REGISTRO PROD. v1'!W:W,'REGISTRO PROD. v1'!U:U=B549)),0),
    IFERROR(MAX(FILTER('REGISTRO PROD. v1'!AN:AN,'REGISTRO PROD. v1'!AL:AL=B549)"&amp;"),0),
    IFERROR(MAX(FILTER('REGISTRO PROD. v1'!BE:BE,'REGISTRO PROD. v1'!BC:BC=B549)),0),
    IFERROR(MAX(FILTER('REGISTRO PROD. v1'!BV:BV,'REGISTRO PROD. v1'!BT:BT=B549)),0)
  )=0,
  ""NO"",
  IF(
    MAX(
      IFERROR(MAX(FILTER('REGISTRO PROD. v1'!F"&amp;":F,'REGISTRO PROD. v1'!D:D=B549)),0),
      IFERROR(MAX(FILTER('REGISTRO PROD. v1'!W:W,'REGISTRO PROD. v1'!U:U=B549)),0),
      IFERROR(MAX(FILTER('REGISTRO PROD. v1'!AN:AN,'REGISTRO PROD. v1'!AL:AL=B549)),0),
      IFERROR(MAX(FILTER('REGISTRO PROD. v1'!"&amp;"BE:BE,'REGISTRO PROD. v1'!BC:BC=B549)),0),
      IFERROR(MAX(FILTER('REGISTRO PROD. v1'!BV:BV,'REGISTRO PROD. v1'!BT:BT=B549)),0)
    )&gt;=F549,
    ""SI"",
    ""EN PROCESO""
  )
)
"),"SI")</f>
        <v>SI</v>
      </c>
      <c r="F549" s="132" t="s">
        <v>65</v>
      </c>
    </row>
    <row r="550" spans="2:6" ht="15" x14ac:dyDescent="0.25">
      <c r="B550" s="131">
        <v>547</v>
      </c>
      <c r="C550" s="131">
        <v>2014</v>
      </c>
      <c r="D550" s="131" t="s">
        <v>129</v>
      </c>
      <c r="E550" s="131" t="str">
        <f ca="1">IFERROR(__xludf.DUMMYFUNCTION("IF(
  MAX(
    IFERROR(MAX(FILTER('REGISTRO PROD. v1'!F:F,'REGISTRO PROD. v1'!D:D=B550)),0),
    IFERROR(MAX(FILTER('REGISTRO PROD. v1'!W:W,'REGISTRO PROD. v1'!U:U=B550)),0),
    IFERROR(MAX(FILTER('REGISTRO PROD. v1'!AN:AN,'REGISTRO PROD. v1'!AL:AL=B550)"&amp;"),0),
    IFERROR(MAX(FILTER('REGISTRO PROD. v1'!BE:BE,'REGISTRO PROD. v1'!BC:BC=B550)),0),
    IFERROR(MAX(FILTER('REGISTRO PROD. v1'!BV:BV,'REGISTRO PROD. v1'!BT:BT=B550)),0)
  )=0,
  ""NO"",
  IF(
    MAX(
      IFERROR(MAX(FILTER('REGISTRO PROD. v1'!F"&amp;":F,'REGISTRO PROD. v1'!D:D=B550)),0),
      IFERROR(MAX(FILTER('REGISTRO PROD. v1'!W:W,'REGISTRO PROD. v1'!U:U=B550)),0),
      IFERROR(MAX(FILTER('REGISTRO PROD. v1'!AN:AN,'REGISTRO PROD. v1'!AL:AL=B550)),0),
      IFERROR(MAX(FILTER('REGISTRO PROD. v1'!"&amp;"BE:BE,'REGISTRO PROD. v1'!BC:BC=B550)),0),
      IFERROR(MAX(FILTER('REGISTRO PROD. v1'!BV:BV,'REGISTRO PROD. v1'!BT:BT=B550)),0)
    )&gt;=F550,
    ""SI"",
    ""EN PROCESO""
  )
)
"),"SI")</f>
        <v>SI</v>
      </c>
      <c r="F550" s="132" t="s">
        <v>65</v>
      </c>
    </row>
    <row r="551" spans="2:6" ht="15" x14ac:dyDescent="0.25">
      <c r="B551" s="131">
        <v>548</v>
      </c>
      <c r="C551" s="131">
        <v>2014</v>
      </c>
      <c r="D551" s="131" t="s">
        <v>130</v>
      </c>
      <c r="E551" s="131" t="str">
        <f ca="1">IFERROR(__xludf.DUMMYFUNCTION("IF(
  MAX(
    IFERROR(MAX(FILTER('REGISTRO PROD. v1'!F:F,'REGISTRO PROD. v1'!D:D=B551)),0),
    IFERROR(MAX(FILTER('REGISTRO PROD. v1'!W:W,'REGISTRO PROD. v1'!U:U=B551)),0),
    IFERROR(MAX(FILTER('REGISTRO PROD. v1'!AN:AN,'REGISTRO PROD. v1'!AL:AL=B551)"&amp;"),0),
    IFERROR(MAX(FILTER('REGISTRO PROD. v1'!BE:BE,'REGISTRO PROD. v1'!BC:BC=B551)),0),
    IFERROR(MAX(FILTER('REGISTRO PROD. v1'!BV:BV,'REGISTRO PROD. v1'!BT:BT=B551)),0)
  )=0,
  ""NO"",
  IF(
    MAX(
      IFERROR(MAX(FILTER('REGISTRO PROD. v1'!F"&amp;":F,'REGISTRO PROD. v1'!D:D=B551)),0),
      IFERROR(MAX(FILTER('REGISTRO PROD. v1'!W:W,'REGISTRO PROD. v1'!U:U=B551)),0),
      IFERROR(MAX(FILTER('REGISTRO PROD. v1'!AN:AN,'REGISTRO PROD. v1'!AL:AL=B551)),0),
      IFERROR(MAX(FILTER('REGISTRO PROD. v1'!"&amp;"BE:BE,'REGISTRO PROD. v1'!BC:BC=B551)),0),
      IFERROR(MAX(FILTER('REGISTRO PROD. v1'!BV:BV,'REGISTRO PROD. v1'!BT:BT=B551)),0)
    )&gt;=F551,
    ""SI"",
    ""EN PROCESO""
  )
)
"),"SI")</f>
        <v>SI</v>
      </c>
      <c r="F551" s="132" t="s">
        <v>65</v>
      </c>
    </row>
    <row r="552" spans="2:6" ht="15" x14ac:dyDescent="0.25">
      <c r="B552" s="131">
        <v>549</v>
      </c>
      <c r="C552" s="131">
        <v>2014</v>
      </c>
      <c r="D552" s="131" t="s">
        <v>131</v>
      </c>
      <c r="E552" s="131" t="str">
        <f ca="1">IFERROR(__xludf.DUMMYFUNCTION("IF(
  MAX(
    IFERROR(MAX(FILTER('REGISTRO PROD. v1'!F:F,'REGISTRO PROD. v1'!D:D=B552)),0),
    IFERROR(MAX(FILTER('REGISTRO PROD. v1'!W:W,'REGISTRO PROD. v1'!U:U=B552)),0),
    IFERROR(MAX(FILTER('REGISTRO PROD. v1'!AN:AN,'REGISTRO PROD. v1'!AL:AL=B552)"&amp;"),0),
    IFERROR(MAX(FILTER('REGISTRO PROD. v1'!BE:BE,'REGISTRO PROD. v1'!BC:BC=B552)),0),
    IFERROR(MAX(FILTER('REGISTRO PROD. v1'!BV:BV,'REGISTRO PROD. v1'!BT:BT=B552)),0)
  )=0,
  ""NO"",
  IF(
    MAX(
      IFERROR(MAX(FILTER('REGISTRO PROD. v1'!F"&amp;":F,'REGISTRO PROD. v1'!D:D=B552)),0),
      IFERROR(MAX(FILTER('REGISTRO PROD. v1'!W:W,'REGISTRO PROD. v1'!U:U=B552)),0),
      IFERROR(MAX(FILTER('REGISTRO PROD. v1'!AN:AN,'REGISTRO PROD. v1'!AL:AL=B552)),0),
      IFERROR(MAX(FILTER('REGISTRO PROD. v1'!"&amp;"BE:BE,'REGISTRO PROD. v1'!BC:BC=B552)),0),
      IFERROR(MAX(FILTER('REGISTRO PROD. v1'!BV:BV,'REGISTRO PROD. v1'!BT:BT=B552)),0)
    )&gt;=F552,
    ""SI"",
    ""EN PROCESO""
  )
)
"),"SI")</f>
        <v>SI</v>
      </c>
      <c r="F552" s="132" t="s">
        <v>65</v>
      </c>
    </row>
    <row r="553" spans="2:6" ht="15" x14ac:dyDescent="0.25">
      <c r="B553" s="131">
        <v>550</v>
      </c>
      <c r="C553" s="131">
        <v>2014</v>
      </c>
      <c r="D553" s="131" t="s">
        <v>132</v>
      </c>
      <c r="E553" s="131" t="str">
        <f ca="1">IFERROR(__xludf.DUMMYFUNCTION("IF(
  MAX(
    IFERROR(MAX(FILTER('REGISTRO PROD. v1'!F:F,'REGISTRO PROD. v1'!D:D=B553)),0),
    IFERROR(MAX(FILTER('REGISTRO PROD. v1'!W:W,'REGISTRO PROD. v1'!U:U=B553)),0),
    IFERROR(MAX(FILTER('REGISTRO PROD. v1'!AN:AN,'REGISTRO PROD. v1'!AL:AL=B553)"&amp;"),0),
    IFERROR(MAX(FILTER('REGISTRO PROD. v1'!BE:BE,'REGISTRO PROD. v1'!BC:BC=B553)),0),
    IFERROR(MAX(FILTER('REGISTRO PROD. v1'!BV:BV,'REGISTRO PROD. v1'!BT:BT=B553)),0)
  )=0,
  ""NO"",
  IF(
    MAX(
      IFERROR(MAX(FILTER('REGISTRO PROD. v1'!F"&amp;":F,'REGISTRO PROD. v1'!D:D=B553)),0),
      IFERROR(MAX(FILTER('REGISTRO PROD. v1'!W:W,'REGISTRO PROD. v1'!U:U=B553)),0),
      IFERROR(MAX(FILTER('REGISTRO PROD. v1'!AN:AN,'REGISTRO PROD. v1'!AL:AL=B553)),0),
      IFERROR(MAX(FILTER('REGISTRO PROD. v1'!"&amp;"BE:BE,'REGISTRO PROD. v1'!BC:BC=B553)),0),
      IFERROR(MAX(FILTER('REGISTRO PROD. v1'!BV:BV,'REGISTRO PROD. v1'!BT:BT=B553)),0)
    )&gt;=F553,
    ""SI"",
    ""EN PROCESO""
  )
)
"),"SI")</f>
        <v>SI</v>
      </c>
      <c r="F553" s="132" t="s">
        <v>65</v>
      </c>
    </row>
    <row r="554" spans="2:6" ht="15" x14ac:dyDescent="0.25">
      <c r="B554" s="131">
        <v>551</v>
      </c>
      <c r="C554" s="131">
        <v>2014</v>
      </c>
      <c r="D554" s="131" t="s">
        <v>133</v>
      </c>
      <c r="E554" s="131" t="str">
        <f ca="1">IFERROR(__xludf.DUMMYFUNCTION("IF(
  MAX(
    IFERROR(MAX(FILTER('REGISTRO PROD. v1'!F:F,'REGISTRO PROD. v1'!D:D=B554)),0),
    IFERROR(MAX(FILTER('REGISTRO PROD. v1'!W:W,'REGISTRO PROD. v1'!U:U=B554)),0),
    IFERROR(MAX(FILTER('REGISTRO PROD. v1'!AN:AN,'REGISTRO PROD. v1'!AL:AL=B554)"&amp;"),0),
    IFERROR(MAX(FILTER('REGISTRO PROD. v1'!BE:BE,'REGISTRO PROD. v1'!BC:BC=B554)),0),
    IFERROR(MAX(FILTER('REGISTRO PROD. v1'!BV:BV,'REGISTRO PROD. v1'!BT:BT=B554)),0)
  )=0,
  ""NO"",
  IF(
    MAX(
      IFERROR(MAX(FILTER('REGISTRO PROD. v1'!F"&amp;":F,'REGISTRO PROD. v1'!D:D=B554)),0),
      IFERROR(MAX(FILTER('REGISTRO PROD. v1'!W:W,'REGISTRO PROD. v1'!U:U=B554)),0),
      IFERROR(MAX(FILTER('REGISTRO PROD. v1'!AN:AN,'REGISTRO PROD. v1'!AL:AL=B554)),0),
      IFERROR(MAX(FILTER('REGISTRO PROD. v1'!"&amp;"BE:BE,'REGISTRO PROD. v1'!BC:BC=B554)),0),
      IFERROR(MAX(FILTER('REGISTRO PROD. v1'!BV:BV,'REGISTRO PROD. v1'!BT:BT=B554)),0)
    )&gt;=F554,
    ""SI"",
    ""EN PROCESO""
  )
)
"),"SI")</f>
        <v>SI</v>
      </c>
      <c r="F554" s="132" t="s">
        <v>65</v>
      </c>
    </row>
    <row r="555" spans="2:6" ht="15" x14ac:dyDescent="0.25">
      <c r="B555" s="131">
        <v>552</v>
      </c>
      <c r="C555" s="131">
        <v>2014</v>
      </c>
      <c r="D555" s="131" t="s">
        <v>134</v>
      </c>
      <c r="E555" s="131" t="str">
        <f ca="1">IFERROR(__xludf.DUMMYFUNCTION("IF(
  MAX(
    IFERROR(MAX(FILTER('REGISTRO PROD. v1'!F:F,'REGISTRO PROD. v1'!D:D=B555)),0),
    IFERROR(MAX(FILTER('REGISTRO PROD. v1'!W:W,'REGISTRO PROD. v1'!U:U=B555)),0),
    IFERROR(MAX(FILTER('REGISTRO PROD. v1'!AN:AN,'REGISTRO PROD. v1'!AL:AL=B555)"&amp;"),0),
    IFERROR(MAX(FILTER('REGISTRO PROD. v1'!BE:BE,'REGISTRO PROD. v1'!BC:BC=B555)),0),
    IFERROR(MAX(FILTER('REGISTRO PROD. v1'!BV:BV,'REGISTRO PROD. v1'!BT:BT=B555)),0)
  )=0,
  ""NO"",
  IF(
    MAX(
      IFERROR(MAX(FILTER('REGISTRO PROD. v1'!F"&amp;":F,'REGISTRO PROD. v1'!D:D=B555)),0),
      IFERROR(MAX(FILTER('REGISTRO PROD. v1'!W:W,'REGISTRO PROD. v1'!U:U=B555)),0),
      IFERROR(MAX(FILTER('REGISTRO PROD. v1'!AN:AN,'REGISTRO PROD. v1'!AL:AL=B555)),0),
      IFERROR(MAX(FILTER('REGISTRO PROD. v1'!"&amp;"BE:BE,'REGISTRO PROD. v1'!BC:BC=B555)),0),
      IFERROR(MAX(FILTER('REGISTRO PROD. v1'!BV:BV,'REGISTRO PROD. v1'!BT:BT=B555)),0)
    )&gt;=F555,
    ""SI"",
    ""EN PROCESO""
  )
)
"),"SI")</f>
        <v>SI</v>
      </c>
      <c r="F555" s="132" t="s">
        <v>65</v>
      </c>
    </row>
    <row r="556" spans="2:6" ht="15" x14ac:dyDescent="0.25">
      <c r="B556" s="131">
        <v>553</v>
      </c>
      <c r="C556" s="131">
        <v>2014</v>
      </c>
      <c r="D556" s="131" t="s">
        <v>135</v>
      </c>
      <c r="E556" s="131" t="str">
        <f ca="1">IFERROR(__xludf.DUMMYFUNCTION("IF(
  MAX(
    IFERROR(MAX(FILTER('REGISTRO PROD. v1'!F:F,'REGISTRO PROD. v1'!D:D=B556)),0),
    IFERROR(MAX(FILTER('REGISTRO PROD. v1'!W:W,'REGISTRO PROD. v1'!U:U=B556)),0),
    IFERROR(MAX(FILTER('REGISTRO PROD. v1'!AN:AN,'REGISTRO PROD. v1'!AL:AL=B556)"&amp;"),0),
    IFERROR(MAX(FILTER('REGISTRO PROD. v1'!BE:BE,'REGISTRO PROD. v1'!BC:BC=B556)),0),
    IFERROR(MAX(FILTER('REGISTRO PROD. v1'!BV:BV,'REGISTRO PROD. v1'!BT:BT=B556)),0)
  )=0,
  ""NO"",
  IF(
    MAX(
      IFERROR(MAX(FILTER('REGISTRO PROD. v1'!F"&amp;":F,'REGISTRO PROD. v1'!D:D=B556)),0),
      IFERROR(MAX(FILTER('REGISTRO PROD. v1'!W:W,'REGISTRO PROD. v1'!U:U=B556)),0),
      IFERROR(MAX(FILTER('REGISTRO PROD. v1'!AN:AN,'REGISTRO PROD. v1'!AL:AL=B556)),0),
      IFERROR(MAX(FILTER('REGISTRO PROD. v1'!"&amp;"BE:BE,'REGISTRO PROD. v1'!BC:BC=B556)),0),
      IFERROR(MAX(FILTER('REGISTRO PROD. v1'!BV:BV,'REGISTRO PROD. v1'!BT:BT=B556)),0)
    )&gt;=F556,
    ""SI"",
    ""EN PROCESO""
  )
)
"),"SI")</f>
        <v>SI</v>
      </c>
      <c r="F556" s="132" t="s">
        <v>65</v>
      </c>
    </row>
    <row r="557" spans="2:6" ht="15" x14ac:dyDescent="0.25">
      <c r="B557" s="131">
        <v>554</v>
      </c>
      <c r="C557" s="131">
        <v>2014</v>
      </c>
      <c r="D557" s="131" t="s">
        <v>136</v>
      </c>
      <c r="E557" s="131" t="str">
        <f ca="1">IFERROR(__xludf.DUMMYFUNCTION("IF(
  MAX(
    IFERROR(MAX(FILTER('REGISTRO PROD. v1'!F:F,'REGISTRO PROD. v1'!D:D=B557)),0),
    IFERROR(MAX(FILTER('REGISTRO PROD. v1'!W:W,'REGISTRO PROD. v1'!U:U=B557)),0),
    IFERROR(MAX(FILTER('REGISTRO PROD. v1'!AN:AN,'REGISTRO PROD. v1'!AL:AL=B557)"&amp;"),0),
    IFERROR(MAX(FILTER('REGISTRO PROD. v1'!BE:BE,'REGISTRO PROD. v1'!BC:BC=B557)),0),
    IFERROR(MAX(FILTER('REGISTRO PROD. v1'!BV:BV,'REGISTRO PROD. v1'!BT:BT=B557)),0)
  )=0,
  ""NO"",
  IF(
    MAX(
      IFERROR(MAX(FILTER('REGISTRO PROD. v1'!F"&amp;":F,'REGISTRO PROD. v1'!D:D=B557)),0),
      IFERROR(MAX(FILTER('REGISTRO PROD. v1'!W:W,'REGISTRO PROD. v1'!U:U=B557)),0),
      IFERROR(MAX(FILTER('REGISTRO PROD. v1'!AN:AN,'REGISTRO PROD. v1'!AL:AL=B557)),0),
      IFERROR(MAX(FILTER('REGISTRO PROD. v1'!"&amp;"BE:BE,'REGISTRO PROD. v1'!BC:BC=B557)),0),
      IFERROR(MAX(FILTER('REGISTRO PROD. v1'!BV:BV,'REGISTRO PROD. v1'!BT:BT=B557)),0)
    )&gt;=F557,
    ""SI"",
    ""EN PROCESO""
  )
)
"),"NO")</f>
        <v>NO</v>
      </c>
      <c r="F557" s="132" t="s">
        <v>65</v>
      </c>
    </row>
    <row r="558" spans="2:6" ht="15" x14ac:dyDescent="0.25">
      <c r="B558" s="131">
        <v>555</v>
      </c>
      <c r="C558" s="131">
        <v>2014</v>
      </c>
      <c r="D558" s="131" t="s">
        <v>137</v>
      </c>
      <c r="E558" s="131" t="str">
        <f ca="1">IFERROR(__xludf.DUMMYFUNCTION("IF(
  MAX(
    IFERROR(MAX(FILTER('REGISTRO PROD. v1'!F:F,'REGISTRO PROD. v1'!D:D=B558)),0),
    IFERROR(MAX(FILTER('REGISTRO PROD. v1'!W:W,'REGISTRO PROD. v1'!U:U=B558)),0),
    IFERROR(MAX(FILTER('REGISTRO PROD. v1'!AN:AN,'REGISTRO PROD. v1'!AL:AL=B558)"&amp;"),0),
    IFERROR(MAX(FILTER('REGISTRO PROD. v1'!BE:BE,'REGISTRO PROD. v1'!BC:BC=B558)),0),
    IFERROR(MAX(FILTER('REGISTRO PROD. v1'!BV:BV,'REGISTRO PROD. v1'!BT:BT=B558)),0)
  )=0,
  ""NO"",
  IF(
    MAX(
      IFERROR(MAX(FILTER('REGISTRO PROD. v1'!F"&amp;":F,'REGISTRO PROD. v1'!D:D=B558)),0),
      IFERROR(MAX(FILTER('REGISTRO PROD. v1'!W:W,'REGISTRO PROD. v1'!U:U=B558)),0),
      IFERROR(MAX(FILTER('REGISTRO PROD. v1'!AN:AN,'REGISTRO PROD. v1'!AL:AL=B558)),0),
      IFERROR(MAX(FILTER('REGISTRO PROD. v1'!"&amp;"BE:BE,'REGISTRO PROD. v1'!BC:BC=B558)),0),
      IFERROR(MAX(FILTER('REGISTRO PROD. v1'!BV:BV,'REGISTRO PROD. v1'!BT:BT=B558)),0)
    )&gt;=F558,
    ""SI"",
    ""EN PROCESO""
  )
)
"),"NO")</f>
        <v>NO</v>
      </c>
      <c r="F558" s="132" t="s">
        <v>65</v>
      </c>
    </row>
    <row r="559" spans="2:6" ht="15" x14ac:dyDescent="0.25">
      <c r="B559" s="131">
        <v>556</v>
      </c>
      <c r="C559" s="131">
        <v>2014</v>
      </c>
      <c r="D559" s="131" t="s">
        <v>138</v>
      </c>
      <c r="E559" s="131" t="str">
        <f ca="1">IFERROR(__xludf.DUMMYFUNCTION("IF(
  MAX(
    IFERROR(MAX(FILTER('REGISTRO PROD. v1'!F:F,'REGISTRO PROD. v1'!D:D=B559)),0),
    IFERROR(MAX(FILTER('REGISTRO PROD. v1'!W:W,'REGISTRO PROD. v1'!U:U=B559)),0),
    IFERROR(MAX(FILTER('REGISTRO PROD. v1'!AN:AN,'REGISTRO PROD. v1'!AL:AL=B559)"&amp;"),0),
    IFERROR(MAX(FILTER('REGISTRO PROD. v1'!BE:BE,'REGISTRO PROD. v1'!BC:BC=B559)),0),
    IFERROR(MAX(FILTER('REGISTRO PROD. v1'!BV:BV,'REGISTRO PROD. v1'!BT:BT=B559)),0)
  )=0,
  ""NO"",
  IF(
    MAX(
      IFERROR(MAX(FILTER('REGISTRO PROD. v1'!F"&amp;":F,'REGISTRO PROD. v1'!D:D=B559)),0),
      IFERROR(MAX(FILTER('REGISTRO PROD. v1'!W:W,'REGISTRO PROD. v1'!U:U=B559)),0),
      IFERROR(MAX(FILTER('REGISTRO PROD. v1'!AN:AN,'REGISTRO PROD. v1'!AL:AL=B559)),0),
      IFERROR(MAX(FILTER('REGISTRO PROD. v1'!"&amp;"BE:BE,'REGISTRO PROD. v1'!BC:BC=B559)),0),
      IFERROR(MAX(FILTER('REGISTRO PROD. v1'!BV:BV,'REGISTRO PROD. v1'!BT:BT=B559)),0)
    )&gt;=F559,
    ""SI"",
    ""EN PROCESO""
  )
)
"),"NO")</f>
        <v>NO</v>
      </c>
      <c r="F559" s="132" t="s">
        <v>65</v>
      </c>
    </row>
    <row r="560" spans="2:6" ht="15" x14ac:dyDescent="0.25">
      <c r="B560" s="131">
        <v>557</v>
      </c>
      <c r="C560" s="131">
        <v>2014</v>
      </c>
      <c r="D560" s="131" t="s">
        <v>139</v>
      </c>
      <c r="E560" s="131" t="str">
        <f ca="1">IFERROR(__xludf.DUMMYFUNCTION("IF(
  MAX(
    IFERROR(MAX(FILTER('REGISTRO PROD. v1'!F:F,'REGISTRO PROD. v1'!D:D=B560)),0),
    IFERROR(MAX(FILTER('REGISTRO PROD. v1'!W:W,'REGISTRO PROD. v1'!U:U=B560)),0),
    IFERROR(MAX(FILTER('REGISTRO PROD. v1'!AN:AN,'REGISTRO PROD. v1'!AL:AL=B560)"&amp;"),0),
    IFERROR(MAX(FILTER('REGISTRO PROD. v1'!BE:BE,'REGISTRO PROD. v1'!BC:BC=B560)),0),
    IFERROR(MAX(FILTER('REGISTRO PROD. v1'!BV:BV,'REGISTRO PROD. v1'!BT:BT=B560)),0)
  )=0,
  ""NO"",
  IF(
    MAX(
      IFERROR(MAX(FILTER('REGISTRO PROD. v1'!F"&amp;":F,'REGISTRO PROD. v1'!D:D=B560)),0),
      IFERROR(MAX(FILTER('REGISTRO PROD. v1'!W:W,'REGISTRO PROD. v1'!U:U=B560)),0),
      IFERROR(MAX(FILTER('REGISTRO PROD. v1'!AN:AN,'REGISTRO PROD. v1'!AL:AL=B560)),0),
      IFERROR(MAX(FILTER('REGISTRO PROD. v1'!"&amp;"BE:BE,'REGISTRO PROD. v1'!BC:BC=B560)),0),
      IFERROR(MAX(FILTER('REGISTRO PROD. v1'!BV:BV,'REGISTRO PROD. v1'!BT:BT=B560)),0)
    )&gt;=F560,
    ""SI"",
    ""EN PROCESO""
  )
)
"),"NO")</f>
        <v>NO</v>
      </c>
      <c r="F560" s="132" t="s">
        <v>65</v>
      </c>
    </row>
    <row r="561" spans="2:6" ht="15" x14ac:dyDescent="0.25">
      <c r="B561" s="131">
        <v>558</v>
      </c>
      <c r="C561" s="131">
        <v>2014</v>
      </c>
      <c r="D561" s="131" t="s">
        <v>142</v>
      </c>
      <c r="E561" s="131" t="str">
        <f ca="1">IFERROR(__xludf.DUMMYFUNCTION("IF(
  MAX(
    IFERROR(MAX(FILTER('REGISTRO PROD. v1'!F:F,'REGISTRO PROD. v1'!D:D=B561)),0),
    IFERROR(MAX(FILTER('REGISTRO PROD. v1'!W:W,'REGISTRO PROD. v1'!U:U=B561)),0),
    IFERROR(MAX(FILTER('REGISTRO PROD. v1'!AN:AN,'REGISTRO PROD. v1'!AL:AL=B561)"&amp;"),0),
    IFERROR(MAX(FILTER('REGISTRO PROD. v1'!BE:BE,'REGISTRO PROD. v1'!BC:BC=B561)),0),
    IFERROR(MAX(FILTER('REGISTRO PROD. v1'!BV:BV,'REGISTRO PROD. v1'!BT:BT=B561)),0)
  )=0,
  ""NO"",
  IF(
    MAX(
      IFERROR(MAX(FILTER('REGISTRO PROD. v1'!F"&amp;":F,'REGISTRO PROD. v1'!D:D=B561)),0),
      IFERROR(MAX(FILTER('REGISTRO PROD. v1'!W:W,'REGISTRO PROD. v1'!U:U=B561)),0),
      IFERROR(MAX(FILTER('REGISTRO PROD. v1'!AN:AN,'REGISTRO PROD. v1'!AL:AL=B561)),0),
      IFERROR(MAX(FILTER('REGISTRO PROD. v1'!"&amp;"BE:BE,'REGISTRO PROD. v1'!BC:BC=B561)),0),
      IFERROR(MAX(FILTER('REGISTRO PROD. v1'!BV:BV,'REGISTRO PROD. v1'!BT:BT=B561)),0)
    )&gt;=F561,
    ""SI"",
    ""EN PROCESO""
  )
)
"),"NO")</f>
        <v>NO</v>
      </c>
      <c r="F561" s="132" t="s">
        <v>65</v>
      </c>
    </row>
    <row r="562" spans="2:6" ht="15" x14ac:dyDescent="0.25">
      <c r="B562" s="131">
        <v>559</v>
      </c>
      <c r="C562" s="131">
        <v>2014</v>
      </c>
      <c r="D562" s="131" t="s">
        <v>143</v>
      </c>
      <c r="E562" s="131" t="str">
        <f ca="1">IFERROR(__xludf.DUMMYFUNCTION("IF(
  MAX(
    IFERROR(MAX(FILTER('REGISTRO PROD. v1'!F:F,'REGISTRO PROD. v1'!D:D=B562)),0),
    IFERROR(MAX(FILTER('REGISTRO PROD. v1'!W:W,'REGISTRO PROD. v1'!U:U=B562)),0),
    IFERROR(MAX(FILTER('REGISTRO PROD. v1'!AN:AN,'REGISTRO PROD. v1'!AL:AL=B562)"&amp;"),0),
    IFERROR(MAX(FILTER('REGISTRO PROD. v1'!BE:BE,'REGISTRO PROD. v1'!BC:BC=B562)),0),
    IFERROR(MAX(FILTER('REGISTRO PROD. v1'!BV:BV,'REGISTRO PROD. v1'!BT:BT=B562)),0)
  )=0,
  ""NO"",
  IF(
    MAX(
      IFERROR(MAX(FILTER('REGISTRO PROD. v1'!F"&amp;":F,'REGISTRO PROD. v1'!D:D=B562)),0),
      IFERROR(MAX(FILTER('REGISTRO PROD. v1'!W:W,'REGISTRO PROD. v1'!U:U=B562)),0),
      IFERROR(MAX(FILTER('REGISTRO PROD. v1'!AN:AN,'REGISTRO PROD. v1'!AL:AL=B562)),0),
      IFERROR(MAX(FILTER('REGISTRO PROD. v1'!"&amp;"BE:BE,'REGISTRO PROD. v1'!BC:BC=B562)),0),
      IFERROR(MAX(FILTER('REGISTRO PROD. v1'!BV:BV,'REGISTRO PROD. v1'!BT:BT=B562)),0)
    )&gt;=F562,
    ""SI"",
    ""EN PROCESO""
  )
)
"),"NO")</f>
        <v>NO</v>
      </c>
      <c r="F562" s="132" t="s">
        <v>65</v>
      </c>
    </row>
    <row r="563" spans="2:6" ht="15" x14ac:dyDescent="0.25">
      <c r="B563" s="131">
        <v>560</v>
      </c>
      <c r="C563" s="131">
        <v>2014</v>
      </c>
      <c r="D563" s="131" t="s">
        <v>176</v>
      </c>
      <c r="E563" s="131" t="str">
        <f ca="1">IFERROR(__xludf.DUMMYFUNCTION("IF(
  MAX(
    IFERROR(MAX(FILTER('REGISTRO PROD. v1'!F:F,'REGISTRO PROD. v1'!D:D=B563)),0),
    IFERROR(MAX(FILTER('REGISTRO PROD. v1'!W:W,'REGISTRO PROD. v1'!U:U=B563)),0),
    IFERROR(MAX(FILTER('REGISTRO PROD. v1'!AN:AN,'REGISTRO PROD. v1'!AL:AL=B563)"&amp;"),0),
    IFERROR(MAX(FILTER('REGISTRO PROD. v1'!BE:BE,'REGISTRO PROD. v1'!BC:BC=B563)),0),
    IFERROR(MAX(FILTER('REGISTRO PROD. v1'!BV:BV,'REGISTRO PROD. v1'!BT:BT=B563)),0)
  )=0,
  ""NO"",
  IF(
    MAX(
      IFERROR(MAX(FILTER('REGISTRO PROD. v1'!F"&amp;":F,'REGISTRO PROD. v1'!D:D=B563)),0),
      IFERROR(MAX(FILTER('REGISTRO PROD. v1'!W:W,'REGISTRO PROD. v1'!U:U=B563)),0),
      IFERROR(MAX(FILTER('REGISTRO PROD. v1'!AN:AN,'REGISTRO PROD. v1'!AL:AL=B563)),0),
      IFERROR(MAX(FILTER('REGISTRO PROD. v1'!"&amp;"BE:BE,'REGISTRO PROD. v1'!BC:BC=B563)),0),
      IFERROR(MAX(FILTER('REGISTRO PROD. v1'!BV:BV,'REGISTRO PROD. v1'!BT:BT=B563)),0)
    )&gt;=F563,
    ""SI"",
    ""EN PROCESO""
  )
)
"),"NO")</f>
        <v>NO</v>
      </c>
      <c r="F563" s="132" t="s">
        <v>65</v>
      </c>
    </row>
    <row r="564" spans="2:6" ht="15" x14ac:dyDescent="0.25">
      <c r="B564" s="131">
        <v>561</v>
      </c>
      <c r="C564" s="131">
        <v>2015</v>
      </c>
      <c r="D564" s="131" t="s">
        <v>64</v>
      </c>
      <c r="E564" s="131" t="str">
        <f ca="1">IFERROR(__xludf.DUMMYFUNCTION("IF(
  MAX(
    IFERROR(MAX(FILTER('REGISTRO PROD. v1'!F:F,'REGISTRO PROD. v1'!D:D=B564)),0),
    IFERROR(MAX(FILTER('REGISTRO PROD. v1'!W:W,'REGISTRO PROD. v1'!U:U=B564)),0),
    IFERROR(MAX(FILTER('REGISTRO PROD. v1'!AN:AN,'REGISTRO PROD. v1'!AL:AL=B564)"&amp;"),0),
    IFERROR(MAX(FILTER('REGISTRO PROD. v1'!BE:BE,'REGISTRO PROD. v1'!BC:BC=B564)),0),
    IFERROR(MAX(FILTER('REGISTRO PROD. v1'!BV:BV,'REGISTRO PROD. v1'!BT:BT=B564)),0)
  )=0,
  ""NO"",
  IF(
    MAX(
      IFERROR(MAX(FILTER('REGISTRO PROD. v1'!F"&amp;":F,'REGISTRO PROD. v1'!D:D=B564)),0),
      IFERROR(MAX(FILTER('REGISTRO PROD. v1'!W:W,'REGISTRO PROD. v1'!U:U=B564)),0),
      IFERROR(MAX(FILTER('REGISTRO PROD. v1'!AN:AN,'REGISTRO PROD. v1'!AL:AL=B564)),0),
      IFERROR(MAX(FILTER('REGISTRO PROD. v1'!"&amp;"BE:BE,'REGISTRO PROD. v1'!BC:BC=B564)),0),
      IFERROR(MAX(FILTER('REGISTRO PROD. v1'!BV:BV,'REGISTRO PROD. v1'!BT:BT=B564)),0)
    )&gt;=F564,
    ""SI"",
    ""EN PROCESO""
  )
)
"),"NO")</f>
        <v>NO</v>
      </c>
      <c r="F564" s="132" t="s">
        <v>65</v>
      </c>
    </row>
    <row r="565" spans="2:6" ht="15" x14ac:dyDescent="0.25">
      <c r="B565" s="131">
        <v>562</v>
      </c>
      <c r="C565" s="131">
        <v>2015</v>
      </c>
      <c r="D565" s="131" t="s">
        <v>66</v>
      </c>
      <c r="E565" s="131" t="str">
        <f ca="1">IFERROR(__xludf.DUMMYFUNCTION("IF(
  MAX(
    IFERROR(MAX(FILTER('REGISTRO PROD. v1'!F:F,'REGISTRO PROD. v1'!D:D=B565)),0),
    IFERROR(MAX(FILTER('REGISTRO PROD. v1'!W:W,'REGISTRO PROD. v1'!U:U=B565)),0),
    IFERROR(MAX(FILTER('REGISTRO PROD. v1'!AN:AN,'REGISTRO PROD. v1'!AL:AL=B565)"&amp;"),0),
    IFERROR(MAX(FILTER('REGISTRO PROD. v1'!BE:BE,'REGISTRO PROD. v1'!BC:BC=B565)),0),
    IFERROR(MAX(FILTER('REGISTRO PROD. v1'!BV:BV,'REGISTRO PROD. v1'!BT:BT=B565)),0)
  )=0,
  ""NO"",
  IF(
    MAX(
      IFERROR(MAX(FILTER('REGISTRO PROD. v1'!F"&amp;":F,'REGISTRO PROD. v1'!D:D=B565)),0),
      IFERROR(MAX(FILTER('REGISTRO PROD. v1'!W:W,'REGISTRO PROD. v1'!U:U=B565)),0),
      IFERROR(MAX(FILTER('REGISTRO PROD. v1'!AN:AN,'REGISTRO PROD. v1'!AL:AL=B565)),0),
      IFERROR(MAX(FILTER('REGISTRO PROD. v1'!"&amp;"BE:BE,'REGISTRO PROD. v1'!BC:BC=B565)),0),
      IFERROR(MAX(FILTER('REGISTRO PROD. v1'!BV:BV,'REGISTRO PROD. v1'!BT:BT=B565)),0)
    )&gt;=F565,
    ""SI"",
    ""EN PROCESO""
  )
)
"),"NO")</f>
        <v>NO</v>
      </c>
      <c r="F565" s="132" t="s">
        <v>65</v>
      </c>
    </row>
    <row r="566" spans="2:6" ht="15" x14ac:dyDescent="0.25">
      <c r="B566" s="131">
        <v>563</v>
      </c>
      <c r="C566" s="131">
        <v>2015</v>
      </c>
      <c r="D566" s="131" t="s">
        <v>67</v>
      </c>
      <c r="E566" s="131" t="str">
        <f ca="1">IFERROR(__xludf.DUMMYFUNCTION("IF(
  MAX(
    IFERROR(MAX(FILTER('REGISTRO PROD. v1'!F:F,'REGISTRO PROD. v1'!D:D=B566)),0),
    IFERROR(MAX(FILTER('REGISTRO PROD. v1'!W:W,'REGISTRO PROD. v1'!U:U=B566)),0),
    IFERROR(MAX(FILTER('REGISTRO PROD. v1'!AN:AN,'REGISTRO PROD. v1'!AL:AL=B566)"&amp;"),0),
    IFERROR(MAX(FILTER('REGISTRO PROD. v1'!BE:BE,'REGISTRO PROD. v1'!BC:BC=B566)),0),
    IFERROR(MAX(FILTER('REGISTRO PROD. v1'!BV:BV,'REGISTRO PROD. v1'!BT:BT=B566)),0)
  )=0,
  ""NO"",
  IF(
    MAX(
      IFERROR(MAX(FILTER('REGISTRO PROD. v1'!F"&amp;":F,'REGISTRO PROD. v1'!D:D=B566)),0),
      IFERROR(MAX(FILTER('REGISTRO PROD. v1'!W:W,'REGISTRO PROD. v1'!U:U=B566)),0),
      IFERROR(MAX(FILTER('REGISTRO PROD. v1'!AN:AN,'REGISTRO PROD. v1'!AL:AL=B566)),0),
      IFERROR(MAX(FILTER('REGISTRO PROD. v1'!"&amp;"BE:BE,'REGISTRO PROD. v1'!BC:BC=B566)),0),
      IFERROR(MAX(FILTER('REGISTRO PROD. v1'!BV:BV,'REGISTRO PROD. v1'!BT:BT=B566)),0)
    )&gt;=F566,
    ""SI"",
    ""EN PROCESO""
  )
)
"),"NO")</f>
        <v>NO</v>
      </c>
      <c r="F566" s="132" t="s">
        <v>65</v>
      </c>
    </row>
    <row r="567" spans="2:6" ht="15" x14ac:dyDescent="0.25">
      <c r="B567" s="131">
        <v>564</v>
      </c>
      <c r="C567" s="131">
        <v>2015</v>
      </c>
      <c r="D567" s="131" t="s">
        <v>68</v>
      </c>
      <c r="E567" s="131" t="str">
        <f ca="1">IFERROR(__xludf.DUMMYFUNCTION("IF(
  MAX(
    IFERROR(MAX(FILTER('REGISTRO PROD. v1'!F:F,'REGISTRO PROD. v1'!D:D=B567)),0),
    IFERROR(MAX(FILTER('REGISTRO PROD. v1'!W:W,'REGISTRO PROD. v1'!U:U=B567)),0),
    IFERROR(MAX(FILTER('REGISTRO PROD. v1'!AN:AN,'REGISTRO PROD. v1'!AL:AL=B567)"&amp;"),0),
    IFERROR(MAX(FILTER('REGISTRO PROD. v1'!BE:BE,'REGISTRO PROD. v1'!BC:BC=B567)),0),
    IFERROR(MAX(FILTER('REGISTRO PROD. v1'!BV:BV,'REGISTRO PROD. v1'!BT:BT=B567)),0)
  )=0,
  ""NO"",
  IF(
    MAX(
      IFERROR(MAX(FILTER('REGISTRO PROD. v1'!F"&amp;":F,'REGISTRO PROD. v1'!D:D=B567)),0),
      IFERROR(MAX(FILTER('REGISTRO PROD. v1'!W:W,'REGISTRO PROD. v1'!U:U=B567)),0),
      IFERROR(MAX(FILTER('REGISTRO PROD. v1'!AN:AN,'REGISTRO PROD. v1'!AL:AL=B567)),0),
      IFERROR(MAX(FILTER('REGISTRO PROD. v1'!"&amp;"BE:BE,'REGISTRO PROD. v1'!BC:BC=B567)),0),
      IFERROR(MAX(FILTER('REGISTRO PROD. v1'!BV:BV,'REGISTRO PROD. v1'!BT:BT=B567)),0)
    )&gt;=F567,
    ""SI"",
    ""EN PROCESO""
  )
)
"),"NO")</f>
        <v>NO</v>
      </c>
      <c r="F567" s="132" t="s">
        <v>65</v>
      </c>
    </row>
    <row r="568" spans="2:6" ht="15" x14ac:dyDescent="0.25">
      <c r="B568" s="131">
        <v>565</v>
      </c>
      <c r="C568" s="131">
        <v>2015</v>
      </c>
      <c r="D568" s="131" t="s">
        <v>69</v>
      </c>
      <c r="E568" s="131" t="str">
        <f ca="1">IFERROR(__xludf.DUMMYFUNCTION("IF(
  MAX(
    IFERROR(MAX(FILTER('REGISTRO PROD. v1'!F:F,'REGISTRO PROD. v1'!D:D=B568)),0),
    IFERROR(MAX(FILTER('REGISTRO PROD. v1'!W:W,'REGISTRO PROD. v1'!U:U=B568)),0),
    IFERROR(MAX(FILTER('REGISTRO PROD. v1'!AN:AN,'REGISTRO PROD. v1'!AL:AL=B568)"&amp;"),0),
    IFERROR(MAX(FILTER('REGISTRO PROD. v1'!BE:BE,'REGISTRO PROD. v1'!BC:BC=B568)),0),
    IFERROR(MAX(FILTER('REGISTRO PROD. v1'!BV:BV,'REGISTRO PROD. v1'!BT:BT=B568)),0)
  )=0,
  ""NO"",
  IF(
    MAX(
      IFERROR(MAX(FILTER('REGISTRO PROD. v1'!F"&amp;":F,'REGISTRO PROD. v1'!D:D=B568)),0),
      IFERROR(MAX(FILTER('REGISTRO PROD. v1'!W:W,'REGISTRO PROD. v1'!U:U=B568)),0),
      IFERROR(MAX(FILTER('REGISTRO PROD. v1'!AN:AN,'REGISTRO PROD. v1'!AL:AL=B568)),0),
      IFERROR(MAX(FILTER('REGISTRO PROD. v1'!"&amp;"BE:BE,'REGISTRO PROD. v1'!BC:BC=B568)),0),
      IFERROR(MAX(FILTER('REGISTRO PROD. v1'!BV:BV,'REGISTRO PROD. v1'!BT:BT=B568)),0)
    )&gt;=F568,
    ""SI"",
    ""EN PROCESO""
  )
)
"),"NO")</f>
        <v>NO</v>
      </c>
      <c r="F568" s="132" t="s">
        <v>65</v>
      </c>
    </row>
    <row r="569" spans="2:6" ht="15" x14ac:dyDescent="0.25">
      <c r="B569" s="131">
        <v>566</v>
      </c>
      <c r="C569" s="131">
        <v>2015</v>
      </c>
      <c r="D569" s="131" t="s">
        <v>70</v>
      </c>
      <c r="E569" s="131" t="str">
        <f ca="1">IFERROR(__xludf.DUMMYFUNCTION("IF(
  MAX(
    IFERROR(MAX(FILTER('REGISTRO PROD. v1'!F:F,'REGISTRO PROD. v1'!D:D=B569)),0),
    IFERROR(MAX(FILTER('REGISTRO PROD. v1'!W:W,'REGISTRO PROD. v1'!U:U=B569)),0),
    IFERROR(MAX(FILTER('REGISTRO PROD. v1'!AN:AN,'REGISTRO PROD. v1'!AL:AL=B569)"&amp;"),0),
    IFERROR(MAX(FILTER('REGISTRO PROD. v1'!BE:BE,'REGISTRO PROD. v1'!BC:BC=B569)),0),
    IFERROR(MAX(FILTER('REGISTRO PROD. v1'!BV:BV,'REGISTRO PROD. v1'!BT:BT=B569)),0)
  )=0,
  ""NO"",
  IF(
    MAX(
      IFERROR(MAX(FILTER('REGISTRO PROD. v1'!F"&amp;":F,'REGISTRO PROD. v1'!D:D=B569)),0),
      IFERROR(MAX(FILTER('REGISTRO PROD. v1'!W:W,'REGISTRO PROD. v1'!U:U=B569)),0),
      IFERROR(MAX(FILTER('REGISTRO PROD. v1'!AN:AN,'REGISTRO PROD. v1'!AL:AL=B569)),0),
      IFERROR(MAX(FILTER('REGISTRO PROD. v1'!"&amp;"BE:BE,'REGISTRO PROD. v1'!BC:BC=B569)),0),
      IFERROR(MAX(FILTER('REGISTRO PROD. v1'!BV:BV,'REGISTRO PROD. v1'!BT:BT=B569)),0)
    )&gt;=F569,
    ""SI"",
    ""EN PROCESO""
  )
)
"),"NO")</f>
        <v>NO</v>
      </c>
      <c r="F569" s="132" t="s">
        <v>65</v>
      </c>
    </row>
    <row r="570" spans="2:6" ht="15" x14ac:dyDescent="0.25">
      <c r="B570" s="131">
        <v>567</v>
      </c>
      <c r="C570" s="131">
        <v>2015</v>
      </c>
      <c r="D570" s="131" t="s">
        <v>97</v>
      </c>
      <c r="E570" s="131" t="str">
        <f ca="1">IFERROR(__xludf.DUMMYFUNCTION("IF(
  MAX(
    IFERROR(MAX(FILTER('REGISTRO PROD. v1'!F:F,'REGISTRO PROD. v1'!D:D=B570)),0),
    IFERROR(MAX(FILTER('REGISTRO PROD. v1'!W:W,'REGISTRO PROD. v1'!U:U=B570)),0),
    IFERROR(MAX(FILTER('REGISTRO PROD. v1'!AN:AN,'REGISTRO PROD. v1'!AL:AL=B570)"&amp;"),0),
    IFERROR(MAX(FILTER('REGISTRO PROD. v1'!BE:BE,'REGISTRO PROD. v1'!BC:BC=B570)),0),
    IFERROR(MAX(FILTER('REGISTRO PROD. v1'!BV:BV,'REGISTRO PROD. v1'!BT:BT=B570)),0)
  )=0,
  ""NO"",
  IF(
    MAX(
      IFERROR(MAX(FILTER('REGISTRO PROD. v1'!F"&amp;":F,'REGISTRO PROD. v1'!D:D=B570)),0),
      IFERROR(MAX(FILTER('REGISTRO PROD. v1'!W:W,'REGISTRO PROD. v1'!U:U=B570)),0),
      IFERROR(MAX(FILTER('REGISTRO PROD. v1'!AN:AN,'REGISTRO PROD. v1'!AL:AL=B570)),0),
      IFERROR(MAX(FILTER('REGISTRO PROD. v1'!"&amp;"BE:BE,'REGISTRO PROD. v1'!BC:BC=B570)),0),
      IFERROR(MAX(FILTER('REGISTRO PROD. v1'!BV:BV,'REGISTRO PROD. v1'!BT:BT=B570)),0)
    )&gt;=F570,
    ""SI"",
    ""EN PROCESO""
  )
)
"),"NO")</f>
        <v>NO</v>
      </c>
      <c r="F570" s="132" t="s">
        <v>65</v>
      </c>
    </row>
    <row r="571" spans="2:6" ht="15" x14ac:dyDescent="0.25">
      <c r="B571" s="131">
        <v>568</v>
      </c>
      <c r="C571" s="131">
        <v>2015</v>
      </c>
      <c r="D571" s="131" t="s">
        <v>98</v>
      </c>
      <c r="E571" s="131" t="str">
        <f ca="1">IFERROR(__xludf.DUMMYFUNCTION("IF(
  MAX(
    IFERROR(MAX(FILTER('REGISTRO PROD. v1'!F:F,'REGISTRO PROD. v1'!D:D=B571)),0),
    IFERROR(MAX(FILTER('REGISTRO PROD. v1'!W:W,'REGISTRO PROD. v1'!U:U=B571)),0),
    IFERROR(MAX(FILTER('REGISTRO PROD. v1'!AN:AN,'REGISTRO PROD. v1'!AL:AL=B571)"&amp;"),0),
    IFERROR(MAX(FILTER('REGISTRO PROD. v1'!BE:BE,'REGISTRO PROD. v1'!BC:BC=B571)),0),
    IFERROR(MAX(FILTER('REGISTRO PROD. v1'!BV:BV,'REGISTRO PROD. v1'!BT:BT=B571)),0)
  )=0,
  ""NO"",
  IF(
    MAX(
      IFERROR(MAX(FILTER('REGISTRO PROD. v1'!F"&amp;":F,'REGISTRO PROD. v1'!D:D=B571)),0),
      IFERROR(MAX(FILTER('REGISTRO PROD. v1'!W:W,'REGISTRO PROD. v1'!U:U=B571)),0),
      IFERROR(MAX(FILTER('REGISTRO PROD. v1'!AN:AN,'REGISTRO PROD. v1'!AL:AL=B571)),0),
      IFERROR(MAX(FILTER('REGISTRO PROD. v1'!"&amp;"BE:BE,'REGISTRO PROD. v1'!BC:BC=B571)),0),
      IFERROR(MAX(FILTER('REGISTRO PROD. v1'!BV:BV,'REGISTRO PROD. v1'!BT:BT=B571)),0)
    )&gt;=F571,
    ""SI"",
    ""EN PROCESO""
  )
)
"),"NO")</f>
        <v>NO</v>
      </c>
      <c r="F571" s="132" t="s">
        <v>65</v>
      </c>
    </row>
    <row r="572" spans="2:6" ht="15" x14ac:dyDescent="0.25">
      <c r="B572" s="131">
        <v>569</v>
      </c>
      <c r="C572" s="131">
        <v>2015</v>
      </c>
      <c r="D572" s="131" t="s">
        <v>99</v>
      </c>
      <c r="E572" s="131" t="str">
        <f ca="1">IFERROR(__xludf.DUMMYFUNCTION("IF(
  MAX(
    IFERROR(MAX(FILTER('REGISTRO PROD. v1'!F:F,'REGISTRO PROD. v1'!D:D=B572)),0),
    IFERROR(MAX(FILTER('REGISTRO PROD. v1'!W:W,'REGISTRO PROD. v1'!U:U=B572)),0),
    IFERROR(MAX(FILTER('REGISTRO PROD. v1'!AN:AN,'REGISTRO PROD. v1'!AL:AL=B572)"&amp;"),0),
    IFERROR(MAX(FILTER('REGISTRO PROD. v1'!BE:BE,'REGISTRO PROD. v1'!BC:BC=B572)),0),
    IFERROR(MAX(FILTER('REGISTRO PROD. v1'!BV:BV,'REGISTRO PROD. v1'!BT:BT=B572)),0)
  )=0,
  ""NO"",
  IF(
    MAX(
      IFERROR(MAX(FILTER('REGISTRO PROD. v1'!F"&amp;":F,'REGISTRO PROD. v1'!D:D=B572)),0),
      IFERROR(MAX(FILTER('REGISTRO PROD. v1'!W:W,'REGISTRO PROD. v1'!U:U=B572)),0),
      IFERROR(MAX(FILTER('REGISTRO PROD. v1'!AN:AN,'REGISTRO PROD. v1'!AL:AL=B572)),0),
      IFERROR(MAX(FILTER('REGISTRO PROD. v1'!"&amp;"BE:BE,'REGISTRO PROD. v1'!BC:BC=B572)),0),
      IFERROR(MAX(FILTER('REGISTRO PROD. v1'!BV:BV,'REGISTRO PROD. v1'!BT:BT=B572)),0)
    )&gt;=F572,
    ""SI"",
    ""EN PROCESO""
  )
)
"),"NO")</f>
        <v>NO</v>
      </c>
      <c r="F572" s="132" t="s">
        <v>65</v>
      </c>
    </row>
    <row r="573" spans="2:6" ht="15" x14ac:dyDescent="0.25">
      <c r="B573" s="131">
        <v>570</v>
      </c>
      <c r="C573" s="131">
        <v>2015</v>
      </c>
      <c r="D573" s="131" t="s">
        <v>100</v>
      </c>
      <c r="E573" s="131" t="str">
        <f ca="1">IFERROR(__xludf.DUMMYFUNCTION("IF(
  MAX(
    IFERROR(MAX(FILTER('REGISTRO PROD. v1'!F:F,'REGISTRO PROD. v1'!D:D=B573)),0),
    IFERROR(MAX(FILTER('REGISTRO PROD. v1'!W:W,'REGISTRO PROD. v1'!U:U=B573)),0),
    IFERROR(MAX(FILTER('REGISTRO PROD. v1'!AN:AN,'REGISTRO PROD. v1'!AL:AL=B573)"&amp;"),0),
    IFERROR(MAX(FILTER('REGISTRO PROD. v1'!BE:BE,'REGISTRO PROD. v1'!BC:BC=B573)),0),
    IFERROR(MAX(FILTER('REGISTRO PROD. v1'!BV:BV,'REGISTRO PROD. v1'!BT:BT=B573)),0)
  )=0,
  ""NO"",
  IF(
    MAX(
      IFERROR(MAX(FILTER('REGISTRO PROD. v1'!F"&amp;":F,'REGISTRO PROD. v1'!D:D=B573)),0),
      IFERROR(MAX(FILTER('REGISTRO PROD. v1'!W:W,'REGISTRO PROD. v1'!U:U=B573)),0),
      IFERROR(MAX(FILTER('REGISTRO PROD. v1'!AN:AN,'REGISTRO PROD. v1'!AL:AL=B573)),0),
      IFERROR(MAX(FILTER('REGISTRO PROD. v1'!"&amp;"BE:BE,'REGISTRO PROD. v1'!BC:BC=B573)),0),
      IFERROR(MAX(FILTER('REGISTRO PROD. v1'!BV:BV,'REGISTRO PROD. v1'!BT:BT=B573)),0)
    )&gt;=F573,
    ""SI"",
    ""EN PROCESO""
  )
)
"),"NO")</f>
        <v>NO</v>
      </c>
      <c r="F573" s="132" t="s">
        <v>65</v>
      </c>
    </row>
    <row r="574" spans="2:6" ht="15" x14ac:dyDescent="0.25">
      <c r="B574" s="131">
        <v>571</v>
      </c>
      <c r="C574" s="131">
        <v>2015</v>
      </c>
      <c r="D574" s="131" t="s">
        <v>101</v>
      </c>
      <c r="E574" s="131" t="str">
        <f ca="1">IFERROR(__xludf.DUMMYFUNCTION("IF(
  MAX(
    IFERROR(MAX(FILTER('REGISTRO PROD. v1'!F:F,'REGISTRO PROD. v1'!D:D=B574)),0),
    IFERROR(MAX(FILTER('REGISTRO PROD. v1'!W:W,'REGISTRO PROD. v1'!U:U=B574)),0),
    IFERROR(MAX(FILTER('REGISTRO PROD. v1'!AN:AN,'REGISTRO PROD. v1'!AL:AL=B574)"&amp;"),0),
    IFERROR(MAX(FILTER('REGISTRO PROD. v1'!BE:BE,'REGISTRO PROD. v1'!BC:BC=B574)),0),
    IFERROR(MAX(FILTER('REGISTRO PROD. v1'!BV:BV,'REGISTRO PROD. v1'!BT:BT=B574)),0)
  )=0,
  ""NO"",
  IF(
    MAX(
      IFERROR(MAX(FILTER('REGISTRO PROD. v1'!F"&amp;":F,'REGISTRO PROD. v1'!D:D=B574)),0),
      IFERROR(MAX(FILTER('REGISTRO PROD. v1'!W:W,'REGISTRO PROD. v1'!U:U=B574)),0),
      IFERROR(MAX(FILTER('REGISTRO PROD. v1'!AN:AN,'REGISTRO PROD. v1'!AL:AL=B574)),0),
      IFERROR(MAX(FILTER('REGISTRO PROD. v1'!"&amp;"BE:BE,'REGISTRO PROD. v1'!BC:BC=B574)),0),
      IFERROR(MAX(FILTER('REGISTRO PROD. v1'!BV:BV,'REGISTRO PROD. v1'!BT:BT=B574)),0)
    )&gt;=F574,
    ""SI"",
    ""EN PROCESO""
  )
)
"),"NO")</f>
        <v>NO</v>
      </c>
      <c r="F574" s="132" t="s">
        <v>65</v>
      </c>
    </row>
    <row r="575" spans="2:6" ht="15" x14ac:dyDescent="0.25">
      <c r="B575" s="131">
        <v>572</v>
      </c>
      <c r="C575" s="131">
        <v>2015</v>
      </c>
      <c r="D575" s="131" t="s">
        <v>102</v>
      </c>
      <c r="E575" s="131" t="str">
        <f ca="1">IFERROR(__xludf.DUMMYFUNCTION("IF(
  MAX(
    IFERROR(MAX(FILTER('REGISTRO PROD. v1'!F:F,'REGISTRO PROD. v1'!D:D=B575)),0),
    IFERROR(MAX(FILTER('REGISTRO PROD. v1'!W:W,'REGISTRO PROD. v1'!U:U=B575)),0),
    IFERROR(MAX(FILTER('REGISTRO PROD. v1'!AN:AN,'REGISTRO PROD. v1'!AL:AL=B575)"&amp;"),0),
    IFERROR(MAX(FILTER('REGISTRO PROD. v1'!BE:BE,'REGISTRO PROD. v1'!BC:BC=B575)),0),
    IFERROR(MAX(FILTER('REGISTRO PROD. v1'!BV:BV,'REGISTRO PROD. v1'!BT:BT=B575)),0)
  )=0,
  ""NO"",
  IF(
    MAX(
      IFERROR(MAX(FILTER('REGISTRO PROD. v1'!F"&amp;":F,'REGISTRO PROD. v1'!D:D=B575)),0),
      IFERROR(MAX(FILTER('REGISTRO PROD. v1'!W:W,'REGISTRO PROD. v1'!U:U=B575)),0),
      IFERROR(MAX(FILTER('REGISTRO PROD. v1'!AN:AN,'REGISTRO PROD. v1'!AL:AL=B575)),0),
      IFERROR(MAX(FILTER('REGISTRO PROD. v1'!"&amp;"BE:BE,'REGISTRO PROD. v1'!BC:BC=B575)),0),
      IFERROR(MAX(FILTER('REGISTRO PROD. v1'!BV:BV,'REGISTRO PROD. v1'!BT:BT=B575)),0)
    )&gt;=F575,
    ""SI"",
    ""EN PROCESO""
  )
)
"),"NO")</f>
        <v>NO</v>
      </c>
      <c r="F575" s="132" t="s">
        <v>65</v>
      </c>
    </row>
    <row r="576" spans="2:6" ht="15" x14ac:dyDescent="0.25">
      <c r="B576" s="131">
        <v>573</v>
      </c>
      <c r="C576" s="131">
        <v>2015</v>
      </c>
      <c r="D576" s="131" t="s">
        <v>103</v>
      </c>
      <c r="E576" s="131" t="str">
        <f ca="1">IFERROR(__xludf.DUMMYFUNCTION("IF(
  MAX(
    IFERROR(MAX(FILTER('REGISTRO PROD. v1'!F:F,'REGISTRO PROD. v1'!D:D=B576)),0),
    IFERROR(MAX(FILTER('REGISTRO PROD. v1'!W:W,'REGISTRO PROD. v1'!U:U=B576)),0),
    IFERROR(MAX(FILTER('REGISTRO PROD. v1'!AN:AN,'REGISTRO PROD. v1'!AL:AL=B576)"&amp;"),0),
    IFERROR(MAX(FILTER('REGISTRO PROD. v1'!BE:BE,'REGISTRO PROD. v1'!BC:BC=B576)),0),
    IFERROR(MAX(FILTER('REGISTRO PROD. v1'!BV:BV,'REGISTRO PROD. v1'!BT:BT=B576)),0)
  )=0,
  ""NO"",
  IF(
    MAX(
      IFERROR(MAX(FILTER('REGISTRO PROD. v1'!F"&amp;":F,'REGISTRO PROD. v1'!D:D=B576)),0),
      IFERROR(MAX(FILTER('REGISTRO PROD. v1'!W:W,'REGISTRO PROD. v1'!U:U=B576)),0),
      IFERROR(MAX(FILTER('REGISTRO PROD. v1'!AN:AN,'REGISTRO PROD. v1'!AL:AL=B576)),0),
      IFERROR(MAX(FILTER('REGISTRO PROD. v1'!"&amp;"BE:BE,'REGISTRO PROD. v1'!BC:BC=B576)),0),
      IFERROR(MAX(FILTER('REGISTRO PROD. v1'!BV:BV,'REGISTRO PROD. v1'!BT:BT=B576)),0)
    )&gt;=F576,
    ""SI"",
    ""EN PROCESO""
  )
)
"),"NO")</f>
        <v>NO</v>
      </c>
      <c r="F576" s="132" t="s">
        <v>65</v>
      </c>
    </row>
    <row r="577" spans="2:6" ht="15" x14ac:dyDescent="0.25">
      <c r="B577" s="131">
        <v>574</v>
      </c>
      <c r="C577" s="131">
        <v>2015</v>
      </c>
      <c r="D577" s="131" t="s">
        <v>104</v>
      </c>
      <c r="E577" s="131" t="str">
        <f ca="1">IFERROR(__xludf.DUMMYFUNCTION("IF(
  MAX(
    IFERROR(MAX(FILTER('REGISTRO PROD. v1'!F:F,'REGISTRO PROD. v1'!D:D=B577)),0),
    IFERROR(MAX(FILTER('REGISTRO PROD. v1'!W:W,'REGISTRO PROD. v1'!U:U=B577)),0),
    IFERROR(MAX(FILTER('REGISTRO PROD. v1'!AN:AN,'REGISTRO PROD. v1'!AL:AL=B577)"&amp;"),0),
    IFERROR(MAX(FILTER('REGISTRO PROD. v1'!BE:BE,'REGISTRO PROD. v1'!BC:BC=B577)),0),
    IFERROR(MAX(FILTER('REGISTRO PROD. v1'!BV:BV,'REGISTRO PROD. v1'!BT:BT=B577)),0)
  )=0,
  ""NO"",
  IF(
    MAX(
      IFERROR(MAX(FILTER('REGISTRO PROD. v1'!F"&amp;":F,'REGISTRO PROD. v1'!D:D=B577)),0),
      IFERROR(MAX(FILTER('REGISTRO PROD. v1'!W:W,'REGISTRO PROD. v1'!U:U=B577)),0),
      IFERROR(MAX(FILTER('REGISTRO PROD. v1'!AN:AN,'REGISTRO PROD. v1'!AL:AL=B577)),0),
      IFERROR(MAX(FILTER('REGISTRO PROD. v1'!"&amp;"BE:BE,'REGISTRO PROD. v1'!BC:BC=B577)),0),
      IFERROR(MAX(FILTER('REGISTRO PROD. v1'!BV:BV,'REGISTRO PROD. v1'!BT:BT=B577)),0)
    )&gt;=F577,
    ""SI"",
    ""EN PROCESO""
  )
)
"),"NO")</f>
        <v>NO</v>
      </c>
      <c r="F577" s="132" t="s">
        <v>65</v>
      </c>
    </row>
    <row r="578" spans="2:6" ht="15" x14ac:dyDescent="0.25">
      <c r="B578" s="131">
        <v>575</v>
      </c>
      <c r="C578" s="131">
        <v>2015</v>
      </c>
      <c r="D578" s="131" t="s">
        <v>105</v>
      </c>
      <c r="E578" s="131" t="str">
        <f ca="1">IFERROR(__xludf.DUMMYFUNCTION("IF(
  MAX(
    IFERROR(MAX(FILTER('REGISTRO PROD. v1'!F:F,'REGISTRO PROD. v1'!D:D=B578)),0),
    IFERROR(MAX(FILTER('REGISTRO PROD. v1'!W:W,'REGISTRO PROD. v1'!U:U=B578)),0),
    IFERROR(MAX(FILTER('REGISTRO PROD. v1'!AN:AN,'REGISTRO PROD. v1'!AL:AL=B578)"&amp;"),0),
    IFERROR(MAX(FILTER('REGISTRO PROD. v1'!BE:BE,'REGISTRO PROD. v1'!BC:BC=B578)),0),
    IFERROR(MAX(FILTER('REGISTRO PROD. v1'!BV:BV,'REGISTRO PROD. v1'!BT:BT=B578)),0)
  )=0,
  ""NO"",
  IF(
    MAX(
      IFERROR(MAX(FILTER('REGISTRO PROD. v1'!F"&amp;":F,'REGISTRO PROD. v1'!D:D=B578)),0),
      IFERROR(MAX(FILTER('REGISTRO PROD. v1'!W:W,'REGISTRO PROD. v1'!U:U=B578)),0),
      IFERROR(MAX(FILTER('REGISTRO PROD. v1'!AN:AN,'REGISTRO PROD. v1'!AL:AL=B578)),0),
      IFERROR(MAX(FILTER('REGISTRO PROD. v1'!"&amp;"BE:BE,'REGISTRO PROD. v1'!BC:BC=B578)),0),
      IFERROR(MAX(FILTER('REGISTRO PROD. v1'!BV:BV,'REGISTRO PROD. v1'!BT:BT=B578)),0)
    )&gt;=F578,
    ""SI"",
    ""EN PROCESO""
  )
)
"),"NO")</f>
        <v>NO</v>
      </c>
      <c r="F578" s="132" t="s">
        <v>65</v>
      </c>
    </row>
    <row r="579" spans="2:6" ht="15" x14ac:dyDescent="0.25">
      <c r="B579" s="131">
        <v>576</v>
      </c>
      <c r="C579" s="131">
        <v>2015</v>
      </c>
      <c r="D579" s="131" t="s">
        <v>106</v>
      </c>
      <c r="E579" s="131" t="str">
        <f ca="1">IFERROR(__xludf.DUMMYFUNCTION("IF(
  MAX(
    IFERROR(MAX(FILTER('REGISTRO PROD. v1'!F:F,'REGISTRO PROD. v1'!D:D=B579)),0),
    IFERROR(MAX(FILTER('REGISTRO PROD. v1'!W:W,'REGISTRO PROD. v1'!U:U=B579)),0),
    IFERROR(MAX(FILTER('REGISTRO PROD. v1'!AN:AN,'REGISTRO PROD. v1'!AL:AL=B579)"&amp;"),0),
    IFERROR(MAX(FILTER('REGISTRO PROD. v1'!BE:BE,'REGISTRO PROD. v1'!BC:BC=B579)),0),
    IFERROR(MAX(FILTER('REGISTRO PROD. v1'!BV:BV,'REGISTRO PROD. v1'!BT:BT=B579)),0)
  )=0,
  ""NO"",
  IF(
    MAX(
      IFERROR(MAX(FILTER('REGISTRO PROD. v1'!F"&amp;":F,'REGISTRO PROD. v1'!D:D=B579)),0),
      IFERROR(MAX(FILTER('REGISTRO PROD. v1'!W:W,'REGISTRO PROD. v1'!U:U=B579)),0),
      IFERROR(MAX(FILTER('REGISTRO PROD. v1'!AN:AN,'REGISTRO PROD. v1'!AL:AL=B579)),0),
      IFERROR(MAX(FILTER('REGISTRO PROD. v1'!"&amp;"BE:BE,'REGISTRO PROD. v1'!BC:BC=B579)),0),
      IFERROR(MAX(FILTER('REGISTRO PROD. v1'!BV:BV,'REGISTRO PROD. v1'!BT:BT=B579)),0)
    )&gt;=F579,
    ""SI"",
    ""EN PROCESO""
  )
)
"),"NO")</f>
        <v>NO</v>
      </c>
      <c r="F579" s="132" t="s">
        <v>65</v>
      </c>
    </row>
    <row r="580" spans="2:6" ht="15" x14ac:dyDescent="0.25">
      <c r="B580" s="131">
        <v>577</v>
      </c>
      <c r="C580" s="131">
        <v>2015</v>
      </c>
      <c r="D580" s="131" t="s">
        <v>107</v>
      </c>
      <c r="E580" s="131" t="str">
        <f ca="1">IFERROR(__xludf.DUMMYFUNCTION("IF(
  MAX(
    IFERROR(MAX(FILTER('REGISTRO PROD. v1'!F:F,'REGISTRO PROD. v1'!D:D=B580)),0),
    IFERROR(MAX(FILTER('REGISTRO PROD. v1'!W:W,'REGISTRO PROD. v1'!U:U=B580)),0),
    IFERROR(MAX(FILTER('REGISTRO PROD. v1'!AN:AN,'REGISTRO PROD. v1'!AL:AL=B580)"&amp;"),0),
    IFERROR(MAX(FILTER('REGISTRO PROD. v1'!BE:BE,'REGISTRO PROD. v1'!BC:BC=B580)),0),
    IFERROR(MAX(FILTER('REGISTRO PROD. v1'!BV:BV,'REGISTRO PROD. v1'!BT:BT=B580)),0)
  )=0,
  ""NO"",
  IF(
    MAX(
      IFERROR(MAX(FILTER('REGISTRO PROD. v1'!F"&amp;":F,'REGISTRO PROD. v1'!D:D=B580)),0),
      IFERROR(MAX(FILTER('REGISTRO PROD. v1'!W:W,'REGISTRO PROD. v1'!U:U=B580)),0),
      IFERROR(MAX(FILTER('REGISTRO PROD. v1'!AN:AN,'REGISTRO PROD. v1'!AL:AL=B580)),0),
      IFERROR(MAX(FILTER('REGISTRO PROD. v1'!"&amp;"BE:BE,'REGISTRO PROD. v1'!BC:BC=B580)),0),
      IFERROR(MAX(FILTER('REGISTRO PROD. v1'!BV:BV,'REGISTRO PROD. v1'!BT:BT=B580)),0)
    )&gt;=F580,
    ""SI"",
    ""EN PROCESO""
  )
)
"),"NO")</f>
        <v>NO</v>
      </c>
      <c r="F580" s="132" t="s">
        <v>65</v>
      </c>
    </row>
    <row r="581" spans="2:6" ht="15" x14ac:dyDescent="0.25">
      <c r="B581" s="131">
        <v>578</v>
      </c>
      <c r="C581" s="131">
        <v>2015</v>
      </c>
      <c r="D581" s="131" t="s">
        <v>108</v>
      </c>
      <c r="E581" s="131" t="str">
        <f ca="1">IFERROR(__xludf.DUMMYFUNCTION("IF(
  MAX(
    IFERROR(MAX(FILTER('REGISTRO PROD. v1'!F:F,'REGISTRO PROD. v1'!D:D=B581)),0),
    IFERROR(MAX(FILTER('REGISTRO PROD. v1'!W:W,'REGISTRO PROD. v1'!U:U=B581)),0),
    IFERROR(MAX(FILTER('REGISTRO PROD. v1'!AN:AN,'REGISTRO PROD. v1'!AL:AL=B581)"&amp;"),0),
    IFERROR(MAX(FILTER('REGISTRO PROD. v1'!BE:BE,'REGISTRO PROD. v1'!BC:BC=B581)),0),
    IFERROR(MAX(FILTER('REGISTRO PROD. v1'!BV:BV,'REGISTRO PROD. v1'!BT:BT=B581)),0)
  )=0,
  ""NO"",
  IF(
    MAX(
      IFERROR(MAX(FILTER('REGISTRO PROD. v1'!F"&amp;":F,'REGISTRO PROD. v1'!D:D=B581)),0),
      IFERROR(MAX(FILTER('REGISTRO PROD. v1'!W:W,'REGISTRO PROD. v1'!U:U=B581)),0),
      IFERROR(MAX(FILTER('REGISTRO PROD. v1'!AN:AN,'REGISTRO PROD. v1'!AL:AL=B581)),0),
      IFERROR(MAX(FILTER('REGISTRO PROD. v1'!"&amp;"BE:BE,'REGISTRO PROD. v1'!BC:BC=B581)),0),
      IFERROR(MAX(FILTER('REGISTRO PROD. v1'!BV:BV,'REGISTRO PROD. v1'!BT:BT=B581)),0)
    )&gt;=F581,
    ""SI"",
    ""EN PROCESO""
  )
)
"),"NO")</f>
        <v>NO</v>
      </c>
      <c r="F581" s="132" t="s">
        <v>65</v>
      </c>
    </row>
    <row r="582" spans="2:6" ht="15" x14ac:dyDescent="0.25">
      <c r="B582" s="131">
        <v>579</v>
      </c>
      <c r="C582" s="131">
        <v>2015</v>
      </c>
      <c r="D582" s="131" t="s">
        <v>109</v>
      </c>
      <c r="E582" s="131" t="str">
        <f ca="1">IFERROR(__xludf.DUMMYFUNCTION("IF(
  MAX(
    IFERROR(MAX(FILTER('REGISTRO PROD. v1'!F:F,'REGISTRO PROD. v1'!D:D=B582)),0),
    IFERROR(MAX(FILTER('REGISTRO PROD. v1'!W:W,'REGISTRO PROD. v1'!U:U=B582)),0),
    IFERROR(MAX(FILTER('REGISTRO PROD. v1'!AN:AN,'REGISTRO PROD. v1'!AL:AL=B582)"&amp;"),0),
    IFERROR(MAX(FILTER('REGISTRO PROD. v1'!BE:BE,'REGISTRO PROD. v1'!BC:BC=B582)),0),
    IFERROR(MAX(FILTER('REGISTRO PROD. v1'!BV:BV,'REGISTRO PROD. v1'!BT:BT=B582)),0)
  )=0,
  ""NO"",
  IF(
    MAX(
      IFERROR(MAX(FILTER('REGISTRO PROD. v1'!F"&amp;":F,'REGISTRO PROD. v1'!D:D=B582)),0),
      IFERROR(MAX(FILTER('REGISTRO PROD. v1'!W:W,'REGISTRO PROD. v1'!U:U=B582)),0),
      IFERROR(MAX(FILTER('REGISTRO PROD. v1'!AN:AN,'REGISTRO PROD. v1'!AL:AL=B582)),0),
      IFERROR(MAX(FILTER('REGISTRO PROD. v1'!"&amp;"BE:BE,'REGISTRO PROD. v1'!BC:BC=B582)),0),
      IFERROR(MAX(FILTER('REGISTRO PROD. v1'!BV:BV,'REGISTRO PROD. v1'!BT:BT=B582)),0)
    )&gt;=F582,
    ""SI"",
    ""EN PROCESO""
  )
)
"),"NO")</f>
        <v>NO</v>
      </c>
      <c r="F582" s="132" t="s">
        <v>65</v>
      </c>
    </row>
    <row r="583" spans="2:6" ht="15" x14ac:dyDescent="0.25">
      <c r="B583" s="131">
        <v>580</v>
      </c>
      <c r="C583" s="131">
        <v>2015</v>
      </c>
      <c r="D583" s="131" t="s">
        <v>110</v>
      </c>
      <c r="E583" s="131" t="str">
        <f ca="1">IFERROR(__xludf.DUMMYFUNCTION("IF(
  MAX(
    IFERROR(MAX(FILTER('REGISTRO PROD. v1'!F:F,'REGISTRO PROD. v1'!D:D=B583)),0),
    IFERROR(MAX(FILTER('REGISTRO PROD. v1'!W:W,'REGISTRO PROD. v1'!U:U=B583)),0),
    IFERROR(MAX(FILTER('REGISTRO PROD. v1'!AN:AN,'REGISTRO PROD. v1'!AL:AL=B583)"&amp;"),0),
    IFERROR(MAX(FILTER('REGISTRO PROD. v1'!BE:BE,'REGISTRO PROD. v1'!BC:BC=B583)),0),
    IFERROR(MAX(FILTER('REGISTRO PROD. v1'!BV:BV,'REGISTRO PROD. v1'!BT:BT=B583)),0)
  )=0,
  ""NO"",
  IF(
    MAX(
      IFERROR(MAX(FILTER('REGISTRO PROD. v1'!F"&amp;":F,'REGISTRO PROD. v1'!D:D=B583)),0),
      IFERROR(MAX(FILTER('REGISTRO PROD. v1'!W:W,'REGISTRO PROD. v1'!U:U=B583)),0),
      IFERROR(MAX(FILTER('REGISTRO PROD. v1'!AN:AN,'REGISTRO PROD. v1'!AL:AL=B583)),0),
      IFERROR(MAX(FILTER('REGISTRO PROD. v1'!"&amp;"BE:BE,'REGISTRO PROD. v1'!BC:BC=B583)),0),
      IFERROR(MAX(FILTER('REGISTRO PROD. v1'!BV:BV,'REGISTRO PROD. v1'!BT:BT=B583)),0)
    )&gt;=F583,
    ""SI"",
    ""EN PROCESO""
  )
)
"),"NO")</f>
        <v>NO</v>
      </c>
      <c r="F583" s="132" t="s">
        <v>65</v>
      </c>
    </row>
    <row r="584" spans="2:6" ht="15" x14ac:dyDescent="0.25">
      <c r="B584" s="131">
        <v>581</v>
      </c>
      <c r="C584" s="131">
        <v>2015</v>
      </c>
      <c r="D584" s="131" t="s">
        <v>111</v>
      </c>
      <c r="E584" s="131" t="str">
        <f ca="1">IFERROR(__xludf.DUMMYFUNCTION("IF(
  MAX(
    IFERROR(MAX(FILTER('REGISTRO PROD. v1'!F:F,'REGISTRO PROD. v1'!D:D=B584)),0),
    IFERROR(MAX(FILTER('REGISTRO PROD. v1'!W:W,'REGISTRO PROD. v1'!U:U=B584)),0),
    IFERROR(MAX(FILTER('REGISTRO PROD. v1'!AN:AN,'REGISTRO PROD. v1'!AL:AL=B584)"&amp;"),0),
    IFERROR(MAX(FILTER('REGISTRO PROD. v1'!BE:BE,'REGISTRO PROD. v1'!BC:BC=B584)),0),
    IFERROR(MAX(FILTER('REGISTRO PROD. v1'!BV:BV,'REGISTRO PROD. v1'!BT:BT=B584)),0)
  )=0,
  ""NO"",
  IF(
    MAX(
      IFERROR(MAX(FILTER('REGISTRO PROD. v1'!F"&amp;":F,'REGISTRO PROD. v1'!D:D=B584)),0),
      IFERROR(MAX(FILTER('REGISTRO PROD. v1'!W:W,'REGISTRO PROD. v1'!U:U=B584)),0),
      IFERROR(MAX(FILTER('REGISTRO PROD. v1'!AN:AN,'REGISTRO PROD. v1'!AL:AL=B584)),0),
      IFERROR(MAX(FILTER('REGISTRO PROD. v1'!"&amp;"BE:BE,'REGISTRO PROD. v1'!BC:BC=B584)),0),
      IFERROR(MAX(FILTER('REGISTRO PROD. v1'!BV:BV,'REGISTRO PROD. v1'!BT:BT=B584)),0)
    )&gt;=F584,
    ""SI"",
    ""EN PROCESO""
  )
)
"),"NO")</f>
        <v>NO</v>
      </c>
      <c r="F584" s="132" t="s">
        <v>65</v>
      </c>
    </row>
    <row r="585" spans="2:6" ht="15" x14ac:dyDescent="0.25">
      <c r="B585" s="131">
        <v>582</v>
      </c>
      <c r="C585" s="131">
        <v>2015</v>
      </c>
      <c r="D585" s="131" t="s">
        <v>112</v>
      </c>
      <c r="E585" s="131" t="str">
        <f ca="1">IFERROR(__xludf.DUMMYFUNCTION("IF(
  MAX(
    IFERROR(MAX(FILTER('REGISTRO PROD. v1'!F:F,'REGISTRO PROD. v1'!D:D=B585)),0),
    IFERROR(MAX(FILTER('REGISTRO PROD. v1'!W:W,'REGISTRO PROD. v1'!U:U=B585)),0),
    IFERROR(MAX(FILTER('REGISTRO PROD. v1'!AN:AN,'REGISTRO PROD. v1'!AL:AL=B585)"&amp;"),0),
    IFERROR(MAX(FILTER('REGISTRO PROD. v1'!BE:BE,'REGISTRO PROD. v1'!BC:BC=B585)),0),
    IFERROR(MAX(FILTER('REGISTRO PROD. v1'!BV:BV,'REGISTRO PROD. v1'!BT:BT=B585)),0)
  )=0,
  ""NO"",
  IF(
    MAX(
      IFERROR(MAX(FILTER('REGISTRO PROD. v1'!F"&amp;":F,'REGISTRO PROD. v1'!D:D=B585)),0),
      IFERROR(MAX(FILTER('REGISTRO PROD. v1'!W:W,'REGISTRO PROD. v1'!U:U=B585)),0),
      IFERROR(MAX(FILTER('REGISTRO PROD. v1'!AN:AN,'REGISTRO PROD. v1'!AL:AL=B585)),0),
      IFERROR(MAX(FILTER('REGISTRO PROD. v1'!"&amp;"BE:BE,'REGISTRO PROD. v1'!BC:BC=B585)),0),
      IFERROR(MAX(FILTER('REGISTRO PROD. v1'!BV:BV,'REGISTRO PROD. v1'!BT:BT=B585)),0)
    )&gt;=F585,
    ""SI"",
    ""EN PROCESO""
  )
)
"),"NO")</f>
        <v>NO</v>
      </c>
      <c r="F585" s="132" t="s">
        <v>65</v>
      </c>
    </row>
    <row r="586" spans="2:6" ht="15" x14ac:dyDescent="0.25">
      <c r="B586" s="131">
        <v>583</v>
      </c>
      <c r="C586" s="131">
        <v>2015</v>
      </c>
      <c r="D586" s="131" t="s">
        <v>113</v>
      </c>
      <c r="E586" s="131" t="str">
        <f ca="1">IFERROR(__xludf.DUMMYFUNCTION("IF(
  MAX(
    IFERROR(MAX(FILTER('REGISTRO PROD. v1'!F:F,'REGISTRO PROD. v1'!D:D=B586)),0),
    IFERROR(MAX(FILTER('REGISTRO PROD. v1'!W:W,'REGISTRO PROD. v1'!U:U=B586)),0),
    IFERROR(MAX(FILTER('REGISTRO PROD. v1'!AN:AN,'REGISTRO PROD. v1'!AL:AL=B586)"&amp;"),0),
    IFERROR(MAX(FILTER('REGISTRO PROD. v1'!BE:BE,'REGISTRO PROD. v1'!BC:BC=B586)),0),
    IFERROR(MAX(FILTER('REGISTRO PROD. v1'!BV:BV,'REGISTRO PROD. v1'!BT:BT=B586)),0)
  )=0,
  ""NO"",
  IF(
    MAX(
      IFERROR(MAX(FILTER('REGISTRO PROD. v1'!F"&amp;":F,'REGISTRO PROD. v1'!D:D=B586)),0),
      IFERROR(MAX(FILTER('REGISTRO PROD. v1'!W:W,'REGISTRO PROD. v1'!U:U=B586)),0),
      IFERROR(MAX(FILTER('REGISTRO PROD. v1'!AN:AN,'REGISTRO PROD. v1'!AL:AL=B586)),0),
      IFERROR(MAX(FILTER('REGISTRO PROD. v1'!"&amp;"BE:BE,'REGISTRO PROD. v1'!BC:BC=B586)),0),
      IFERROR(MAX(FILTER('REGISTRO PROD. v1'!BV:BV,'REGISTRO PROD. v1'!BT:BT=B586)),0)
    )&gt;=F586,
    ""SI"",
    ""EN PROCESO""
  )
)
"),"NO")</f>
        <v>NO</v>
      </c>
      <c r="F586" s="132" t="s">
        <v>65</v>
      </c>
    </row>
    <row r="587" spans="2:6" ht="15" x14ac:dyDescent="0.25">
      <c r="B587" s="131">
        <v>584</v>
      </c>
      <c r="C587" s="131">
        <v>2015</v>
      </c>
      <c r="D587" s="131" t="s">
        <v>114</v>
      </c>
      <c r="E587" s="131" t="str">
        <f ca="1">IFERROR(__xludf.DUMMYFUNCTION("IF(
  MAX(
    IFERROR(MAX(FILTER('REGISTRO PROD. v1'!F:F,'REGISTRO PROD. v1'!D:D=B587)),0),
    IFERROR(MAX(FILTER('REGISTRO PROD. v1'!W:W,'REGISTRO PROD. v1'!U:U=B587)),0),
    IFERROR(MAX(FILTER('REGISTRO PROD. v1'!AN:AN,'REGISTRO PROD. v1'!AL:AL=B587)"&amp;"),0),
    IFERROR(MAX(FILTER('REGISTRO PROD. v1'!BE:BE,'REGISTRO PROD. v1'!BC:BC=B587)),0),
    IFERROR(MAX(FILTER('REGISTRO PROD. v1'!BV:BV,'REGISTRO PROD. v1'!BT:BT=B587)),0)
  )=0,
  ""NO"",
  IF(
    MAX(
      IFERROR(MAX(FILTER('REGISTRO PROD. v1'!F"&amp;":F,'REGISTRO PROD. v1'!D:D=B587)),0),
      IFERROR(MAX(FILTER('REGISTRO PROD. v1'!W:W,'REGISTRO PROD. v1'!U:U=B587)),0),
      IFERROR(MAX(FILTER('REGISTRO PROD. v1'!AN:AN,'REGISTRO PROD. v1'!AL:AL=B587)),0),
      IFERROR(MAX(FILTER('REGISTRO PROD. v1'!"&amp;"BE:BE,'REGISTRO PROD. v1'!BC:BC=B587)),0),
      IFERROR(MAX(FILTER('REGISTRO PROD. v1'!BV:BV,'REGISTRO PROD. v1'!BT:BT=B587)),0)
    )&gt;=F587,
    ""SI"",
    ""EN PROCESO""
  )
)
"),"NO")</f>
        <v>NO</v>
      </c>
      <c r="F587" s="132" t="s">
        <v>65</v>
      </c>
    </row>
    <row r="588" spans="2:6" ht="15" x14ac:dyDescent="0.25">
      <c r="B588" s="131">
        <v>585</v>
      </c>
      <c r="C588" s="131">
        <v>2015</v>
      </c>
      <c r="D588" s="131" t="s">
        <v>115</v>
      </c>
      <c r="E588" s="131" t="str">
        <f ca="1">IFERROR(__xludf.DUMMYFUNCTION("IF(
  MAX(
    IFERROR(MAX(FILTER('REGISTRO PROD. v1'!F:F,'REGISTRO PROD. v1'!D:D=B588)),0),
    IFERROR(MAX(FILTER('REGISTRO PROD. v1'!W:W,'REGISTRO PROD. v1'!U:U=B588)),0),
    IFERROR(MAX(FILTER('REGISTRO PROD. v1'!AN:AN,'REGISTRO PROD. v1'!AL:AL=B588)"&amp;"),0),
    IFERROR(MAX(FILTER('REGISTRO PROD. v1'!BE:BE,'REGISTRO PROD. v1'!BC:BC=B588)),0),
    IFERROR(MAX(FILTER('REGISTRO PROD. v1'!BV:BV,'REGISTRO PROD. v1'!BT:BT=B588)),0)
  )=0,
  ""NO"",
  IF(
    MAX(
      IFERROR(MAX(FILTER('REGISTRO PROD. v1'!F"&amp;":F,'REGISTRO PROD. v1'!D:D=B588)),0),
      IFERROR(MAX(FILTER('REGISTRO PROD. v1'!W:W,'REGISTRO PROD. v1'!U:U=B588)),0),
      IFERROR(MAX(FILTER('REGISTRO PROD. v1'!AN:AN,'REGISTRO PROD. v1'!AL:AL=B588)),0),
      IFERROR(MAX(FILTER('REGISTRO PROD. v1'!"&amp;"BE:BE,'REGISTRO PROD. v1'!BC:BC=B588)),0),
      IFERROR(MAX(FILTER('REGISTRO PROD. v1'!BV:BV,'REGISTRO PROD. v1'!BT:BT=B588)),0)
    )&gt;=F588,
    ""SI"",
    ""EN PROCESO""
  )
)
"),"NO")</f>
        <v>NO</v>
      </c>
      <c r="F588" s="132" t="s">
        <v>65</v>
      </c>
    </row>
    <row r="589" spans="2:6" ht="15" x14ac:dyDescent="0.25">
      <c r="B589" s="131">
        <v>586</v>
      </c>
      <c r="C589" s="131">
        <v>2015</v>
      </c>
      <c r="D589" s="131" t="s">
        <v>116</v>
      </c>
      <c r="E589" s="131" t="str">
        <f ca="1">IFERROR(__xludf.DUMMYFUNCTION("IF(
  MAX(
    IFERROR(MAX(FILTER('REGISTRO PROD. v1'!F:F,'REGISTRO PROD. v1'!D:D=B589)),0),
    IFERROR(MAX(FILTER('REGISTRO PROD. v1'!W:W,'REGISTRO PROD. v1'!U:U=B589)),0),
    IFERROR(MAX(FILTER('REGISTRO PROD. v1'!AN:AN,'REGISTRO PROD. v1'!AL:AL=B589)"&amp;"),0),
    IFERROR(MAX(FILTER('REGISTRO PROD. v1'!BE:BE,'REGISTRO PROD. v1'!BC:BC=B589)),0),
    IFERROR(MAX(FILTER('REGISTRO PROD. v1'!BV:BV,'REGISTRO PROD. v1'!BT:BT=B589)),0)
  )=0,
  ""NO"",
  IF(
    MAX(
      IFERROR(MAX(FILTER('REGISTRO PROD. v1'!F"&amp;":F,'REGISTRO PROD. v1'!D:D=B589)),0),
      IFERROR(MAX(FILTER('REGISTRO PROD. v1'!W:W,'REGISTRO PROD. v1'!U:U=B589)),0),
      IFERROR(MAX(FILTER('REGISTRO PROD. v1'!AN:AN,'REGISTRO PROD. v1'!AL:AL=B589)),0),
      IFERROR(MAX(FILTER('REGISTRO PROD. v1'!"&amp;"BE:BE,'REGISTRO PROD. v1'!BC:BC=B589)),0),
      IFERROR(MAX(FILTER('REGISTRO PROD. v1'!BV:BV,'REGISTRO PROD. v1'!BT:BT=B589)),0)
    )&gt;=F589,
    ""SI"",
    ""EN PROCESO""
  )
)
"),"NO")</f>
        <v>NO</v>
      </c>
      <c r="F589" s="132" t="s">
        <v>65</v>
      </c>
    </row>
    <row r="590" spans="2:6" ht="15" x14ac:dyDescent="0.25">
      <c r="B590" s="131">
        <v>587</v>
      </c>
      <c r="C590" s="131">
        <v>2015</v>
      </c>
      <c r="D590" s="131" t="s">
        <v>117</v>
      </c>
      <c r="E590" s="131" t="str">
        <f ca="1">IFERROR(__xludf.DUMMYFUNCTION("IF(
  MAX(
    IFERROR(MAX(FILTER('REGISTRO PROD. v1'!F:F,'REGISTRO PROD. v1'!D:D=B590)),0),
    IFERROR(MAX(FILTER('REGISTRO PROD. v1'!W:W,'REGISTRO PROD. v1'!U:U=B590)),0),
    IFERROR(MAX(FILTER('REGISTRO PROD. v1'!AN:AN,'REGISTRO PROD. v1'!AL:AL=B590)"&amp;"),0),
    IFERROR(MAX(FILTER('REGISTRO PROD. v1'!BE:BE,'REGISTRO PROD. v1'!BC:BC=B590)),0),
    IFERROR(MAX(FILTER('REGISTRO PROD. v1'!BV:BV,'REGISTRO PROD. v1'!BT:BT=B590)),0)
  )=0,
  ""NO"",
  IF(
    MAX(
      IFERROR(MAX(FILTER('REGISTRO PROD. v1'!F"&amp;":F,'REGISTRO PROD. v1'!D:D=B590)),0),
      IFERROR(MAX(FILTER('REGISTRO PROD. v1'!W:W,'REGISTRO PROD. v1'!U:U=B590)),0),
      IFERROR(MAX(FILTER('REGISTRO PROD. v1'!AN:AN,'REGISTRO PROD. v1'!AL:AL=B590)),0),
      IFERROR(MAX(FILTER('REGISTRO PROD. v1'!"&amp;"BE:BE,'REGISTRO PROD. v1'!BC:BC=B590)),0),
      IFERROR(MAX(FILTER('REGISTRO PROD. v1'!BV:BV,'REGISTRO PROD. v1'!BT:BT=B590)),0)
    )&gt;=F590,
    ""SI"",
    ""EN PROCESO""
  )
)
"),"NO")</f>
        <v>NO</v>
      </c>
      <c r="F590" s="132" t="s">
        <v>65</v>
      </c>
    </row>
    <row r="591" spans="2:6" ht="15" x14ac:dyDescent="0.25">
      <c r="B591" s="131">
        <v>588</v>
      </c>
      <c r="C591" s="131">
        <v>2015</v>
      </c>
      <c r="D591" s="131" t="s">
        <v>118</v>
      </c>
      <c r="E591" s="131" t="str">
        <f ca="1">IFERROR(__xludf.DUMMYFUNCTION("IF(
  MAX(
    IFERROR(MAX(FILTER('REGISTRO PROD. v1'!F:F,'REGISTRO PROD. v1'!D:D=B591)),0),
    IFERROR(MAX(FILTER('REGISTRO PROD. v1'!W:W,'REGISTRO PROD. v1'!U:U=B591)),0),
    IFERROR(MAX(FILTER('REGISTRO PROD. v1'!AN:AN,'REGISTRO PROD. v1'!AL:AL=B591)"&amp;"),0),
    IFERROR(MAX(FILTER('REGISTRO PROD. v1'!BE:BE,'REGISTRO PROD. v1'!BC:BC=B591)),0),
    IFERROR(MAX(FILTER('REGISTRO PROD. v1'!BV:BV,'REGISTRO PROD. v1'!BT:BT=B591)),0)
  )=0,
  ""NO"",
  IF(
    MAX(
      IFERROR(MAX(FILTER('REGISTRO PROD. v1'!F"&amp;":F,'REGISTRO PROD. v1'!D:D=B591)),0),
      IFERROR(MAX(FILTER('REGISTRO PROD. v1'!W:W,'REGISTRO PROD. v1'!U:U=B591)),0),
      IFERROR(MAX(FILTER('REGISTRO PROD. v1'!AN:AN,'REGISTRO PROD. v1'!AL:AL=B591)),0),
      IFERROR(MAX(FILTER('REGISTRO PROD. v1'!"&amp;"BE:BE,'REGISTRO PROD. v1'!BC:BC=B591)),0),
      IFERROR(MAX(FILTER('REGISTRO PROD. v1'!BV:BV,'REGISTRO PROD. v1'!BT:BT=B591)),0)
    )&gt;=F591,
    ""SI"",
    ""EN PROCESO""
  )
)
"),"NO")</f>
        <v>NO</v>
      </c>
      <c r="F591" s="132" t="s">
        <v>65</v>
      </c>
    </row>
    <row r="592" spans="2:6" ht="15" x14ac:dyDescent="0.25">
      <c r="B592" s="131">
        <v>589</v>
      </c>
      <c r="C592" s="131">
        <v>2015</v>
      </c>
      <c r="D592" s="131" t="s">
        <v>119</v>
      </c>
      <c r="E592" s="131" t="str">
        <f ca="1">IFERROR(__xludf.DUMMYFUNCTION("IF(
  MAX(
    IFERROR(MAX(FILTER('REGISTRO PROD. v1'!F:F,'REGISTRO PROD. v1'!D:D=B592)),0),
    IFERROR(MAX(FILTER('REGISTRO PROD. v1'!W:W,'REGISTRO PROD. v1'!U:U=B592)),0),
    IFERROR(MAX(FILTER('REGISTRO PROD. v1'!AN:AN,'REGISTRO PROD. v1'!AL:AL=B592)"&amp;"),0),
    IFERROR(MAX(FILTER('REGISTRO PROD. v1'!BE:BE,'REGISTRO PROD. v1'!BC:BC=B592)),0),
    IFERROR(MAX(FILTER('REGISTRO PROD. v1'!BV:BV,'REGISTRO PROD. v1'!BT:BT=B592)),0)
  )=0,
  ""NO"",
  IF(
    MAX(
      IFERROR(MAX(FILTER('REGISTRO PROD. v1'!F"&amp;":F,'REGISTRO PROD. v1'!D:D=B592)),0),
      IFERROR(MAX(FILTER('REGISTRO PROD. v1'!W:W,'REGISTRO PROD. v1'!U:U=B592)),0),
      IFERROR(MAX(FILTER('REGISTRO PROD. v1'!AN:AN,'REGISTRO PROD. v1'!AL:AL=B592)),0),
      IFERROR(MAX(FILTER('REGISTRO PROD. v1'!"&amp;"BE:BE,'REGISTRO PROD. v1'!BC:BC=B592)),0),
      IFERROR(MAX(FILTER('REGISTRO PROD. v1'!BV:BV,'REGISTRO PROD. v1'!BT:BT=B592)),0)
    )&gt;=F592,
    ""SI"",
    ""EN PROCESO""
  )
)
"),"NO")</f>
        <v>NO</v>
      </c>
      <c r="F592" s="132" t="s">
        <v>65</v>
      </c>
    </row>
    <row r="593" spans="2:6" ht="15" x14ac:dyDescent="0.25">
      <c r="B593" s="131">
        <v>590</v>
      </c>
      <c r="C593" s="131">
        <v>2015</v>
      </c>
      <c r="D593" s="131" t="s">
        <v>121</v>
      </c>
      <c r="E593" s="131" t="str">
        <f ca="1">IFERROR(__xludf.DUMMYFUNCTION("IF(
  MAX(
    IFERROR(MAX(FILTER('REGISTRO PROD. v1'!F:F,'REGISTRO PROD. v1'!D:D=B593)),0),
    IFERROR(MAX(FILTER('REGISTRO PROD. v1'!W:W,'REGISTRO PROD. v1'!U:U=B593)),0),
    IFERROR(MAX(FILTER('REGISTRO PROD. v1'!AN:AN,'REGISTRO PROD. v1'!AL:AL=B593)"&amp;"),0),
    IFERROR(MAX(FILTER('REGISTRO PROD. v1'!BE:BE,'REGISTRO PROD. v1'!BC:BC=B593)),0),
    IFERROR(MAX(FILTER('REGISTRO PROD. v1'!BV:BV,'REGISTRO PROD. v1'!BT:BT=B593)),0)
  )=0,
  ""NO"",
  IF(
    MAX(
      IFERROR(MAX(FILTER('REGISTRO PROD. v1'!F"&amp;":F,'REGISTRO PROD. v1'!D:D=B593)),0),
      IFERROR(MAX(FILTER('REGISTRO PROD. v1'!W:W,'REGISTRO PROD. v1'!U:U=B593)),0),
      IFERROR(MAX(FILTER('REGISTRO PROD. v1'!AN:AN,'REGISTRO PROD. v1'!AL:AL=B593)),0),
      IFERROR(MAX(FILTER('REGISTRO PROD. v1'!"&amp;"BE:BE,'REGISTRO PROD. v1'!BC:BC=B593)),0),
      IFERROR(MAX(FILTER('REGISTRO PROD. v1'!BV:BV,'REGISTRO PROD. v1'!BT:BT=B593)),0)
    )&gt;=F593,
    ""SI"",
    ""EN PROCESO""
  )
)
"),"NO")</f>
        <v>NO</v>
      </c>
      <c r="F593" s="132" t="s">
        <v>65</v>
      </c>
    </row>
    <row r="594" spans="2:6" ht="15" x14ac:dyDescent="0.25">
      <c r="B594" s="131">
        <v>591</v>
      </c>
      <c r="C594" s="131">
        <v>2015</v>
      </c>
      <c r="D594" s="131" t="s">
        <v>122</v>
      </c>
      <c r="E594" s="131" t="str">
        <f ca="1">IFERROR(__xludf.DUMMYFUNCTION("IF(
  MAX(
    IFERROR(MAX(FILTER('REGISTRO PROD. v1'!F:F,'REGISTRO PROD. v1'!D:D=B594)),0),
    IFERROR(MAX(FILTER('REGISTRO PROD. v1'!W:W,'REGISTRO PROD. v1'!U:U=B594)),0),
    IFERROR(MAX(FILTER('REGISTRO PROD. v1'!AN:AN,'REGISTRO PROD. v1'!AL:AL=B594)"&amp;"),0),
    IFERROR(MAX(FILTER('REGISTRO PROD. v1'!BE:BE,'REGISTRO PROD. v1'!BC:BC=B594)),0),
    IFERROR(MAX(FILTER('REGISTRO PROD. v1'!BV:BV,'REGISTRO PROD. v1'!BT:BT=B594)),0)
  )=0,
  ""NO"",
  IF(
    MAX(
      IFERROR(MAX(FILTER('REGISTRO PROD. v1'!F"&amp;":F,'REGISTRO PROD. v1'!D:D=B594)),0),
      IFERROR(MAX(FILTER('REGISTRO PROD. v1'!W:W,'REGISTRO PROD. v1'!U:U=B594)),0),
      IFERROR(MAX(FILTER('REGISTRO PROD. v1'!AN:AN,'REGISTRO PROD. v1'!AL:AL=B594)),0),
      IFERROR(MAX(FILTER('REGISTRO PROD. v1'!"&amp;"BE:BE,'REGISTRO PROD. v1'!BC:BC=B594)),0),
      IFERROR(MAX(FILTER('REGISTRO PROD. v1'!BV:BV,'REGISTRO PROD. v1'!BT:BT=B594)),0)
    )&gt;=F594,
    ""SI"",
    ""EN PROCESO""
  )
)
"),"NO")</f>
        <v>NO</v>
      </c>
      <c r="F594" s="132" t="s">
        <v>65</v>
      </c>
    </row>
    <row r="595" spans="2:6" ht="15" x14ac:dyDescent="0.25">
      <c r="B595" s="131">
        <v>592</v>
      </c>
      <c r="C595" s="131">
        <v>2015</v>
      </c>
      <c r="D595" s="131" t="s">
        <v>123</v>
      </c>
      <c r="E595" s="131" t="str">
        <f ca="1">IFERROR(__xludf.DUMMYFUNCTION("IF(
  MAX(
    IFERROR(MAX(FILTER('REGISTRO PROD. v1'!F:F,'REGISTRO PROD. v1'!D:D=B595)),0),
    IFERROR(MAX(FILTER('REGISTRO PROD. v1'!W:W,'REGISTRO PROD. v1'!U:U=B595)),0),
    IFERROR(MAX(FILTER('REGISTRO PROD. v1'!AN:AN,'REGISTRO PROD. v1'!AL:AL=B595)"&amp;"),0),
    IFERROR(MAX(FILTER('REGISTRO PROD. v1'!BE:BE,'REGISTRO PROD. v1'!BC:BC=B595)),0),
    IFERROR(MAX(FILTER('REGISTRO PROD. v1'!BV:BV,'REGISTRO PROD. v1'!BT:BT=B595)),0)
  )=0,
  ""NO"",
  IF(
    MAX(
      IFERROR(MAX(FILTER('REGISTRO PROD. v1'!F"&amp;":F,'REGISTRO PROD. v1'!D:D=B595)),0),
      IFERROR(MAX(FILTER('REGISTRO PROD. v1'!W:W,'REGISTRO PROD. v1'!U:U=B595)),0),
      IFERROR(MAX(FILTER('REGISTRO PROD. v1'!AN:AN,'REGISTRO PROD. v1'!AL:AL=B595)),0),
      IFERROR(MAX(FILTER('REGISTRO PROD. v1'!"&amp;"BE:BE,'REGISTRO PROD. v1'!BC:BC=B595)),0),
      IFERROR(MAX(FILTER('REGISTRO PROD. v1'!BV:BV,'REGISTRO PROD. v1'!BT:BT=B595)),0)
    )&gt;=F595,
    ""SI"",
    ""EN PROCESO""
  )
)
"),"NO")</f>
        <v>NO</v>
      </c>
      <c r="F595" s="132" t="s">
        <v>65</v>
      </c>
    </row>
    <row r="596" spans="2:6" ht="15" x14ac:dyDescent="0.25">
      <c r="B596" s="131">
        <v>593</v>
      </c>
      <c r="C596" s="131">
        <v>2015</v>
      </c>
      <c r="D596" s="131" t="s">
        <v>124</v>
      </c>
      <c r="E596" s="131" t="str">
        <f ca="1">IFERROR(__xludf.DUMMYFUNCTION("IF(
  MAX(
    IFERROR(MAX(FILTER('REGISTRO PROD. v1'!F:F,'REGISTRO PROD. v1'!D:D=B596)),0),
    IFERROR(MAX(FILTER('REGISTRO PROD. v1'!W:W,'REGISTRO PROD. v1'!U:U=B596)),0),
    IFERROR(MAX(FILTER('REGISTRO PROD. v1'!AN:AN,'REGISTRO PROD. v1'!AL:AL=B596)"&amp;"),0),
    IFERROR(MAX(FILTER('REGISTRO PROD. v1'!BE:BE,'REGISTRO PROD. v1'!BC:BC=B596)),0),
    IFERROR(MAX(FILTER('REGISTRO PROD. v1'!BV:BV,'REGISTRO PROD. v1'!BT:BT=B596)),0)
  )=0,
  ""NO"",
  IF(
    MAX(
      IFERROR(MAX(FILTER('REGISTRO PROD. v1'!F"&amp;":F,'REGISTRO PROD. v1'!D:D=B596)),0),
      IFERROR(MAX(FILTER('REGISTRO PROD. v1'!W:W,'REGISTRO PROD. v1'!U:U=B596)),0),
      IFERROR(MAX(FILTER('REGISTRO PROD. v1'!AN:AN,'REGISTRO PROD. v1'!AL:AL=B596)),0),
      IFERROR(MAX(FILTER('REGISTRO PROD. v1'!"&amp;"BE:BE,'REGISTRO PROD. v1'!BC:BC=B596)),0),
      IFERROR(MAX(FILTER('REGISTRO PROD. v1'!BV:BV,'REGISTRO PROD. v1'!BT:BT=B596)),0)
    )&gt;=F596,
    ""SI"",
    ""EN PROCESO""
  )
)
"),"NO")</f>
        <v>NO</v>
      </c>
      <c r="F596" s="132" t="s">
        <v>65</v>
      </c>
    </row>
    <row r="597" spans="2:6" ht="15" x14ac:dyDescent="0.25">
      <c r="B597" s="131">
        <v>594</v>
      </c>
      <c r="C597" s="131">
        <v>2015</v>
      </c>
      <c r="D597" s="131" t="s">
        <v>125</v>
      </c>
      <c r="E597" s="131" t="str">
        <f ca="1">IFERROR(__xludf.DUMMYFUNCTION("IF(
  MAX(
    IFERROR(MAX(FILTER('REGISTRO PROD. v1'!F:F,'REGISTRO PROD. v1'!D:D=B597)),0),
    IFERROR(MAX(FILTER('REGISTRO PROD. v1'!W:W,'REGISTRO PROD. v1'!U:U=B597)),0),
    IFERROR(MAX(FILTER('REGISTRO PROD. v1'!AN:AN,'REGISTRO PROD. v1'!AL:AL=B597)"&amp;"),0),
    IFERROR(MAX(FILTER('REGISTRO PROD. v1'!BE:BE,'REGISTRO PROD. v1'!BC:BC=B597)),0),
    IFERROR(MAX(FILTER('REGISTRO PROD. v1'!BV:BV,'REGISTRO PROD. v1'!BT:BT=B597)),0)
  )=0,
  ""NO"",
  IF(
    MAX(
      IFERROR(MAX(FILTER('REGISTRO PROD. v1'!F"&amp;":F,'REGISTRO PROD. v1'!D:D=B597)),0),
      IFERROR(MAX(FILTER('REGISTRO PROD. v1'!W:W,'REGISTRO PROD. v1'!U:U=B597)),0),
      IFERROR(MAX(FILTER('REGISTRO PROD. v1'!AN:AN,'REGISTRO PROD. v1'!AL:AL=B597)),0),
      IFERROR(MAX(FILTER('REGISTRO PROD. v1'!"&amp;"BE:BE,'REGISTRO PROD. v1'!BC:BC=B597)),0),
      IFERROR(MAX(FILTER('REGISTRO PROD. v1'!BV:BV,'REGISTRO PROD. v1'!BT:BT=B597)),0)
    )&gt;=F597,
    ""SI"",
    ""EN PROCESO""
  )
)
"),"NO")</f>
        <v>NO</v>
      </c>
      <c r="F597" s="132" t="s">
        <v>65</v>
      </c>
    </row>
    <row r="598" spans="2:6" ht="15" x14ac:dyDescent="0.25">
      <c r="B598" s="131">
        <v>595</v>
      </c>
      <c r="C598" s="131">
        <v>2015</v>
      </c>
      <c r="D598" s="131" t="s">
        <v>126</v>
      </c>
      <c r="E598" s="131" t="str">
        <f ca="1">IFERROR(__xludf.DUMMYFUNCTION("IF(
  MAX(
    IFERROR(MAX(FILTER('REGISTRO PROD. v1'!F:F,'REGISTRO PROD. v1'!D:D=B598)),0),
    IFERROR(MAX(FILTER('REGISTRO PROD. v1'!W:W,'REGISTRO PROD. v1'!U:U=B598)),0),
    IFERROR(MAX(FILTER('REGISTRO PROD. v1'!AN:AN,'REGISTRO PROD. v1'!AL:AL=B598)"&amp;"),0),
    IFERROR(MAX(FILTER('REGISTRO PROD. v1'!BE:BE,'REGISTRO PROD. v1'!BC:BC=B598)),0),
    IFERROR(MAX(FILTER('REGISTRO PROD. v1'!BV:BV,'REGISTRO PROD. v1'!BT:BT=B598)),0)
  )=0,
  ""NO"",
  IF(
    MAX(
      IFERROR(MAX(FILTER('REGISTRO PROD. v1'!F"&amp;":F,'REGISTRO PROD. v1'!D:D=B598)),0),
      IFERROR(MAX(FILTER('REGISTRO PROD. v1'!W:W,'REGISTRO PROD. v1'!U:U=B598)),0),
      IFERROR(MAX(FILTER('REGISTRO PROD. v1'!AN:AN,'REGISTRO PROD. v1'!AL:AL=B598)),0),
      IFERROR(MAX(FILTER('REGISTRO PROD. v1'!"&amp;"BE:BE,'REGISTRO PROD. v1'!BC:BC=B598)),0),
      IFERROR(MAX(FILTER('REGISTRO PROD. v1'!BV:BV,'REGISTRO PROD. v1'!BT:BT=B598)),0)
    )&gt;=F598,
    ""SI"",
    ""EN PROCESO""
  )
)
"),"NO")</f>
        <v>NO</v>
      </c>
      <c r="F598" s="132" t="s">
        <v>65</v>
      </c>
    </row>
    <row r="599" spans="2:6" ht="15" x14ac:dyDescent="0.25">
      <c r="B599" s="131">
        <v>596</v>
      </c>
      <c r="C599" s="131">
        <v>2015</v>
      </c>
      <c r="D599" s="131" t="s">
        <v>128</v>
      </c>
      <c r="E599" s="131" t="str">
        <f ca="1">IFERROR(__xludf.DUMMYFUNCTION("IF(
  MAX(
    IFERROR(MAX(FILTER('REGISTRO PROD. v1'!F:F,'REGISTRO PROD. v1'!D:D=B599)),0),
    IFERROR(MAX(FILTER('REGISTRO PROD. v1'!W:W,'REGISTRO PROD. v1'!U:U=B599)),0),
    IFERROR(MAX(FILTER('REGISTRO PROD. v1'!AN:AN,'REGISTRO PROD. v1'!AL:AL=B599)"&amp;"),0),
    IFERROR(MAX(FILTER('REGISTRO PROD. v1'!BE:BE,'REGISTRO PROD. v1'!BC:BC=B599)),0),
    IFERROR(MAX(FILTER('REGISTRO PROD. v1'!BV:BV,'REGISTRO PROD. v1'!BT:BT=B599)),0)
  )=0,
  ""NO"",
  IF(
    MAX(
      IFERROR(MAX(FILTER('REGISTRO PROD. v1'!F"&amp;":F,'REGISTRO PROD. v1'!D:D=B599)),0),
      IFERROR(MAX(FILTER('REGISTRO PROD. v1'!W:W,'REGISTRO PROD. v1'!U:U=B599)),0),
      IFERROR(MAX(FILTER('REGISTRO PROD. v1'!AN:AN,'REGISTRO PROD. v1'!AL:AL=B599)),0),
      IFERROR(MAX(FILTER('REGISTRO PROD. v1'!"&amp;"BE:BE,'REGISTRO PROD. v1'!BC:BC=B599)),0),
      IFERROR(MAX(FILTER('REGISTRO PROD. v1'!BV:BV,'REGISTRO PROD. v1'!BT:BT=B599)),0)
    )&gt;=F599,
    ""SI"",
    ""EN PROCESO""
  )
)
"),"NO")</f>
        <v>NO</v>
      </c>
      <c r="F599" s="132" t="s">
        <v>65</v>
      </c>
    </row>
    <row r="600" spans="2:6" ht="15" x14ac:dyDescent="0.25">
      <c r="B600" s="131">
        <v>597</v>
      </c>
      <c r="C600" s="131">
        <v>2015</v>
      </c>
      <c r="D600" s="131" t="s">
        <v>177</v>
      </c>
      <c r="E600" s="131" t="str">
        <f ca="1">IFERROR(__xludf.DUMMYFUNCTION("IF(
  MAX(
    IFERROR(MAX(FILTER('REGISTRO PROD. v1'!F:F,'REGISTRO PROD. v1'!D:D=B600)),0),
    IFERROR(MAX(FILTER('REGISTRO PROD. v1'!W:W,'REGISTRO PROD. v1'!U:U=B600)),0),
    IFERROR(MAX(FILTER('REGISTRO PROD. v1'!AN:AN,'REGISTRO PROD. v1'!AL:AL=B600)"&amp;"),0),
    IFERROR(MAX(FILTER('REGISTRO PROD. v1'!BE:BE,'REGISTRO PROD. v1'!BC:BC=B600)),0),
    IFERROR(MAX(FILTER('REGISTRO PROD. v1'!BV:BV,'REGISTRO PROD. v1'!BT:BT=B600)),0)
  )=0,
  ""NO"",
  IF(
    MAX(
      IFERROR(MAX(FILTER('REGISTRO PROD. v1'!F"&amp;":F,'REGISTRO PROD. v1'!D:D=B600)),0),
      IFERROR(MAX(FILTER('REGISTRO PROD. v1'!W:W,'REGISTRO PROD. v1'!U:U=B600)),0),
      IFERROR(MAX(FILTER('REGISTRO PROD. v1'!AN:AN,'REGISTRO PROD. v1'!AL:AL=B600)),0),
      IFERROR(MAX(FILTER('REGISTRO PROD. v1'!"&amp;"BE:BE,'REGISTRO PROD. v1'!BC:BC=B600)),0),
      IFERROR(MAX(FILTER('REGISTRO PROD. v1'!BV:BV,'REGISTRO PROD. v1'!BT:BT=B600)),0)
    )&gt;=F600,
    ""SI"",
    ""EN PROCESO""
  )
)
"),"NO")</f>
        <v>NO</v>
      </c>
      <c r="F600" s="132" t="s">
        <v>65</v>
      </c>
    </row>
    <row r="601" spans="2:6" ht="15" x14ac:dyDescent="0.25">
      <c r="B601" s="131">
        <v>598</v>
      </c>
      <c r="C601" s="131">
        <v>2016</v>
      </c>
      <c r="D601" s="131" t="s">
        <v>64</v>
      </c>
      <c r="E601" s="131" t="str">
        <f ca="1">IFERROR(__xludf.DUMMYFUNCTION("IF(
  MAX(
    IFERROR(MAX(FILTER('REGISTRO PROD. v1'!F:F,'REGISTRO PROD. v1'!D:D=B601)),0),
    IFERROR(MAX(FILTER('REGISTRO PROD. v1'!W:W,'REGISTRO PROD. v1'!U:U=B601)),0),
    IFERROR(MAX(FILTER('REGISTRO PROD. v1'!AN:AN,'REGISTRO PROD. v1'!AL:AL=B601)"&amp;"),0),
    IFERROR(MAX(FILTER('REGISTRO PROD. v1'!BE:BE,'REGISTRO PROD. v1'!BC:BC=B601)),0),
    IFERROR(MAX(FILTER('REGISTRO PROD. v1'!BV:BV,'REGISTRO PROD. v1'!BT:BT=B601)),0)
  )=0,
  ""NO"",
  IF(
    MAX(
      IFERROR(MAX(FILTER('REGISTRO PROD. v1'!F"&amp;":F,'REGISTRO PROD. v1'!D:D=B601)),0),
      IFERROR(MAX(FILTER('REGISTRO PROD. v1'!W:W,'REGISTRO PROD. v1'!U:U=B601)),0),
      IFERROR(MAX(FILTER('REGISTRO PROD. v1'!AN:AN,'REGISTRO PROD. v1'!AL:AL=B601)),0),
      IFERROR(MAX(FILTER('REGISTRO PROD. v1'!"&amp;"BE:BE,'REGISTRO PROD. v1'!BC:BC=B601)),0),
      IFERROR(MAX(FILTER('REGISTRO PROD. v1'!BV:BV,'REGISTRO PROD. v1'!BT:BT=B601)),0)
    )&gt;=F601,
    ""SI"",
    ""EN PROCESO""
  )
)
"),"NO")</f>
        <v>NO</v>
      </c>
      <c r="F601" s="132" t="s">
        <v>65</v>
      </c>
    </row>
    <row r="602" spans="2:6" ht="15" x14ac:dyDescent="0.25">
      <c r="B602" s="131">
        <v>599</v>
      </c>
      <c r="C602" s="131">
        <v>2016</v>
      </c>
      <c r="D602" s="131" t="s">
        <v>66</v>
      </c>
      <c r="E602" s="131" t="str">
        <f ca="1">IFERROR(__xludf.DUMMYFUNCTION("IF(
  MAX(
    IFERROR(MAX(FILTER('REGISTRO PROD. v1'!F:F,'REGISTRO PROD. v1'!D:D=B602)),0),
    IFERROR(MAX(FILTER('REGISTRO PROD. v1'!W:W,'REGISTRO PROD. v1'!U:U=B602)),0),
    IFERROR(MAX(FILTER('REGISTRO PROD. v1'!AN:AN,'REGISTRO PROD. v1'!AL:AL=B602)"&amp;"),0),
    IFERROR(MAX(FILTER('REGISTRO PROD. v1'!BE:BE,'REGISTRO PROD. v1'!BC:BC=B602)),0),
    IFERROR(MAX(FILTER('REGISTRO PROD. v1'!BV:BV,'REGISTRO PROD. v1'!BT:BT=B602)),0)
  )=0,
  ""NO"",
  IF(
    MAX(
      IFERROR(MAX(FILTER('REGISTRO PROD. v1'!F"&amp;":F,'REGISTRO PROD. v1'!D:D=B602)),0),
      IFERROR(MAX(FILTER('REGISTRO PROD. v1'!W:W,'REGISTRO PROD. v1'!U:U=B602)),0),
      IFERROR(MAX(FILTER('REGISTRO PROD. v1'!AN:AN,'REGISTRO PROD. v1'!AL:AL=B602)),0),
      IFERROR(MAX(FILTER('REGISTRO PROD. v1'!"&amp;"BE:BE,'REGISTRO PROD. v1'!BC:BC=B602)),0),
      IFERROR(MAX(FILTER('REGISTRO PROD. v1'!BV:BV,'REGISTRO PROD. v1'!BT:BT=B602)),0)
    )&gt;=F602,
    ""SI"",
    ""EN PROCESO""
  )
)
"),"NO")</f>
        <v>NO</v>
      </c>
      <c r="F602" s="132" t="s">
        <v>65</v>
      </c>
    </row>
    <row r="603" spans="2:6" ht="15" x14ac:dyDescent="0.25">
      <c r="B603" s="131">
        <v>600</v>
      </c>
      <c r="C603" s="131">
        <v>2016</v>
      </c>
      <c r="D603" s="131" t="s">
        <v>67</v>
      </c>
      <c r="E603" s="131" t="str">
        <f ca="1">IFERROR(__xludf.DUMMYFUNCTION("IF(
  MAX(
    IFERROR(MAX(FILTER('REGISTRO PROD. v1'!F:F,'REGISTRO PROD. v1'!D:D=B603)),0),
    IFERROR(MAX(FILTER('REGISTRO PROD. v1'!W:W,'REGISTRO PROD. v1'!U:U=B603)),0),
    IFERROR(MAX(FILTER('REGISTRO PROD. v1'!AN:AN,'REGISTRO PROD. v1'!AL:AL=B603)"&amp;"),0),
    IFERROR(MAX(FILTER('REGISTRO PROD. v1'!BE:BE,'REGISTRO PROD. v1'!BC:BC=B603)),0),
    IFERROR(MAX(FILTER('REGISTRO PROD. v1'!BV:BV,'REGISTRO PROD. v1'!BT:BT=B603)),0)
  )=0,
  ""NO"",
  IF(
    MAX(
      IFERROR(MAX(FILTER('REGISTRO PROD. v1'!F"&amp;":F,'REGISTRO PROD. v1'!D:D=B603)),0),
      IFERROR(MAX(FILTER('REGISTRO PROD. v1'!W:W,'REGISTRO PROD. v1'!U:U=B603)),0),
      IFERROR(MAX(FILTER('REGISTRO PROD. v1'!AN:AN,'REGISTRO PROD. v1'!AL:AL=B603)),0),
      IFERROR(MAX(FILTER('REGISTRO PROD. v1'!"&amp;"BE:BE,'REGISTRO PROD. v1'!BC:BC=B603)),0),
      IFERROR(MAX(FILTER('REGISTRO PROD. v1'!BV:BV,'REGISTRO PROD. v1'!BT:BT=B603)),0)
    )&gt;=F603,
    ""SI"",
    ""EN PROCESO""
  )
)
"),"NO")</f>
        <v>NO</v>
      </c>
      <c r="F603" s="132" t="s">
        <v>65</v>
      </c>
    </row>
    <row r="604" spans="2:6" ht="15" x14ac:dyDescent="0.25">
      <c r="B604" s="131">
        <v>601</v>
      </c>
      <c r="C604" s="131">
        <v>2016</v>
      </c>
      <c r="D604" s="131" t="s">
        <v>68</v>
      </c>
      <c r="E604" s="131" t="str">
        <f ca="1">IFERROR(__xludf.DUMMYFUNCTION("IF(
  MAX(
    IFERROR(MAX(FILTER('REGISTRO PROD. v1'!F:F,'REGISTRO PROD. v1'!D:D=B604)),0),
    IFERROR(MAX(FILTER('REGISTRO PROD. v1'!W:W,'REGISTRO PROD. v1'!U:U=B604)),0),
    IFERROR(MAX(FILTER('REGISTRO PROD. v1'!AN:AN,'REGISTRO PROD. v1'!AL:AL=B604)"&amp;"),0),
    IFERROR(MAX(FILTER('REGISTRO PROD. v1'!BE:BE,'REGISTRO PROD. v1'!BC:BC=B604)),0),
    IFERROR(MAX(FILTER('REGISTRO PROD. v1'!BV:BV,'REGISTRO PROD. v1'!BT:BT=B604)),0)
  )=0,
  ""NO"",
  IF(
    MAX(
      IFERROR(MAX(FILTER('REGISTRO PROD. v1'!F"&amp;":F,'REGISTRO PROD. v1'!D:D=B604)),0),
      IFERROR(MAX(FILTER('REGISTRO PROD. v1'!W:W,'REGISTRO PROD. v1'!U:U=B604)),0),
      IFERROR(MAX(FILTER('REGISTRO PROD. v1'!AN:AN,'REGISTRO PROD. v1'!AL:AL=B604)),0),
      IFERROR(MAX(FILTER('REGISTRO PROD. v1'!"&amp;"BE:BE,'REGISTRO PROD. v1'!BC:BC=B604)),0),
      IFERROR(MAX(FILTER('REGISTRO PROD. v1'!BV:BV,'REGISTRO PROD. v1'!BT:BT=B604)),0)
    )&gt;=F604,
    ""SI"",
    ""EN PROCESO""
  )
)
"),"NO")</f>
        <v>NO</v>
      </c>
      <c r="F604" s="132" t="s">
        <v>65</v>
      </c>
    </row>
    <row r="605" spans="2:6" ht="15" x14ac:dyDescent="0.25">
      <c r="B605" s="131">
        <v>602</v>
      </c>
      <c r="C605" s="131">
        <v>2016</v>
      </c>
      <c r="D605" s="131" t="s">
        <v>69</v>
      </c>
      <c r="E605" s="131" t="str">
        <f ca="1">IFERROR(__xludf.DUMMYFUNCTION("IF(
  MAX(
    IFERROR(MAX(FILTER('REGISTRO PROD. v1'!F:F,'REGISTRO PROD. v1'!D:D=B605)),0),
    IFERROR(MAX(FILTER('REGISTRO PROD. v1'!W:W,'REGISTRO PROD. v1'!U:U=B605)),0),
    IFERROR(MAX(FILTER('REGISTRO PROD. v1'!AN:AN,'REGISTRO PROD. v1'!AL:AL=B605)"&amp;"),0),
    IFERROR(MAX(FILTER('REGISTRO PROD. v1'!BE:BE,'REGISTRO PROD. v1'!BC:BC=B605)),0),
    IFERROR(MAX(FILTER('REGISTRO PROD. v1'!BV:BV,'REGISTRO PROD. v1'!BT:BT=B605)),0)
  )=0,
  ""NO"",
  IF(
    MAX(
      IFERROR(MAX(FILTER('REGISTRO PROD. v1'!F"&amp;":F,'REGISTRO PROD. v1'!D:D=B605)),0),
      IFERROR(MAX(FILTER('REGISTRO PROD. v1'!W:W,'REGISTRO PROD. v1'!U:U=B605)),0),
      IFERROR(MAX(FILTER('REGISTRO PROD. v1'!AN:AN,'REGISTRO PROD. v1'!AL:AL=B605)),0),
      IFERROR(MAX(FILTER('REGISTRO PROD. v1'!"&amp;"BE:BE,'REGISTRO PROD. v1'!BC:BC=B605)),0),
      IFERROR(MAX(FILTER('REGISTRO PROD. v1'!BV:BV,'REGISTRO PROD. v1'!BT:BT=B605)),0)
    )&gt;=F605,
    ""SI"",
    ""EN PROCESO""
  )
)
"),"NO")</f>
        <v>NO</v>
      </c>
      <c r="F605" s="132" t="s">
        <v>65</v>
      </c>
    </row>
    <row r="606" spans="2:6" ht="15" x14ac:dyDescent="0.25">
      <c r="B606" s="131">
        <v>603</v>
      </c>
      <c r="C606" s="131">
        <v>2016</v>
      </c>
      <c r="D606" s="131" t="s">
        <v>70</v>
      </c>
      <c r="E606" s="131" t="str">
        <f ca="1">IFERROR(__xludf.DUMMYFUNCTION("IF(
  MAX(
    IFERROR(MAX(FILTER('REGISTRO PROD. v1'!F:F,'REGISTRO PROD. v1'!D:D=B606)),0),
    IFERROR(MAX(FILTER('REGISTRO PROD. v1'!W:W,'REGISTRO PROD. v1'!U:U=B606)),0),
    IFERROR(MAX(FILTER('REGISTRO PROD. v1'!AN:AN,'REGISTRO PROD. v1'!AL:AL=B606)"&amp;"),0),
    IFERROR(MAX(FILTER('REGISTRO PROD. v1'!BE:BE,'REGISTRO PROD. v1'!BC:BC=B606)),0),
    IFERROR(MAX(FILTER('REGISTRO PROD. v1'!BV:BV,'REGISTRO PROD. v1'!BT:BT=B606)),0)
  )=0,
  ""NO"",
  IF(
    MAX(
      IFERROR(MAX(FILTER('REGISTRO PROD. v1'!F"&amp;":F,'REGISTRO PROD. v1'!D:D=B606)),0),
      IFERROR(MAX(FILTER('REGISTRO PROD. v1'!W:W,'REGISTRO PROD. v1'!U:U=B606)),0),
      IFERROR(MAX(FILTER('REGISTRO PROD. v1'!AN:AN,'REGISTRO PROD. v1'!AL:AL=B606)),0),
      IFERROR(MAX(FILTER('REGISTRO PROD. v1'!"&amp;"BE:BE,'REGISTRO PROD. v1'!BC:BC=B606)),0),
      IFERROR(MAX(FILTER('REGISTRO PROD. v1'!BV:BV,'REGISTRO PROD. v1'!BT:BT=B606)),0)
    )&gt;=F606,
    ""SI"",
    ""EN PROCESO""
  )
)
"),"NO")</f>
        <v>NO</v>
      </c>
      <c r="F606" s="132" t="s">
        <v>65</v>
      </c>
    </row>
    <row r="607" spans="2:6" ht="15" x14ac:dyDescent="0.25">
      <c r="B607" s="131">
        <v>604</v>
      </c>
      <c r="C607" s="131">
        <v>2016</v>
      </c>
      <c r="D607" s="131" t="s">
        <v>97</v>
      </c>
      <c r="E607" s="131" t="str">
        <f ca="1">IFERROR(__xludf.DUMMYFUNCTION("IF(
  MAX(
    IFERROR(MAX(FILTER('REGISTRO PROD. v1'!F:F,'REGISTRO PROD. v1'!D:D=B607)),0),
    IFERROR(MAX(FILTER('REGISTRO PROD. v1'!W:W,'REGISTRO PROD. v1'!U:U=B607)),0),
    IFERROR(MAX(FILTER('REGISTRO PROD. v1'!AN:AN,'REGISTRO PROD. v1'!AL:AL=B607)"&amp;"),0),
    IFERROR(MAX(FILTER('REGISTRO PROD. v1'!BE:BE,'REGISTRO PROD. v1'!BC:BC=B607)),0),
    IFERROR(MAX(FILTER('REGISTRO PROD. v1'!BV:BV,'REGISTRO PROD. v1'!BT:BT=B607)),0)
  )=0,
  ""NO"",
  IF(
    MAX(
      IFERROR(MAX(FILTER('REGISTRO PROD. v1'!F"&amp;":F,'REGISTRO PROD. v1'!D:D=B607)),0),
      IFERROR(MAX(FILTER('REGISTRO PROD. v1'!W:W,'REGISTRO PROD. v1'!U:U=B607)),0),
      IFERROR(MAX(FILTER('REGISTRO PROD. v1'!AN:AN,'REGISTRO PROD. v1'!AL:AL=B607)),0),
      IFERROR(MAX(FILTER('REGISTRO PROD. v1'!"&amp;"BE:BE,'REGISTRO PROD. v1'!BC:BC=B607)),0),
      IFERROR(MAX(FILTER('REGISTRO PROD. v1'!BV:BV,'REGISTRO PROD. v1'!BT:BT=B607)),0)
    )&gt;=F607,
    ""SI"",
    ""EN PROCESO""
  )
)
"),"NO")</f>
        <v>NO</v>
      </c>
      <c r="F607" s="132" t="s">
        <v>65</v>
      </c>
    </row>
    <row r="608" spans="2:6" ht="15" x14ac:dyDescent="0.25">
      <c r="B608" s="131">
        <v>605</v>
      </c>
      <c r="C608" s="131">
        <v>2016</v>
      </c>
      <c r="D608" s="131" t="s">
        <v>98</v>
      </c>
      <c r="E608" s="131" t="str">
        <f ca="1">IFERROR(__xludf.DUMMYFUNCTION("IF(
  MAX(
    IFERROR(MAX(FILTER('REGISTRO PROD. v1'!F:F,'REGISTRO PROD. v1'!D:D=B608)),0),
    IFERROR(MAX(FILTER('REGISTRO PROD. v1'!W:W,'REGISTRO PROD. v1'!U:U=B608)),0),
    IFERROR(MAX(FILTER('REGISTRO PROD. v1'!AN:AN,'REGISTRO PROD. v1'!AL:AL=B608)"&amp;"),0),
    IFERROR(MAX(FILTER('REGISTRO PROD. v1'!BE:BE,'REGISTRO PROD. v1'!BC:BC=B608)),0),
    IFERROR(MAX(FILTER('REGISTRO PROD. v1'!BV:BV,'REGISTRO PROD. v1'!BT:BT=B608)),0)
  )=0,
  ""NO"",
  IF(
    MAX(
      IFERROR(MAX(FILTER('REGISTRO PROD. v1'!F"&amp;":F,'REGISTRO PROD. v1'!D:D=B608)),0),
      IFERROR(MAX(FILTER('REGISTRO PROD. v1'!W:W,'REGISTRO PROD. v1'!U:U=B608)),0),
      IFERROR(MAX(FILTER('REGISTRO PROD. v1'!AN:AN,'REGISTRO PROD. v1'!AL:AL=B608)),0),
      IFERROR(MAX(FILTER('REGISTRO PROD. v1'!"&amp;"BE:BE,'REGISTRO PROD. v1'!BC:BC=B608)),0),
      IFERROR(MAX(FILTER('REGISTRO PROD. v1'!BV:BV,'REGISTRO PROD. v1'!BT:BT=B608)),0)
    )&gt;=F608,
    ""SI"",
    ""EN PROCESO""
  )
)
"),"NO")</f>
        <v>NO</v>
      </c>
      <c r="F608" s="132" t="s">
        <v>65</v>
      </c>
    </row>
    <row r="609" spans="2:6" ht="15" x14ac:dyDescent="0.25">
      <c r="B609" s="131">
        <v>606</v>
      </c>
      <c r="C609" s="131">
        <v>2016</v>
      </c>
      <c r="D609" s="131" t="s">
        <v>99</v>
      </c>
      <c r="E609" s="131" t="str">
        <f ca="1">IFERROR(__xludf.DUMMYFUNCTION("IF(
  MAX(
    IFERROR(MAX(FILTER('REGISTRO PROD. v1'!F:F,'REGISTRO PROD. v1'!D:D=B609)),0),
    IFERROR(MAX(FILTER('REGISTRO PROD. v1'!W:W,'REGISTRO PROD. v1'!U:U=B609)),0),
    IFERROR(MAX(FILTER('REGISTRO PROD. v1'!AN:AN,'REGISTRO PROD. v1'!AL:AL=B609)"&amp;"),0),
    IFERROR(MAX(FILTER('REGISTRO PROD. v1'!BE:BE,'REGISTRO PROD. v1'!BC:BC=B609)),0),
    IFERROR(MAX(FILTER('REGISTRO PROD. v1'!BV:BV,'REGISTRO PROD. v1'!BT:BT=B609)),0)
  )=0,
  ""NO"",
  IF(
    MAX(
      IFERROR(MAX(FILTER('REGISTRO PROD. v1'!F"&amp;":F,'REGISTRO PROD. v1'!D:D=B609)),0),
      IFERROR(MAX(FILTER('REGISTRO PROD. v1'!W:W,'REGISTRO PROD. v1'!U:U=B609)),0),
      IFERROR(MAX(FILTER('REGISTRO PROD. v1'!AN:AN,'REGISTRO PROD. v1'!AL:AL=B609)),0),
      IFERROR(MAX(FILTER('REGISTRO PROD. v1'!"&amp;"BE:BE,'REGISTRO PROD. v1'!BC:BC=B609)),0),
      IFERROR(MAX(FILTER('REGISTRO PROD. v1'!BV:BV,'REGISTRO PROD. v1'!BT:BT=B609)),0)
    )&gt;=F609,
    ""SI"",
    ""EN PROCESO""
  )
)
"),"NO")</f>
        <v>NO</v>
      </c>
      <c r="F609" s="132" t="s">
        <v>65</v>
      </c>
    </row>
    <row r="610" spans="2:6" ht="15" x14ac:dyDescent="0.25">
      <c r="B610" s="131">
        <v>607</v>
      </c>
      <c r="C610" s="131">
        <v>2016</v>
      </c>
      <c r="D610" s="131" t="s">
        <v>100</v>
      </c>
      <c r="E610" s="131" t="str">
        <f ca="1">IFERROR(__xludf.DUMMYFUNCTION("IF(
  MAX(
    IFERROR(MAX(FILTER('REGISTRO PROD. v1'!F:F,'REGISTRO PROD. v1'!D:D=B610)),0),
    IFERROR(MAX(FILTER('REGISTRO PROD. v1'!W:W,'REGISTRO PROD. v1'!U:U=B610)),0),
    IFERROR(MAX(FILTER('REGISTRO PROD. v1'!AN:AN,'REGISTRO PROD. v1'!AL:AL=B610)"&amp;"),0),
    IFERROR(MAX(FILTER('REGISTRO PROD. v1'!BE:BE,'REGISTRO PROD. v1'!BC:BC=B610)),0),
    IFERROR(MAX(FILTER('REGISTRO PROD. v1'!BV:BV,'REGISTRO PROD. v1'!BT:BT=B610)),0)
  )=0,
  ""NO"",
  IF(
    MAX(
      IFERROR(MAX(FILTER('REGISTRO PROD. v1'!F"&amp;":F,'REGISTRO PROD. v1'!D:D=B610)),0),
      IFERROR(MAX(FILTER('REGISTRO PROD. v1'!W:W,'REGISTRO PROD. v1'!U:U=B610)),0),
      IFERROR(MAX(FILTER('REGISTRO PROD. v1'!AN:AN,'REGISTRO PROD. v1'!AL:AL=B610)),0),
      IFERROR(MAX(FILTER('REGISTRO PROD. v1'!"&amp;"BE:BE,'REGISTRO PROD. v1'!BC:BC=B610)),0),
      IFERROR(MAX(FILTER('REGISTRO PROD. v1'!BV:BV,'REGISTRO PROD. v1'!BT:BT=B610)),0)
    )&gt;=F610,
    ""SI"",
    ""EN PROCESO""
  )
)
"),"NO")</f>
        <v>NO</v>
      </c>
      <c r="F610" s="132" t="s">
        <v>65</v>
      </c>
    </row>
    <row r="611" spans="2:6" ht="15" x14ac:dyDescent="0.25">
      <c r="B611" s="131">
        <v>608</v>
      </c>
      <c r="C611" s="131">
        <v>2016</v>
      </c>
      <c r="D611" s="131" t="s">
        <v>101</v>
      </c>
      <c r="E611" s="131" t="str">
        <f ca="1">IFERROR(__xludf.DUMMYFUNCTION("IF(
  MAX(
    IFERROR(MAX(FILTER('REGISTRO PROD. v1'!F:F,'REGISTRO PROD. v1'!D:D=B611)),0),
    IFERROR(MAX(FILTER('REGISTRO PROD. v1'!W:W,'REGISTRO PROD. v1'!U:U=B611)),0),
    IFERROR(MAX(FILTER('REGISTRO PROD. v1'!AN:AN,'REGISTRO PROD. v1'!AL:AL=B611)"&amp;"),0),
    IFERROR(MAX(FILTER('REGISTRO PROD. v1'!BE:BE,'REGISTRO PROD. v1'!BC:BC=B611)),0),
    IFERROR(MAX(FILTER('REGISTRO PROD. v1'!BV:BV,'REGISTRO PROD. v1'!BT:BT=B611)),0)
  )=0,
  ""NO"",
  IF(
    MAX(
      IFERROR(MAX(FILTER('REGISTRO PROD. v1'!F"&amp;":F,'REGISTRO PROD. v1'!D:D=B611)),0),
      IFERROR(MAX(FILTER('REGISTRO PROD. v1'!W:W,'REGISTRO PROD. v1'!U:U=B611)),0),
      IFERROR(MAX(FILTER('REGISTRO PROD. v1'!AN:AN,'REGISTRO PROD. v1'!AL:AL=B611)),0),
      IFERROR(MAX(FILTER('REGISTRO PROD. v1'!"&amp;"BE:BE,'REGISTRO PROD. v1'!BC:BC=B611)),0),
      IFERROR(MAX(FILTER('REGISTRO PROD. v1'!BV:BV,'REGISTRO PROD. v1'!BT:BT=B611)),0)
    )&gt;=F611,
    ""SI"",
    ""EN PROCESO""
  )
)
"),"NO")</f>
        <v>NO</v>
      </c>
      <c r="F611" s="132" t="s">
        <v>65</v>
      </c>
    </row>
    <row r="612" spans="2:6" ht="15" x14ac:dyDescent="0.25">
      <c r="B612" s="131">
        <v>609</v>
      </c>
      <c r="C612" s="131">
        <v>2016</v>
      </c>
      <c r="D612" s="131" t="s">
        <v>102</v>
      </c>
      <c r="E612" s="131" t="str">
        <f ca="1">IFERROR(__xludf.DUMMYFUNCTION("IF(
  MAX(
    IFERROR(MAX(FILTER('REGISTRO PROD. v1'!F:F,'REGISTRO PROD. v1'!D:D=B612)),0),
    IFERROR(MAX(FILTER('REGISTRO PROD. v1'!W:W,'REGISTRO PROD. v1'!U:U=B612)),0),
    IFERROR(MAX(FILTER('REGISTRO PROD. v1'!AN:AN,'REGISTRO PROD. v1'!AL:AL=B612)"&amp;"),0),
    IFERROR(MAX(FILTER('REGISTRO PROD. v1'!BE:BE,'REGISTRO PROD. v1'!BC:BC=B612)),0),
    IFERROR(MAX(FILTER('REGISTRO PROD. v1'!BV:BV,'REGISTRO PROD. v1'!BT:BT=B612)),0)
  )=0,
  ""NO"",
  IF(
    MAX(
      IFERROR(MAX(FILTER('REGISTRO PROD. v1'!F"&amp;":F,'REGISTRO PROD. v1'!D:D=B612)),0),
      IFERROR(MAX(FILTER('REGISTRO PROD. v1'!W:W,'REGISTRO PROD. v1'!U:U=B612)),0),
      IFERROR(MAX(FILTER('REGISTRO PROD. v1'!AN:AN,'REGISTRO PROD. v1'!AL:AL=B612)),0),
      IFERROR(MAX(FILTER('REGISTRO PROD. v1'!"&amp;"BE:BE,'REGISTRO PROD. v1'!BC:BC=B612)),0),
      IFERROR(MAX(FILTER('REGISTRO PROD. v1'!BV:BV,'REGISTRO PROD. v1'!BT:BT=B612)),0)
    )&gt;=F612,
    ""SI"",
    ""EN PROCESO""
  )
)
"),"NO")</f>
        <v>NO</v>
      </c>
      <c r="F612" s="132" t="s">
        <v>65</v>
      </c>
    </row>
    <row r="613" spans="2:6" ht="15" x14ac:dyDescent="0.25">
      <c r="B613" s="131">
        <v>610</v>
      </c>
      <c r="C613" s="131">
        <v>2016</v>
      </c>
      <c r="D613" s="131" t="s">
        <v>103</v>
      </c>
      <c r="E613" s="131" t="str">
        <f ca="1">IFERROR(__xludf.DUMMYFUNCTION("IF(
  MAX(
    IFERROR(MAX(FILTER('REGISTRO PROD. v1'!F:F,'REGISTRO PROD. v1'!D:D=B613)),0),
    IFERROR(MAX(FILTER('REGISTRO PROD. v1'!W:W,'REGISTRO PROD. v1'!U:U=B613)),0),
    IFERROR(MAX(FILTER('REGISTRO PROD. v1'!AN:AN,'REGISTRO PROD. v1'!AL:AL=B613)"&amp;"),0),
    IFERROR(MAX(FILTER('REGISTRO PROD. v1'!BE:BE,'REGISTRO PROD. v1'!BC:BC=B613)),0),
    IFERROR(MAX(FILTER('REGISTRO PROD. v1'!BV:BV,'REGISTRO PROD. v1'!BT:BT=B613)),0)
  )=0,
  ""NO"",
  IF(
    MAX(
      IFERROR(MAX(FILTER('REGISTRO PROD. v1'!F"&amp;":F,'REGISTRO PROD. v1'!D:D=B613)),0),
      IFERROR(MAX(FILTER('REGISTRO PROD. v1'!W:W,'REGISTRO PROD. v1'!U:U=B613)),0),
      IFERROR(MAX(FILTER('REGISTRO PROD. v1'!AN:AN,'REGISTRO PROD. v1'!AL:AL=B613)),0),
      IFERROR(MAX(FILTER('REGISTRO PROD. v1'!"&amp;"BE:BE,'REGISTRO PROD. v1'!BC:BC=B613)),0),
      IFERROR(MAX(FILTER('REGISTRO PROD. v1'!BV:BV,'REGISTRO PROD. v1'!BT:BT=B613)),0)
    )&gt;=F613,
    ""SI"",
    ""EN PROCESO""
  )
)
"),"NO")</f>
        <v>NO</v>
      </c>
      <c r="F613" s="132" t="s">
        <v>65</v>
      </c>
    </row>
    <row r="614" spans="2:6" ht="15" x14ac:dyDescent="0.25">
      <c r="B614" s="131">
        <v>611</v>
      </c>
      <c r="C614" s="131">
        <v>2016</v>
      </c>
      <c r="D614" s="131" t="s">
        <v>104</v>
      </c>
      <c r="E614" s="131" t="str">
        <f ca="1">IFERROR(__xludf.DUMMYFUNCTION("IF(
  MAX(
    IFERROR(MAX(FILTER('REGISTRO PROD. v1'!F:F,'REGISTRO PROD. v1'!D:D=B614)),0),
    IFERROR(MAX(FILTER('REGISTRO PROD. v1'!W:W,'REGISTRO PROD. v1'!U:U=B614)),0),
    IFERROR(MAX(FILTER('REGISTRO PROD. v1'!AN:AN,'REGISTRO PROD. v1'!AL:AL=B614)"&amp;"),0),
    IFERROR(MAX(FILTER('REGISTRO PROD. v1'!BE:BE,'REGISTRO PROD. v1'!BC:BC=B614)),0),
    IFERROR(MAX(FILTER('REGISTRO PROD. v1'!BV:BV,'REGISTRO PROD. v1'!BT:BT=B614)),0)
  )=0,
  ""NO"",
  IF(
    MAX(
      IFERROR(MAX(FILTER('REGISTRO PROD. v1'!F"&amp;":F,'REGISTRO PROD. v1'!D:D=B614)),0),
      IFERROR(MAX(FILTER('REGISTRO PROD. v1'!W:W,'REGISTRO PROD. v1'!U:U=B614)),0),
      IFERROR(MAX(FILTER('REGISTRO PROD. v1'!AN:AN,'REGISTRO PROD. v1'!AL:AL=B614)),0),
      IFERROR(MAX(FILTER('REGISTRO PROD. v1'!"&amp;"BE:BE,'REGISTRO PROD. v1'!BC:BC=B614)),0),
      IFERROR(MAX(FILTER('REGISTRO PROD. v1'!BV:BV,'REGISTRO PROD. v1'!BT:BT=B614)),0)
    )&gt;=F614,
    ""SI"",
    ""EN PROCESO""
  )
)
"),"NO")</f>
        <v>NO</v>
      </c>
      <c r="F614" s="132" t="s">
        <v>65</v>
      </c>
    </row>
    <row r="615" spans="2:6" ht="15" x14ac:dyDescent="0.25">
      <c r="B615" s="131">
        <v>612</v>
      </c>
      <c r="C615" s="131">
        <v>2016</v>
      </c>
      <c r="D615" s="131" t="s">
        <v>105</v>
      </c>
      <c r="E615" s="131" t="str">
        <f ca="1">IFERROR(__xludf.DUMMYFUNCTION("IF(
  MAX(
    IFERROR(MAX(FILTER('REGISTRO PROD. v1'!F:F,'REGISTRO PROD. v1'!D:D=B615)),0),
    IFERROR(MAX(FILTER('REGISTRO PROD. v1'!W:W,'REGISTRO PROD. v1'!U:U=B615)),0),
    IFERROR(MAX(FILTER('REGISTRO PROD. v1'!AN:AN,'REGISTRO PROD. v1'!AL:AL=B615)"&amp;"),0),
    IFERROR(MAX(FILTER('REGISTRO PROD. v1'!BE:BE,'REGISTRO PROD. v1'!BC:BC=B615)),0),
    IFERROR(MAX(FILTER('REGISTRO PROD. v1'!BV:BV,'REGISTRO PROD. v1'!BT:BT=B615)),0)
  )=0,
  ""NO"",
  IF(
    MAX(
      IFERROR(MAX(FILTER('REGISTRO PROD. v1'!F"&amp;":F,'REGISTRO PROD. v1'!D:D=B615)),0),
      IFERROR(MAX(FILTER('REGISTRO PROD. v1'!W:W,'REGISTRO PROD. v1'!U:U=B615)),0),
      IFERROR(MAX(FILTER('REGISTRO PROD. v1'!AN:AN,'REGISTRO PROD. v1'!AL:AL=B615)),0),
      IFERROR(MAX(FILTER('REGISTRO PROD. v1'!"&amp;"BE:BE,'REGISTRO PROD. v1'!BC:BC=B615)),0),
      IFERROR(MAX(FILTER('REGISTRO PROD. v1'!BV:BV,'REGISTRO PROD. v1'!BT:BT=B615)),0)
    )&gt;=F615,
    ""SI"",
    ""EN PROCESO""
  )
)
"),"NO")</f>
        <v>NO</v>
      </c>
      <c r="F615" s="132" t="s">
        <v>65</v>
      </c>
    </row>
    <row r="616" spans="2:6" ht="15" x14ac:dyDescent="0.25">
      <c r="B616" s="131">
        <v>613</v>
      </c>
      <c r="C616" s="131">
        <v>2016</v>
      </c>
      <c r="D616" s="131" t="s">
        <v>106</v>
      </c>
      <c r="E616" s="131" t="str">
        <f ca="1">IFERROR(__xludf.DUMMYFUNCTION("IF(
  MAX(
    IFERROR(MAX(FILTER('REGISTRO PROD. v1'!F:F,'REGISTRO PROD. v1'!D:D=B616)),0),
    IFERROR(MAX(FILTER('REGISTRO PROD. v1'!W:W,'REGISTRO PROD. v1'!U:U=B616)),0),
    IFERROR(MAX(FILTER('REGISTRO PROD. v1'!AN:AN,'REGISTRO PROD. v1'!AL:AL=B616)"&amp;"),0),
    IFERROR(MAX(FILTER('REGISTRO PROD. v1'!BE:BE,'REGISTRO PROD. v1'!BC:BC=B616)),0),
    IFERROR(MAX(FILTER('REGISTRO PROD. v1'!BV:BV,'REGISTRO PROD. v1'!BT:BT=B616)),0)
  )=0,
  ""NO"",
  IF(
    MAX(
      IFERROR(MAX(FILTER('REGISTRO PROD. v1'!F"&amp;":F,'REGISTRO PROD. v1'!D:D=B616)),0),
      IFERROR(MAX(FILTER('REGISTRO PROD. v1'!W:W,'REGISTRO PROD. v1'!U:U=B616)),0),
      IFERROR(MAX(FILTER('REGISTRO PROD. v1'!AN:AN,'REGISTRO PROD. v1'!AL:AL=B616)),0),
      IFERROR(MAX(FILTER('REGISTRO PROD. v1'!"&amp;"BE:BE,'REGISTRO PROD. v1'!BC:BC=B616)),0),
      IFERROR(MAX(FILTER('REGISTRO PROD. v1'!BV:BV,'REGISTRO PROD. v1'!BT:BT=B616)),0)
    )&gt;=F616,
    ""SI"",
    ""EN PROCESO""
  )
)
"),"NO")</f>
        <v>NO</v>
      </c>
      <c r="F616" s="132" t="s">
        <v>65</v>
      </c>
    </row>
    <row r="617" spans="2:6" ht="15" x14ac:dyDescent="0.25">
      <c r="B617" s="131">
        <v>614</v>
      </c>
      <c r="C617" s="131">
        <v>2016</v>
      </c>
      <c r="D617" s="131" t="s">
        <v>107</v>
      </c>
      <c r="E617" s="131" t="str">
        <f ca="1">IFERROR(__xludf.DUMMYFUNCTION("IF(
  MAX(
    IFERROR(MAX(FILTER('REGISTRO PROD. v1'!F:F,'REGISTRO PROD. v1'!D:D=B617)),0),
    IFERROR(MAX(FILTER('REGISTRO PROD. v1'!W:W,'REGISTRO PROD. v1'!U:U=B617)),0),
    IFERROR(MAX(FILTER('REGISTRO PROD. v1'!AN:AN,'REGISTRO PROD. v1'!AL:AL=B617)"&amp;"),0),
    IFERROR(MAX(FILTER('REGISTRO PROD. v1'!BE:BE,'REGISTRO PROD. v1'!BC:BC=B617)),0),
    IFERROR(MAX(FILTER('REGISTRO PROD. v1'!BV:BV,'REGISTRO PROD. v1'!BT:BT=B617)),0)
  )=0,
  ""NO"",
  IF(
    MAX(
      IFERROR(MAX(FILTER('REGISTRO PROD. v1'!F"&amp;":F,'REGISTRO PROD. v1'!D:D=B617)),0),
      IFERROR(MAX(FILTER('REGISTRO PROD. v1'!W:W,'REGISTRO PROD. v1'!U:U=B617)),0),
      IFERROR(MAX(FILTER('REGISTRO PROD. v1'!AN:AN,'REGISTRO PROD. v1'!AL:AL=B617)),0),
      IFERROR(MAX(FILTER('REGISTRO PROD. v1'!"&amp;"BE:BE,'REGISTRO PROD. v1'!BC:BC=B617)),0),
      IFERROR(MAX(FILTER('REGISTRO PROD. v1'!BV:BV,'REGISTRO PROD. v1'!BT:BT=B617)),0)
    )&gt;=F617,
    ""SI"",
    ""EN PROCESO""
  )
)
"),"NO")</f>
        <v>NO</v>
      </c>
      <c r="F617" s="132" t="s">
        <v>65</v>
      </c>
    </row>
    <row r="618" spans="2:6" ht="15" x14ac:dyDescent="0.25">
      <c r="B618" s="131">
        <v>615</v>
      </c>
      <c r="C618" s="131">
        <v>2016</v>
      </c>
      <c r="D618" s="131" t="s">
        <v>108</v>
      </c>
      <c r="E618" s="131" t="str">
        <f ca="1">IFERROR(__xludf.DUMMYFUNCTION("IF(
  MAX(
    IFERROR(MAX(FILTER('REGISTRO PROD. v1'!F:F,'REGISTRO PROD. v1'!D:D=B618)),0),
    IFERROR(MAX(FILTER('REGISTRO PROD. v1'!W:W,'REGISTRO PROD. v1'!U:U=B618)),0),
    IFERROR(MAX(FILTER('REGISTRO PROD. v1'!AN:AN,'REGISTRO PROD. v1'!AL:AL=B618)"&amp;"),0),
    IFERROR(MAX(FILTER('REGISTRO PROD. v1'!BE:BE,'REGISTRO PROD. v1'!BC:BC=B618)),0),
    IFERROR(MAX(FILTER('REGISTRO PROD. v1'!BV:BV,'REGISTRO PROD. v1'!BT:BT=B618)),0)
  )=0,
  ""NO"",
  IF(
    MAX(
      IFERROR(MAX(FILTER('REGISTRO PROD. v1'!F"&amp;":F,'REGISTRO PROD. v1'!D:D=B618)),0),
      IFERROR(MAX(FILTER('REGISTRO PROD. v1'!W:W,'REGISTRO PROD. v1'!U:U=B618)),0),
      IFERROR(MAX(FILTER('REGISTRO PROD. v1'!AN:AN,'REGISTRO PROD. v1'!AL:AL=B618)),0),
      IFERROR(MAX(FILTER('REGISTRO PROD. v1'!"&amp;"BE:BE,'REGISTRO PROD. v1'!BC:BC=B618)),0),
      IFERROR(MAX(FILTER('REGISTRO PROD. v1'!BV:BV,'REGISTRO PROD. v1'!BT:BT=B618)),0)
    )&gt;=F618,
    ""SI"",
    ""EN PROCESO""
  )
)
"),"NO")</f>
        <v>NO</v>
      </c>
      <c r="F618" s="132" t="s">
        <v>65</v>
      </c>
    </row>
    <row r="619" spans="2:6" ht="15" x14ac:dyDescent="0.25">
      <c r="B619" s="131">
        <v>616</v>
      </c>
      <c r="C619" s="131">
        <v>2016</v>
      </c>
      <c r="D619" s="131" t="s">
        <v>109</v>
      </c>
      <c r="E619" s="131" t="str">
        <f ca="1">IFERROR(__xludf.DUMMYFUNCTION("IF(
  MAX(
    IFERROR(MAX(FILTER('REGISTRO PROD. v1'!F:F,'REGISTRO PROD. v1'!D:D=B619)),0),
    IFERROR(MAX(FILTER('REGISTRO PROD. v1'!W:W,'REGISTRO PROD. v1'!U:U=B619)),0),
    IFERROR(MAX(FILTER('REGISTRO PROD. v1'!AN:AN,'REGISTRO PROD. v1'!AL:AL=B619)"&amp;"),0),
    IFERROR(MAX(FILTER('REGISTRO PROD. v1'!BE:BE,'REGISTRO PROD. v1'!BC:BC=B619)),0),
    IFERROR(MAX(FILTER('REGISTRO PROD. v1'!BV:BV,'REGISTRO PROD. v1'!BT:BT=B619)),0)
  )=0,
  ""NO"",
  IF(
    MAX(
      IFERROR(MAX(FILTER('REGISTRO PROD. v1'!F"&amp;":F,'REGISTRO PROD. v1'!D:D=B619)),0),
      IFERROR(MAX(FILTER('REGISTRO PROD. v1'!W:W,'REGISTRO PROD. v1'!U:U=B619)),0),
      IFERROR(MAX(FILTER('REGISTRO PROD. v1'!AN:AN,'REGISTRO PROD. v1'!AL:AL=B619)),0),
      IFERROR(MAX(FILTER('REGISTRO PROD. v1'!"&amp;"BE:BE,'REGISTRO PROD. v1'!BC:BC=B619)),0),
      IFERROR(MAX(FILTER('REGISTRO PROD. v1'!BV:BV,'REGISTRO PROD. v1'!BT:BT=B619)),0)
    )&gt;=F619,
    ""SI"",
    ""EN PROCESO""
  )
)
"),"NO")</f>
        <v>NO</v>
      </c>
      <c r="F619" s="132" t="s">
        <v>65</v>
      </c>
    </row>
    <row r="620" spans="2:6" ht="15" x14ac:dyDescent="0.25">
      <c r="B620" s="131">
        <v>617</v>
      </c>
      <c r="C620" s="131">
        <v>2016</v>
      </c>
      <c r="D620" s="131" t="s">
        <v>110</v>
      </c>
      <c r="E620" s="131" t="str">
        <f ca="1">IFERROR(__xludf.DUMMYFUNCTION("IF(
  MAX(
    IFERROR(MAX(FILTER('REGISTRO PROD. v1'!F:F,'REGISTRO PROD. v1'!D:D=B620)),0),
    IFERROR(MAX(FILTER('REGISTRO PROD. v1'!W:W,'REGISTRO PROD. v1'!U:U=B620)),0),
    IFERROR(MAX(FILTER('REGISTRO PROD. v1'!AN:AN,'REGISTRO PROD. v1'!AL:AL=B620)"&amp;"),0),
    IFERROR(MAX(FILTER('REGISTRO PROD. v1'!BE:BE,'REGISTRO PROD. v1'!BC:BC=B620)),0),
    IFERROR(MAX(FILTER('REGISTRO PROD. v1'!BV:BV,'REGISTRO PROD. v1'!BT:BT=B620)),0)
  )=0,
  ""NO"",
  IF(
    MAX(
      IFERROR(MAX(FILTER('REGISTRO PROD. v1'!F"&amp;":F,'REGISTRO PROD. v1'!D:D=B620)),0),
      IFERROR(MAX(FILTER('REGISTRO PROD. v1'!W:W,'REGISTRO PROD. v1'!U:U=B620)),0),
      IFERROR(MAX(FILTER('REGISTRO PROD. v1'!AN:AN,'REGISTRO PROD. v1'!AL:AL=B620)),0),
      IFERROR(MAX(FILTER('REGISTRO PROD. v1'!"&amp;"BE:BE,'REGISTRO PROD. v1'!BC:BC=B620)),0),
      IFERROR(MAX(FILTER('REGISTRO PROD. v1'!BV:BV,'REGISTRO PROD. v1'!BT:BT=B620)),0)
    )&gt;=F620,
    ""SI"",
    ""EN PROCESO""
  )
)
"),"NO")</f>
        <v>NO</v>
      </c>
      <c r="F620" s="132" t="s">
        <v>65</v>
      </c>
    </row>
    <row r="621" spans="2:6" ht="15" x14ac:dyDescent="0.25">
      <c r="B621" s="131">
        <v>618</v>
      </c>
      <c r="C621" s="131">
        <v>2016</v>
      </c>
      <c r="D621" s="131" t="s">
        <v>111</v>
      </c>
      <c r="E621" s="131" t="str">
        <f ca="1">IFERROR(__xludf.DUMMYFUNCTION("IF(
  MAX(
    IFERROR(MAX(FILTER('REGISTRO PROD. v1'!F:F,'REGISTRO PROD. v1'!D:D=B621)),0),
    IFERROR(MAX(FILTER('REGISTRO PROD. v1'!W:W,'REGISTRO PROD. v1'!U:U=B621)),0),
    IFERROR(MAX(FILTER('REGISTRO PROD. v1'!AN:AN,'REGISTRO PROD. v1'!AL:AL=B621)"&amp;"),0),
    IFERROR(MAX(FILTER('REGISTRO PROD. v1'!BE:BE,'REGISTRO PROD. v1'!BC:BC=B621)),0),
    IFERROR(MAX(FILTER('REGISTRO PROD. v1'!BV:BV,'REGISTRO PROD. v1'!BT:BT=B621)),0)
  )=0,
  ""NO"",
  IF(
    MAX(
      IFERROR(MAX(FILTER('REGISTRO PROD. v1'!F"&amp;":F,'REGISTRO PROD. v1'!D:D=B621)),0),
      IFERROR(MAX(FILTER('REGISTRO PROD. v1'!W:W,'REGISTRO PROD. v1'!U:U=B621)),0),
      IFERROR(MAX(FILTER('REGISTRO PROD. v1'!AN:AN,'REGISTRO PROD. v1'!AL:AL=B621)),0),
      IFERROR(MAX(FILTER('REGISTRO PROD. v1'!"&amp;"BE:BE,'REGISTRO PROD. v1'!BC:BC=B621)),0),
      IFERROR(MAX(FILTER('REGISTRO PROD. v1'!BV:BV,'REGISTRO PROD. v1'!BT:BT=B621)),0)
    )&gt;=F621,
    ""SI"",
    ""EN PROCESO""
  )
)
"),"NO")</f>
        <v>NO</v>
      </c>
      <c r="F621" s="132" t="s">
        <v>65</v>
      </c>
    </row>
    <row r="622" spans="2:6" ht="15" x14ac:dyDescent="0.25">
      <c r="B622" s="131">
        <v>619</v>
      </c>
      <c r="C622" s="131">
        <v>2016</v>
      </c>
      <c r="D622" s="131" t="s">
        <v>112</v>
      </c>
      <c r="E622" s="131" t="str">
        <f ca="1">IFERROR(__xludf.DUMMYFUNCTION("IF(
  MAX(
    IFERROR(MAX(FILTER('REGISTRO PROD. v1'!F:F,'REGISTRO PROD. v1'!D:D=B622)),0),
    IFERROR(MAX(FILTER('REGISTRO PROD. v1'!W:W,'REGISTRO PROD. v1'!U:U=B622)),0),
    IFERROR(MAX(FILTER('REGISTRO PROD. v1'!AN:AN,'REGISTRO PROD. v1'!AL:AL=B622)"&amp;"),0),
    IFERROR(MAX(FILTER('REGISTRO PROD. v1'!BE:BE,'REGISTRO PROD. v1'!BC:BC=B622)),0),
    IFERROR(MAX(FILTER('REGISTRO PROD. v1'!BV:BV,'REGISTRO PROD. v1'!BT:BT=B622)),0)
  )=0,
  ""NO"",
  IF(
    MAX(
      IFERROR(MAX(FILTER('REGISTRO PROD. v1'!F"&amp;":F,'REGISTRO PROD. v1'!D:D=B622)),0),
      IFERROR(MAX(FILTER('REGISTRO PROD. v1'!W:W,'REGISTRO PROD. v1'!U:U=B622)),0),
      IFERROR(MAX(FILTER('REGISTRO PROD. v1'!AN:AN,'REGISTRO PROD. v1'!AL:AL=B622)),0),
      IFERROR(MAX(FILTER('REGISTRO PROD. v1'!"&amp;"BE:BE,'REGISTRO PROD. v1'!BC:BC=B622)),0),
      IFERROR(MAX(FILTER('REGISTRO PROD. v1'!BV:BV,'REGISTRO PROD. v1'!BT:BT=B622)),0)
    )&gt;=F622,
    ""SI"",
    ""EN PROCESO""
  )
)
"),"NO")</f>
        <v>NO</v>
      </c>
      <c r="F622" s="132" t="s">
        <v>65</v>
      </c>
    </row>
    <row r="623" spans="2:6" ht="15" x14ac:dyDescent="0.25">
      <c r="B623" s="131">
        <v>620</v>
      </c>
      <c r="C623" s="131">
        <v>2016</v>
      </c>
      <c r="D623" s="131" t="s">
        <v>113</v>
      </c>
      <c r="E623" s="131" t="str">
        <f ca="1">IFERROR(__xludf.DUMMYFUNCTION("IF(
  MAX(
    IFERROR(MAX(FILTER('REGISTRO PROD. v1'!F:F,'REGISTRO PROD. v1'!D:D=B623)),0),
    IFERROR(MAX(FILTER('REGISTRO PROD. v1'!W:W,'REGISTRO PROD. v1'!U:U=B623)),0),
    IFERROR(MAX(FILTER('REGISTRO PROD. v1'!AN:AN,'REGISTRO PROD. v1'!AL:AL=B623)"&amp;"),0),
    IFERROR(MAX(FILTER('REGISTRO PROD. v1'!BE:BE,'REGISTRO PROD. v1'!BC:BC=B623)),0),
    IFERROR(MAX(FILTER('REGISTRO PROD. v1'!BV:BV,'REGISTRO PROD. v1'!BT:BT=B623)),0)
  )=0,
  ""NO"",
  IF(
    MAX(
      IFERROR(MAX(FILTER('REGISTRO PROD. v1'!F"&amp;":F,'REGISTRO PROD. v1'!D:D=B623)),0),
      IFERROR(MAX(FILTER('REGISTRO PROD. v1'!W:W,'REGISTRO PROD. v1'!U:U=B623)),0),
      IFERROR(MAX(FILTER('REGISTRO PROD. v1'!AN:AN,'REGISTRO PROD. v1'!AL:AL=B623)),0),
      IFERROR(MAX(FILTER('REGISTRO PROD. v1'!"&amp;"BE:BE,'REGISTRO PROD. v1'!BC:BC=B623)),0),
      IFERROR(MAX(FILTER('REGISTRO PROD. v1'!BV:BV,'REGISTRO PROD. v1'!BT:BT=B623)),0)
    )&gt;=F623,
    ""SI"",
    ""EN PROCESO""
  )
)
"),"NO")</f>
        <v>NO</v>
      </c>
      <c r="F623" s="132" t="s">
        <v>65</v>
      </c>
    </row>
    <row r="624" spans="2:6" ht="15" x14ac:dyDescent="0.25">
      <c r="B624" s="131">
        <v>621</v>
      </c>
      <c r="C624" s="131">
        <v>2016</v>
      </c>
      <c r="D624" s="131" t="s">
        <v>114</v>
      </c>
      <c r="E624" s="131" t="str">
        <f ca="1">IFERROR(__xludf.DUMMYFUNCTION("IF(
  MAX(
    IFERROR(MAX(FILTER('REGISTRO PROD. v1'!F:F,'REGISTRO PROD. v1'!D:D=B624)),0),
    IFERROR(MAX(FILTER('REGISTRO PROD. v1'!W:W,'REGISTRO PROD. v1'!U:U=B624)),0),
    IFERROR(MAX(FILTER('REGISTRO PROD. v1'!AN:AN,'REGISTRO PROD. v1'!AL:AL=B624)"&amp;"),0),
    IFERROR(MAX(FILTER('REGISTRO PROD. v1'!BE:BE,'REGISTRO PROD. v1'!BC:BC=B624)),0),
    IFERROR(MAX(FILTER('REGISTRO PROD. v1'!BV:BV,'REGISTRO PROD. v1'!BT:BT=B624)),0)
  )=0,
  ""NO"",
  IF(
    MAX(
      IFERROR(MAX(FILTER('REGISTRO PROD. v1'!F"&amp;":F,'REGISTRO PROD. v1'!D:D=B624)),0),
      IFERROR(MAX(FILTER('REGISTRO PROD. v1'!W:W,'REGISTRO PROD. v1'!U:U=B624)),0),
      IFERROR(MAX(FILTER('REGISTRO PROD. v1'!AN:AN,'REGISTRO PROD. v1'!AL:AL=B624)),0),
      IFERROR(MAX(FILTER('REGISTRO PROD. v1'!"&amp;"BE:BE,'REGISTRO PROD. v1'!BC:BC=B624)),0),
      IFERROR(MAX(FILTER('REGISTRO PROD. v1'!BV:BV,'REGISTRO PROD. v1'!BT:BT=B624)),0)
    )&gt;=F624,
    ""SI"",
    ""EN PROCESO""
  )
)
"),"NO")</f>
        <v>NO</v>
      </c>
      <c r="F624" s="132" t="s">
        <v>65</v>
      </c>
    </row>
    <row r="625" spans="2:6" ht="15" x14ac:dyDescent="0.25">
      <c r="B625" s="131">
        <v>622</v>
      </c>
      <c r="C625" s="131">
        <v>2016</v>
      </c>
      <c r="D625" s="131" t="s">
        <v>115</v>
      </c>
      <c r="E625" s="131" t="str">
        <f ca="1">IFERROR(__xludf.DUMMYFUNCTION("IF(
  MAX(
    IFERROR(MAX(FILTER('REGISTRO PROD. v1'!F:F,'REGISTRO PROD. v1'!D:D=B625)),0),
    IFERROR(MAX(FILTER('REGISTRO PROD. v1'!W:W,'REGISTRO PROD. v1'!U:U=B625)),0),
    IFERROR(MAX(FILTER('REGISTRO PROD. v1'!AN:AN,'REGISTRO PROD. v1'!AL:AL=B625)"&amp;"),0),
    IFERROR(MAX(FILTER('REGISTRO PROD. v1'!BE:BE,'REGISTRO PROD. v1'!BC:BC=B625)),0),
    IFERROR(MAX(FILTER('REGISTRO PROD. v1'!BV:BV,'REGISTRO PROD. v1'!BT:BT=B625)),0)
  )=0,
  ""NO"",
  IF(
    MAX(
      IFERROR(MAX(FILTER('REGISTRO PROD. v1'!F"&amp;":F,'REGISTRO PROD. v1'!D:D=B625)),0),
      IFERROR(MAX(FILTER('REGISTRO PROD. v1'!W:W,'REGISTRO PROD. v1'!U:U=B625)),0),
      IFERROR(MAX(FILTER('REGISTRO PROD. v1'!AN:AN,'REGISTRO PROD. v1'!AL:AL=B625)),0),
      IFERROR(MAX(FILTER('REGISTRO PROD. v1'!"&amp;"BE:BE,'REGISTRO PROD. v1'!BC:BC=B625)),0),
      IFERROR(MAX(FILTER('REGISTRO PROD. v1'!BV:BV,'REGISTRO PROD. v1'!BT:BT=B625)),0)
    )&gt;=F625,
    ""SI"",
    ""EN PROCESO""
  )
)
"),"NO")</f>
        <v>NO</v>
      </c>
      <c r="F625" s="132" t="s">
        <v>65</v>
      </c>
    </row>
    <row r="626" spans="2:6" ht="15" x14ac:dyDescent="0.25">
      <c r="B626" s="131">
        <v>623</v>
      </c>
      <c r="C626" s="131">
        <v>2016</v>
      </c>
      <c r="D626" s="131" t="s">
        <v>116</v>
      </c>
      <c r="E626" s="131" t="str">
        <f ca="1">IFERROR(__xludf.DUMMYFUNCTION("IF(
  MAX(
    IFERROR(MAX(FILTER('REGISTRO PROD. v1'!F:F,'REGISTRO PROD. v1'!D:D=B626)),0),
    IFERROR(MAX(FILTER('REGISTRO PROD. v1'!W:W,'REGISTRO PROD. v1'!U:U=B626)),0),
    IFERROR(MAX(FILTER('REGISTRO PROD. v1'!AN:AN,'REGISTRO PROD. v1'!AL:AL=B626)"&amp;"),0),
    IFERROR(MAX(FILTER('REGISTRO PROD. v1'!BE:BE,'REGISTRO PROD. v1'!BC:BC=B626)),0),
    IFERROR(MAX(FILTER('REGISTRO PROD. v1'!BV:BV,'REGISTRO PROD. v1'!BT:BT=B626)),0)
  )=0,
  ""NO"",
  IF(
    MAX(
      IFERROR(MAX(FILTER('REGISTRO PROD. v1'!F"&amp;":F,'REGISTRO PROD. v1'!D:D=B626)),0),
      IFERROR(MAX(FILTER('REGISTRO PROD. v1'!W:W,'REGISTRO PROD. v1'!U:U=B626)),0),
      IFERROR(MAX(FILTER('REGISTRO PROD. v1'!AN:AN,'REGISTRO PROD. v1'!AL:AL=B626)),0),
      IFERROR(MAX(FILTER('REGISTRO PROD. v1'!"&amp;"BE:BE,'REGISTRO PROD. v1'!BC:BC=B626)),0),
      IFERROR(MAX(FILTER('REGISTRO PROD. v1'!BV:BV,'REGISTRO PROD. v1'!BT:BT=B626)),0)
    )&gt;=F626,
    ""SI"",
    ""EN PROCESO""
  )
)
"),"NO")</f>
        <v>NO</v>
      </c>
      <c r="F626" s="132" t="s">
        <v>65</v>
      </c>
    </row>
    <row r="627" spans="2:6" ht="15" x14ac:dyDescent="0.25">
      <c r="B627" s="131">
        <v>624</v>
      </c>
      <c r="C627" s="131">
        <v>2016</v>
      </c>
      <c r="D627" s="131" t="s">
        <v>117</v>
      </c>
      <c r="E627" s="131" t="str">
        <f ca="1">IFERROR(__xludf.DUMMYFUNCTION("IF(
  MAX(
    IFERROR(MAX(FILTER('REGISTRO PROD. v1'!F:F,'REGISTRO PROD. v1'!D:D=B627)),0),
    IFERROR(MAX(FILTER('REGISTRO PROD. v1'!W:W,'REGISTRO PROD. v1'!U:U=B627)),0),
    IFERROR(MAX(FILTER('REGISTRO PROD. v1'!AN:AN,'REGISTRO PROD. v1'!AL:AL=B627)"&amp;"),0),
    IFERROR(MAX(FILTER('REGISTRO PROD. v1'!BE:BE,'REGISTRO PROD. v1'!BC:BC=B627)),0),
    IFERROR(MAX(FILTER('REGISTRO PROD. v1'!BV:BV,'REGISTRO PROD. v1'!BT:BT=B627)),0)
  )=0,
  ""NO"",
  IF(
    MAX(
      IFERROR(MAX(FILTER('REGISTRO PROD. v1'!F"&amp;":F,'REGISTRO PROD. v1'!D:D=B627)),0),
      IFERROR(MAX(FILTER('REGISTRO PROD. v1'!W:W,'REGISTRO PROD. v1'!U:U=B627)),0),
      IFERROR(MAX(FILTER('REGISTRO PROD. v1'!AN:AN,'REGISTRO PROD. v1'!AL:AL=B627)),0),
      IFERROR(MAX(FILTER('REGISTRO PROD. v1'!"&amp;"BE:BE,'REGISTRO PROD. v1'!BC:BC=B627)),0),
      IFERROR(MAX(FILTER('REGISTRO PROD. v1'!BV:BV,'REGISTRO PROD. v1'!BT:BT=B627)),0)
    )&gt;=F627,
    ""SI"",
    ""EN PROCESO""
  )
)
"),"NO")</f>
        <v>NO</v>
      </c>
      <c r="F627" s="132" t="s">
        <v>65</v>
      </c>
    </row>
    <row r="628" spans="2:6" ht="15" x14ac:dyDescent="0.25">
      <c r="B628" s="131">
        <v>625</v>
      </c>
      <c r="C628" s="131">
        <v>2016</v>
      </c>
      <c r="D628" s="131" t="s">
        <v>118</v>
      </c>
      <c r="E628" s="131" t="str">
        <f ca="1">IFERROR(__xludf.DUMMYFUNCTION("IF(
  MAX(
    IFERROR(MAX(FILTER('REGISTRO PROD. v1'!F:F,'REGISTRO PROD. v1'!D:D=B628)),0),
    IFERROR(MAX(FILTER('REGISTRO PROD. v1'!W:W,'REGISTRO PROD. v1'!U:U=B628)),0),
    IFERROR(MAX(FILTER('REGISTRO PROD. v1'!AN:AN,'REGISTRO PROD. v1'!AL:AL=B628)"&amp;"),0),
    IFERROR(MAX(FILTER('REGISTRO PROD. v1'!BE:BE,'REGISTRO PROD. v1'!BC:BC=B628)),0),
    IFERROR(MAX(FILTER('REGISTRO PROD. v1'!BV:BV,'REGISTRO PROD. v1'!BT:BT=B628)),0)
  )=0,
  ""NO"",
  IF(
    MAX(
      IFERROR(MAX(FILTER('REGISTRO PROD. v1'!F"&amp;":F,'REGISTRO PROD. v1'!D:D=B628)),0),
      IFERROR(MAX(FILTER('REGISTRO PROD. v1'!W:W,'REGISTRO PROD. v1'!U:U=B628)),0),
      IFERROR(MAX(FILTER('REGISTRO PROD. v1'!AN:AN,'REGISTRO PROD. v1'!AL:AL=B628)),0),
      IFERROR(MAX(FILTER('REGISTRO PROD. v1'!"&amp;"BE:BE,'REGISTRO PROD. v1'!BC:BC=B628)),0),
      IFERROR(MAX(FILTER('REGISTRO PROD. v1'!BV:BV,'REGISTRO PROD. v1'!BT:BT=B628)),0)
    )&gt;=F628,
    ""SI"",
    ""EN PROCESO""
  )
)
"),"NO")</f>
        <v>NO</v>
      </c>
      <c r="F628" s="132" t="s">
        <v>65</v>
      </c>
    </row>
    <row r="629" spans="2:6" ht="15" x14ac:dyDescent="0.25">
      <c r="B629" s="131">
        <v>626</v>
      </c>
      <c r="C629" s="131">
        <v>2016</v>
      </c>
      <c r="D629" s="131" t="s">
        <v>119</v>
      </c>
      <c r="E629" s="131" t="str">
        <f ca="1">IFERROR(__xludf.DUMMYFUNCTION("IF(
  MAX(
    IFERROR(MAX(FILTER('REGISTRO PROD. v1'!F:F,'REGISTRO PROD. v1'!D:D=B629)),0),
    IFERROR(MAX(FILTER('REGISTRO PROD. v1'!W:W,'REGISTRO PROD. v1'!U:U=B629)),0),
    IFERROR(MAX(FILTER('REGISTRO PROD. v1'!AN:AN,'REGISTRO PROD. v1'!AL:AL=B629)"&amp;"),0),
    IFERROR(MAX(FILTER('REGISTRO PROD. v1'!BE:BE,'REGISTRO PROD. v1'!BC:BC=B629)),0),
    IFERROR(MAX(FILTER('REGISTRO PROD. v1'!BV:BV,'REGISTRO PROD. v1'!BT:BT=B629)),0)
  )=0,
  ""NO"",
  IF(
    MAX(
      IFERROR(MAX(FILTER('REGISTRO PROD. v1'!F"&amp;":F,'REGISTRO PROD. v1'!D:D=B629)),0),
      IFERROR(MAX(FILTER('REGISTRO PROD. v1'!W:W,'REGISTRO PROD. v1'!U:U=B629)),0),
      IFERROR(MAX(FILTER('REGISTRO PROD. v1'!AN:AN,'REGISTRO PROD. v1'!AL:AL=B629)),0),
      IFERROR(MAX(FILTER('REGISTRO PROD. v1'!"&amp;"BE:BE,'REGISTRO PROD. v1'!BC:BC=B629)),0),
      IFERROR(MAX(FILTER('REGISTRO PROD. v1'!BV:BV,'REGISTRO PROD. v1'!BT:BT=B629)),0)
    )&gt;=F629,
    ""SI"",
    ""EN PROCESO""
  )
)
"),"NO")</f>
        <v>NO</v>
      </c>
      <c r="F629" s="132" t="s">
        <v>65</v>
      </c>
    </row>
    <row r="630" spans="2:6" ht="15" x14ac:dyDescent="0.25">
      <c r="B630" s="131">
        <v>627</v>
      </c>
      <c r="C630" s="131">
        <v>2016</v>
      </c>
      <c r="D630" s="131" t="s">
        <v>178</v>
      </c>
      <c r="E630" s="131" t="str">
        <f ca="1">IFERROR(__xludf.DUMMYFUNCTION("IF(
  MAX(
    IFERROR(MAX(FILTER('REGISTRO PROD. v1'!F:F,'REGISTRO PROD. v1'!D:D=B630)),0),
    IFERROR(MAX(FILTER('REGISTRO PROD. v1'!W:W,'REGISTRO PROD. v1'!U:U=B630)),0),
    IFERROR(MAX(FILTER('REGISTRO PROD. v1'!AN:AN,'REGISTRO PROD. v1'!AL:AL=B630)"&amp;"),0),
    IFERROR(MAX(FILTER('REGISTRO PROD. v1'!BE:BE,'REGISTRO PROD. v1'!BC:BC=B630)),0),
    IFERROR(MAX(FILTER('REGISTRO PROD. v1'!BV:BV,'REGISTRO PROD. v1'!BT:BT=B630)),0)
  )=0,
  ""NO"",
  IF(
    MAX(
      IFERROR(MAX(FILTER('REGISTRO PROD. v1'!F"&amp;":F,'REGISTRO PROD. v1'!D:D=B630)),0),
      IFERROR(MAX(FILTER('REGISTRO PROD. v1'!W:W,'REGISTRO PROD. v1'!U:U=B630)),0),
      IFERROR(MAX(FILTER('REGISTRO PROD. v1'!AN:AN,'REGISTRO PROD. v1'!AL:AL=B630)),0),
      IFERROR(MAX(FILTER('REGISTRO PROD. v1'!"&amp;"BE:BE,'REGISTRO PROD. v1'!BC:BC=B630)),0),
      IFERROR(MAX(FILTER('REGISTRO PROD. v1'!BV:BV,'REGISTRO PROD. v1'!BT:BT=B630)),0)
    )&gt;=F630,
    ""SI"",
    ""EN PROCESO""
  )
)
"),"NO")</f>
        <v>NO</v>
      </c>
      <c r="F630" s="132" t="s">
        <v>65</v>
      </c>
    </row>
    <row r="631" spans="2:6" ht="15" x14ac:dyDescent="0.25">
      <c r="B631" s="131">
        <v>628</v>
      </c>
      <c r="C631" s="131">
        <v>2017</v>
      </c>
      <c r="D631" s="131" t="s">
        <v>64</v>
      </c>
      <c r="E631" s="131" t="str">
        <f ca="1">IFERROR(__xludf.DUMMYFUNCTION("IF(
  MAX(
    IFERROR(MAX(FILTER('REGISTRO PROD. v1'!F:F,'REGISTRO PROD. v1'!D:D=B631)),0),
    IFERROR(MAX(FILTER('REGISTRO PROD. v1'!W:W,'REGISTRO PROD. v1'!U:U=B631)),0),
    IFERROR(MAX(FILTER('REGISTRO PROD. v1'!AN:AN,'REGISTRO PROD. v1'!AL:AL=B631)"&amp;"),0),
    IFERROR(MAX(FILTER('REGISTRO PROD. v1'!BE:BE,'REGISTRO PROD. v1'!BC:BC=B631)),0),
    IFERROR(MAX(FILTER('REGISTRO PROD. v1'!BV:BV,'REGISTRO PROD. v1'!BT:BT=B631)),0)
  )=0,
  ""NO"",
  IF(
    MAX(
      IFERROR(MAX(FILTER('REGISTRO PROD. v1'!F"&amp;":F,'REGISTRO PROD. v1'!D:D=B631)),0),
      IFERROR(MAX(FILTER('REGISTRO PROD. v1'!W:W,'REGISTRO PROD. v1'!U:U=B631)),0),
      IFERROR(MAX(FILTER('REGISTRO PROD. v1'!AN:AN,'REGISTRO PROD. v1'!AL:AL=B631)),0),
      IFERROR(MAX(FILTER('REGISTRO PROD. v1'!"&amp;"BE:BE,'REGISTRO PROD. v1'!BC:BC=B631)),0),
      IFERROR(MAX(FILTER('REGISTRO PROD. v1'!BV:BV,'REGISTRO PROD. v1'!BT:BT=B631)),0)
    )&gt;=F631,
    ""SI"",
    ""EN PROCESO""
  )
)
"),"NO")</f>
        <v>NO</v>
      </c>
      <c r="F631" s="132" t="s">
        <v>65</v>
      </c>
    </row>
    <row r="632" spans="2:6" ht="15" x14ac:dyDescent="0.25">
      <c r="B632" s="131">
        <v>629</v>
      </c>
      <c r="C632" s="131">
        <v>2017</v>
      </c>
      <c r="D632" s="131" t="s">
        <v>66</v>
      </c>
      <c r="E632" s="131" t="str">
        <f ca="1">IFERROR(__xludf.DUMMYFUNCTION("IF(
  MAX(
    IFERROR(MAX(FILTER('REGISTRO PROD. v1'!F:F,'REGISTRO PROD. v1'!D:D=B632)),0),
    IFERROR(MAX(FILTER('REGISTRO PROD. v1'!W:W,'REGISTRO PROD. v1'!U:U=B632)),0),
    IFERROR(MAX(FILTER('REGISTRO PROD. v1'!AN:AN,'REGISTRO PROD. v1'!AL:AL=B632)"&amp;"),0),
    IFERROR(MAX(FILTER('REGISTRO PROD. v1'!BE:BE,'REGISTRO PROD. v1'!BC:BC=B632)),0),
    IFERROR(MAX(FILTER('REGISTRO PROD. v1'!BV:BV,'REGISTRO PROD. v1'!BT:BT=B632)),0)
  )=0,
  ""NO"",
  IF(
    MAX(
      IFERROR(MAX(FILTER('REGISTRO PROD. v1'!F"&amp;":F,'REGISTRO PROD. v1'!D:D=B632)),0),
      IFERROR(MAX(FILTER('REGISTRO PROD. v1'!W:W,'REGISTRO PROD. v1'!U:U=B632)),0),
      IFERROR(MAX(FILTER('REGISTRO PROD. v1'!AN:AN,'REGISTRO PROD. v1'!AL:AL=B632)),0),
      IFERROR(MAX(FILTER('REGISTRO PROD. v1'!"&amp;"BE:BE,'REGISTRO PROD. v1'!BC:BC=B632)),0),
      IFERROR(MAX(FILTER('REGISTRO PROD. v1'!BV:BV,'REGISTRO PROD. v1'!BT:BT=B632)),0)
    )&gt;=F632,
    ""SI"",
    ""EN PROCESO""
  )
)
"),"NO")</f>
        <v>NO</v>
      </c>
      <c r="F632" s="132" t="s">
        <v>65</v>
      </c>
    </row>
    <row r="633" spans="2:6" ht="15" x14ac:dyDescent="0.25">
      <c r="B633" s="131">
        <v>630</v>
      </c>
      <c r="C633" s="131">
        <v>2017</v>
      </c>
      <c r="D633" s="131" t="s">
        <v>67</v>
      </c>
      <c r="E633" s="131" t="str">
        <f ca="1">IFERROR(__xludf.DUMMYFUNCTION("IF(
  MAX(
    IFERROR(MAX(FILTER('REGISTRO PROD. v1'!F:F,'REGISTRO PROD. v1'!D:D=B633)),0),
    IFERROR(MAX(FILTER('REGISTRO PROD. v1'!W:W,'REGISTRO PROD. v1'!U:U=B633)),0),
    IFERROR(MAX(FILTER('REGISTRO PROD. v1'!AN:AN,'REGISTRO PROD. v1'!AL:AL=B633)"&amp;"),0),
    IFERROR(MAX(FILTER('REGISTRO PROD. v1'!BE:BE,'REGISTRO PROD. v1'!BC:BC=B633)),0),
    IFERROR(MAX(FILTER('REGISTRO PROD. v1'!BV:BV,'REGISTRO PROD. v1'!BT:BT=B633)),0)
  )=0,
  ""NO"",
  IF(
    MAX(
      IFERROR(MAX(FILTER('REGISTRO PROD. v1'!F"&amp;":F,'REGISTRO PROD. v1'!D:D=B633)),0),
      IFERROR(MAX(FILTER('REGISTRO PROD. v1'!W:W,'REGISTRO PROD. v1'!U:U=B633)),0),
      IFERROR(MAX(FILTER('REGISTRO PROD. v1'!AN:AN,'REGISTRO PROD. v1'!AL:AL=B633)),0),
      IFERROR(MAX(FILTER('REGISTRO PROD. v1'!"&amp;"BE:BE,'REGISTRO PROD. v1'!BC:BC=B633)),0),
      IFERROR(MAX(FILTER('REGISTRO PROD. v1'!BV:BV,'REGISTRO PROD. v1'!BT:BT=B633)),0)
    )&gt;=F633,
    ""SI"",
    ""EN PROCESO""
  )
)
"),"NO")</f>
        <v>NO</v>
      </c>
      <c r="F633" s="132" t="s">
        <v>65</v>
      </c>
    </row>
    <row r="634" spans="2:6" ht="15" x14ac:dyDescent="0.25">
      <c r="B634" s="131">
        <v>631</v>
      </c>
      <c r="C634" s="131">
        <v>2017</v>
      </c>
      <c r="D634" s="131" t="s">
        <v>68</v>
      </c>
      <c r="E634" s="131" t="str">
        <f ca="1">IFERROR(__xludf.DUMMYFUNCTION("IF(
  MAX(
    IFERROR(MAX(FILTER('REGISTRO PROD. v1'!F:F,'REGISTRO PROD. v1'!D:D=B634)),0),
    IFERROR(MAX(FILTER('REGISTRO PROD. v1'!W:W,'REGISTRO PROD. v1'!U:U=B634)),0),
    IFERROR(MAX(FILTER('REGISTRO PROD. v1'!AN:AN,'REGISTRO PROD. v1'!AL:AL=B634)"&amp;"),0),
    IFERROR(MAX(FILTER('REGISTRO PROD. v1'!BE:BE,'REGISTRO PROD. v1'!BC:BC=B634)),0),
    IFERROR(MAX(FILTER('REGISTRO PROD. v1'!BV:BV,'REGISTRO PROD. v1'!BT:BT=B634)),0)
  )=0,
  ""NO"",
  IF(
    MAX(
      IFERROR(MAX(FILTER('REGISTRO PROD. v1'!F"&amp;":F,'REGISTRO PROD. v1'!D:D=B634)),0),
      IFERROR(MAX(FILTER('REGISTRO PROD. v1'!W:W,'REGISTRO PROD. v1'!U:U=B634)),0),
      IFERROR(MAX(FILTER('REGISTRO PROD. v1'!AN:AN,'REGISTRO PROD. v1'!AL:AL=B634)),0),
      IFERROR(MAX(FILTER('REGISTRO PROD. v1'!"&amp;"BE:BE,'REGISTRO PROD. v1'!BC:BC=B634)),0),
      IFERROR(MAX(FILTER('REGISTRO PROD. v1'!BV:BV,'REGISTRO PROD. v1'!BT:BT=B634)),0)
    )&gt;=F634,
    ""SI"",
    ""EN PROCESO""
  )
)
"),"NO")</f>
        <v>NO</v>
      </c>
      <c r="F634" s="132" t="s">
        <v>65</v>
      </c>
    </row>
    <row r="635" spans="2:6" ht="15" x14ac:dyDescent="0.25">
      <c r="B635" s="131">
        <v>632</v>
      </c>
      <c r="C635" s="131">
        <v>2017</v>
      </c>
      <c r="D635" s="131" t="s">
        <v>69</v>
      </c>
      <c r="E635" s="131" t="str">
        <f ca="1">IFERROR(__xludf.DUMMYFUNCTION("IF(
  MAX(
    IFERROR(MAX(FILTER('REGISTRO PROD. v1'!F:F,'REGISTRO PROD. v1'!D:D=B635)),0),
    IFERROR(MAX(FILTER('REGISTRO PROD. v1'!W:W,'REGISTRO PROD. v1'!U:U=B635)),0),
    IFERROR(MAX(FILTER('REGISTRO PROD. v1'!AN:AN,'REGISTRO PROD. v1'!AL:AL=B635)"&amp;"),0),
    IFERROR(MAX(FILTER('REGISTRO PROD. v1'!BE:BE,'REGISTRO PROD. v1'!BC:BC=B635)),0),
    IFERROR(MAX(FILTER('REGISTRO PROD. v1'!BV:BV,'REGISTRO PROD. v1'!BT:BT=B635)),0)
  )=0,
  ""NO"",
  IF(
    MAX(
      IFERROR(MAX(FILTER('REGISTRO PROD. v1'!F"&amp;":F,'REGISTRO PROD. v1'!D:D=B635)),0),
      IFERROR(MAX(FILTER('REGISTRO PROD. v1'!W:W,'REGISTRO PROD. v1'!U:U=B635)),0),
      IFERROR(MAX(FILTER('REGISTRO PROD. v1'!AN:AN,'REGISTRO PROD. v1'!AL:AL=B635)),0),
      IFERROR(MAX(FILTER('REGISTRO PROD. v1'!"&amp;"BE:BE,'REGISTRO PROD. v1'!BC:BC=B635)),0),
      IFERROR(MAX(FILTER('REGISTRO PROD. v1'!BV:BV,'REGISTRO PROD. v1'!BT:BT=B635)),0)
    )&gt;=F635,
    ""SI"",
    ""EN PROCESO""
  )
)
"),"NO")</f>
        <v>NO</v>
      </c>
      <c r="F635" s="132" t="s">
        <v>65</v>
      </c>
    </row>
    <row r="636" spans="2:6" ht="15" x14ac:dyDescent="0.25">
      <c r="B636" s="131">
        <v>633</v>
      </c>
      <c r="C636" s="131">
        <v>2017</v>
      </c>
      <c r="D636" s="131" t="s">
        <v>70</v>
      </c>
      <c r="E636" s="131" t="str">
        <f ca="1">IFERROR(__xludf.DUMMYFUNCTION("IF(
  MAX(
    IFERROR(MAX(FILTER('REGISTRO PROD. v1'!F:F,'REGISTRO PROD. v1'!D:D=B636)),0),
    IFERROR(MAX(FILTER('REGISTRO PROD. v1'!W:W,'REGISTRO PROD. v1'!U:U=B636)),0),
    IFERROR(MAX(FILTER('REGISTRO PROD. v1'!AN:AN,'REGISTRO PROD. v1'!AL:AL=B636)"&amp;"),0),
    IFERROR(MAX(FILTER('REGISTRO PROD. v1'!BE:BE,'REGISTRO PROD. v1'!BC:BC=B636)),0),
    IFERROR(MAX(FILTER('REGISTRO PROD. v1'!BV:BV,'REGISTRO PROD. v1'!BT:BT=B636)),0)
  )=0,
  ""NO"",
  IF(
    MAX(
      IFERROR(MAX(FILTER('REGISTRO PROD. v1'!F"&amp;":F,'REGISTRO PROD. v1'!D:D=B636)),0),
      IFERROR(MAX(FILTER('REGISTRO PROD. v1'!W:W,'REGISTRO PROD. v1'!U:U=B636)),0),
      IFERROR(MAX(FILTER('REGISTRO PROD. v1'!AN:AN,'REGISTRO PROD. v1'!AL:AL=B636)),0),
      IFERROR(MAX(FILTER('REGISTRO PROD. v1'!"&amp;"BE:BE,'REGISTRO PROD. v1'!BC:BC=B636)),0),
      IFERROR(MAX(FILTER('REGISTRO PROD. v1'!BV:BV,'REGISTRO PROD. v1'!BT:BT=B636)),0)
    )&gt;=F636,
    ""SI"",
    ""EN PROCESO""
  )
)
"),"NO")</f>
        <v>NO</v>
      </c>
      <c r="F636" s="132" t="s">
        <v>65</v>
      </c>
    </row>
    <row r="637" spans="2:6" ht="15" x14ac:dyDescent="0.25">
      <c r="B637" s="131">
        <v>634</v>
      </c>
      <c r="C637" s="131">
        <v>2017</v>
      </c>
      <c r="D637" s="131" t="s">
        <v>97</v>
      </c>
      <c r="E637" s="131" t="str">
        <f ca="1">IFERROR(__xludf.DUMMYFUNCTION("IF(
  MAX(
    IFERROR(MAX(FILTER('REGISTRO PROD. v1'!F:F,'REGISTRO PROD. v1'!D:D=B637)),0),
    IFERROR(MAX(FILTER('REGISTRO PROD. v1'!W:W,'REGISTRO PROD. v1'!U:U=B637)),0),
    IFERROR(MAX(FILTER('REGISTRO PROD. v1'!AN:AN,'REGISTRO PROD. v1'!AL:AL=B637)"&amp;"),0),
    IFERROR(MAX(FILTER('REGISTRO PROD. v1'!BE:BE,'REGISTRO PROD. v1'!BC:BC=B637)),0),
    IFERROR(MAX(FILTER('REGISTRO PROD. v1'!BV:BV,'REGISTRO PROD. v1'!BT:BT=B637)),0)
  )=0,
  ""NO"",
  IF(
    MAX(
      IFERROR(MAX(FILTER('REGISTRO PROD. v1'!F"&amp;":F,'REGISTRO PROD. v1'!D:D=B637)),0),
      IFERROR(MAX(FILTER('REGISTRO PROD. v1'!W:W,'REGISTRO PROD. v1'!U:U=B637)),0),
      IFERROR(MAX(FILTER('REGISTRO PROD. v1'!AN:AN,'REGISTRO PROD. v1'!AL:AL=B637)),0),
      IFERROR(MAX(FILTER('REGISTRO PROD. v1'!"&amp;"BE:BE,'REGISTRO PROD. v1'!BC:BC=B637)),0),
      IFERROR(MAX(FILTER('REGISTRO PROD. v1'!BV:BV,'REGISTRO PROD. v1'!BT:BT=B637)),0)
    )&gt;=F637,
    ""SI"",
    ""EN PROCESO""
  )
)
"),"NO")</f>
        <v>NO</v>
      </c>
      <c r="F637" s="132" t="s">
        <v>65</v>
      </c>
    </row>
    <row r="638" spans="2:6" ht="15" x14ac:dyDescent="0.25">
      <c r="B638" s="131">
        <v>635</v>
      </c>
      <c r="C638" s="131">
        <v>2017</v>
      </c>
      <c r="D638" s="131" t="s">
        <v>98</v>
      </c>
      <c r="E638" s="131" t="str">
        <f ca="1">IFERROR(__xludf.DUMMYFUNCTION("IF(
  MAX(
    IFERROR(MAX(FILTER('REGISTRO PROD. v1'!F:F,'REGISTRO PROD. v1'!D:D=B638)),0),
    IFERROR(MAX(FILTER('REGISTRO PROD. v1'!W:W,'REGISTRO PROD. v1'!U:U=B638)),0),
    IFERROR(MAX(FILTER('REGISTRO PROD. v1'!AN:AN,'REGISTRO PROD. v1'!AL:AL=B638)"&amp;"),0),
    IFERROR(MAX(FILTER('REGISTRO PROD. v1'!BE:BE,'REGISTRO PROD. v1'!BC:BC=B638)),0),
    IFERROR(MAX(FILTER('REGISTRO PROD. v1'!BV:BV,'REGISTRO PROD. v1'!BT:BT=B638)),0)
  )=0,
  ""NO"",
  IF(
    MAX(
      IFERROR(MAX(FILTER('REGISTRO PROD. v1'!F"&amp;":F,'REGISTRO PROD. v1'!D:D=B638)),0),
      IFERROR(MAX(FILTER('REGISTRO PROD. v1'!W:W,'REGISTRO PROD. v1'!U:U=B638)),0),
      IFERROR(MAX(FILTER('REGISTRO PROD. v1'!AN:AN,'REGISTRO PROD. v1'!AL:AL=B638)),0),
      IFERROR(MAX(FILTER('REGISTRO PROD. v1'!"&amp;"BE:BE,'REGISTRO PROD. v1'!BC:BC=B638)),0),
      IFERROR(MAX(FILTER('REGISTRO PROD. v1'!BV:BV,'REGISTRO PROD. v1'!BT:BT=B638)),0)
    )&gt;=F638,
    ""SI"",
    ""EN PROCESO""
  )
)
"),"NO")</f>
        <v>NO</v>
      </c>
      <c r="F638" s="132" t="s">
        <v>65</v>
      </c>
    </row>
    <row r="639" spans="2:6" ht="15" x14ac:dyDescent="0.25">
      <c r="B639" s="131">
        <v>636</v>
      </c>
      <c r="C639" s="131">
        <v>2017</v>
      </c>
      <c r="D639" s="131" t="s">
        <v>99</v>
      </c>
      <c r="E639" s="131" t="str">
        <f ca="1">IFERROR(__xludf.DUMMYFUNCTION("IF(
  MAX(
    IFERROR(MAX(FILTER('REGISTRO PROD. v1'!F:F,'REGISTRO PROD. v1'!D:D=B639)),0),
    IFERROR(MAX(FILTER('REGISTRO PROD. v1'!W:W,'REGISTRO PROD. v1'!U:U=B639)),0),
    IFERROR(MAX(FILTER('REGISTRO PROD. v1'!AN:AN,'REGISTRO PROD. v1'!AL:AL=B639)"&amp;"),0),
    IFERROR(MAX(FILTER('REGISTRO PROD. v1'!BE:BE,'REGISTRO PROD. v1'!BC:BC=B639)),0),
    IFERROR(MAX(FILTER('REGISTRO PROD. v1'!BV:BV,'REGISTRO PROD. v1'!BT:BT=B639)),0)
  )=0,
  ""NO"",
  IF(
    MAX(
      IFERROR(MAX(FILTER('REGISTRO PROD. v1'!F"&amp;":F,'REGISTRO PROD. v1'!D:D=B639)),0),
      IFERROR(MAX(FILTER('REGISTRO PROD. v1'!W:W,'REGISTRO PROD. v1'!U:U=B639)),0),
      IFERROR(MAX(FILTER('REGISTRO PROD. v1'!AN:AN,'REGISTRO PROD. v1'!AL:AL=B639)),0),
      IFERROR(MAX(FILTER('REGISTRO PROD. v1'!"&amp;"BE:BE,'REGISTRO PROD. v1'!BC:BC=B639)),0),
      IFERROR(MAX(FILTER('REGISTRO PROD. v1'!BV:BV,'REGISTRO PROD. v1'!BT:BT=B639)),0)
    )&gt;=F639,
    ""SI"",
    ""EN PROCESO""
  )
)
"),"NO")</f>
        <v>NO</v>
      </c>
      <c r="F639" s="132" t="s">
        <v>65</v>
      </c>
    </row>
    <row r="640" spans="2:6" ht="15" x14ac:dyDescent="0.25">
      <c r="B640" s="131">
        <v>637</v>
      </c>
      <c r="C640" s="131">
        <v>2017</v>
      </c>
      <c r="D640" s="131" t="s">
        <v>100</v>
      </c>
      <c r="E640" s="131" t="str">
        <f ca="1">IFERROR(__xludf.DUMMYFUNCTION("IF(
  MAX(
    IFERROR(MAX(FILTER('REGISTRO PROD. v1'!F:F,'REGISTRO PROD. v1'!D:D=B640)),0),
    IFERROR(MAX(FILTER('REGISTRO PROD. v1'!W:W,'REGISTRO PROD. v1'!U:U=B640)),0),
    IFERROR(MAX(FILTER('REGISTRO PROD. v1'!AN:AN,'REGISTRO PROD. v1'!AL:AL=B640)"&amp;"),0),
    IFERROR(MAX(FILTER('REGISTRO PROD. v1'!BE:BE,'REGISTRO PROD. v1'!BC:BC=B640)),0),
    IFERROR(MAX(FILTER('REGISTRO PROD. v1'!BV:BV,'REGISTRO PROD. v1'!BT:BT=B640)),0)
  )=0,
  ""NO"",
  IF(
    MAX(
      IFERROR(MAX(FILTER('REGISTRO PROD. v1'!F"&amp;":F,'REGISTRO PROD. v1'!D:D=B640)),0),
      IFERROR(MAX(FILTER('REGISTRO PROD. v1'!W:W,'REGISTRO PROD. v1'!U:U=B640)),0),
      IFERROR(MAX(FILTER('REGISTRO PROD. v1'!AN:AN,'REGISTRO PROD. v1'!AL:AL=B640)),0),
      IFERROR(MAX(FILTER('REGISTRO PROD. v1'!"&amp;"BE:BE,'REGISTRO PROD. v1'!BC:BC=B640)),0),
      IFERROR(MAX(FILTER('REGISTRO PROD. v1'!BV:BV,'REGISTRO PROD. v1'!BT:BT=B640)),0)
    )&gt;=F640,
    ""SI"",
    ""EN PROCESO""
  )
)
"),"NO")</f>
        <v>NO</v>
      </c>
      <c r="F640" s="132" t="s">
        <v>65</v>
      </c>
    </row>
    <row r="641" spans="2:6" ht="15" x14ac:dyDescent="0.25">
      <c r="B641" s="131">
        <v>638</v>
      </c>
      <c r="C641" s="131">
        <v>2017</v>
      </c>
      <c r="D641" s="131" t="s">
        <v>101</v>
      </c>
      <c r="E641" s="131" t="str">
        <f ca="1">IFERROR(__xludf.DUMMYFUNCTION("IF(
  MAX(
    IFERROR(MAX(FILTER('REGISTRO PROD. v1'!F:F,'REGISTRO PROD. v1'!D:D=B641)),0),
    IFERROR(MAX(FILTER('REGISTRO PROD. v1'!W:W,'REGISTRO PROD. v1'!U:U=B641)),0),
    IFERROR(MAX(FILTER('REGISTRO PROD. v1'!AN:AN,'REGISTRO PROD. v1'!AL:AL=B641)"&amp;"),0),
    IFERROR(MAX(FILTER('REGISTRO PROD. v1'!BE:BE,'REGISTRO PROD. v1'!BC:BC=B641)),0),
    IFERROR(MAX(FILTER('REGISTRO PROD. v1'!BV:BV,'REGISTRO PROD. v1'!BT:BT=B641)),0)
  )=0,
  ""NO"",
  IF(
    MAX(
      IFERROR(MAX(FILTER('REGISTRO PROD. v1'!F"&amp;":F,'REGISTRO PROD. v1'!D:D=B641)),0),
      IFERROR(MAX(FILTER('REGISTRO PROD. v1'!W:W,'REGISTRO PROD. v1'!U:U=B641)),0),
      IFERROR(MAX(FILTER('REGISTRO PROD. v1'!AN:AN,'REGISTRO PROD. v1'!AL:AL=B641)),0),
      IFERROR(MAX(FILTER('REGISTRO PROD. v1'!"&amp;"BE:BE,'REGISTRO PROD. v1'!BC:BC=B641)),0),
      IFERROR(MAX(FILTER('REGISTRO PROD. v1'!BV:BV,'REGISTRO PROD. v1'!BT:BT=B641)),0)
    )&gt;=F641,
    ""SI"",
    ""EN PROCESO""
  )
)
"),"NO")</f>
        <v>NO</v>
      </c>
      <c r="F641" s="132" t="s">
        <v>65</v>
      </c>
    </row>
    <row r="642" spans="2:6" ht="15" x14ac:dyDescent="0.25">
      <c r="B642" s="131">
        <v>639</v>
      </c>
      <c r="C642" s="131">
        <v>2017</v>
      </c>
      <c r="D642" s="131" t="s">
        <v>102</v>
      </c>
      <c r="E642" s="131" t="str">
        <f ca="1">IFERROR(__xludf.DUMMYFUNCTION("IF(
  MAX(
    IFERROR(MAX(FILTER('REGISTRO PROD. v1'!F:F,'REGISTRO PROD. v1'!D:D=B642)),0),
    IFERROR(MAX(FILTER('REGISTRO PROD. v1'!W:W,'REGISTRO PROD. v1'!U:U=B642)),0),
    IFERROR(MAX(FILTER('REGISTRO PROD. v1'!AN:AN,'REGISTRO PROD. v1'!AL:AL=B642)"&amp;"),0),
    IFERROR(MAX(FILTER('REGISTRO PROD. v1'!BE:BE,'REGISTRO PROD. v1'!BC:BC=B642)),0),
    IFERROR(MAX(FILTER('REGISTRO PROD. v1'!BV:BV,'REGISTRO PROD. v1'!BT:BT=B642)),0)
  )=0,
  ""NO"",
  IF(
    MAX(
      IFERROR(MAX(FILTER('REGISTRO PROD. v1'!F"&amp;":F,'REGISTRO PROD. v1'!D:D=B642)),0),
      IFERROR(MAX(FILTER('REGISTRO PROD. v1'!W:W,'REGISTRO PROD. v1'!U:U=B642)),0),
      IFERROR(MAX(FILTER('REGISTRO PROD. v1'!AN:AN,'REGISTRO PROD. v1'!AL:AL=B642)),0),
      IFERROR(MAX(FILTER('REGISTRO PROD. v1'!"&amp;"BE:BE,'REGISTRO PROD. v1'!BC:BC=B642)),0),
      IFERROR(MAX(FILTER('REGISTRO PROD. v1'!BV:BV,'REGISTRO PROD. v1'!BT:BT=B642)),0)
    )&gt;=F642,
    ""SI"",
    ""EN PROCESO""
  )
)
"),"NO")</f>
        <v>NO</v>
      </c>
      <c r="F642" s="132" t="s">
        <v>65</v>
      </c>
    </row>
    <row r="643" spans="2:6" ht="15" x14ac:dyDescent="0.25">
      <c r="B643" s="131">
        <v>640</v>
      </c>
      <c r="C643" s="131">
        <v>2017</v>
      </c>
      <c r="D643" s="131" t="s">
        <v>103</v>
      </c>
      <c r="E643" s="131" t="str">
        <f ca="1">IFERROR(__xludf.DUMMYFUNCTION("IF(
  MAX(
    IFERROR(MAX(FILTER('REGISTRO PROD. v1'!F:F,'REGISTRO PROD. v1'!D:D=B643)),0),
    IFERROR(MAX(FILTER('REGISTRO PROD. v1'!W:W,'REGISTRO PROD. v1'!U:U=B643)),0),
    IFERROR(MAX(FILTER('REGISTRO PROD. v1'!AN:AN,'REGISTRO PROD. v1'!AL:AL=B643)"&amp;"),0),
    IFERROR(MAX(FILTER('REGISTRO PROD. v1'!BE:BE,'REGISTRO PROD. v1'!BC:BC=B643)),0),
    IFERROR(MAX(FILTER('REGISTRO PROD. v1'!BV:BV,'REGISTRO PROD. v1'!BT:BT=B643)),0)
  )=0,
  ""NO"",
  IF(
    MAX(
      IFERROR(MAX(FILTER('REGISTRO PROD. v1'!F"&amp;":F,'REGISTRO PROD. v1'!D:D=B643)),0),
      IFERROR(MAX(FILTER('REGISTRO PROD. v1'!W:W,'REGISTRO PROD. v1'!U:U=B643)),0),
      IFERROR(MAX(FILTER('REGISTRO PROD. v1'!AN:AN,'REGISTRO PROD. v1'!AL:AL=B643)),0),
      IFERROR(MAX(FILTER('REGISTRO PROD. v1'!"&amp;"BE:BE,'REGISTRO PROD. v1'!BC:BC=B643)),0),
      IFERROR(MAX(FILTER('REGISTRO PROD. v1'!BV:BV,'REGISTRO PROD. v1'!BT:BT=B643)),0)
    )&gt;=F643,
    ""SI"",
    ""EN PROCESO""
  )
)
"),"NO")</f>
        <v>NO</v>
      </c>
      <c r="F643" s="132" t="s">
        <v>65</v>
      </c>
    </row>
    <row r="644" spans="2:6" ht="15" x14ac:dyDescent="0.25">
      <c r="B644" s="131">
        <v>641</v>
      </c>
      <c r="C644" s="131">
        <v>2017</v>
      </c>
      <c r="D644" s="131" t="s">
        <v>104</v>
      </c>
      <c r="E644" s="131" t="str">
        <f ca="1">IFERROR(__xludf.DUMMYFUNCTION("IF(
  MAX(
    IFERROR(MAX(FILTER('REGISTRO PROD. v1'!F:F,'REGISTRO PROD. v1'!D:D=B644)),0),
    IFERROR(MAX(FILTER('REGISTRO PROD. v1'!W:W,'REGISTRO PROD. v1'!U:U=B644)),0),
    IFERROR(MAX(FILTER('REGISTRO PROD. v1'!AN:AN,'REGISTRO PROD. v1'!AL:AL=B644)"&amp;"),0),
    IFERROR(MAX(FILTER('REGISTRO PROD. v1'!BE:BE,'REGISTRO PROD. v1'!BC:BC=B644)),0),
    IFERROR(MAX(FILTER('REGISTRO PROD. v1'!BV:BV,'REGISTRO PROD. v1'!BT:BT=B644)),0)
  )=0,
  ""NO"",
  IF(
    MAX(
      IFERROR(MAX(FILTER('REGISTRO PROD. v1'!F"&amp;":F,'REGISTRO PROD. v1'!D:D=B644)),0),
      IFERROR(MAX(FILTER('REGISTRO PROD. v1'!W:W,'REGISTRO PROD. v1'!U:U=B644)),0),
      IFERROR(MAX(FILTER('REGISTRO PROD. v1'!AN:AN,'REGISTRO PROD. v1'!AL:AL=B644)),0),
      IFERROR(MAX(FILTER('REGISTRO PROD. v1'!"&amp;"BE:BE,'REGISTRO PROD. v1'!BC:BC=B644)),0),
      IFERROR(MAX(FILTER('REGISTRO PROD. v1'!BV:BV,'REGISTRO PROD. v1'!BT:BT=B644)),0)
    )&gt;=F644,
    ""SI"",
    ""EN PROCESO""
  )
)
"),"NO")</f>
        <v>NO</v>
      </c>
      <c r="F644" s="132" t="s">
        <v>65</v>
      </c>
    </row>
    <row r="645" spans="2:6" ht="15" x14ac:dyDescent="0.25">
      <c r="B645" s="131">
        <v>642</v>
      </c>
      <c r="C645" s="131">
        <v>2017</v>
      </c>
      <c r="D645" s="131" t="s">
        <v>105</v>
      </c>
      <c r="E645" s="131" t="str">
        <f ca="1">IFERROR(__xludf.DUMMYFUNCTION("IF(
  MAX(
    IFERROR(MAX(FILTER('REGISTRO PROD. v1'!F:F,'REGISTRO PROD. v1'!D:D=B645)),0),
    IFERROR(MAX(FILTER('REGISTRO PROD. v1'!W:W,'REGISTRO PROD. v1'!U:U=B645)),0),
    IFERROR(MAX(FILTER('REGISTRO PROD. v1'!AN:AN,'REGISTRO PROD. v1'!AL:AL=B645)"&amp;"),0),
    IFERROR(MAX(FILTER('REGISTRO PROD. v1'!BE:BE,'REGISTRO PROD. v1'!BC:BC=B645)),0),
    IFERROR(MAX(FILTER('REGISTRO PROD. v1'!BV:BV,'REGISTRO PROD. v1'!BT:BT=B645)),0)
  )=0,
  ""NO"",
  IF(
    MAX(
      IFERROR(MAX(FILTER('REGISTRO PROD. v1'!F"&amp;":F,'REGISTRO PROD. v1'!D:D=B645)),0),
      IFERROR(MAX(FILTER('REGISTRO PROD. v1'!W:W,'REGISTRO PROD. v1'!U:U=B645)),0),
      IFERROR(MAX(FILTER('REGISTRO PROD. v1'!AN:AN,'REGISTRO PROD. v1'!AL:AL=B645)),0),
      IFERROR(MAX(FILTER('REGISTRO PROD. v1'!"&amp;"BE:BE,'REGISTRO PROD. v1'!BC:BC=B645)),0),
      IFERROR(MAX(FILTER('REGISTRO PROD. v1'!BV:BV,'REGISTRO PROD. v1'!BT:BT=B645)),0)
    )&gt;=F645,
    ""SI"",
    ""EN PROCESO""
  )
)
"),"NO")</f>
        <v>NO</v>
      </c>
      <c r="F645" s="132" t="s">
        <v>65</v>
      </c>
    </row>
    <row r="646" spans="2:6" ht="15" x14ac:dyDescent="0.25">
      <c r="B646" s="131">
        <v>643</v>
      </c>
      <c r="C646" s="131">
        <v>2017</v>
      </c>
      <c r="D646" s="131" t="s">
        <v>106</v>
      </c>
      <c r="E646" s="131" t="str">
        <f ca="1">IFERROR(__xludf.DUMMYFUNCTION("IF(
  MAX(
    IFERROR(MAX(FILTER('REGISTRO PROD. v1'!F:F,'REGISTRO PROD. v1'!D:D=B646)),0),
    IFERROR(MAX(FILTER('REGISTRO PROD. v1'!W:W,'REGISTRO PROD. v1'!U:U=B646)),0),
    IFERROR(MAX(FILTER('REGISTRO PROD. v1'!AN:AN,'REGISTRO PROD. v1'!AL:AL=B646)"&amp;"),0),
    IFERROR(MAX(FILTER('REGISTRO PROD. v1'!BE:BE,'REGISTRO PROD. v1'!BC:BC=B646)),0),
    IFERROR(MAX(FILTER('REGISTRO PROD. v1'!BV:BV,'REGISTRO PROD. v1'!BT:BT=B646)),0)
  )=0,
  ""NO"",
  IF(
    MAX(
      IFERROR(MAX(FILTER('REGISTRO PROD. v1'!F"&amp;":F,'REGISTRO PROD. v1'!D:D=B646)),0),
      IFERROR(MAX(FILTER('REGISTRO PROD. v1'!W:W,'REGISTRO PROD. v1'!U:U=B646)),0),
      IFERROR(MAX(FILTER('REGISTRO PROD. v1'!AN:AN,'REGISTRO PROD. v1'!AL:AL=B646)),0),
      IFERROR(MAX(FILTER('REGISTRO PROD. v1'!"&amp;"BE:BE,'REGISTRO PROD. v1'!BC:BC=B646)),0),
      IFERROR(MAX(FILTER('REGISTRO PROD. v1'!BV:BV,'REGISTRO PROD. v1'!BT:BT=B646)),0)
    )&gt;=F646,
    ""SI"",
    ""EN PROCESO""
  )
)
"),"NO")</f>
        <v>NO</v>
      </c>
      <c r="F646" s="132" t="s">
        <v>65</v>
      </c>
    </row>
    <row r="647" spans="2:6" ht="15" x14ac:dyDescent="0.25">
      <c r="B647" s="131">
        <v>644</v>
      </c>
      <c r="C647" s="131">
        <v>2017</v>
      </c>
      <c r="D647" s="131" t="s">
        <v>107</v>
      </c>
      <c r="E647" s="131" t="str">
        <f ca="1">IFERROR(__xludf.DUMMYFUNCTION("IF(
  MAX(
    IFERROR(MAX(FILTER('REGISTRO PROD. v1'!F:F,'REGISTRO PROD. v1'!D:D=B647)),0),
    IFERROR(MAX(FILTER('REGISTRO PROD. v1'!W:W,'REGISTRO PROD. v1'!U:U=B647)),0),
    IFERROR(MAX(FILTER('REGISTRO PROD. v1'!AN:AN,'REGISTRO PROD. v1'!AL:AL=B647)"&amp;"),0),
    IFERROR(MAX(FILTER('REGISTRO PROD. v1'!BE:BE,'REGISTRO PROD. v1'!BC:BC=B647)),0),
    IFERROR(MAX(FILTER('REGISTRO PROD. v1'!BV:BV,'REGISTRO PROD. v1'!BT:BT=B647)),0)
  )=0,
  ""NO"",
  IF(
    MAX(
      IFERROR(MAX(FILTER('REGISTRO PROD. v1'!F"&amp;":F,'REGISTRO PROD. v1'!D:D=B647)),0),
      IFERROR(MAX(FILTER('REGISTRO PROD. v1'!W:W,'REGISTRO PROD. v1'!U:U=B647)),0),
      IFERROR(MAX(FILTER('REGISTRO PROD. v1'!AN:AN,'REGISTRO PROD. v1'!AL:AL=B647)),0),
      IFERROR(MAX(FILTER('REGISTRO PROD. v1'!"&amp;"BE:BE,'REGISTRO PROD. v1'!BC:BC=B647)),0),
      IFERROR(MAX(FILTER('REGISTRO PROD. v1'!BV:BV,'REGISTRO PROD. v1'!BT:BT=B647)),0)
    )&gt;=F647,
    ""SI"",
    ""EN PROCESO""
  )
)
"),"NO")</f>
        <v>NO</v>
      </c>
      <c r="F647" s="132" t="s">
        <v>65</v>
      </c>
    </row>
    <row r="648" spans="2:6" ht="15" x14ac:dyDescent="0.25">
      <c r="B648" s="131">
        <v>645</v>
      </c>
      <c r="C648" s="131">
        <v>2017</v>
      </c>
      <c r="D648" s="131" t="s">
        <v>108</v>
      </c>
      <c r="E648" s="131" t="str">
        <f ca="1">IFERROR(__xludf.DUMMYFUNCTION("IF(
  MAX(
    IFERROR(MAX(FILTER('REGISTRO PROD. v1'!F:F,'REGISTRO PROD. v1'!D:D=B648)),0),
    IFERROR(MAX(FILTER('REGISTRO PROD. v1'!W:W,'REGISTRO PROD. v1'!U:U=B648)),0),
    IFERROR(MAX(FILTER('REGISTRO PROD. v1'!AN:AN,'REGISTRO PROD. v1'!AL:AL=B648)"&amp;"),0),
    IFERROR(MAX(FILTER('REGISTRO PROD. v1'!BE:BE,'REGISTRO PROD. v1'!BC:BC=B648)),0),
    IFERROR(MAX(FILTER('REGISTRO PROD. v1'!BV:BV,'REGISTRO PROD. v1'!BT:BT=B648)),0)
  )=0,
  ""NO"",
  IF(
    MAX(
      IFERROR(MAX(FILTER('REGISTRO PROD. v1'!F"&amp;":F,'REGISTRO PROD. v1'!D:D=B648)),0),
      IFERROR(MAX(FILTER('REGISTRO PROD. v1'!W:W,'REGISTRO PROD. v1'!U:U=B648)),0),
      IFERROR(MAX(FILTER('REGISTRO PROD. v1'!AN:AN,'REGISTRO PROD. v1'!AL:AL=B648)),0),
      IFERROR(MAX(FILTER('REGISTRO PROD. v1'!"&amp;"BE:BE,'REGISTRO PROD. v1'!BC:BC=B648)),0),
      IFERROR(MAX(FILTER('REGISTRO PROD. v1'!BV:BV,'REGISTRO PROD. v1'!BT:BT=B648)),0)
    )&gt;=F648,
    ""SI"",
    ""EN PROCESO""
  )
)
"),"NO")</f>
        <v>NO</v>
      </c>
      <c r="F648" s="132" t="s">
        <v>65</v>
      </c>
    </row>
    <row r="649" spans="2:6" ht="15" x14ac:dyDescent="0.25">
      <c r="B649" s="131">
        <v>646</v>
      </c>
      <c r="C649" s="131">
        <v>2017</v>
      </c>
      <c r="D649" s="131" t="s">
        <v>109</v>
      </c>
      <c r="E649" s="131" t="str">
        <f ca="1">IFERROR(__xludf.DUMMYFUNCTION("IF(
  MAX(
    IFERROR(MAX(FILTER('REGISTRO PROD. v1'!F:F,'REGISTRO PROD. v1'!D:D=B649)),0),
    IFERROR(MAX(FILTER('REGISTRO PROD. v1'!W:W,'REGISTRO PROD. v1'!U:U=B649)),0),
    IFERROR(MAX(FILTER('REGISTRO PROD. v1'!AN:AN,'REGISTRO PROD. v1'!AL:AL=B649)"&amp;"),0),
    IFERROR(MAX(FILTER('REGISTRO PROD. v1'!BE:BE,'REGISTRO PROD. v1'!BC:BC=B649)),0),
    IFERROR(MAX(FILTER('REGISTRO PROD. v1'!BV:BV,'REGISTRO PROD. v1'!BT:BT=B649)),0)
  )=0,
  ""NO"",
  IF(
    MAX(
      IFERROR(MAX(FILTER('REGISTRO PROD. v1'!F"&amp;":F,'REGISTRO PROD. v1'!D:D=B649)),0),
      IFERROR(MAX(FILTER('REGISTRO PROD. v1'!W:W,'REGISTRO PROD. v1'!U:U=B649)),0),
      IFERROR(MAX(FILTER('REGISTRO PROD. v1'!AN:AN,'REGISTRO PROD. v1'!AL:AL=B649)),0),
      IFERROR(MAX(FILTER('REGISTRO PROD. v1'!"&amp;"BE:BE,'REGISTRO PROD. v1'!BC:BC=B649)),0),
      IFERROR(MAX(FILTER('REGISTRO PROD. v1'!BV:BV,'REGISTRO PROD. v1'!BT:BT=B649)),0)
    )&gt;=F649,
    ""SI"",
    ""EN PROCESO""
  )
)
"),"NO")</f>
        <v>NO</v>
      </c>
      <c r="F649" s="132" t="s">
        <v>65</v>
      </c>
    </row>
    <row r="650" spans="2:6" ht="15" x14ac:dyDescent="0.25">
      <c r="B650" s="131">
        <v>647</v>
      </c>
      <c r="C650" s="131">
        <v>2017</v>
      </c>
      <c r="D650" s="131" t="s">
        <v>110</v>
      </c>
      <c r="E650" s="131" t="str">
        <f ca="1">IFERROR(__xludf.DUMMYFUNCTION("IF(
  MAX(
    IFERROR(MAX(FILTER('REGISTRO PROD. v1'!F:F,'REGISTRO PROD. v1'!D:D=B650)),0),
    IFERROR(MAX(FILTER('REGISTRO PROD. v1'!W:W,'REGISTRO PROD. v1'!U:U=B650)),0),
    IFERROR(MAX(FILTER('REGISTRO PROD. v1'!AN:AN,'REGISTRO PROD. v1'!AL:AL=B650)"&amp;"),0),
    IFERROR(MAX(FILTER('REGISTRO PROD. v1'!BE:BE,'REGISTRO PROD. v1'!BC:BC=B650)),0),
    IFERROR(MAX(FILTER('REGISTRO PROD. v1'!BV:BV,'REGISTRO PROD. v1'!BT:BT=B650)),0)
  )=0,
  ""NO"",
  IF(
    MAX(
      IFERROR(MAX(FILTER('REGISTRO PROD. v1'!F"&amp;":F,'REGISTRO PROD. v1'!D:D=B650)),0),
      IFERROR(MAX(FILTER('REGISTRO PROD. v1'!W:W,'REGISTRO PROD. v1'!U:U=B650)),0),
      IFERROR(MAX(FILTER('REGISTRO PROD. v1'!AN:AN,'REGISTRO PROD. v1'!AL:AL=B650)),0),
      IFERROR(MAX(FILTER('REGISTRO PROD. v1'!"&amp;"BE:BE,'REGISTRO PROD. v1'!BC:BC=B650)),0),
      IFERROR(MAX(FILTER('REGISTRO PROD. v1'!BV:BV,'REGISTRO PROD. v1'!BT:BT=B650)),0)
    )&gt;=F650,
    ""SI"",
    ""EN PROCESO""
  )
)
"),"NO")</f>
        <v>NO</v>
      </c>
      <c r="F650" s="132" t="s">
        <v>65</v>
      </c>
    </row>
    <row r="651" spans="2:6" ht="15" x14ac:dyDescent="0.25">
      <c r="B651" s="131">
        <v>648</v>
      </c>
      <c r="C651" s="131">
        <v>2017</v>
      </c>
      <c r="D651" s="131" t="s">
        <v>111</v>
      </c>
      <c r="E651" s="131" t="str">
        <f ca="1">IFERROR(__xludf.DUMMYFUNCTION("IF(
  MAX(
    IFERROR(MAX(FILTER('REGISTRO PROD. v1'!F:F,'REGISTRO PROD. v1'!D:D=B651)),0),
    IFERROR(MAX(FILTER('REGISTRO PROD. v1'!W:W,'REGISTRO PROD. v1'!U:U=B651)),0),
    IFERROR(MAX(FILTER('REGISTRO PROD. v1'!AN:AN,'REGISTRO PROD. v1'!AL:AL=B651)"&amp;"),0),
    IFERROR(MAX(FILTER('REGISTRO PROD. v1'!BE:BE,'REGISTRO PROD. v1'!BC:BC=B651)),0),
    IFERROR(MAX(FILTER('REGISTRO PROD. v1'!BV:BV,'REGISTRO PROD. v1'!BT:BT=B651)),0)
  )=0,
  ""NO"",
  IF(
    MAX(
      IFERROR(MAX(FILTER('REGISTRO PROD. v1'!F"&amp;":F,'REGISTRO PROD. v1'!D:D=B651)),0),
      IFERROR(MAX(FILTER('REGISTRO PROD. v1'!W:W,'REGISTRO PROD. v1'!U:U=B651)),0),
      IFERROR(MAX(FILTER('REGISTRO PROD. v1'!AN:AN,'REGISTRO PROD. v1'!AL:AL=B651)),0),
      IFERROR(MAX(FILTER('REGISTRO PROD. v1'!"&amp;"BE:BE,'REGISTRO PROD. v1'!BC:BC=B651)),0),
      IFERROR(MAX(FILTER('REGISTRO PROD. v1'!BV:BV,'REGISTRO PROD. v1'!BT:BT=B651)),0)
    )&gt;=F651,
    ""SI"",
    ""EN PROCESO""
  )
)
"),"NO")</f>
        <v>NO</v>
      </c>
      <c r="F651" s="132" t="s">
        <v>65</v>
      </c>
    </row>
    <row r="652" spans="2:6" ht="15" x14ac:dyDescent="0.25">
      <c r="B652" s="131">
        <v>649</v>
      </c>
      <c r="C652" s="131">
        <v>2017</v>
      </c>
      <c r="D652" s="131" t="s">
        <v>112</v>
      </c>
      <c r="E652" s="131" t="str">
        <f ca="1">IFERROR(__xludf.DUMMYFUNCTION("IF(
  MAX(
    IFERROR(MAX(FILTER('REGISTRO PROD. v1'!F:F,'REGISTRO PROD. v1'!D:D=B652)),0),
    IFERROR(MAX(FILTER('REGISTRO PROD. v1'!W:W,'REGISTRO PROD. v1'!U:U=B652)),0),
    IFERROR(MAX(FILTER('REGISTRO PROD. v1'!AN:AN,'REGISTRO PROD. v1'!AL:AL=B652)"&amp;"),0),
    IFERROR(MAX(FILTER('REGISTRO PROD. v1'!BE:BE,'REGISTRO PROD. v1'!BC:BC=B652)),0),
    IFERROR(MAX(FILTER('REGISTRO PROD. v1'!BV:BV,'REGISTRO PROD. v1'!BT:BT=B652)),0)
  )=0,
  ""NO"",
  IF(
    MAX(
      IFERROR(MAX(FILTER('REGISTRO PROD. v1'!F"&amp;":F,'REGISTRO PROD. v1'!D:D=B652)),0),
      IFERROR(MAX(FILTER('REGISTRO PROD. v1'!W:W,'REGISTRO PROD. v1'!U:U=B652)),0),
      IFERROR(MAX(FILTER('REGISTRO PROD. v1'!AN:AN,'REGISTRO PROD. v1'!AL:AL=B652)),0),
      IFERROR(MAX(FILTER('REGISTRO PROD. v1'!"&amp;"BE:BE,'REGISTRO PROD. v1'!BC:BC=B652)),0),
      IFERROR(MAX(FILTER('REGISTRO PROD. v1'!BV:BV,'REGISTRO PROD. v1'!BT:BT=B652)),0)
    )&gt;=F652,
    ""SI"",
    ""EN PROCESO""
  )
)
"),"NO")</f>
        <v>NO</v>
      </c>
      <c r="F652" s="132" t="s">
        <v>65</v>
      </c>
    </row>
    <row r="653" spans="2:6" ht="15" x14ac:dyDescent="0.25">
      <c r="B653" s="131">
        <v>650</v>
      </c>
      <c r="C653" s="131">
        <v>2017</v>
      </c>
      <c r="D653" s="131" t="s">
        <v>113</v>
      </c>
      <c r="E653" s="131" t="str">
        <f ca="1">IFERROR(__xludf.DUMMYFUNCTION("IF(
  MAX(
    IFERROR(MAX(FILTER('REGISTRO PROD. v1'!F:F,'REGISTRO PROD. v1'!D:D=B653)),0),
    IFERROR(MAX(FILTER('REGISTRO PROD. v1'!W:W,'REGISTRO PROD. v1'!U:U=B653)),0),
    IFERROR(MAX(FILTER('REGISTRO PROD. v1'!AN:AN,'REGISTRO PROD. v1'!AL:AL=B653)"&amp;"),0),
    IFERROR(MAX(FILTER('REGISTRO PROD. v1'!BE:BE,'REGISTRO PROD. v1'!BC:BC=B653)),0),
    IFERROR(MAX(FILTER('REGISTRO PROD. v1'!BV:BV,'REGISTRO PROD. v1'!BT:BT=B653)),0)
  )=0,
  ""NO"",
  IF(
    MAX(
      IFERROR(MAX(FILTER('REGISTRO PROD. v1'!F"&amp;":F,'REGISTRO PROD. v1'!D:D=B653)),0),
      IFERROR(MAX(FILTER('REGISTRO PROD. v1'!W:W,'REGISTRO PROD. v1'!U:U=B653)),0),
      IFERROR(MAX(FILTER('REGISTRO PROD. v1'!AN:AN,'REGISTRO PROD. v1'!AL:AL=B653)),0),
      IFERROR(MAX(FILTER('REGISTRO PROD. v1'!"&amp;"BE:BE,'REGISTRO PROD. v1'!BC:BC=B653)),0),
      IFERROR(MAX(FILTER('REGISTRO PROD. v1'!BV:BV,'REGISTRO PROD. v1'!BT:BT=B653)),0)
    )&gt;=F653,
    ""SI"",
    ""EN PROCESO""
  )
)
"),"NO")</f>
        <v>NO</v>
      </c>
      <c r="F653" s="132" t="s">
        <v>65</v>
      </c>
    </row>
    <row r="654" spans="2:6" ht="15" x14ac:dyDescent="0.25">
      <c r="B654" s="131">
        <v>651</v>
      </c>
      <c r="C654" s="131">
        <v>2017</v>
      </c>
      <c r="D654" s="131" t="s">
        <v>114</v>
      </c>
      <c r="E654" s="131" t="str">
        <f ca="1">IFERROR(__xludf.DUMMYFUNCTION("IF(
  MAX(
    IFERROR(MAX(FILTER('REGISTRO PROD. v1'!F:F,'REGISTRO PROD. v1'!D:D=B654)),0),
    IFERROR(MAX(FILTER('REGISTRO PROD. v1'!W:W,'REGISTRO PROD. v1'!U:U=B654)),0),
    IFERROR(MAX(FILTER('REGISTRO PROD. v1'!AN:AN,'REGISTRO PROD. v1'!AL:AL=B654)"&amp;"),0),
    IFERROR(MAX(FILTER('REGISTRO PROD. v1'!BE:BE,'REGISTRO PROD. v1'!BC:BC=B654)),0),
    IFERROR(MAX(FILTER('REGISTRO PROD. v1'!BV:BV,'REGISTRO PROD. v1'!BT:BT=B654)),0)
  )=0,
  ""NO"",
  IF(
    MAX(
      IFERROR(MAX(FILTER('REGISTRO PROD. v1'!F"&amp;":F,'REGISTRO PROD. v1'!D:D=B654)),0),
      IFERROR(MAX(FILTER('REGISTRO PROD. v1'!W:W,'REGISTRO PROD. v1'!U:U=B654)),0),
      IFERROR(MAX(FILTER('REGISTRO PROD. v1'!AN:AN,'REGISTRO PROD. v1'!AL:AL=B654)),0),
      IFERROR(MAX(FILTER('REGISTRO PROD. v1'!"&amp;"BE:BE,'REGISTRO PROD. v1'!BC:BC=B654)),0),
      IFERROR(MAX(FILTER('REGISTRO PROD. v1'!BV:BV,'REGISTRO PROD. v1'!BT:BT=B654)),0)
    )&gt;=F654,
    ""SI"",
    ""EN PROCESO""
  )
)
"),"NO")</f>
        <v>NO</v>
      </c>
      <c r="F654" s="132" t="s">
        <v>65</v>
      </c>
    </row>
    <row r="655" spans="2:6" ht="15" x14ac:dyDescent="0.25">
      <c r="B655" s="131">
        <v>652</v>
      </c>
      <c r="C655" s="131">
        <v>2017</v>
      </c>
      <c r="D655" s="131" t="s">
        <v>115</v>
      </c>
      <c r="E655" s="131" t="str">
        <f ca="1">IFERROR(__xludf.DUMMYFUNCTION("IF(
  MAX(
    IFERROR(MAX(FILTER('REGISTRO PROD. v1'!F:F,'REGISTRO PROD. v1'!D:D=B655)),0),
    IFERROR(MAX(FILTER('REGISTRO PROD. v1'!W:W,'REGISTRO PROD. v1'!U:U=B655)),0),
    IFERROR(MAX(FILTER('REGISTRO PROD. v1'!AN:AN,'REGISTRO PROD. v1'!AL:AL=B655)"&amp;"),0),
    IFERROR(MAX(FILTER('REGISTRO PROD. v1'!BE:BE,'REGISTRO PROD. v1'!BC:BC=B655)),0),
    IFERROR(MAX(FILTER('REGISTRO PROD. v1'!BV:BV,'REGISTRO PROD. v1'!BT:BT=B655)),0)
  )=0,
  ""NO"",
  IF(
    MAX(
      IFERROR(MAX(FILTER('REGISTRO PROD. v1'!F"&amp;":F,'REGISTRO PROD. v1'!D:D=B655)),0),
      IFERROR(MAX(FILTER('REGISTRO PROD. v1'!W:W,'REGISTRO PROD. v1'!U:U=B655)),0),
      IFERROR(MAX(FILTER('REGISTRO PROD. v1'!AN:AN,'REGISTRO PROD. v1'!AL:AL=B655)),0),
      IFERROR(MAX(FILTER('REGISTRO PROD. v1'!"&amp;"BE:BE,'REGISTRO PROD. v1'!BC:BC=B655)),0),
      IFERROR(MAX(FILTER('REGISTRO PROD. v1'!BV:BV,'REGISTRO PROD. v1'!BT:BT=B655)),0)
    )&gt;=F655,
    ""SI"",
    ""EN PROCESO""
  )
)
"),"NO")</f>
        <v>NO</v>
      </c>
      <c r="F655" s="132" t="s">
        <v>65</v>
      </c>
    </row>
    <row r="656" spans="2:6" ht="15" x14ac:dyDescent="0.25">
      <c r="B656" s="131">
        <v>653</v>
      </c>
      <c r="C656" s="131">
        <v>2017</v>
      </c>
      <c r="D656" s="131" t="s">
        <v>116</v>
      </c>
      <c r="E656" s="131" t="str">
        <f ca="1">IFERROR(__xludf.DUMMYFUNCTION("IF(
  MAX(
    IFERROR(MAX(FILTER('REGISTRO PROD. v1'!F:F,'REGISTRO PROD. v1'!D:D=B656)),0),
    IFERROR(MAX(FILTER('REGISTRO PROD. v1'!W:W,'REGISTRO PROD. v1'!U:U=B656)),0),
    IFERROR(MAX(FILTER('REGISTRO PROD. v1'!AN:AN,'REGISTRO PROD. v1'!AL:AL=B656)"&amp;"),0),
    IFERROR(MAX(FILTER('REGISTRO PROD. v1'!BE:BE,'REGISTRO PROD. v1'!BC:BC=B656)),0),
    IFERROR(MAX(FILTER('REGISTRO PROD. v1'!BV:BV,'REGISTRO PROD. v1'!BT:BT=B656)),0)
  )=0,
  ""NO"",
  IF(
    MAX(
      IFERROR(MAX(FILTER('REGISTRO PROD. v1'!F"&amp;":F,'REGISTRO PROD. v1'!D:D=B656)),0),
      IFERROR(MAX(FILTER('REGISTRO PROD. v1'!W:W,'REGISTRO PROD. v1'!U:U=B656)),0),
      IFERROR(MAX(FILTER('REGISTRO PROD. v1'!AN:AN,'REGISTRO PROD. v1'!AL:AL=B656)),0),
      IFERROR(MAX(FILTER('REGISTRO PROD. v1'!"&amp;"BE:BE,'REGISTRO PROD. v1'!BC:BC=B656)),0),
      IFERROR(MAX(FILTER('REGISTRO PROD. v1'!BV:BV,'REGISTRO PROD. v1'!BT:BT=B656)),0)
    )&gt;=F656,
    ""SI"",
    ""EN PROCESO""
  )
)
"),"NO")</f>
        <v>NO</v>
      </c>
      <c r="F656" s="132" t="s">
        <v>65</v>
      </c>
    </row>
    <row r="657" spans="2:6" ht="15" x14ac:dyDescent="0.25">
      <c r="B657" s="131">
        <v>654</v>
      </c>
      <c r="C657" s="131">
        <v>2017</v>
      </c>
      <c r="D657" s="131" t="s">
        <v>117</v>
      </c>
      <c r="E657" s="131" t="str">
        <f ca="1">IFERROR(__xludf.DUMMYFUNCTION("IF(
  MAX(
    IFERROR(MAX(FILTER('REGISTRO PROD. v1'!F:F,'REGISTRO PROD. v1'!D:D=B657)),0),
    IFERROR(MAX(FILTER('REGISTRO PROD. v1'!W:W,'REGISTRO PROD. v1'!U:U=B657)),0),
    IFERROR(MAX(FILTER('REGISTRO PROD. v1'!AN:AN,'REGISTRO PROD. v1'!AL:AL=B657)"&amp;"),0),
    IFERROR(MAX(FILTER('REGISTRO PROD. v1'!BE:BE,'REGISTRO PROD. v1'!BC:BC=B657)),0),
    IFERROR(MAX(FILTER('REGISTRO PROD. v1'!BV:BV,'REGISTRO PROD. v1'!BT:BT=B657)),0)
  )=0,
  ""NO"",
  IF(
    MAX(
      IFERROR(MAX(FILTER('REGISTRO PROD. v1'!F"&amp;":F,'REGISTRO PROD. v1'!D:D=B657)),0),
      IFERROR(MAX(FILTER('REGISTRO PROD. v1'!W:W,'REGISTRO PROD. v1'!U:U=B657)),0),
      IFERROR(MAX(FILTER('REGISTRO PROD. v1'!AN:AN,'REGISTRO PROD. v1'!AL:AL=B657)),0),
      IFERROR(MAX(FILTER('REGISTRO PROD. v1'!"&amp;"BE:BE,'REGISTRO PROD. v1'!BC:BC=B657)),0),
      IFERROR(MAX(FILTER('REGISTRO PROD. v1'!BV:BV,'REGISTRO PROD. v1'!BT:BT=B657)),0)
    )&gt;=F657,
    ""SI"",
    ""EN PROCESO""
  )
)
"),"NO")</f>
        <v>NO</v>
      </c>
      <c r="F657" s="132" t="s">
        <v>65</v>
      </c>
    </row>
    <row r="658" spans="2:6" ht="15" x14ac:dyDescent="0.25">
      <c r="B658" s="131">
        <v>655</v>
      </c>
      <c r="C658" s="131">
        <v>2017</v>
      </c>
      <c r="D658" s="131" t="s">
        <v>118</v>
      </c>
      <c r="E658" s="131" t="str">
        <f ca="1">IFERROR(__xludf.DUMMYFUNCTION("IF(
  MAX(
    IFERROR(MAX(FILTER('REGISTRO PROD. v1'!F:F,'REGISTRO PROD. v1'!D:D=B658)),0),
    IFERROR(MAX(FILTER('REGISTRO PROD. v1'!W:W,'REGISTRO PROD. v1'!U:U=B658)),0),
    IFERROR(MAX(FILTER('REGISTRO PROD. v1'!AN:AN,'REGISTRO PROD. v1'!AL:AL=B658)"&amp;"),0),
    IFERROR(MAX(FILTER('REGISTRO PROD. v1'!BE:BE,'REGISTRO PROD. v1'!BC:BC=B658)),0),
    IFERROR(MAX(FILTER('REGISTRO PROD. v1'!BV:BV,'REGISTRO PROD. v1'!BT:BT=B658)),0)
  )=0,
  ""NO"",
  IF(
    MAX(
      IFERROR(MAX(FILTER('REGISTRO PROD. v1'!F"&amp;":F,'REGISTRO PROD. v1'!D:D=B658)),0),
      IFERROR(MAX(FILTER('REGISTRO PROD. v1'!W:W,'REGISTRO PROD. v1'!U:U=B658)),0),
      IFERROR(MAX(FILTER('REGISTRO PROD. v1'!AN:AN,'REGISTRO PROD. v1'!AL:AL=B658)),0),
      IFERROR(MAX(FILTER('REGISTRO PROD. v1'!"&amp;"BE:BE,'REGISTRO PROD. v1'!BC:BC=B658)),0),
      IFERROR(MAX(FILTER('REGISTRO PROD. v1'!BV:BV,'REGISTRO PROD. v1'!BT:BT=B658)),0)
    )&gt;=F658,
    ""SI"",
    ""EN PROCESO""
  )
)
"),"NO")</f>
        <v>NO</v>
      </c>
      <c r="F658" s="132" t="s">
        <v>65</v>
      </c>
    </row>
    <row r="659" spans="2:6" ht="15" x14ac:dyDescent="0.25">
      <c r="B659" s="131">
        <v>656</v>
      </c>
      <c r="C659" s="131">
        <v>2017</v>
      </c>
      <c r="D659" s="131" t="s">
        <v>119</v>
      </c>
      <c r="E659" s="131" t="str">
        <f ca="1">IFERROR(__xludf.DUMMYFUNCTION("IF(
  MAX(
    IFERROR(MAX(FILTER('REGISTRO PROD. v1'!F:F,'REGISTRO PROD. v1'!D:D=B659)),0),
    IFERROR(MAX(FILTER('REGISTRO PROD. v1'!W:W,'REGISTRO PROD. v1'!U:U=B659)),0),
    IFERROR(MAX(FILTER('REGISTRO PROD. v1'!AN:AN,'REGISTRO PROD. v1'!AL:AL=B659)"&amp;"),0),
    IFERROR(MAX(FILTER('REGISTRO PROD. v1'!BE:BE,'REGISTRO PROD. v1'!BC:BC=B659)),0),
    IFERROR(MAX(FILTER('REGISTRO PROD. v1'!BV:BV,'REGISTRO PROD. v1'!BT:BT=B659)),0)
  )=0,
  ""NO"",
  IF(
    MAX(
      IFERROR(MAX(FILTER('REGISTRO PROD. v1'!F"&amp;":F,'REGISTRO PROD. v1'!D:D=B659)),0),
      IFERROR(MAX(FILTER('REGISTRO PROD. v1'!W:W,'REGISTRO PROD. v1'!U:U=B659)),0),
      IFERROR(MAX(FILTER('REGISTRO PROD. v1'!AN:AN,'REGISTRO PROD. v1'!AL:AL=B659)),0),
      IFERROR(MAX(FILTER('REGISTRO PROD. v1'!"&amp;"BE:BE,'REGISTRO PROD. v1'!BC:BC=B659)),0),
      IFERROR(MAX(FILTER('REGISTRO PROD. v1'!BV:BV,'REGISTRO PROD. v1'!BT:BT=B659)),0)
    )&gt;=F659,
    ""SI"",
    ""EN PROCESO""
  )
)
"),"NO")</f>
        <v>NO</v>
      </c>
      <c r="F659" s="132" t="s">
        <v>65</v>
      </c>
    </row>
    <row r="660" spans="2:6" ht="15" x14ac:dyDescent="0.25">
      <c r="B660" s="131">
        <v>657</v>
      </c>
      <c r="C660" s="131">
        <v>2017</v>
      </c>
      <c r="D660" s="131" t="s">
        <v>121</v>
      </c>
      <c r="E660" s="131" t="str">
        <f ca="1">IFERROR(__xludf.DUMMYFUNCTION("IF(
  MAX(
    IFERROR(MAX(FILTER('REGISTRO PROD. v1'!F:F,'REGISTRO PROD. v1'!D:D=B660)),0),
    IFERROR(MAX(FILTER('REGISTRO PROD. v1'!W:W,'REGISTRO PROD. v1'!U:U=B660)),0),
    IFERROR(MAX(FILTER('REGISTRO PROD. v1'!AN:AN,'REGISTRO PROD. v1'!AL:AL=B660)"&amp;"),0),
    IFERROR(MAX(FILTER('REGISTRO PROD. v1'!BE:BE,'REGISTRO PROD. v1'!BC:BC=B660)),0),
    IFERROR(MAX(FILTER('REGISTRO PROD. v1'!BV:BV,'REGISTRO PROD. v1'!BT:BT=B660)),0)
  )=0,
  ""NO"",
  IF(
    MAX(
      IFERROR(MAX(FILTER('REGISTRO PROD. v1'!F"&amp;":F,'REGISTRO PROD. v1'!D:D=B660)),0),
      IFERROR(MAX(FILTER('REGISTRO PROD. v1'!W:W,'REGISTRO PROD. v1'!U:U=B660)),0),
      IFERROR(MAX(FILTER('REGISTRO PROD. v1'!AN:AN,'REGISTRO PROD. v1'!AL:AL=B660)),0),
      IFERROR(MAX(FILTER('REGISTRO PROD. v1'!"&amp;"BE:BE,'REGISTRO PROD. v1'!BC:BC=B660)),0),
      IFERROR(MAX(FILTER('REGISTRO PROD. v1'!BV:BV,'REGISTRO PROD. v1'!BT:BT=B660)),0)
    )&gt;=F660,
    ""SI"",
    ""EN PROCESO""
  )
)
"),"NO")</f>
        <v>NO</v>
      </c>
      <c r="F660" s="132" t="s">
        <v>65</v>
      </c>
    </row>
    <row r="661" spans="2:6" ht="15" x14ac:dyDescent="0.25">
      <c r="B661" s="131">
        <v>658</v>
      </c>
      <c r="C661" s="131">
        <v>2017</v>
      </c>
      <c r="D661" s="131" t="s">
        <v>122</v>
      </c>
      <c r="E661" s="131" t="str">
        <f ca="1">IFERROR(__xludf.DUMMYFUNCTION("IF(
  MAX(
    IFERROR(MAX(FILTER('REGISTRO PROD. v1'!F:F,'REGISTRO PROD. v1'!D:D=B661)),0),
    IFERROR(MAX(FILTER('REGISTRO PROD. v1'!W:W,'REGISTRO PROD. v1'!U:U=B661)),0),
    IFERROR(MAX(FILTER('REGISTRO PROD. v1'!AN:AN,'REGISTRO PROD. v1'!AL:AL=B661)"&amp;"),0),
    IFERROR(MAX(FILTER('REGISTRO PROD. v1'!BE:BE,'REGISTRO PROD. v1'!BC:BC=B661)),0),
    IFERROR(MAX(FILTER('REGISTRO PROD. v1'!BV:BV,'REGISTRO PROD. v1'!BT:BT=B661)),0)
  )=0,
  ""NO"",
  IF(
    MAX(
      IFERROR(MAX(FILTER('REGISTRO PROD. v1'!F"&amp;":F,'REGISTRO PROD. v1'!D:D=B661)),0),
      IFERROR(MAX(FILTER('REGISTRO PROD. v1'!W:W,'REGISTRO PROD. v1'!U:U=B661)),0),
      IFERROR(MAX(FILTER('REGISTRO PROD. v1'!AN:AN,'REGISTRO PROD. v1'!AL:AL=B661)),0),
      IFERROR(MAX(FILTER('REGISTRO PROD. v1'!"&amp;"BE:BE,'REGISTRO PROD. v1'!BC:BC=B661)),0),
      IFERROR(MAX(FILTER('REGISTRO PROD. v1'!BV:BV,'REGISTRO PROD. v1'!BT:BT=B661)),0)
    )&gt;=F661,
    ""SI"",
    ""EN PROCESO""
  )
)
"),"NO")</f>
        <v>NO</v>
      </c>
      <c r="F661" s="132" t="s">
        <v>65</v>
      </c>
    </row>
    <row r="662" spans="2:6" ht="15" x14ac:dyDescent="0.25">
      <c r="B662" s="131">
        <v>659</v>
      </c>
      <c r="C662" s="131">
        <v>2017</v>
      </c>
      <c r="D662" s="131" t="s">
        <v>123</v>
      </c>
      <c r="E662" s="131" t="str">
        <f ca="1">IFERROR(__xludf.DUMMYFUNCTION("IF(
  MAX(
    IFERROR(MAX(FILTER('REGISTRO PROD. v1'!F:F,'REGISTRO PROD. v1'!D:D=B662)),0),
    IFERROR(MAX(FILTER('REGISTRO PROD. v1'!W:W,'REGISTRO PROD. v1'!U:U=B662)),0),
    IFERROR(MAX(FILTER('REGISTRO PROD. v1'!AN:AN,'REGISTRO PROD. v1'!AL:AL=B662)"&amp;"),0),
    IFERROR(MAX(FILTER('REGISTRO PROD. v1'!BE:BE,'REGISTRO PROD. v1'!BC:BC=B662)),0),
    IFERROR(MAX(FILTER('REGISTRO PROD. v1'!BV:BV,'REGISTRO PROD. v1'!BT:BT=B662)),0)
  )=0,
  ""NO"",
  IF(
    MAX(
      IFERROR(MAX(FILTER('REGISTRO PROD. v1'!F"&amp;":F,'REGISTRO PROD. v1'!D:D=B662)),0),
      IFERROR(MAX(FILTER('REGISTRO PROD. v1'!W:W,'REGISTRO PROD. v1'!U:U=B662)),0),
      IFERROR(MAX(FILTER('REGISTRO PROD. v1'!AN:AN,'REGISTRO PROD. v1'!AL:AL=B662)),0),
      IFERROR(MAX(FILTER('REGISTRO PROD. v1'!"&amp;"BE:BE,'REGISTRO PROD. v1'!BC:BC=B662)),0),
      IFERROR(MAX(FILTER('REGISTRO PROD. v1'!BV:BV,'REGISTRO PROD. v1'!BT:BT=B662)),0)
    )&gt;=F662,
    ""SI"",
    ""EN PROCESO""
  )
)
"),"NO")</f>
        <v>NO</v>
      </c>
      <c r="F662" s="132" t="s">
        <v>65</v>
      </c>
    </row>
    <row r="663" spans="2:6" ht="15" x14ac:dyDescent="0.25">
      <c r="B663" s="131">
        <v>660</v>
      </c>
      <c r="C663" s="131">
        <v>2017</v>
      </c>
      <c r="D663" s="131" t="s">
        <v>179</v>
      </c>
      <c r="E663" s="131" t="str">
        <f ca="1">IFERROR(__xludf.DUMMYFUNCTION("IF(
  MAX(
    IFERROR(MAX(FILTER('REGISTRO PROD. v1'!F:F,'REGISTRO PROD. v1'!D:D=B663)),0),
    IFERROR(MAX(FILTER('REGISTRO PROD. v1'!W:W,'REGISTRO PROD. v1'!U:U=B663)),0),
    IFERROR(MAX(FILTER('REGISTRO PROD. v1'!AN:AN,'REGISTRO PROD. v1'!AL:AL=B663)"&amp;"),0),
    IFERROR(MAX(FILTER('REGISTRO PROD. v1'!BE:BE,'REGISTRO PROD. v1'!BC:BC=B663)),0),
    IFERROR(MAX(FILTER('REGISTRO PROD. v1'!BV:BV,'REGISTRO PROD. v1'!BT:BT=B663)),0)
  )=0,
  ""NO"",
  IF(
    MAX(
      IFERROR(MAX(FILTER('REGISTRO PROD. v1'!F"&amp;":F,'REGISTRO PROD. v1'!D:D=B663)),0),
      IFERROR(MAX(FILTER('REGISTRO PROD. v1'!W:W,'REGISTRO PROD. v1'!U:U=B663)),0),
      IFERROR(MAX(FILTER('REGISTRO PROD. v1'!AN:AN,'REGISTRO PROD. v1'!AL:AL=B663)),0),
      IFERROR(MAX(FILTER('REGISTRO PROD. v1'!"&amp;"BE:BE,'REGISTRO PROD. v1'!BC:BC=B663)),0),
      IFERROR(MAX(FILTER('REGISTRO PROD. v1'!BV:BV,'REGISTRO PROD. v1'!BT:BT=B663)),0)
    )&gt;=F663,
    ""SI"",
    ""EN PROCESO""
  )
)
"),"NO")</f>
        <v>NO</v>
      </c>
      <c r="F663" s="132" t="s">
        <v>65</v>
      </c>
    </row>
    <row r="664" spans="2:6" ht="15" x14ac:dyDescent="0.25">
      <c r="B664" s="131">
        <v>661</v>
      </c>
      <c r="C664" s="131">
        <v>2018</v>
      </c>
      <c r="D664" s="131" t="s">
        <v>64</v>
      </c>
      <c r="E664" s="131" t="str">
        <f ca="1">IFERROR(__xludf.DUMMYFUNCTION("IF(
  MAX(
    IFERROR(MAX(FILTER('REGISTRO PROD. v1'!F:F,'REGISTRO PROD. v1'!D:D=B664)),0),
    IFERROR(MAX(FILTER('REGISTRO PROD. v1'!W:W,'REGISTRO PROD. v1'!U:U=B664)),0),
    IFERROR(MAX(FILTER('REGISTRO PROD. v1'!AN:AN,'REGISTRO PROD. v1'!AL:AL=B664)"&amp;"),0),
    IFERROR(MAX(FILTER('REGISTRO PROD. v1'!BE:BE,'REGISTRO PROD. v1'!BC:BC=B664)),0),
    IFERROR(MAX(FILTER('REGISTRO PROD. v1'!BV:BV,'REGISTRO PROD. v1'!BT:BT=B664)),0)
  )=0,
  ""NO"",
  IF(
    MAX(
      IFERROR(MAX(FILTER('REGISTRO PROD. v1'!F"&amp;":F,'REGISTRO PROD. v1'!D:D=B664)),0),
      IFERROR(MAX(FILTER('REGISTRO PROD. v1'!W:W,'REGISTRO PROD. v1'!U:U=B664)),0),
      IFERROR(MAX(FILTER('REGISTRO PROD. v1'!AN:AN,'REGISTRO PROD. v1'!AL:AL=B664)),0),
      IFERROR(MAX(FILTER('REGISTRO PROD. v1'!"&amp;"BE:BE,'REGISTRO PROD. v1'!BC:BC=B664)),0),
      IFERROR(MAX(FILTER('REGISTRO PROD. v1'!BV:BV,'REGISTRO PROD. v1'!BT:BT=B664)),0)
    )&gt;=F664,
    ""SI"",
    ""EN PROCESO""
  )
)
"),"NO")</f>
        <v>NO</v>
      </c>
      <c r="F664" s="132" t="s">
        <v>65</v>
      </c>
    </row>
    <row r="665" spans="2:6" ht="15" x14ac:dyDescent="0.25">
      <c r="B665" s="131">
        <v>662</v>
      </c>
      <c r="C665" s="131">
        <v>2018</v>
      </c>
      <c r="D665" s="131" t="s">
        <v>66</v>
      </c>
      <c r="E665" s="131" t="str">
        <f ca="1">IFERROR(__xludf.DUMMYFUNCTION("IF(
  MAX(
    IFERROR(MAX(FILTER('REGISTRO PROD. v1'!F:F,'REGISTRO PROD. v1'!D:D=B665)),0),
    IFERROR(MAX(FILTER('REGISTRO PROD. v1'!W:W,'REGISTRO PROD. v1'!U:U=B665)),0),
    IFERROR(MAX(FILTER('REGISTRO PROD. v1'!AN:AN,'REGISTRO PROD. v1'!AL:AL=B665)"&amp;"),0),
    IFERROR(MAX(FILTER('REGISTRO PROD. v1'!BE:BE,'REGISTRO PROD. v1'!BC:BC=B665)),0),
    IFERROR(MAX(FILTER('REGISTRO PROD. v1'!BV:BV,'REGISTRO PROD. v1'!BT:BT=B665)),0)
  )=0,
  ""NO"",
  IF(
    MAX(
      IFERROR(MAX(FILTER('REGISTRO PROD. v1'!F"&amp;":F,'REGISTRO PROD. v1'!D:D=B665)),0),
      IFERROR(MAX(FILTER('REGISTRO PROD. v1'!W:W,'REGISTRO PROD. v1'!U:U=B665)),0),
      IFERROR(MAX(FILTER('REGISTRO PROD. v1'!AN:AN,'REGISTRO PROD. v1'!AL:AL=B665)),0),
      IFERROR(MAX(FILTER('REGISTRO PROD. v1'!"&amp;"BE:BE,'REGISTRO PROD. v1'!BC:BC=B665)),0),
      IFERROR(MAX(FILTER('REGISTRO PROD. v1'!BV:BV,'REGISTRO PROD. v1'!BT:BT=B665)),0)
    )&gt;=F665,
    ""SI"",
    ""EN PROCESO""
  )
)
"),"NO")</f>
        <v>NO</v>
      </c>
      <c r="F665" s="132" t="s">
        <v>65</v>
      </c>
    </row>
    <row r="666" spans="2:6" ht="15" x14ac:dyDescent="0.25">
      <c r="B666" s="131">
        <v>663</v>
      </c>
      <c r="C666" s="131">
        <v>2018</v>
      </c>
      <c r="D666" s="131" t="s">
        <v>67</v>
      </c>
      <c r="E666" s="131" t="str">
        <f ca="1">IFERROR(__xludf.DUMMYFUNCTION("IF(
  MAX(
    IFERROR(MAX(FILTER('REGISTRO PROD. v1'!F:F,'REGISTRO PROD. v1'!D:D=B666)),0),
    IFERROR(MAX(FILTER('REGISTRO PROD. v1'!W:W,'REGISTRO PROD. v1'!U:U=B666)),0),
    IFERROR(MAX(FILTER('REGISTRO PROD. v1'!AN:AN,'REGISTRO PROD. v1'!AL:AL=B666)"&amp;"),0),
    IFERROR(MAX(FILTER('REGISTRO PROD. v1'!BE:BE,'REGISTRO PROD. v1'!BC:BC=B666)),0),
    IFERROR(MAX(FILTER('REGISTRO PROD. v1'!BV:BV,'REGISTRO PROD. v1'!BT:BT=B666)),0)
  )=0,
  ""NO"",
  IF(
    MAX(
      IFERROR(MAX(FILTER('REGISTRO PROD. v1'!F"&amp;":F,'REGISTRO PROD. v1'!D:D=B666)),0),
      IFERROR(MAX(FILTER('REGISTRO PROD. v1'!W:W,'REGISTRO PROD. v1'!U:U=B666)),0),
      IFERROR(MAX(FILTER('REGISTRO PROD. v1'!AN:AN,'REGISTRO PROD. v1'!AL:AL=B666)),0),
      IFERROR(MAX(FILTER('REGISTRO PROD. v1'!"&amp;"BE:BE,'REGISTRO PROD. v1'!BC:BC=B666)),0),
      IFERROR(MAX(FILTER('REGISTRO PROD. v1'!BV:BV,'REGISTRO PROD. v1'!BT:BT=B666)),0)
    )&gt;=F666,
    ""SI"",
    ""EN PROCESO""
  )
)
"),"NO")</f>
        <v>NO</v>
      </c>
      <c r="F666" s="132" t="s">
        <v>65</v>
      </c>
    </row>
    <row r="667" spans="2:6" ht="15" x14ac:dyDescent="0.25">
      <c r="B667" s="131">
        <v>664</v>
      </c>
      <c r="C667" s="131">
        <v>2018</v>
      </c>
      <c r="D667" s="131" t="s">
        <v>68</v>
      </c>
      <c r="E667" s="131" t="str">
        <f ca="1">IFERROR(__xludf.DUMMYFUNCTION("IF(
  MAX(
    IFERROR(MAX(FILTER('REGISTRO PROD. v1'!F:F,'REGISTRO PROD. v1'!D:D=B667)),0),
    IFERROR(MAX(FILTER('REGISTRO PROD. v1'!W:W,'REGISTRO PROD. v1'!U:U=B667)),0),
    IFERROR(MAX(FILTER('REGISTRO PROD. v1'!AN:AN,'REGISTRO PROD. v1'!AL:AL=B667)"&amp;"),0),
    IFERROR(MAX(FILTER('REGISTRO PROD. v1'!BE:BE,'REGISTRO PROD. v1'!BC:BC=B667)),0),
    IFERROR(MAX(FILTER('REGISTRO PROD. v1'!BV:BV,'REGISTRO PROD. v1'!BT:BT=B667)),0)
  )=0,
  ""NO"",
  IF(
    MAX(
      IFERROR(MAX(FILTER('REGISTRO PROD. v1'!F"&amp;":F,'REGISTRO PROD. v1'!D:D=B667)),0),
      IFERROR(MAX(FILTER('REGISTRO PROD. v1'!W:W,'REGISTRO PROD. v1'!U:U=B667)),0),
      IFERROR(MAX(FILTER('REGISTRO PROD. v1'!AN:AN,'REGISTRO PROD. v1'!AL:AL=B667)),0),
      IFERROR(MAX(FILTER('REGISTRO PROD. v1'!"&amp;"BE:BE,'REGISTRO PROD. v1'!BC:BC=B667)),0),
      IFERROR(MAX(FILTER('REGISTRO PROD. v1'!BV:BV,'REGISTRO PROD. v1'!BT:BT=B667)),0)
    )&gt;=F667,
    ""SI"",
    ""EN PROCESO""
  )
)
"),"NO")</f>
        <v>NO</v>
      </c>
      <c r="F667" s="132" t="s">
        <v>65</v>
      </c>
    </row>
    <row r="668" spans="2:6" ht="15" x14ac:dyDescent="0.25">
      <c r="B668" s="131">
        <v>665</v>
      </c>
      <c r="C668" s="131">
        <v>2018</v>
      </c>
      <c r="D668" s="131" t="s">
        <v>69</v>
      </c>
      <c r="E668" s="131" t="str">
        <f ca="1">IFERROR(__xludf.DUMMYFUNCTION("IF(
  MAX(
    IFERROR(MAX(FILTER('REGISTRO PROD. v1'!F:F,'REGISTRO PROD. v1'!D:D=B668)),0),
    IFERROR(MAX(FILTER('REGISTRO PROD. v1'!W:W,'REGISTRO PROD. v1'!U:U=B668)),0),
    IFERROR(MAX(FILTER('REGISTRO PROD. v1'!AN:AN,'REGISTRO PROD. v1'!AL:AL=B668)"&amp;"),0),
    IFERROR(MAX(FILTER('REGISTRO PROD. v1'!BE:BE,'REGISTRO PROD. v1'!BC:BC=B668)),0),
    IFERROR(MAX(FILTER('REGISTRO PROD. v1'!BV:BV,'REGISTRO PROD. v1'!BT:BT=B668)),0)
  )=0,
  ""NO"",
  IF(
    MAX(
      IFERROR(MAX(FILTER('REGISTRO PROD. v1'!F"&amp;":F,'REGISTRO PROD. v1'!D:D=B668)),0),
      IFERROR(MAX(FILTER('REGISTRO PROD. v1'!W:W,'REGISTRO PROD. v1'!U:U=B668)),0),
      IFERROR(MAX(FILTER('REGISTRO PROD. v1'!AN:AN,'REGISTRO PROD. v1'!AL:AL=B668)),0),
      IFERROR(MAX(FILTER('REGISTRO PROD. v1'!"&amp;"BE:BE,'REGISTRO PROD. v1'!BC:BC=B668)),0),
      IFERROR(MAX(FILTER('REGISTRO PROD. v1'!BV:BV,'REGISTRO PROD. v1'!BT:BT=B668)),0)
    )&gt;=F668,
    ""SI"",
    ""EN PROCESO""
  )
)
"),"NO")</f>
        <v>NO</v>
      </c>
      <c r="F668" s="132" t="s">
        <v>65</v>
      </c>
    </row>
    <row r="669" spans="2:6" ht="15" x14ac:dyDescent="0.25">
      <c r="B669" s="131">
        <v>666</v>
      </c>
      <c r="C669" s="131">
        <v>2018</v>
      </c>
      <c r="D669" s="131" t="s">
        <v>70</v>
      </c>
      <c r="E669" s="131" t="str">
        <f ca="1">IFERROR(__xludf.DUMMYFUNCTION("IF(
  MAX(
    IFERROR(MAX(FILTER('REGISTRO PROD. v1'!F:F,'REGISTRO PROD. v1'!D:D=B669)),0),
    IFERROR(MAX(FILTER('REGISTRO PROD. v1'!W:W,'REGISTRO PROD. v1'!U:U=B669)),0),
    IFERROR(MAX(FILTER('REGISTRO PROD. v1'!AN:AN,'REGISTRO PROD. v1'!AL:AL=B669)"&amp;"),0),
    IFERROR(MAX(FILTER('REGISTRO PROD. v1'!BE:BE,'REGISTRO PROD. v1'!BC:BC=B669)),0),
    IFERROR(MAX(FILTER('REGISTRO PROD. v1'!BV:BV,'REGISTRO PROD. v1'!BT:BT=B669)),0)
  )=0,
  ""NO"",
  IF(
    MAX(
      IFERROR(MAX(FILTER('REGISTRO PROD. v1'!F"&amp;":F,'REGISTRO PROD. v1'!D:D=B669)),0),
      IFERROR(MAX(FILTER('REGISTRO PROD. v1'!W:W,'REGISTRO PROD. v1'!U:U=B669)),0),
      IFERROR(MAX(FILTER('REGISTRO PROD. v1'!AN:AN,'REGISTRO PROD. v1'!AL:AL=B669)),0),
      IFERROR(MAX(FILTER('REGISTRO PROD. v1'!"&amp;"BE:BE,'REGISTRO PROD. v1'!BC:BC=B669)),0),
      IFERROR(MAX(FILTER('REGISTRO PROD. v1'!BV:BV,'REGISTRO PROD. v1'!BT:BT=B669)),0)
    )&gt;=F669,
    ""SI"",
    ""EN PROCESO""
  )
)
"),"NO")</f>
        <v>NO</v>
      </c>
      <c r="F669" s="132" t="s">
        <v>65</v>
      </c>
    </row>
    <row r="670" spans="2:6" ht="15" x14ac:dyDescent="0.25">
      <c r="B670" s="131">
        <v>667</v>
      </c>
      <c r="C670" s="131">
        <v>2018</v>
      </c>
      <c r="D670" s="131" t="s">
        <v>97</v>
      </c>
      <c r="E670" s="131" t="str">
        <f ca="1">IFERROR(__xludf.DUMMYFUNCTION("IF(
  MAX(
    IFERROR(MAX(FILTER('REGISTRO PROD. v1'!F:F,'REGISTRO PROD. v1'!D:D=B670)),0),
    IFERROR(MAX(FILTER('REGISTRO PROD. v1'!W:W,'REGISTRO PROD. v1'!U:U=B670)),0),
    IFERROR(MAX(FILTER('REGISTRO PROD. v1'!AN:AN,'REGISTRO PROD. v1'!AL:AL=B670)"&amp;"),0),
    IFERROR(MAX(FILTER('REGISTRO PROD. v1'!BE:BE,'REGISTRO PROD. v1'!BC:BC=B670)),0),
    IFERROR(MAX(FILTER('REGISTRO PROD. v1'!BV:BV,'REGISTRO PROD. v1'!BT:BT=B670)),0)
  )=0,
  ""NO"",
  IF(
    MAX(
      IFERROR(MAX(FILTER('REGISTRO PROD. v1'!F"&amp;":F,'REGISTRO PROD. v1'!D:D=B670)),0),
      IFERROR(MAX(FILTER('REGISTRO PROD. v1'!W:W,'REGISTRO PROD. v1'!U:U=B670)),0),
      IFERROR(MAX(FILTER('REGISTRO PROD. v1'!AN:AN,'REGISTRO PROD. v1'!AL:AL=B670)),0),
      IFERROR(MAX(FILTER('REGISTRO PROD. v1'!"&amp;"BE:BE,'REGISTRO PROD. v1'!BC:BC=B670)),0),
      IFERROR(MAX(FILTER('REGISTRO PROD. v1'!BV:BV,'REGISTRO PROD. v1'!BT:BT=B670)),0)
    )&gt;=F670,
    ""SI"",
    ""EN PROCESO""
  )
)
"),"NO")</f>
        <v>NO</v>
      </c>
      <c r="F670" s="132" t="s">
        <v>65</v>
      </c>
    </row>
    <row r="671" spans="2:6" ht="15" x14ac:dyDescent="0.25">
      <c r="B671" s="131">
        <v>668</v>
      </c>
      <c r="C671" s="131">
        <v>2018</v>
      </c>
      <c r="D671" s="131" t="s">
        <v>98</v>
      </c>
      <c r="E671" s="131" t="str">
        <f ca="1">IFERROR(__xludf.DUMMYFUNCTION("IF(
  MAX(
    IFERROR(MAX(FILTER('REGISTRO PROD. v1'!F:F,'REGISTRO PROD. v1'!D:D=B671)),0),
    IFERROR(MAX(FILTER('REGISTRO PROD. v1'!W:W,'REGISTRO PROD. v1'!U:U=B671)),0),
    IFERROR(MAX(FILTER('REGISTRO PROD. v1'!AN:AN,'REGISTRO PROD. v1'!AL:AL=B671)"&amp;"),0),
    IFERROR(MAX(FILTER('REGISTRO PROD. v1'!BE:BE,'REGISTRO PROD. v1'!BC:BC=B671)),0),
    IFERROR(MAX(FILTER('REGISTRO PROD. v1'!BV:BV,'REGISTRO PROD. v1'!BT:BT=B671)),0)
  )=0,
  ""NO"",
  IF(
    MAX(
      IFERROR(MAX(FILTER('REGISTRO PROD. v1'!F"&amp;":F,'REGISTRO PROD. v1'!D:D=B671)),0),
      IFERROR(MAX(FILTER('REGISTRO PROD. v1'!W:W,'REGISTRO PROD. v1'!U:U=B671)),0),
      IFERROR(MAX(FILTER('REGISTRO PROD. v1'!AN:AN,'REGISTRO PROD. v1'!AL:AL=B671)),0),
      IFERROR(MAX(FILTER('REGISTRO PROD. v1'!"&amp;"BE:BE,'REGISTRO PROD. v1'!BC:BC=B671)),0),
      IFERROR(MAX(FILTER('REGISTRO PROD. v1'!BV:BV,'REGISTRO PROD. v1'!BT:BT=B671)),0)
    )&gt;=F671,
    ""SI"",
    ""EN PROCESO""
  )
)
"),"NO")</f>
        <v>NO</v>
      </c>
      <c r="F671" s="132" t="s">
        <v>65</v>
      </c>
    </row>
    <row r="672" spans="2:6" ht="15" x14ac:dyDescent="0.25">
      <c r="B672" s="131">
        <v>669</v>
      </c>
      <c r="C672" s="131">
        <v>2018</v>
      </c>
      <c r="D672" s="131" t="s">
        <v>99</v>
      </c>
      <c r="E672" s="131" t="str">
        <f ca="1">IFERROR(__xludf.DUMMYFUNCTION("IF(
  MAX(
    IFERROR(MAX(FILTER('REGISTRO PROD. v1'!F:F,'REGISTRO PROD. v1'!D:D=B672)),0),
    IFERROR(MAX(FILTER('REGISTRO PROD. v1'!W:W,'REGISTRO PROD. v1'!U:U=B672)),0),
    IFERROR(MAX(FILTER('REGISTRO PROD. v1'!AN:AN,'REGISTRO PROD. v1'!AL:AL=B672)"&amp;"),0),
    IFERROR(MAX(FILTER('REGISTRO PROD. v1'!BE:BE,'REGISTRO PROD. v1'!BC:BC=B672)),0),
    IFERROR(MAX(FILTER('REGISTRO PROD. v1'!BV:BV,'REGISTRO PROD. v1'!BT:BT=B672)),0)
  )=0,
  ""NO"",
  IF(
    MAX(
      IFERROR(MAX(FILTER('REGISTRO PROD. v1'!F"&amp;":F,'REGISTRO PROD. v1'!D:D=B672)),0),
      IFERROR(MAX(FILTER('REGISTRO PROD. v1'!W:W,'REGISTRO PROD. v1'!U:U=B672)),0),
      IFERROR(MAX(FILTER('REGISTRO PROD. v1'!AN:AN,'REGISTRO PROD. v1'!AL:AL=B672)),0),
      IFERROR(MAX(FILTER('REGISTRO PROD. v1'!"&amp;"BE:BE,'REGISTRO PROD. v1'!BC:BC=B672)),0),
      IFERROR(MAX(FILTER('REGISTRO PROD. v1'!BV:BV,'REGISTRO PROD. v1'!BT:BT=B672)),0)
    )&gt;=F672,
    ""SI"",
    ""EN PROCESO""
  )
)
"),"NO")</f>
        <v>NO</v>
      </c>
      <c r="F672" s="132" t="s">
        <v>65</v>
      </c>
    </row>
    <row r="673" spans="2:6" ht="15" x14ac:dyDescent="0.25">
      <c r="B673" s="131">
        <v>670</v>
      </c>
      <c r="C673" s="131">
        <v>2018</v>
      </c>
      <c r="D673" s="131" t="s">
        <v>100</v>
      </c>
      <c r="E673" s="131" t="str">
        <f ca="1">IFERROR(__xludf.DUMMYFUNCTION("IF(
  MAX(
    IFERROR(MAX(FILTER('REGISTRO PROD. v1'!F:F,'REGISTRO PROD. v1'!D:D=B673)),0),
    IFERROR(MAX(FILTER('REGISTRO PROD. v1'!W:W,'REGISTRO PROD. v1'!U:U=B673)),0),
    IFERROR(MAX(FILTER('REGISTRO PROD. v1'!AN:AN,'REGISTRO PROD. v1'!AL:AL=B673)"&amp;"),0),
    IFERROR(MAX(FILTER('REGISTRO PROD. v1'!BE:BE,'REGISTRO PROD. v1'!BC:BC=B673)),0),
    IFERROR(MAX(FILTER('REGISTRO PROD. v1'!BV:BV,'REGISTRO PROD. v1'!BT:BT=B673)),0)
  )=0,
  ""NO"",
  IF(
    MAX(
      IFERROR(MAX(FILTER('REGISTRO PROD. v1'!F"&amp;":F,'REGISTRO PROD. v1'!D:D=B673)),0),
      IFERROR(MAX(FILTER('REGISTRO PROD. v1'!W:W,'REGISTRO PROD. v1'!U:U=B673)),0),
      IFERROR(MAX(FILTER('REGISTRO PROD. v1'!AN:AN,'REGISTRO PROD. v1'!AL:AL=B673)),0),
      IFERROR(MAX(FILTER('REGISTRO PROD. v1'!"&amp;"BE:BE,'REGISTRO PROD. v1'!BC:BC=B673)),0),
      IFERROR(MAX(FILTER('REGISTRO PROD. v1'!BV:BV,'REGISTRO PROD. v1'!BT:BT=B673)),0)
    )&gt;=F673,
    ""SI"",
    ""EN PROCESO""
  )
)
"),"NO")</f>
        <v>NO</v>
      </c>
      <c r="F673" s="132" t="s">
        <v>65</v>
      </c>
    </row>
    <row r="674" spans="2:6" ht="15" x14ac:dyDescent="0.25">
      <c r="B674" s="131">
        <v>671</v>
      </c>
      <c r="C674" s="131">
        <v>2018</v>
      </c>
      <c r="D674" s="131" t="s">
        <v>101</v>
      </c>
      <c r="E674" s="131" t="str">
        <f ca="1">IFERROR(__xludf.DUMMYFUNCTION("IF(
  MAX(
    IFERROR(MAX(FILTER('REGISTRO PROD. v1'!F:F,'REGISTRO PROD. v1'!D:D=B674)),0),
    IFERROR(MAX(FILTER('REGISTRO PROD. v1'!W:W,'REGISTRO PROD. v1'!U:U=B674)),0),
    IFERROR(MAX(FILTER('REGISTRO PROD. v1'!AN:AN,'REGISTRO PROD. v1'!AL:AL=B674)"&amp;"),0),
    IFERROR(MAX(FILTER('REGISTRO PROD. v1'!BE:BE,'REGISTRO PROD. v1'!BC:BC=B674)),0),
    IFERROR(MAX(FILTER('REGISTRO PROD. v1'!BV:BV,'REGISTRO PROD. v1'!BT:BT=B674)),0)
  )=0,
  ""NO"",
  IF(
    MAX(
      IFERROR(MAX(FILTER('REGISTRO PROD. v1'!F"&amp;":F,'REGISTRO PROD. v1'!D:D=B674)),0),
      IFERROR(MAX(FILTER('REGISTRO PROD. v1'!W:W,'REGISTRO PROD. v1'!U:U=B674)),0),
      IFERROR(MAX(FILTER('REGISTRO PROD. v1'!AN:AN,'REGISTRO PROD. v1'!AL:AL=B674)),0),
      IFERROR(MAX(FILTER('REGISTRO PROD. v1'!"&amp;"BE:BE,'REGISTRO PROD. v1'!BC:BC=B674)),0),
      IFERROR(MAX(FILTER('REGISTRO PROD. v1'!BV:BV,'REGISTRO PROD. v1'!BT:BT=B674)),0)
    )&gt;=F674,
    ""SI"",
    ""EN PROCESO""
  )
)
"),"NO")</f>
        <v>NO</v>
      </c>
      <c r="F674" s="132" t="s">
        <v>65</v>
      </c>
    </row>
    <row r="675" spans="2:6" ht="15" x14ac:dyDescent="0.25">
      <c r="B675" s="131">
        <v>672</v>
      </c>
      <c r="C675" s="131">
        <v>2018</v>
      </c>
      <c r="D675" s="131" t="s">
        <v>102</v>
      </c>
      <c r="E675" s="131" t="str">
        <f ca="1">IFERROR(__xludf.DUMMYFUNCTION("IF(
  MAX(
    IFERROR(MAX(FILTER('REGISTRO PROD. v1'!F:F,'REGISTRO PROD. v1'!D:D=B675)),0),
    IFERROR(MAX(FILTER('REGISTRO PROD. v1'!W:W,'REGISTRO PROD. v1'!U:U=B675)),0),
    IFERROR(MAX(FILTER('REGISTRO PROD. v1'!AN:AN,'REGISTRO PROD. v1'!AL:AL=B675)"&amp;"),0),
    IFERROR(MAX(FILTER('REGISTRO PROD. v1'!BE:BE,'REGISTRO PROD. v1'!BC:BC=B675)),0),
    IFERROR(MAX(FILTER('REGISTRO PROD. v1'!BV:BV,'REGISTRO PROD. v1'!BT:BT=B675)),0)
  )=0,
  ""NO"",
  IF(
    MAX(
      IFERROR(MAX(FILTER('REGISTRO PROD. v1'!F"&amp;":F,'REGISTRO PROD. v1'!D:D=B675)),0),
      IFERROR(MAX(FILTER('REGISTRO PROD. v1'!W:W,'REGISTRO PROD. v1'!U:U=B675)),0),
      IFERROR(MAX(FILTER('REGISTRO PROD. v1'!AN:AN,'REGISTRO PROD. v1'!AL:AL=B675)),0),
      IFERROR(MAX(FILTER('REGISTRO PROD. v1'!"&amp;"BE:BE,'REGISTRO PROD. v1'!BC:BC=B675)),0),
      IFERROR(MAX(FILTER('REGISTRO PROD. v1'!BV:BV,'REGISTRO PROD. v1'!BT:BT=B675)),0)
    )&gt;=F675,
    ""SI"",
    ""EN PROCESO""
  )
)
"),"NO")</f>
        <v>NO</v>
      </c>
      <c r="F675" s="132" t="s">
        <v>65</v>
      </c>
    </row>
    <row r="676" spans="2:6" ht="15" x14ac:dyDescent="0.25">
      <c r="B676" s="131">
        <v>673</v>
      </c>
      <c r="C676" s="131">
        <v>2018</v>
      </c>
      <c r="D676" s="131" t="s">
        <v>103</v>
      </c>
      <c r="E676" s="131" t="str">
        <f ca="1">IFERROR(__xludf.DUMMYFUNCTION("IF(
  MAX(
    IFERROR(MAX(FILTER('REGISTRO PROD. v1'!F:F,'REGISTRO PROD. v1'!D:D=B676)),0),
    IFERROR(MAX(FILTER('REGISTRO PROD. v1'!W:W,'REGISTRO PROD. v1'!U:U=B676)),0),
    IFERROR(MAX(FILTER('REGISTRO PROD. v1'!AN:AN,'REGISTRO PROD. v1'!AL:AL=B676)"&amp;"),0),
    IFERROR(MAX(FILTER('REGISTRO PROD. v1'!BE:BE,'REGISTRO PROD. v1'!BC:BC=B676)),0),
    IFERROR(MAX(FILTER('REGISTRO PROD. v1'!BV:BV,'REGISTRO PROD. v1'!BT:BT=B676)),0)
  )=0,
  ""NO"",
  IF(
    MAX(
      IFERROR(MAX(FILTER('REGISTRO PROD. v1'!F"&amp;":F,'REGISTRO PROD. v1'!D:D=B676)),0),
      IFERROR(MAX(FILTER('REGISTRO PROD. v1'!W:W,'REGISTRO PROD. v1'!U:U=B676)),0),
      IFERROR(MAX(FILTER('REGISTRO PROD. v1'!AN:AN,'REGISTRO PROD. v1'!AL:AL=B676)),0),
      IFERROR(MAX(FILTER('REGISTRO PROD. v1'!"&amp;"BE:BE,'REGISTRO PROD. v1'!BC:BC=B676)),0),
      IFERROR(MAX(FILTER('REGISTRO PROD. v1'!BV:BV,'REGISTRO PROD. v1'!BT:BT=B676)),0)
    )&gt;=F676,
    ""SI"",
    ""EN PROCESO""
  )
)
"),"NO")</f>
        <v>NO</v>
      </c>
      <c r="F676" s="132" t="s">
        <v>65</v>
      </c>
    </row>
    <row r="677" spans="2:6" ht="15" x14ac:dyDescent="0.25">
      <c r="B677" s="131">
        <v>674</v>
      </c>
      <c r="C677" s="131">
        <v>2018</v>
      </c>
      <c r="D677" s="131" t="s">
        <v>104</v>
      </c>
      <c r="E677" s="131" t="str">
        <f ca="1">IFERROR(__xludf.DUMMYFUNCTION("IF(
  MAX(
    IFERROR(MAX(FILTER('REGISTRO PROD. v1'!F:F,'REGISTRO PROD. v1'!D:D=B677)),0),
    IFERROR(MAX(FILTER('REGISTRO PROD. v1'!W:W,'REGISTRO PROD. v1'!U:U=B677)),0),
    IFERROR(MAX(FILTER('REGISTRO PROD. v1'!AN:AN,'REGISTRO PROD. v1'!AL:AL=B677)"&amp;"),0),
    IFERROR(MAX(FILTER('REGISTRO PROD. v1'!BE:BE,'REGISTRO PROD. v1'!BC:BC=B677)),0),
    IFERROR(MAX(FILTER('REGISTRO PROD. v1'!BV:BV,'REGISTRO PROD. v1'!BT:BT=B677)),0)
  )=0,
  ""NO"",
  IF(
    MAX(
      IFERROR(MAX(FILTER('REGISTRO PROD. v1'!F"&amp;":F,'REGISTRO PROD. v1'!D:D=B677)),0),
      IFERROR(MAX(FILTER('REGISTRO PROD. v1'!W:W,'REGISTRO PROD. v1'!U:U=B677)),0),
      IFERROR(MAX(FILTER('REGISTRO PROD. v1'!AN:AN,'REGISTRO PROD. v1'!AL:AL=B677)),0),
      IFERROR(MAX(FILTER('REGISTRO PROD. v1'!"&amp;"BE:BE,'REGISTRO PROD. v1'!BC:BC=B677)),0),
      IFERROR(MAX(FILTER('REGISTRO PROD. v1'!BV:BV,'REGISTRO PROD. v1'!BT:BT=B677)),0)
    )&gt;=F677,
    ""SI"",
    ""EN PROCESO""
  )
)
"),"NO")</f>
        <v>NO</v>
      </c>
      <c r="F677" s="132" t="s">
        <v>65</v>
      </c>
    </row>
    <row r="678" spans="2:6" ht="15" x14ac:dyDescent="0.25">
      <c r="B678" s="131">
        <v>675</v>
      </c>
      <c r="C678" s="131">
        <v>2018</v>
      </c>
      <c r="D678" s="131" t="s">
        <v>105</v>
      </c>
      <c r="E678" s="131" t="str">
        <f ca="1">IFERROR(__xludf.DUMMYFUNCTION("IF(
  MAX(
    IFERROR(MAX(FILTER('REGISTRO PROD. v1'!F:F,'REGISTRO PROD. v1'!D:D=B678)),0),
    IFERROR(MAX(FILTER('REGISTRO PROD. v1'!W:W,'REGISTRO PROD. v1'!U:U=B678)),0),
    IFERROR(MAX(FILTER('REGISTRO PROD. v1'!AN:AN,'REGISTRO PROD. v1'!AL:AL=B678)"&amp;"),0),
    IFERROR(MAX(FILTER('REGISTRO PROD. v1'!BE:BE,'REGISTRO PROD. v1'!BC:BC=B678)),0),
    IFERROR(MAX(FILTER('REGISTRO PROD. v1'!BV:BV,'REGISTRO PROD. v1'!BT:BT=B678)),0)
  )=0,
  ""NO"",
  IF(
    MAX(
      IFERROR(MAX(FILTER('REGISTRO PROD. v1'!F"&amp;":F,'REGISTRO PROD. v1'!D:D=B678)),0),
      IFERROR(MAX(FILTER('REGISTRO PROD. v1'!W:W,'REGISTRO PROD. v1'!U:U=B678)),0),
      IFERROR(MAX(FILTER('REGISTRO PROD. v1'!AN:AN,'REGISTRO PROD. v1'!AL:AL=B678)),0),
      IFERROR(MAX(FILTER('REGISTRO PROD. v1'!"&amp;"BE:BE,'REGISTRO PROD. v1'!BC:BC=B678)),0),
      IFERROR(MAX(FILTER('REGISTRO PROD. v1'!BV:BV,'REGISTRO PROD. v1'!BT:BT=B678)),0)
    )&gt;=F678,
    ""SI"",
    ""EN PROCESO""
  )
)
"),"NO")</f>
        <v>NO</v>
      </c>
      <c r="F678" s="132" t="s">
        <v>65</v>
      </c>
    </row>
    <row r="679" spans="2:6" ht="15" x14ac:dyDescent="0.25">
      <c r="B679" s="131">
        <v>676</v>
      </c>
      <c r="C679" s="131">
        <v>2018</v>
      </c>
      <c r="D679" s="131" t="s">
        <v>106</v>
      </c>
      <c r="E679" s="131" t="str">
        <f ca="1">IFERROR(__xludf.DUMMYFUNCTION("IF(
  MAX(
    IFERROR(MAX(FILTER('REGISTRO PROD. v1'!F:F,'REGISTRO PROD. v1'!D:D=B679)),0),
    IFERROR(MAX(FILTER('REGISTRO PROD. v1'!W:W,'REGISTRO PROD. v1'!U:U=B679)),0),
    IFERROR(MAX(FILTER('REGISTRO PROD. v1'!AN:AN,'REGISTRO PROD. v1'!AL:AL=B679)"&amp;"),0),
    IFERROR(MAX(FILTER('REGISTRO PROD. v1'!BE:BE,'REGISTRO PROD. v1'!BC:BC=B679)),0),
    IFERROR(MAX(FILTER('REGISTRO PROD. v1'!BV:BV,'REGISTRO PROD. v1'!BT:BT=B679)),0)
  )=0,
  ""NO"",
  IF(
    MAX(
      IFERROR(MAX(FILTER('REGISTRO PROD. v1'!F"&amp;":F,'REGISTRO PROD. v1'!D:D=B679)),0),
      IFERROR(MAX(FILTER('REGISTRO PROD. v1'!W:W,'REGISTRO PROD. v1'!U:U=B679)),0),
      IFERROR(MAX(FILTER('REGISTRO PROD. v1'!AN:AN,'REGISTRO PROD. v1'!AL:AL=B679)),0),
      IFERROR(MAX(FILTER('REGISTRO PROD. v1'!"&amp;"BE:BE,'REGISTRO PROD. v1'!BC:BC=B679)),0),
      IFERROR(MAX(FILTER('REGISTRO PROD. v1'!BV:BV,'REGISTRO PROD. v1'!BT:BT=B679)),0)
    )&gt;=F679,
    ""SI"",
    ""EN PROCESO""
  )
)
"),"NO")</f>
        <v>NO</v>
      </c>
      <c r="F679" s="132" t="s">
        <v>65</v>
      </c>
    </row>
    <row r="680" spans="2:6" ht="15" x14ac:dyDescent="0.25">
      <c r="B680" s="131">
        <v>677</v>
      </c>
      <c r="C680" s="131">
        <v>2018</v>
      </c>
      <c r="D680" s="131" t="s">
        <v>107</v>
      </c>
      <c r="E680" s="131" t="str">
        <f ca="1">IFERROR(__xludf.DUMMYFUNCTION("IF(
  MAX(
    IFERROR(MAX(FILTER('REGISTRO PROD. v1'!F:F,'REGISTRO PROD. v1'!D:D=B680)),0),
    IFERROR(MAX(FILTER('REGISTRO PROD. v1'!W:W,'REGISTRO PROD. v1'!U:U=B680)),0),
    IFERROR(MAX(FILTER('REGISTRO PROD. v1'!AN:AN,'REGISTRO PROD. v1'!AL:AL=B680)"&amp;"),0),
    IFERROR(MAX(FILTER('REGISTRO PROD. v1'!BE:BE,'REGISTRO PROD. v1'!BC:BC=B680)),0),
    IFERROR(MAX(FILTER('REGISTRO PROD. v1'!BV:BV,'REGISTRO PROD. v1'!BT:BT=B680)),0)
  )=0,
  ""NO"",
  IF(
    MAX(
      IFERROR(MAX(FILTER('REGISTRO PROD. v1'!F"&amp;":F,'REGISTRO PROD. v1'!D:D=B680)),0),
      IFERROR(MAX(FILTER('REGISTRO PROD. v1'!W:W,'REGISTRO PROD. v1'!U:U=B680)),0),
      IFERROR(MAX(FILTER('REGISTRO PROD. v1'!AN:AN,'REGISTRO PROD. v1'!AL:AL=B680)),0),
      IFERROR(MAX(FILTER('REGISTRO PROD. v1'!"&amp;"BE:BE,'REGISTRO PROD. v1'!BC:BC=B680)),0),
      IFERROR(MAX(FILTER('REGISTRO PROD. v1'!BV:BV,'REGISTRO PROD. v1'!BT:BT=B680)),0)
    )&gt;=F680,
    ""SI"",
    ""EN PROCESO""
  )
)
"),"NO")</f>
        <v>NO</v>
      </c>
      <c r="F680" s="132" t="s">
        <v>65</v>
      </c>
    </row>
    <row r="681" spans="2:6" ht="15" x14ac:dyDescent="0.25">
      <c r="B681" s="131">
        <v>678</v>
      </c>
      <c r="C681" s="131">
        <v>2018</v>
      </c>
      <c r="D681" s="131" t="s">
        <v>108</v>
      </c>
      <c r="E681" s="131" t="str">
        <f ca="1">IFERROR(__xludf.DUMMYFUNCTION("IF(
  MAX(
    IFERROR(MAX(FILTER('REGISTRO PROD. v1'!F:F,'REGISTRO PROD. v1'!D:D=B681)),0),
    IFERROR(MAX(FILTER('REGISTRO PROD. v1'!W:W,'REGISTRO PROD. v1'!U:U=B681)),0),
    IFERROR(MAX(FILTER('REGISTRO PROD. v1'!AN:AN,'REGISTRO PROD. v1'!AL:AL=B681)"&amp;"),0),
    IFERROR(MAX(FILTER('REGISTRO PROD. v1'!BE:BE,'REGISTRO PROD. v1'!BC:BC=B681)),0),
    IFERROR(MAX(FILTER('REGISTRO PROD. v1'!BV:BV,'REGISTRO PROD. v1'!BT:BT=B681)),0)
  )=0,
  ""NO"",
  IF(
    MAX(
      IFERROR(MAX(FILTER('REGISTRO PROD. v1'!F"&amp;":F,'REGISTRO PROD. v1'!D:D=B681)),0),
      IFERROR(MAX(FILTER('REGISTRO PROD. v1'!W:W,'REGISTRO PROD. v1'!U:U=B681)),0),
      IFERROR(MAX(FILTER('REGISTRO PROD. v1'!AN:AN,'REGISTRO PROD. v1'!AL:AL=B681)),0),
      IFERROR(MAX(FILTER('REGISTRO PROD. v1'!"&amp;"BE:BE,'REGISTRO PROD. v1'!BC:BC=B681)),0),
      IFERROR(MAX(FILTER('REGISTRO PROD. v1'!BV:BV,'REGISTRO PROD. v1'!BT:BT=B681)),0)
    )&gt;=F681,
    ""SI"",
    ""EN PROCESO""
  )
)
"),"NO")</f>
        <v>NO</v>
      </c>
      <c r="F681" s="132" t="s">
        <v>65</v>
      </c>
    </row>
    <row r="682" spans="2:6" ht="15" x14ac:dyDescent="0.25">
      <c r="B682" s="131">
        <v>679</v>
      </c>
      <c r="C682" s="131">
        <v>2018</v>
      </c>
      <c r="D682" s="131" t="s">
        <v>109</v>
      </c>
      <c r="E682" s="131" t="str">
        <f ca="1">IFERROR(__xludf.DUMMYFUNCTION("IF(
  MAX(
    IFERROR(MAX(FILTER('REGISTRO PROD. v1'!F:F,'REGISTRO PROD. v1'!D:D=B682)),0),
    IFERROR(MAX(FILTER('REGISTRO PROD. v1'!W:W,'REGISTRO PROD. v1'!U:U=B682)),0),
    IFERROR(MAX(FILTER('REGISTRO PROD. v1'!AN:AN,'REGISTRO PROD. v1'!AL:AL=B682)"&amp;"),0),
    IFERROR(MAX(FILTER('REGISTRO PROD. v1'!BE:BE,'REGISTRO PROD. v1'!BC:BC=B682)),0),
    IFERROR(MAX(FILTER('REGISTRO PROD. v1'!BV:BV,'REGISTRO PROD. v1'!BT:BT=B682)),0)
  )=0,
  ""NO"",
  IF(
    MAX(
      IFERROR(MAX(FILTER('REGISTRO PROD. v1'!F"&amp;":F,'REGISTRO PROD. v1'!D:D=B682)),0),
      IFERROR(MAX(FILTER('REGISTRO PROD. v1'!W:W,'REGISTRO PROD. v1'!U:U=B682)),0),
      IFERROR(MAX(FILTER('REGISTRO PROD. v1'!AN:AN,'REGISTRO PROD. v1'!AL:AL=B682)),0),
      IFERROR(MAX(FILTER('REGISTRO PROD. v1'!"&amp;"BE:BE,'REGISTRO PROD. v1'!BC:BC=B682)),0),
      IFERROR(MAX(FILTER('REGISTRO PROD. v1'!BV:BV,'REGISTRO PROD. v1'!BT:BT=B682)),0)
    )&gt;=F682,
    ""SI"",
    ""EN PROCESO""
  )
)
"),"NO")</f>
        <v>NO</v>
      </c>
      <c r="F682" s="132" t="s">
        <v>65</v>
      </c>
    </row>
    <row r="683" spans="2:6" ht="15" x14ac:dyDescent="0.25">
      <c r="B683" s="131">
        <v>680</v>
      </c>
      <c r="C683" s="131">
        <v>2018</v>
      </c>
      <c r="D683" s="131" t="s">
        <v>110</v>
      </c>
      <c r="E683" s="131" t="str">
        <f ca="1">IFERROR(__xludf.DUMMYFUNCTION("IF(
  MAX(
    IFERROR(MAX(FILTER('REGISTRO PROD. v1'!F:F,'REGISTRO PROD. v1'!D:D=B683)),0),
    IFERROR(MAX(FILTER('REGISTRO PROD. v1'!W:W,'REGISTRO PROD. v1'!U:U=B683)),0),
    IFERROR(MAX(FILTER('REGISTRO PROD. v1'!AN:AN,'REGISTRO PROD. v1'!AL:AL=B683)"&amp;"),0),
    IFERROR(MAX(FILTER('REGISTRO PROD. v1'!BE:BE,'REGISTRO PROD. v1'!BC:BC=B683)),0),
    IFERROR(MAX(FILTER('REGISTRO PROD. v1'!BV:BV,'REGISTRO PROD. v1'!BT:BT=B683)),0)
  )=0,
  ""NO"",
  IF(
    MAX(
      IFERROR(MAX(FILTER('REGISTRO PROD. v1'!F"&amp;":F,'REGISTRO PROD. v1'!D:D=B683)),0),
      IFERROR(MAX(FILTER('REGISTRO PROD. v1'!W:W,'REGISTRO PROD. v1'!U:U=B683)),0),
      IFERROR(MAX(FILTER('REGISTRO PROD. v1'!AN:AN,'REGISTRO PROD. v1'!AL:AL=B683)),0),
      IFERROR(MAX(FILTER('REGISTRO PROD. v1'!"&amp;"BE:BE,'REGISTRO PROD. v1'!BC:BC=B683)),0),
      IFERROR(MAX(FILTER('REGISTRO PROD. v1'!BV:BV,'REGISTRO PROD. v1'!BT:BT=B683)),0)
    )&gt;=F683,
    ""SI"",
    ""EN PROCESO""
  )
)
"),"NO")</f>
        <v>NO</v>
      </c>
      <c r="F683" s="132" t="s">
        <v>65</v>
      </c>
    </row>
    <row r="684" spans="2:6" ht="15" x14ac:dyDescent="0.25">
      <c r="B684" s="131">
        <v>681</v>
      </c>
      <c r="C684" s="131">
        <v>2018</v>
      </c>
      <c r="D684" s="131" t="s">
        <v>111</v>
      </c>
      <c r="E684" s="131" t="str">
        <f ca="1">IFERROR(__xludf.DUMMYFUNCTION("IF(
  MAX(
    IFERROR(MAX(FILTER('REGISTRO PROD. v1'!F:F,'REGISTRO PROD. v1'!D:D=B684)),0),
    IFERROR(MAX(FILTER('REGISTRO PROD. v1'!W:W,'REGISTRO PROD. v1'!U:U=B684)),0),
    IFERROR(MAX(FILTER('REGISTRO PROD. v1'!AN:AN,'REGISTRO PROD. v1'!AL:AL=B684)"&amp;"),0),
    IFERROR(MAX(FILTER('REGISTRO PROD. v1'!BE:BE,'REGISTRO PROD. v1'!BC:BC=B684)),0),
    IFERROR(MAX(FILTER('REGISTRO PROD. v1'!BV:BV,'REGISTRO PROD. v1'!BT:BT=B684)),0)
  )=0,
  ""NO"",
  IF(
    MAX(
      IFERROR(MAX(FILTER('REGISTRO PROD. v1'!F"&amp;":F,'REGISTRO PROD. v1'!D:D=B684)),0),
      IFERROR(MAX(FILTER('REGISTRO PROD. v1'!W:W,'REGISTRO PROD. v1'!U:U=B684)),0),
      IFERROR(MAX(FILTER('REGISTRO PROD. v1'!AN:AN,'REGISTRO PROD. v1'!AL:AL=B684)),0),
      IFERROR(MAX(FILTER('REGISTRO PROD. v1'!"&amp;"BE:BE,'REGISTRO PROD. v1'!BC:BC=B684)),0),
      IFERROR(MAX(FILTER('REGISTRO PROD. v1'!BV:BV,'REGISTRO PROD. v1'!BT:BT=B684)),0)
    )&gt;=F684,
    ""SI"",
    ""EN PROCESO""
  )
)
"),"NO")</f>
        <v>NO</v>
      </c>
      <c r="F684" s="132" t="s">
        <v>65</v>
      </c>
    </row>
    <row r="685" spans="2:6" ht="15" x14ac:dyDescent="0.25">
      <c r="B685" s="131">
        <v>682</v>
      </c>
      <c r="C685" s="131">
        <v>2018</v>
      </c>
      <c r="D685" s="131" t="s">
        <v>112</v>
      </c>
      <c r="E685" s="131" t="str">
        <f ca="1">IFERROR(__xludf.DUMMYFUNCTION("IF(
  MAX(
    IFERROR(MAX(FILTER('REGISTRO PROD. v1'!F:F,'REGISTRO PROD. v1'!D:D=B685)),0),
    IFERROR(MAX(FILTER('REGISTRO PROD. v1'!W:W,'REGISTRO PROD. v1'!U:U=B685)),0),
    IFERROR(MAX(FILTER('REGISTRO PROD. v1'!AN:AN,'REGISTRO PROD. v1'!AL:AL=B685)"&amp;"),0),
    IFERROR(MAX(FILTER('REGISTRO PROD. v1'!BE:BE,'REGISTRO PROD. v1'!BC:BC=B685)),0),
    IFERROR(MAX(FILTER('REGISTRO PROD. v1'!BV:BV,'REGISTRO PROD. v1'!BT:BT=B685)),0)
  )=0,
  ""NO"",
  IF(
    MAX(
      IFERROR(MAX(FILTER('REGISTRO PROD. v1'!F"&amp;":F,'REGISTRO PROD. v1'!D:D=B685)),0),
      IFERROR(MAX(FILTER('REGISTRO PROD. v1'!W:W,'REGISTRO PROD. v1'!U:U=B685)),0),
      IFERROR(MAX(FILTER('REGISTRO PROD. v1'!AN:AN,'REGISTRO PROD. v1'!AL:AL=B685)),0),
      IFERROR(MAX(FILTER('REGISTRO PROD. v1'!"&amp;"BE:BE,'REGISTRO PROD. v1'!BC:BC=B685)),0),
      IFERROR(MAX(FILTER('REGISTRO PROD. v1'!BV:BV,'REGISTRO PROD. v1'!BT:BT=B685)),0)
    )&gt;=F685,
    ""SI"",
    ""EN PROCESO""
  )
)
"),"NO")</f>
        <v>NO</v>
      </c>
      <c r="F685" s="132" t="s">
        <v>65</v>
      </c>
    </row>
    <row r="686" spans="2:6" ht="15" x14ac:dyDescent="0.25">
      <c r="B686" s="131">
        <v>683</v>
      </c>
      <c r="C686" s="131">
        <v>2018</v>
      </c>
      <c r="D686" s="131" t="s">
        <v>113</v>
      </c>
      <c r="E686" s="131" t="str">
        <f ca="1">IFERROR(__xludf.DUMMYFUNCTION("IF(
  MAX(
    IFERROR(MAX(FILTER('REGISTRO PROD. v1'!F:F,'REGISTRO PROD. v1'!D:D=B686)),0),
    IFERROR(MAX(FILTER('REGISTRO PROD. v1'!W:W,'REGISTRO PROD. v1'!U:U=B686)),0),
    IFERROR(MAX(FILTER('REGISTRO PROD. v1'!AN:AN,'REGISTRO PROD. v1'!AL:AL=B686)"&amp;"),0),
    IFERROR(MAX(FILTER('REGISTRO PROD. v1'!BE:BE,'REGISTRO PROD. v1'!BC:BC=B686)),0),
    IFERROR(MAX(FILTER('REGISTRO PROD. v1'!BV:BV,'REGISTRO PROD. v1'!BT:BT=B686)),0)
  )=0,
  ""NO"",
  IF(
    MAX(
      IFERROR(MAX(FILTER('REGISTRO PROD. v1'!F"&amp;":F,'REGISTRO PROD. v1'!D:D=B686)),0),
      IFERROR(MAX(FILTER('REGISTRO PROD. v1'!W:W,'REGISTRO PROD. v1'!U:U=B686)),0),
      IFERROR(MAX(FILTER('REGISTRO PROD. v1'!AN:AN,'REGISTRO PROD. v1'!AL:AL=B686)),0),
      IFERROR(MAX(FILTER('REGISTRO PROD. v1'!"&amp;"BE:BE,'REGISTRO PROD. v1'!BC:BC=B686)),0),
      IFERROR(MAX(FILTER('REGISTRO PROD. v1'!BV:BV,'REGISTRO PROD. v1'!BT:BT=B686)),0)
    )&gt;=F686,
    ""SI"",
    ""EN PROCESO""
  )
)
"),"NO")</f>
        <v>NO</v>
      </c>
      <c r="F686" s="132" t="s">
        <v>65</v>
      </c>
    </row>
    <row r="687" spans="2:6" ht="15" x14ac:dyDescent="0.25">
      <c r="B687" s="131">
        <v>684</v>
      </c>
      <c r="C687" s="131">
        <v>2018</v>
      </c>
      <c r="D687" s="131" t="s">
        <v>114</v>
      </c>
      <c r="E687" s="131" t="str">
        <f ca="1">IFERROR(__xludf.DUMMYFUNCTION("IF(
  MAX(
    IFERROR(MAX(FILTER('REGISTRO PROD. v1'!F:F,'REGISTRO PROD. v1'!D:D=B687)),0),
    IFERROR(MAX(FILTER('REGISTRO PROD. v1'!W:W,'REGISTRO PROD. v1'!U:U=B687)),0),
    IFERROR(MAX(FILTER('REGISTRO PROD. v1'!AN:AN,'REGISTRO PROD. v1'!AL:AL=B687)"&amp;"),0),
    IFERROR(MAX(FILTER('REGISTRO PROD. v1'!BE:BE,'REGISTRO PROD. v1'!BC:BC=B687)),0),
    IFERROR(MAX(FILTER('REGISTRO PROD. v1'!BV:BV,'REGISTRO PROD. v1'!BT:BT=B687)),0)
  )=0,
  ""NO"",
  IF(
    MAX(
      IFERROR(MAX(FILTER('REGISTRO PROD. v1'!F"&amp;":F,'REGISTRO PROD. v1'!D:D=B687)),0),
      IFERROR(MAX(FILTER('REGISTRO PROD. v1'!W:W,'REGISTRO PROD. v1'!U:U=B687)),0),
      IFERROR(MAX(FILTER('REGISTRO PROD. v1'!AN:AN,'REGISTRO PROD. v1'!AL:AL=B687)),0),
      IFERROR(MAX(FILTER('REGISTRO PROD. v1'!"&amp;"BE:BE,'REGISTRO PROD. v1'!BC:BC=B687)),0),
      IFERROR(MAX(FILTER('REGISTRO PROD. v1'!BV:BV,'REGISTRO PROD. v1'!BT:BT=B687)),0)
    )&gt;=F687,
    ""SI"",
    ""EN PROCESO""
  )
)
"),"NO")</f>
        <v>NO</v>
      </c>
      <c r="F687" s="132" t="s">
        <v>65</v>
      </c>
    </row>
    <row r="688" spans="2:6" ht="15" x14ac:dyDescent="0.25">
      <c r="B688" s="131">
        <v>685</v>
      </c>
      <c r="C688" s="131">
        <v>2018</v>
      </c>
      <c r="D688" s="131" t="s">
        <v>115</v>
      </c>
      <c r="E688" s="131" t="str">
        <f ca="1">IFERROR(__xludf.DUMMYFUNCTION("IF(
  MAX(
    IFERROR(MAX(FILTER('REGISTRO PROD. v1'!F:F,'REGISTRO PROD. v1'!D:D=B688)),0),
    IFERROR(MAX(FILTER('REGISTRO PROD. v1'!W:W,'REGISTRO PROD. v1'!U:U=B688)),0),
    IFERROR(MAX(FILTER('REGISTRO PROD. v1'!AN:AN,'REGISTRO PROD. v1'!AL:AL=B688)"&amp;"),0),
    IFERROR(MAX(FILTER('REGISTRO PROD. v1'!BE:BE,'REGISTRO PROD. v1'!BC:BC=B688)),0),
    IFERROR(MAX(FILTER('REGISTRO PROD. v1'!BV:BV,'REGISTRO PROD. v1'!BT:BT=B688)),0)
  )=0,
  ""NO"",
  IF(
    MAX(
      IFERROR(MAX(FILTER('REGISTRO PROD. v1'!F"&amp;":F,'REGISTRO PROD. v1'!D:D=B688)),0),
      IFERROR(MAX(FILTER('REGISTRO PROD. v1'!W:W,'REGISTRO PROD. v1'!U:U=B688)),0),
      IFERROR(MAX(FILTER('REGISTRO PROD. v1'!AN:AN,'REGISTRO PROD. v1'!AL:AL=B688)),0),
      IFERROR(MAX(FILTER('REGISTRO PROD. v1'!"&amp;"BE:BE,'REGISTRO PROD. v1'!BC:BC=B688)),0),
      IFERROR(MAX(FILTER('REGISTRO PROD. v1'!BV:BV,'REGISTRO PROD. v1'!BT:BT=B688)),0)
    )&gt;=F688,
    ""SI"",
    ""EN PROCESO""
  )
)
"),"NO")</f>
        <v>NO</v>
      </c>
      <c r="F688" s="132" t="s">
        <v>65</v>
      </c>
    </row>
    <row r="689" spans="2:6" ht="15" x14ac:dyDescent="0.25">
      <c r="B689" s="131">
        <v>686</v>
      </c>
      <c r="C689" s="131">
        <v>2018</v>
      </c>
      <c r="D689" s="131" t="s">
        <v>116</v>
      </c>
      <c r="E689" s="131" t="str">
        <f ca="1">IFERROR(__xludf.DUMMYFUNCTION("IF(
  MAX(
    IFERROR(MAX(FILTER('REGISTRO PROD. v1'!F:F,'REGISTRO PROD. v1'!D:D=B689)),0),
    IFERROR(MAX(FILTER('REGISTRO PROD. v1'!W:W,'REGISTRO PROD. v1'!U:U=B689)),0),
    IFERROR(MAX(FILTER('REGISTRO PROD. v1'!AN:AN,'REGISTRO PROD. v1'!AL:AL=B689)"&amp;"),0),
    IFERROR(MAX(FILTER('REGISTRO PROD. v1'!BE:BE,'REGISTRO PROD. v1'!BC:BC=B689)),0),
    IFERROR(MAX(FILTER('REGISTRO PROD. v1'!BV:BV,'REGISTRO PROD. v1'!BT:BT=B689)),0)
  )=0,
  ""NO"",
  IF(
    MAX(
      IFERROR(MAX(FILTER('REGISTRO PROD. v1'!F"&amp;":F,'REGISTRO PROD. v1'!D:D=B689)),0),
      IFERROR(MAX(FILTER('REGISTRO PROD. v1'!W:W,'REGISTRO PROD. v1'!U:U=B689)),0),
      IFERROR(MAX(FILTER('REGISTRO PROD. v1'!AN:AN,'REGISTRO PROD. v1'!AL:AL=B689)),0),
      IFERROR(MAX(FILTER('REGISTRO PROD. v1'!"&amp;"BE:BE,'REGISTRO PROD. v1'!BC:BC=B689)),0),
      IFERROR(MAX(FILTER('REGISTRO PROD. v1'!BV:BV,'REGISTRO PROD. v1'!BT:BT=B689)),0)
    )&gt;=F689,
    ""SI"",
    ""EN PROCESO""
  )
)
"),"NO")</f>
        <v>NO</v>
      </c>
      <c r="F689" s="132" t="s">
        <v>65</v>
      </c>
    </row>
    <row r="690" spans="2:6" ht="15" x14ac:dyDescent="0.25">
      <c r="B690" s="131">
        <v>687</v>
      </c>
      <c r="C690" s="131">
        <v>2018</v>
      </c>
      <c r="D690" s="131" t="s">
        <v>117</v>
      </c>
      <c r="E690" s="131" t="str">
        <f ca="1">IFERROR(__xludf.DUMMYFUNCTION("IF(
  MAX(
    IFERROR(MAX(FILTER('REGISTRO PROD. v1'!F:F,'REGISTRO PROD. v1'!D:D=B690)),0),
    IFERROR(MAX(FILTER('REGISTRO PROD. v1'!W:W,'REGISTRO PROD. v1'!U:U=B690)),0),
    IFERROR(MAX(FILTER('REGISTRO PROD. v1'!AN:AN,'REGISTRO PROD. v1'!AL:AL=B690)"&amp;"),0),
    IFERROR(MAX(FILTER('REGISTRO PROD. v1'!BE:BE,'REGISTRO PROD. v1'!BC:BC=B690)),0),
    IFERROR(MAX(FILTER('REGISTRO PROD. v1'!BV:BV,'REGISTRO PROD. v1'!BT:BT=B690)),0)
  )=0,
  ""NO"",
  IF(
    MAX(
      IFERROR(MAX(FILTER('REGISTRO PROD. v1'!F"&amp;":F,'REGISTRO PROD. v1'!D:D=B690)),0),
      IFERROR(MAX(FILTER('REGISTRO PROD. v1'!W:W,'REGISTRO PROD. v1'!U:U=B690)),0),
      IFERROR(MAX(FILTER('REGISTRO PROD. v1'!AN:AN,'REGISTRO PROD. v1'!AL:AL=B690)),0),
      IFERROR(MAX(FILTER('REGISTRO PROD. v1'!"&amp;"BE:BE,'REGISTRO PROD. v1'!BC:BC=B690)),0),
      IFERROR(MAX(FILTER('REGISTRO PROD. v1'!BV:BV,'REGISTRO PROD. v1'!BT:BT=B690)),0)
    )&gt;=F690,
    ""SI"",
    ""EN PROCESO""
  )
)
"),"NO")</f>
        <v>NO</v>
      </c>
      <c r="F690" s="132" t="s">
        <v>65</v>
      </c>
    </row>
    <row r="691" spans="2:6" ht="15" x14ac:dyDescent="0.25">
      <c r="B691" s="131">
        <v>688</v>
      </c>
      <c r="C691" s="131">
        <v>2018</v>
      </c>
      <c r="D691" s="131" t="s">
        <v>118</v>
      </c>
      <c r="E691" s="131" t="str">
        <f ca="1">IFERROR(__xludf.DUMMYFUNCTION("IF(
  MAX(
    IFERROR(MAX(FILTER('REGISTRO PROD. v1'!F:F,'REGISTRO PROD. v1'!D:D=B691)),0),
    IFERROR(MAX(FILTER('REGISTRO PROD. v1'!W:W,'REGISTRO PROD. v1'!U:U=B691)),0),
    IFERROR(MAX(FILTER('REGISTRO PROD. v1'!AN:AN,'REGISTRO PROD. v1'!AL:AL=B691)"&amp;"),0),
    IFERROR(MAX(FILTER('REGISTRO PROD. v1'!BE:BE,'REGISTRO PROD. v1'!BC:BC=B691)),0),
    IFERROR(MAX(FILTER('REGISTRO PROD. v1'!BV:BV,'REGISTRO PROD. v1'!BT:BT=B691)),0)
  )=0,
  ""NO"",
  IF(
    MAX(
      IFERROR(MAX(FILTER('REGISTRO PROD. v1'!F"&amp;":F,'REGISTRO PROD. v1'!D:D=B691)),0),
      IFERROR(MAX(FILTER('REGISTRO PROD. v1'!W:W,'REGISTRO PROD. v1'!U:U=B691)),0),
      IFERROR(MAX(FILTER('REGISTRO PROD. v1'!AN:AN,'REGISTRO PROD. v1'!AL:AL=B691)),0),
      IFERROR(MAX(FILTER('REGISTRO PROD. v1'!"&amp;"BE:BE,'REGISTRO PROD. v1'!BC:BC=B691)),0),
      IFERROR(MAX(FILTER('REGISTRO PROD. v1'!BV:BV,'REGISTRO PROD. v1'!BT:BT=B691)),0)
    )&gt;=F691,
    ""SI"",
    ""EN PROCESO""
  )
)
"),"NO")</f>
        <v>NO</v>
      </c>
      <c r="F691" s="132" t="s">
        <v>65</v>
      </c>
    </row>
    <row r="692" spans="2:6" ht="15" x14ac:dyDescent="0.25">
      <c r="B692" s="131">
        <v>689</v>
      </c>
      <c r="C692" s="131">
        <v>2018</v>
      </c>
      <c r="D692" s="131" t="s">
        <v>119</v>
      </c>
      <c r="E692" s="131" t="str">
        <f ca="1">IFERROR(__xludf.DUMMYFUNCTION("IF(
  MAX(
    IFERROR(MAX(FILTER('REGISTRO PROD. v1'!F:F,'REGISTRO PROD. v1'!D:D=B692)),0),
    IFERROR(MAX(FILTER('REGISTRO PROD. v1'!W:W,'REGISTRO PROD. v1'!U:U=B692)),0),
    IFERROR(MAX(FILTER('REGISTRO PROD. v1'!AN:AN,'REGISTRO PROD. v1'!AL:AL=B692)"&amp;"),0),
    IFERROR(MAX(FILTER('REGISTRO PROD. v1'!BE:BE,'REGISTRO PROD. v1'!BC:BC=B692)),0),
    IFERROR(MAX(FILTER('REGISTRO PROD. v1'!BV:BV,'REGISTRO PROD. v1'!BT:BT=B692)),0)
  )=0,
  ""NO"",
  IF(
    MAX(
      IFERROR(MAX(FILTER('REGISTRO PROD. v1'!F"&amp;":F,'REGISTRO PROD. v1'!D:D=B692)),0),
      IFERROR(MAX(FILTER('REGISTRO PROD. v1'!W:W,'REGISTRO PROD. v1'!U:U=B692)),0),
      IFERROR(MAX(FILTER('REGISTRO PROD. v1'!AN:AN,'REGISTRO PROD. v1'!AL:AL=B692)),0),
      IFERROR(MAX(FILTER('REGISTRO PROD. v1'!"&amp;"BE:BE,'REGISTRO PROD. v1'!BC:BC=B692)),0),
      IFERROR(MAX(FILTER('REGISTRO PROD. v1'!BV:BV,'REGISTRO PROD. v1'!BT:BT=B692)),0)
    )&gt;=F692,
    ""SI"",
    ""EN PROCESO""
  )
)
"),"NO")</f>
        <v>NO</v>
      </c>
      <c r="F692" s="132" t="s">
        <v>65</v>
      </c>
    </row>
    <row r="693" spans="2:6" ht="15" x14ac:dyDescent="0.25">
      <c r="B693" s="131">
        <v>690</v>
      </c>
      <c r="C693" s="131">
        <v>2018</v>
      </c>
      <c r="D693" s="131" t="s">
        <v>121</v>
      </c>
      <c r="E693" s="131" t="str">
        <f ca="1">IFERROR(__xludf.DUMMYFUNCTION("IF(
  MAX(
    IFERROR(MAX(FILTER('REGISTRO PROD. v1'!F:F,'REGISTRO PROD. v1'!D:D=B693)),0),
    IFERROR(MAX(FILTER('REGISTRO PROD. v1'!W:W,'REGISTRO PROD. v1'!U:U=B693)),0),
    IFERROR(MAX(FILTER('REGISTRO PROD. v1'!AN:AN,'REGISTRO PROD. v1'!AL:AL=B693)"&amp;"),0),
    IFERROR(MAX(FILTER('REGISTRO PROD. v1'!BE:BE,'REGISTRO PROD. v1'!BC:BC=B693)),0),
    IFERROR(MAX(FILTER('REGISTRO PROD. v1'!BV:BV,'REGISTRO PROD. v1'!BT:BT=B693)),0)
  )=0,
  ""NO"",
  IF(
    MAX(
      IFERROR(MAX(FILTER('REGISTRO PROD. v1'!F"&amp;":F,'REGISTRO PROD. v1'!D:D=B693)),0),
      IFERROR(MAX(FILTER('REGISTRO PROD. v1'!W:W,'REGISTRO PROD. v1'!U:U=B693)),0),
      IFERROR(MAX(FILTER('REGISTRO PROD. v1'!AN:AN,'REGISTRO PROD. v1'!AL:AL=B693)),0),
      IFERROR(MAX(FILTER('REGISTRO PROD. v1'!"&amp;"BE:BE,'REGISTRO PROD. v1'!BC:BC=B693)),0),
      IFERROR(MAX(FILTER('REGISTRO PROD. v1'!BV:BV,'REGISTRO PROD. v1'!BT:BT=B693)),0)
    )&gt;=F693,
    ""SI"",
    ""EN PROCESO""
  )
)
"),"NO")</f>
        <v>NO</v>
      </c>
      <c r="F693" s="132" t="s">
        <v>65</v>
      </c>
    </row>
    <row r="694" spans="2:6" ht="15" x14ac:dyDescent="0.25">
      <c r="B694" s="131">
        <v>691</v>
      </c>
      <c r="C694" s="131">
        <v>2018</v>
      </c>
      <c r="D694" s="131" t="s">
        <v>122</v>
      </c>
      <c r="E694" s="131" t="str">
        <f ca="1">IFERROR(__xludf.DUMMYFUNCTION("IF(
  MAX(
    IFERROR(MAX(FILTER('REGISTRO PROD. v1'!F:F,'REGISTRO PROD. v1'!D:D=B694)),0),
    IFERROR(MAX(FILTER('REGISTRO PROD. v1'!W:W,'REGISTRO PROD. v1'!U:U=B694)),0),
    IFERROR(MAX(FILTER('REGISTRO PROD. v1'!AN:AN,'REGISTRO PROD. v1'!AL:AL=B694)"&amp;"),0),
    IFERROR(MAX(FILTER('REGISTRO PROD. v1'!BE:BE,'REGISTRO PROD. v1'!BC:BC=B694)),0),
    IFERROR(MAX(FILTER('REGISTRO PROD. v1'!BV:BV,'REGISTRO PROD. v1'!BT:BT=B694)),0)
  )=0,
  ""NO"",
  IF(
    MAX(
      IFERROR(MAX(FILTER('REGISTRO PROD. v1'!F"&amp;":F,'REGISTRO PROD. v1'!D:D=B694)),0),
      IFERROR(MAX(FILTER('REGISTRO PROD. v1'!W:W,'REGISTRO PROD. v1'!U:U=B694)),0),
      IFERROR(MAX(FILTER('REGISTRO PROD. v1'!AN:AN,'REGISTRO PROD. v1'!AL:AL=B694)),0),
      IFERROR(MAX(FILTER('REGISTRO PROD. v1'!"&amp;"BE:BE,'REGISTRO PROD. v1'!BC:BC=B694)),0),
      IFERROR(MAX(FILTER('REGISTRO PROD. v1'!BV:BV,'REGISTRO PROD. v1'!BT:BT=B694)),0)
    )&gt;=F694,
    ""SI"",
    ""EN PROCESO""
  )
)
"),"NO")</f>
        <v>NO</v>
      </c>
      <c r="F694" s="132" t="s">
        <v>65</v>
      </c>
    </row>
    <row r="695" spans="2:6" ht="15" x14ac:dyDescent="0.25">
      <c r="B695" s="131">
        <v>692</v>
      </c>
      <c r="C695" s="131">
        <v>2018</v>
      </c>
      <c r="D695" s="131" t="s">
        <v>123</v>
      </c>
      <c r="E695" s="131" t="str">
        <f ca="1">IFERROR(__xludf.DUMMYFUNCTION("IF(
  MAX(
    IFERROR(MAX(FILTER('REGISTRO PROD. v1'!F:F,'REGISTRO PROD. v1'!D:D=B695)),0),
    IFERROR(MAX(FILTER('REGISTRO PROD. v1'!W:W,'REGISTRO PROD. v1'!U:U=B695)),0),
    IFERROR(MAX(FILTER('REGISTRO PROD. v1'!AN:AN,'REGISTRO PROD. v1'!AL:AL=B695)"&amp;"),0),
    IFERROR(MAX(FILTER('REGISTRO PROD. v1'!BE:BE,'REGISTRO PROD. v1'!BC:BC=B695)),0),
    IFERROR(MAX(FILTER('REGISTRO PROD. v1'!BV:BV,'REGISTRO PROD. v1'!BT:BT=B695)),0)
  )=0,
  ""NO"",
  IF(
    MAX(
      IFERROR(MAX(FILTER('REGISTRO PROD. v1'!F"&amp;":F,'REGISTRO PROD. v1'!D:D=B695)),0),
      IFERROR(MAX(FILTER('REGISTRO PROD. v1'!W:W,'REGISTRO PROD. v1'!U:U=B695)),0),
      IFERROR(MAX(FILTER('REGISTRO PROD. v1'!AN:AN,'REGISTRO PROD. v1'!AL:AL=B695)),0),
      IFERROR(MAX(FILTER('REGISTRO PROD. v1'!"&amp;"BE:BE,'REGISTRO PROD. v1'!BC:BC=B695)),0),
      IFERROR(MAX(FILTER('REGISTRO PROD. v1'!BV:BV,'REGISTRO PROD. v1'!BT:BT=B695)),0)
    )&gt;=F695,
    ""SI"",
    ""EN PROCESO""
  )
)
"),"NO")</f>
        <v>NO</v>
      </c>
      <c r="F695" s="132" t="s">
        <v>65</v>
      </c>
    </row>
    <row r="696" spans="2:6" ht="15" x14ac:dyDescent="0.25">
      <c r="B696" s="131">
        <v>693</v>
      </c>
      <c r="C696" s="131">
        <v>2018</v>
      </c>
      <c r="D696" s="131" t="s">
        <v>124</v>
      </c>
      <c r="E696" s="131" t="str">
        <f ca="1">IFERROR(__xludf.DUMMYFUNCTION("IF(
  MAX(
    IFERROR(MAX(FILTER('REGISTRO PROD. v1'!F:F,'REGISTRO PROD. v1'!D:D=B696)),0),
    IFERROR(MAX(FILTER('REGISTRO PROD. v1'!W:W,'REGISTRO PROD. v1'!U:U=B696)),0),
    IFERROR(MAX(FILTER('REGISTRO PROD. v1'!AN:AN,'REGISTRO PROD. v1'!AL:AL=B696)"&amp;"),0),
    IFERROR(MAX(FILTER('REGISTRO PROD. v1'!BE:BE,'REGISTRO PROD. v1'!BC:BC=B696)),0),
    IFERROR(MAX(FILTER('REGISTRO PROD. v1'!BV:BV,'REGISTRO PROD. v1'!BT:BT=B696)),0)
  )=0,
  ""NO"",
  IF(
    MAX(
      IFERROR(MAX(FILTER('REGISTRO PROD. v1'!F"&amp;":F,'REGISTRO PROD. v1'!D:D=B696)),0),
      IFERROR(MAX(FILTER('REGISTRO PROD. v1'!W:W,'REGISTRO PROD. v1'!U:U=B696)),0),
      IFERROR(MAX(FILTER('REGISTRO PROD. v1'!AN:AN,'REGISTRO PROD. v1'!AL:AL=B696)),0),
      IFERROR(MAX(FILTER('REGISTRO PROD. v1'!"&amp;"BE:BE,'REGISTRO PROD. v1'!BC:BC=B696)),0),
      IFERROR(MAX(FILTER('REGISTRO PROD. v1'!BV:BV,'REGISTRO PROD. v1'!BT:BT=B696)),0)
    )&gt;=F696,
    ""SI"",
    ""EN PROCESO""
  )
)
"),"NO")</f>
        <v>NO</v>
      </c>
      <c r="F696" s="132" t="s">
        <v>65</v>
      </c>
    </row>
    <row r="697" spans="2:6" ht="15" x14ac:dyDescent="0.25">
      <c r="B697" s="131">
        <v>694</v>
      </c>
      <c r="C697" s="131">
        <v>2018</v>
      </c>
      <c r="D697" s="131" t="s">
        <v>181</v>
      </c>
      <c r="E697" s="131" t="str">
        <f ca="1">IFERROR(__xludf.DUMMYFUNCTION("IF(
  MAX(
    IFERROR(MAX(FILTER('REGISTRO PROD. v1'!F:F,'REGISTRO PROD. v1'!D:D=B697)),0),
    IFERROR(MAX(FILTER('REGISTRO PROD. v1'!W:W,'REGISTRO PROD. v1'!U:U=B697)),0),
    IFERROR(MAX(FILTER('REGISTRO PROD. v1'!AN:AN,'REGISTRO PROD. v1'!AL:AL=B697)"&amp;"),0),
    IFERROR(MAX(FILTER('REGISTRO PROD. v1'!BE:BE,'REGISTRO PROD. v1'!BC:BC=B697)),0),
    IFERROR(MAX(FILTER('REGISTRO PROD. v1'!BV:BV,'REGISTRO PROD. v1'!BT:BT=B697)),0)
  )=0,
  ""NO"",
  IF(
    MAX(
      IFERROR(MAX(FILTER('REGISTRO PROD. v1'!F"&amp;":F,'REGISTRO PROD. v1'!D:D=B697)),0),
      IFERROR(MAX(FILTER('REGISTRO PROD. v1'!W:W,'REGISTRO PROD. v1'!U:U=B697)),0),
      IFERROR(MAX(FILTER('REGISTRO PROD. v1'!AN:AN,'REGISTRO PROD. v1'!AL:AL=B697)),0),
      IFERROR(MAX(FILTER('REGISTRO PROD. v1'!"&amp;"BE:BE,'REGISTRO PROD. v1'!BC:BC=B697)),0),
      IFERROR(MAX(FILTER('REGISTRO PROD. v1'!BV:BV,'REGISTRO PROD. v1'!BT:BT=B697)),0)
    )&gt;=F697,
    ""SI"",
    ""EN PROCESO""
  )
)
"),"NO")</f>
        <v>NO</v>
      </c>
      <c r="F697" s="132" t="s">
        <v>65</v>
      </c>
    </row>
    <row r="698" spans="2:6" ht="15" x14ac:dyDescent="0.25">
      <c r="B698" s="131">
        <v>695</v>
      </c>
      <c r="C698" s="131">
        <v>2019</v>
      </c>
      <c r="D698" s="131" t="s">
        <v>64</v>
      </c>
      <c r="E698" s="131" t="str">
        <f ca="1">IFERROR(__xludf.DUMMYFUNCTION("IF(
  MAX(
    IFERROR(MAX(FILTER('REGISTRO PROD. v1'!F:F,'REGISTRO PROD. v1'!D:D=B698)),0),
    IFERROR(MAX(FILTER('REGISTRO PROD. v1'!W:W,'REGISTRO PROD. v1'!U:U=B698)),0),
    IFERROR(MAX(FILTER('REGISTRO PROD. v1'!AN:AN,'REGISTRO PROD. v1'!AL:AL=B698)"&amp;"),0),
    IFERROR(MAX(FILTER('REGISTRO PROD. v1'!BE:BE,'REGISTRO PROD. v1'!BC:BC=B698)),0),
    IFERROR(MAX(FILTER('REGISTRO PROD. v1'!BV:BV,'REGISTRO PROD. v1'!BT:BT=B698)),0)
  )=0,
  ""NO"",
  IF(
    MAX(
      IFERROR(MAX(FILTER('REGISTRO PROD. v1'!F"&amp;":F,'REGISTRO PROD. v1'!D:D=B698)),0),
      IFERROR(MAX(FILTER('REGISTRO PROD. v1'!W:W,'REGISTRO PROD. v1'!U:U=B698)),0),
      IFERROR(MAX(FILTER('REGISTRO PROD. v1'!AN:AN,'REGISTRO PROD. v1'!AL:AL=B698)),0),
      IFERROR(MAX(FILTER('REGISTRO PROD. v1'!"&amp;"BE:BE,'REGISTRO PROD. v1'!BC:BC=B698)),0),
      IFERROR(MAX(FILTER('REGISTRO PROD. v1'!BV:BV,'REGISTRO PROD. v1'!BT:BT=B698)),0)
    )&gt;=F698,
    ""SI"",
    ""EN PROCESO""
  )
)
"),"NO")</f>
        <v>NO</v>
      </c>
      <c r="F698" s="132" t="s">
        <v>65</v>
      </c>
    </row>
    <row r="699" spans="2:6" ht="15" x14ac:dyDescent="0.25">
      <c r="B699" s="131">
        <v>696</v>
      </c>
      <c r="C699" s="131">
        <v>2019</v>
      </c>
      <c r="D699" s="131" t="s">
        <v>66</v>
      </c>
      <c r="E699" s="131" t="str">
        <f ca="1">IFERROR(__xludf.DUMMYFUNCTION("IF(
  MAX(
    IFERROR(MAX(FILTER('REGISTRO PROD. v1'!F:F,'REGISTRO PROD. v1'!D:D=B699)),0),
    IFERROR(MAX(FILTER('REGISTRO PROD. v1'!W:W,'REGISTRO PROD. v1'!U:U=B699)),0),
    IFERROR(MAX(FILTER('REGISTRO PROD. v1'!AN:AN,'REGISTRO PROD. v1'!AL:AL=B699)"&amp;"),0),
    IFERROR(MAX(FILTER('REGISTRO PROD. v1'!BE:BE,'REGISTRO PROD. v1'!BC:BC=B699)),0),
    IFERROR(MAX(FILTER('REGISTRO PROD. v1'!BV:BV,'REGISTRO PROD. v1'!BT:BT=B699)),0)
  )=0,
  ""NO"",
  IF(
    MAX(
      IFERROR(MAX(FILTER('REGISTRO PROD. v1'!F"&amp;":F,'REGISTRO PROD. v1'!D:D=B699)),0),
      IFERROR(MAX(FILTER('REGISTRO PROD. v1'!W:W,'REGISTRO PROD. v1'!U:U=B699)),0),
      IFERROR(MAX(FILTER('REGISTRO PROD. v1'!AN:AN,'REGISTRO PROD. v1'!AL:AL=B699)),0),
      IFERROR(MAX(FILTER('REGISTRO PROD. v1'!"&amp;"BE:BE,'REGISTRO PROD. v1'!BC:BC=B699)),0),
      IFERROR(MAX(FILTER('REGISTRO PROD. v1'!BV:BV,'REGISTRO PROD. v1'!BT:BT=B699)),0)
    )&gt;=F699,
    ""SI"",
    ""EN PROCESO""
  )
)
"),"NO")</f>
        <v>NO</v>
      </c>
      <c r="F699" s="132" t="s">
        <v>65</v>
      </c>
    </row>
    <row r="700" spans="2:6" ht="15" x14ac:dyDescent="0.25">
      <c r="B700" s="131">
        <v>697</v>
      </c>
      <c r="C700" s="131">
        <v>2019</v>
      </c>
      <c r="D700" s="131" t="s">
        <v>67</v>
      </c>
      <c r="E700" s="131" t="str">
        <f ca="1">IFERROR(__xludf.DUMMYFUNCTION("IF(
  MAX(
    IFERROR(MAX(FILTER('REGISTRO PROD. v1'!F:F,'REGISTRO PROD. v1'!D:D=B700)),0),
    IFERROR(MAX(FILTER('REGISTRO PROD. v1'!W:W,'REGISTRO PROD. v1'!U:U=B700)),0),
    IFERROR(MAX(FILTER('REGISTRO PROD. v1'!AN:AN,'REGISTRO PROD. v1'!AL:AL=B700)"&amp;"),0),
    IFERROR(MAX(FILTER('REGISTRO PROD. v1'!BE:BE,'REGISTRO PROD. v1'!BC:BC=B700)),0),
    IFERROR(MAX(FILTER('REGISTRO PROD. v1'!BV:BV,'REGISTRO PROD. v1'!BT:BT=B700)),0)
  )=0,
  ""NO"",
  IF(
    MAX(
      IFERROR(MAX(FILTER('REGISTRO PROD. v1'!F"&amp;":F,'REGISTRO PROD. v1'!D:D=B700)),0),
      IFERROR(MAX(FILTER('REGISTRO PROD. v1'!W:W,'REGISTRO PROD. v1'!U:U=B700)),0),
      IFERROR(MAX(FILTER('REGISTRO PROD. v1'!AN:AN,'REGISTRO PROD. v1'!AL:AL=B700)),0),
      IFERROR(MAX(FILTER('REGISTRO PROD. v1'!"&amp;"BE:BE,'REGISTRO PROD. v1'!BC:BC=B700)),0),
      IFERROR(MAX(FILTER('REGISTRO PROD. v1'!BV:BV,'REGISTRO PROD. v1'!BT:BT=B700)),0)
    )&gt;=F700,
    ""SI"",
    ""EN PROCESO""
  )
)
"),"NO")</f>
        <v>NO</v>
      </c>
      <c r="F700" s="132" t="s">
        <v>65</v>
      </c>
    </row>
    <row r="701" spans="2:6" ht="15" x14ac:dyDescent="0.25">
      <c r="B701" s="180">
        <v>698</v>
      </c>
      <c r="C701" s="180">
        <v>2019</v>
      </c>
      <c r="D701" s="180" t="s">
        <v>68</v>
      </c>
      <c r="E701" s="131" t="str">
        <f ca="1">IFERROR(__xludf.DUMMYFUNCTION("IF(
  MAX(
    IFERROR(MAX(FILTER('REGISTRO PROD. v1'!F:F,'REGISTRO PROD. v1'!D:D=B701)),0),
    IFERROR(MAX(FILTER('REGISTRO PROD. v1'!W:W,'REGISTRO PROD. v1'!U:U=B701)),0),
    IFERROR(MAX(FILTER('REGISTRO PROD. v1'!AN:AN,'REGISTRO PROD. v1'!AL:AL=B701)"&amp;"),0),
    IFERROR(MAX(FILTER('REGISTRO PROD. v1'!BE:BE,'REGISTRO PROD. v1'!BC:BC=B701)),0),
    IFERROR(MAX(FILTER('REGISTRO PROD. v1'!BV:BV,'REGISTRO PROD. v1'!BT:BT=B701)),0)
  )=0,
  ""NO"",
  IF(
    MAX(
      IFERROR(MAX(FILTER('REGISTRO PROD. v1'!F"&amp;":F,'REGISTRO PROD. v1'!D:D=B701)),0),
      IFERROR(MAX(FILTER('REGISTRO PROD. v1'!W:W,'REGISTRO PROD. v1'!U:U=B701)),0),
      IFERROR(MAX(FILTER('REGISTRO PROD. v1'!AN:AN,'REGISTRO PROD. v1'!AL:AL=B701)),0),
      IFERROR(MAX(FILTER('REGISTRO PROD. v1'!"&amp;"BE:BE,'REGISTRO PROD. v1'!BC:BC=B701)),0),
      IFERROR(MAX(FILTER('REGISTRO PROD. v1'!BV:BV,'REGISTRO PROD. v1'!BT:BT=B701)),0)
    )&gt;=F701,
    ""SI"",
    ""EN PROCESO""
  )
)
"),"NO")</f>
        <v>NO</v>
      </c>
      <c r="F701" s="132" t="s">
        <v>65</v>
      </c>
    </row>
    <row r="702" spans="2:6" ht="15" x14ac:dyDescent="0.25">
      <c r="B702" s="131">
        <v>699</v>
      </c>
      <c r="C702" s="131">
        <v>2019</v>
      </c>
      <c r="D702" s="131" t="s">
        <v>69</v>
      </c>
      <c r="E702" s="131" t="str">
        <f ca="1">IFERROR(__xludf.DUMMYFUNCTION("IF(
  MAX(
    IFERROR(MAX(FILTER('REGISTRO PROD. v1'!F:F,'REGISTRO PROD. v1'!D:D=B702)),0),
    IFERROR(MAX(FILTER('REGISTRO PROD. v1'!W:W,'REGISTRO PROD. v1'!U:U=B702)),0),
    IFERROR(MAX(FILTER('REGISTRO PROD. v1'!AN:AN,'REGISTRO PROD. v1'!AL:AL=B702)"&amp;"),0),
    IFERROR(MAX(FILTER('REGISTRO PROD. v1'!BE:BE,'REGISTRO PROD. v1'!BC:BC=B702)),0),
    IFERROR(MAX(FILTER('REGISTRO PROD. v1'!BV:BV,'REGISTRO PROD. v1'!BT:BT=B702)),0)
  )=0,
  ""NO"",
  IF(
    MAX(
      IFERROR(MAX(FILTER('REGISTRO PROD. v1'!F"&amp;":F,'REGISTRO PROD. v1'!D:D=B702)),0),
      IFERROR(MAX(FILTER('REGISTRO PROD. v1'!W:W,'REGISTRO PROD. v1'!U:U=B702)),0),
      IFERROR(MAX(FILTER('REGISTRO PROD. v1'!AN:AN,'REGISTRO PROD. v1'!AL:AL=B702)),0),
      IFERROR(MAX(FILTER('REGISTRO PROD. v1'!"&amp;"BE:BE,'REGISTRO PROD. v1'!BC:BC=B702)),0),
      IFERROR(MAX(FILTER('REGISTRO PROD. v1'!BV:BV,'REGISTRO PROD. v1'!BT:BT=B702)),0)
    )&gt;=F702,
    ""SI"",
    ""EN PROCESO""
  )
)
"),"NO")</f>
        <v>NO</v>
      </c>
      <c r="F702" s="132" t="s">
        <v>65</v>
      </c>
    </row>
    <row r="703" spans="2:6" ht="15" x14ac:dyDescent="0.25">
      <c r="B703" s="131">
        <v>700</v>
      </c>
      <c r="C703" s="131">
        <v>2019</v>
      </c>
      <c r="D703" s="131" t="s">
        <v>70</v>
      </c>
      <c r="E703" s="131" t="str">
        <f ca="1">IFERROR(__xludf.DUMMYFUNCTION("IF(
  MAX(
    IFERROR(MAX(FILTER('REGISTRO PROD. v1'!F:F,'REGISTRO PROD. v1'!D:D=B703)),0),
    IFERROR(MAX(FILTER('REGISTRO PROD. v1'!W:W,'REGISTRO PROD. v1'!U:U=B703)),0),
    IFERROR(MAX(FILTER('REGISTRO PROD. v1'!AN:AN,'REGISTRO PROD. v1'!AL:AL=B703)"&amp;"),0),
    IFERROR(MAX(FILTER('REGISTRO PROD. v1'!BE:BE,'REGISTRO PROD. v1'!BC:BC=B703)),0),
    IFERROR(MAX(FILTER('REGISTRO PROD. v1'!BV:BV,'REGISTRO PROD. v1'!BT:BT=B703)),0)
  )=0,
  ""NO"",
  IF(
    MAX(
      IFERROR(MAX(FILTER('REGISTRO PROD. v1'!F"&amp;":F,'REGISTRO PROD. v1'!D:D=B703)),0),
      IFERROR(MAX(FILTER('REGISTRO PROD. v1'!W:W,'REGISTRO PROD. v1'!U:U=B703)),0),
      IFERROR(MAX(FILTER('REGISTRO PROD. v1'!AN:AN,'REGISTRO PROD. v1'!AL:AL=B703)),0),
      IFERROR(MAX(FILTER('REGISTRO PROD. v1'!"&amp;"BE:BE,'REGISTRO PROD. v1'!BC:BC=B703)),0),
      IFERROR(MAX(FILTER('REGISTRO PROD. v1'!BV:BV,'REGISTRO PROD. v1'!BT:BT=B703)),0)
    )&gt;=F703,
    ""SI"",
    ""EN PROCESO""
  )
)
"),"NO")</f>
        <v>NO</v>
      </c>
      <c r="F703" s="132" t="s">
        <v>65</v>
      </c>
    </row>
    <row r="704" spans="2:6" ht="15" x14ac:dyDescent="0.25">
      <c r="B704" s="131">
        <v>701</v>
      </c>
      <c r="C704" s="131">
        <v>2019</v>
      </c>
      <c r="D704" s="131" t="s">
        <v>97</v>
      </c>
      <c r="E704" s="131" t="str">
        <f ca="1">IFERROR(__xludf.DUMMYFUNCTION("IF(
  MAX(
    IFERROR(MAX(FILTER('REGISTRO PROD. v1'!F:F,'REGISTRO PROD. v1'!D:D=B704)),0),
    IFERROR(MAX(FILTER('REGISTRO PROD. v1'!W:W,'REGISTRO PROD. v1'!U:U=B704)),0),
    IFERROR(MAX(FILTER('REGISTRO PROD. v1'!AN:AN,'REGISTRO PROD. v1'!AL:AL=B704)"&amp;"),0),
    IFERROR(MAX(FILTER('REGISTRO PROD. v1'!BE:BE,'REGISTRO PROD. v1'!BC:BC=B704)),0),
    IFERROR(MAX(FILTER('REGISTRO PROD. v1'!BV:BV,'REGISTRO PROD. v1'!BT:BT=B704)),0)
  )=0,
  ""NO"",
  IF(
    MAX(
      IFERROR(MAX(FILTER('REGISTRO PROD. v1'!F"&amp;":F,'REGISTRO PROD. v1'!D:D=B704)),0),
      IFERROR(MAX(FILTER('REGISTRO PROD. v1'!W:W,'REGISTRO PROD. v1'!U:U=B704)),0),
      IFERROR(MAX(FILTER('REGISTRO PROD. v1'!AN:AN,'REGISTRO PROD. v1'!AL:AL=B704)),0),
      IFERROR(MAX(FILTER('REGISTRO PROD. v1'!"&amp;"BE:BE,'REGISTRO PROD. v1'!BC:BC=B704)),0),
      IFERROR(MAX(FILTER('REGISTRO PROD. v1'!BV:BV,'REGISTRO PROD. v1'!BT:BT=B704)),0)
    )&gt;=F704,
    ""SI"",
    ""EN PROCESO""
  )
)
"),"NO")</f>
        <v>NO</v>
      </c>
      <c r="F704" s="132" t="s">
        <v>65</v>
      </c>
    </row>
    <row r="705" spans="2:6" ht="15" x14ac:dyDescent="0.25">
      <c r="B705" s="131">
        <v>702</v>
      </c>
      <c r="C705" s="131">
        <v>2019</v>
      </c>
      <c r="D705" s="131" t="s">
        <v>98</v>
      </c>
      <c r="E705" s="131" t="str">
        <f ca="1">IFERROR(__xludf.DUMMYFUNCTION("IF(
  MAX(
    IFERROR(MAX(FILTER('REGISTRO PROD. v1'!F:F,'REGISTRO PROD. v1'!D:D=B705)),0),
    IFERROR(MAX(FILTER('REGISTRO PROD. v1'!W:W,'REGISTRO PROD. v1'!U:U=B705)),0),
    IFERROR(MAX(FILTER('REGISTRO PROD. v1'!AN:AN,'REGISTRO PROD. v1'!AL:AL=B705)"&amp;"),0),
    IFERROR(MAX(FILTER('REGISTRO PROD. v1'!BE:BE,'REGISTRO PROD. v1'!BC:BC=B705)),0),
    IFERROR(MAX(FILTER('REGISTRO PROD. v1'!BV:BV,'REGISTRO PROD. v1'!BT:BT=B705)),0)
  )=0,
  ""NO"",
  IF(
    MAX(
      IFERROR(MAX(FILTER('REGISTRO PROD. v1'!F"&amp;":F,'REGISTRO PROD. v1'!D:D=B705)),0),
      IFERROR(MAX(FILTER('REGISTRO PROD. v1'!W:W,'REGISTRO PROD. v1'!U:U=B705)),0),
      IFERROR(MAX(FILTER('REGISTRO PROD. v1'!AN:AN,'REGISTRO PROD. v1'!AL:AL=B705)),0),
      IFERROR(MAX(FILTER('REGISTRO PROD. v1'!"&amp;"BE:BE,'REGISTRO PROD. v1'!BC:BC=B705)),0),
      IFERROR(MAX(FILTER('REGISTRO PROD. v1'!BV:BV,'REGISTRO PROD. v1'!BT:BT=B705)),0)
    )&gt;=F705,
    ""SI"",
    ""EN PROCESO""
  )
)
"),"NO")</f>
        <v>NO</v>
      </c>
      <c r="F705" s="132" t="s">
        <v>65</v>
      </c>
    </row>
    <row r="706" spans="2:6" ht="15" x14ac:dyDescent="0.25">
      <c r="B706" s="131">
        <v>703</v>
      </c>
      <c r="C706" s="131">
        <v>2019</v>
      </c>
      <c r="D706" s="131" t="s">
        <v>99</v>
      </c>
      <c r="E706" s="131" t="str">
        <f ca="1">IFERROR(__xludf.DUMMYFUNCTION("IF(
  MAX(
    IFERROR(MAX(FILTER('REGISTRO PROD. v1'!F:F,'REGISTRO PROD. v1'!D:D=B706)),0),
    IFERROR(MAX(FILTER('REGISTRO PROD. v1'!W:W,'REGISTRO PROD. v1'!U:U=B706)),0),
    IFERROR(MAX(FILTER('REGISTRO PROD. v1'!AN:AN,'REGISTRO PROD. v1'!AL:AL=B706)"&amp;"),0),
    IFERROR(MAX(FILTER('REGISTRO PROD. v1'!BE:BE,'REGISTRO PROD. v1'!BC:BC=B706)),0),
    IFERROR(MAX(FILTER('REGISTRO PROD. v1'!BV:BV,'REGISTRO PROD. v1'!BT:BT=B706)),0)
  )=0,
  ""NO"",
  IF(
    MAX(
      IFERROR(MAX(FILTER('REGISTRO PROD. v1'!F"&amp;":F,'REGISTRO PROD. v1'!D:D=B706)),0),
      IFERROR(MAX(FILTER('REGISTRO PROD. v1'!W:W,'REGISTRO PROD. v1'!U:U=B706)),0),
      IFERROR(MAX(FILTER('REGISTRO PROD. v1'!AN:AN,'REGISTRO PROD. v1'!AL:AL=B706)),0),
      IFERROR(MAX(FILTER('REGISTRO PROD. v1'!"&amp;"BE:BE,'REGISTRO PROD. v1'!BC:BC=B706)),0),
      IFERROR(MAX(FILTER('REGISTRO PROD. v1'!BV:BV,'REGISTRO PROD. v1'!BT:BT=B706)),0)
    )&gt;=F706,
    ""SI"",
    ""EN PROCESO""
  )
)
"),"NO")</f>
        <v>NO</v>
      </c>
      <c r="F706" s="132" t="s">
        <v>65</v>
      </c>
    </row>
    <row r="707" spans="2:6" ht="15" x14ac:dyDescent="0.25">
      <c r="B707" s="131">
        <v>704</v>
      </c>
      <c r="C707" s="131">
        <v>2019</v>
      </c>
      <c r="D707" s="131" t="s">
        <v>100</v>
      </c>
      <c r="E707" s="131" t="str">
        <f ca="1">IFERROR(__xludf.DUMMYFUNCTION("IF(
  MAX(
    IFERROR(MAX(FILTER('REGISTRO PROD. v1'!F:F,'REGISTRO PROD. v1'!D:D=B707)),0),
    IFERROR(MAX(FILTER('REGISTRO PROD. v1'!W:W,'REGISTRO PROD. v1'!U:U=B707)),0),
    IFERROR(MAX(FILTER('REGISTRO PROD. v1'!AN:AN,'REGISTRO PROD. v1'!AL:AL=B707)"&amp;"),0),
    IFERROR(MAX(FILTER('REGISTRO PROD. v1'!BE:BE,'REGISTRO PROD. v1'!BC:BC=B707)),0),
    IFERROR(MAX(FILTER('REGISTRO PROD. v1'!BV:BV,'REGISTRO PROD. v1'!BT:BT=B707)),0)
  )=0,
  ""NO"",
  IF(
    MAX(
      IFERROR(MAX(FILTER('REGISTRO PROD. v1'!F"&amp;":F,'REGISTRO PROD. v1'!D:D=B707)),0),
      IFERROR(MAX(FILTER('REGISTRO PROD. v1'!W:W,'REGISTRO PROD. v1'!U:U=B707)),0),
      IFERROR(MAX(FILTER('REGISTRO PROD. v1'!AN:AN,'REGISTRO PROD. v1'!AL:AL=B707)),0),
      IFERROR(MAX(FILTER('REGISTRO PROD. v1'!"&amp;"BE:BE,'REGISTRO PROD. v1'!BC:BC=B707)),0),
      IFERROR(MAX(FILTER('REGISTRO PROD. v1'!BV:BV,'REGISTRO PROD. v1'!BT:BT=B707)),0)
    )&gt;=F707,
    ""SI"",
    ""EN PROCESO""
  )
)
"),"NO")</f>
        <v>NO</v>
      </c>
      <c r="F707" s="132" t="s">
        <v>65</v>
      </c>
    </row>
    <row r="708" spans="2:6" ht="15" x14ac:dyDescent="0.25">
      <c r="B708" s="131">
        <v>705</v>
      </c>
      <c r="C708" s="131">
        <v>2019</v>
      </c>
      <c r="D708" s="131" t="s">
        <v>101</v>
      </c>
      <c r="E708" s="131" t="str">
        <f ca="1">IFERROR(__xludf.DUMMYFUNCTION("IF(
  MAX(
    IFERROR(MAX(FILTER('REGISTRO PROD. v1'!F:F,'REGISTRO PROD. v1'!D:D=B708)),0),
    IFERROR(MAX(FILTER('REGISTRO PROD. v1'!W:W,'REGISTRO PROD. v1'!U:U=B708)),0),
    IFERROR(MAX(FILTER('REGISTRO PROD. v1'!AN:AN,'REGISTRO PROD. v1'!AL:AL=B708)"&amp;"),0),
    IFERROR(MAX(FILTER('REGISTRO PROD. v1'!BE:BE,'REGISTRO PROD. v1'!BC:BC=B708)),0),
    IFERROR(MAX(FILTER('REGISTRO PROD. v1'!BV:BV,'REGISTRO PROD. v1'!BT:BT=B708)),0)
  )=0,
  ""NO"",
  IF(
    MAX(
      IFERROR(MAX(FILTER('REGISTRO PROD. v1'!F"&amp;":F,'REGISTRO PROD. v1'!D:D=B708)),0),
      IFERROR(MAX(FILTER('REGISTRO PROD. v1'!W:W,'REGISTRO PROD. v1'!U:U=B708)),0),
      IFERROR(MAX(FILTER('REGISTRO PROD. v1'!AN:AN,'REGISTRO PROD. v1'!AL:AL=B708)),0),
      IFERROR(MAX(FILTER('REGISTRO PROD. v1'!"&amp;"BE:BE,'REGISTRO PROD. v1'!BC:BC=B708)),0),
      IFERROR(MAX(FILTER('REGISTRO PROD. v1'!BV:BV,'REGISTRO PROD. v1'!BT:BT=B708)),0)
    )&gt;=F708,
    ""SI"",
    ""EN PROCESO""
  )
)
"),"NO")</f>
        <v>NO</v>
      </c>
      <c r="F708" s="132" t="s">
        <v>65</v>
      </c>
    </row>
    <row r="709" spans="2:6" ht="15" x14ac:dyDescent="0.25">
      <c r="B709" s="131">
        <v>706</v>
      </c>
      <c r="C709" s="131">
        <v>2019</v>
      </c>
      <c r="D709" s="131" t="s">
        <v>102</v>
      </c>
      <c r="E709" s="131" t="str">
        <f ca="1">IFERROR(__xludf.DUMMYFUNCTION("IF(
  MAX(
    IFERROR(MAX(FILTER('REGISTRO PROD. v1'!F:F,'REGISTRO PROD. v1'!D:D=B709)),0),
    IFERROR(MAX(FILTER('REGISTRO PROD. v1'!W:W,'REGISTRO PROD. v1'!U:U=B709)),0),
    IFERROR(MAX(FILTER('REGISTRO PROD. v1'!AN:AN,'REGISTRO PROD. v1'!AL:AL=B709)"&amp;"),0),
    IFERROR(MAX(FILTER('REGISTRO PROD. v1'!BE:BE,'REGISTRO PROD. v1'!BC:BC=B709)),0),
    IFERROR(MAX(FILTER('REGISTRO PROD. v1'!BV:BV,'REGISTRO PROD. v1'!BT:BT=B709)),0)
  )=0,
  ""NO"",
  IF(
    MAX(
      IFERROR(MAX(FILTER('REGISTRO PROD. v1'!F"&amp;":F,'REGISTRO PROD. v1'!D:D=B709)),0),
      IFERROR(MAX(FILTER('REGISTRO PROD. v1'!W:W,'REGISTRO PROD. v1'!U:U=B709)),0),
      IFERROR(MAX(FILTER('REGISTRO PROD. v1'!AN:AN,'REGISTRO PROD. v1'!AL:AL=B709)),0),
      IFERROR(MAX(FILTER('REGISTRO PROD. v1'!"&amp;"BE:BE,'REGISTRO PROD. v1'!BC:BC=B709)),0),
      IFERROR(MAX(FILTER('REGISTRO PROD. v1'!BV:BV,'REGISTRO PROD. v1'!BT:BT=B709)),0)
    )&gt;=F709,
    ""SI"",
    ""EN PROCESO""
  )
)
"),"NO")</f>
        <v>NO</v>
      </c>
      <c r="F709" s="132" t="s">
        <v>65</v>
      </c>
    </row>
    <row r="710" spans="2:6" ht="15" x14ac:dyDescent="0.25">
      <c r="B710" s="131">
        <v>707</v>
      </c>
      <c r="C710" s="131">
        <v>2019</v>
      </c>
      <c r="D710" s="131" t="s">
        <v>103</v>
      </c>
      <c r="E710" s="131" t="str">
        <f ca="1">IFERROR(__xludf.DUMMYFUNCTION("IF(
  MAX(
    IFERROR(MAX(FILTER('REGISTRO PROD. v1'!F:F,'REGISTRO PROD. v1'!D:D=B710)),0),
    IFERROR(MAX(FILTER('REGISTRO PROD. v1'!W:W,'REGISTRO PROD. v1'!U:U=B710)),0),
    IFERROR(MAX(FILTER('REGISTRO PROD. v1'!AN:AN,'REGISTRO PROD. v1'!AL:AL=B710)"&amp;"),0),
    IFERROR(MAX(FILTER('REGISTRO PROD. v1'!BE:BE,'REGISTRO PROD. v1'!BC:BC=B710)),0),
    IFERROR(MAX(FILTER('REGISTRO PROD. v1'!BV:BV,'REGISTRO PROD. v1'!BT:BT=B710)),0)
  )=0,
  ""NO"",
  IF(
    MAX(
      IFERROR(MAX(FILTER('REGISTRO PROD. v1'!F"&amp;":F,'REGISTRO PROD. v1'!D:D=B710)),0),
      IFERROR(MAX(FILTER('REGISTRO PROD. v1'!W:W,'REGISTRO PROD. v1'!U:U=B710)),0),
      IFERROR(MAX(FILTER('REGISTRO PROD. v1'!AN:AN,'REGISTRO PROD. v1'!AL:AL=B710)),0),
      IFERROR(MAX(FILTER('REGISTRO PROD. v1'!"&amp;"BE:BE,'REGISTRO PROD. v1'!BC:BC=B710)),0),
      IFERROR(MAX(FILTER('REGISTRO PROD. v1'!BV:BV,'REGISTRO PROD. v1'!BT:BT=B710)),0)
    )&gt;=F710,
    ""SI"",
    ""EN PROCESO""
  )
)
"),"NO")</f>
        <v>NO</v>
      </c>
      <c r="F710" s="132" t="s">
        <v>65</v>
      </c>
    </row>
    <row r="711" spans="2:6" ht="15" x14ac:dyDescent="0.25">
      <c r="B711" s="131">
        <v>708</v>
      </c>
      <c r="C711" s="131">
        <v>2019</v>
      </c>
      <c r="D711" s="131" t="s">
        <v>104</v>
      </c>
      <c r="E711" s="131" t="str">
        <f ca="1">IFERROR(__xludf.DUMMYFUNCTION("IF(
  MAX(
    IFERROR(MAX(FILTER('REGISTRO PROD. v1'!F:F,'REGISTRO PROD. v1'!D:D=B711)),0),
    IFERROR(MAX(FILTER('REGISTRO PROD. v1'!W:W,'REGISTRO PROD. v1'!U:U=B711)),0),
    IFERROR(MAX(FILTER('REGISTRO PROD. v1'!AN:AN,'REGISTRO PROD. v1'!AL:AL=B711)"&amp;"),0),
    IFERROR(MAX(FILTER('REGISTRO PROD. v1'!BE:BE,'REGISTRO PROD. v1'!BC:BC=B711)),0),
    IFERROR(MAX(FILTER('REGISTRO PROD. v1'!BV:BV,'REGISTRO PROD. v1'!BT:BT=B711)),0)
  )=0,
  ""NO"",
  IF(
    MAX(
      IFERROR(MAX(FILTER('REGISTRO PROD. v1'!F"&amp;":F,'REGISTRO PROD. v1'!D:D=B711)),0),
      IFERROR(MAX(FILTER('REGISTRO PROD. v1'!W:W,'REGISTRO PROD. v1'!U:U=B711)),0),
      IFERROR(MAX(FILTER('REGISTRO PROD. v1'!AN:AN,'REGISTRO PROD. v1'!AL:AL=B711)),0),
      IFERROR(MAX(FILTER('REGISTRO PROD. v1'!"&amp;"BE:BE,'REGISTRO PROD. v1'!BC:BC=B711)),0),
      IFERROR(MAX(FILTER('REGISTRO PROD. v1'!BV:BV,'REGISTRO PROD. v1'!BT:BT=B711)),0)
    )&gt;=F711,
    ""SI"",
    ""EN PROCESO""
  )
)
"),"NO")</f>
        <v>NO</v>
      </c>
      <c r="F711" s="132" t="s">
        <v>65</v>
      </c>
    </row>
    <row r="712" spans="2:6" ht="15" x14ac:dyDescent="0.25">
      <c r="B712" s="131">
        <v>709</v>
      </c>
      <c r="C712" s="131">
        <v>2019</v>
      </c>
      <c r="D712" s="131" t="s">
        <v>105</v>
      </c>
      <c r="E712" s="131" t="str">
        <f ca="1">IFERROR(__xludf.DUMMYFUNCTION("IF(
  MAX(
    IFERROR(MAX(FILTER('REGISTRO PROD. v1'!F:F,'REGISTRO PROD. v1'!D:D=B712)),0),
    IFERROR(MAX(FILTER('REGISTRO PROD. v1'!W:W,'REGISTRO PROD. v1'!U:U=B712)),0),
    IFERROR(MAX(FILTER('REGISTRO PROD. v1'!AN:AN,'REGISTRO PROD. v1'!AL:AL=B712)"&amp;"),0),
    IFERROR(MAX(FILTER('REGISTRO PROD. v1'!BE:BE,'REGISTRO PROD. v1'!BC:BC=B712)),0),
    IFERROR(MAX(FILTER('REGISTRO PROD. v1'!BV:BV,'REGISTRO PROD. v1'!BT:BT=B712)),0)
  )=0,
  ""NO"",
  IF(
    MAX(
      IFERROR(MAX(FILTER('REGISTRO PROD. v1'!F"&amp;":F,'REGISTRO PROD. v1'!D:D=B712)),0),
      IFERROR(MAX(FILTER('REGISTRO PROD. v1'!W:W,'REGISTRO PROD. v1'!U:U=B712)),0),
      IFERROR(MAX(FILTER('REGISTRO PROD. v1'!AN:AN,'REGISTRO PROD. v1'!AL:AL=B712)),0),
      IFERROR(MAX(FILTER('REGISTRO PROD. v1'!"&amp;"BE:BE,'REGISTRO PROD. v1'!BC:BC=B712)),0),
      IFERROR(MAX(FILTER('REGISTRO PROD. v1'!BV:BV,'REGISTRO PROD. v1'!BT:BT=B712)),0)
    )&gt;=F712,
    ""SI"",
    ""EN PROCESO""
  )
)
"),"NO")</f>
        <v>NO</v>
      </c>
      <c r="F712" s="132" t="s">
        <v>65</v>
      </c>
    </row>
    <row r="713" spans="2:6" ht="15" x14ac:dyDescent="0.25">
      <c r="B713" s="131">
        <v>710</v>
      </c>
      <c r="C713" s="131">
        <v>2019</v>
      </c>
      <c r="D713" s="131" t="s">
        <v>106</v>
      </c>
      <c r="E713" s="131" t="str">
        <f ca="1">IFERROR(__xludf.DUMMYFUNCTION("IF(
  MAX(
    IFERROR(MAX(FILTER('REGISTRO PROD. v1'!F:F,'REGISTRO PROD. v1'!D:D=B713)),0),
    IFERROR(MAX(FILTER('REGISTRO PROD. v1'!W:W,'REGISTRO PROD. v1'!U:U=B713)),0),
    IFERROR(MAX(FILTER('REGISTRO PROD. v1'!AN:AN,'REGISTRO PROD. v1'!AL:AL=B713)"&amp;"),0),
    IFERROR(MAX(FILTER('REGISTRO PROD. v1'!BE:BE,'REGISTRO PROD. v1'!BC:BC=B713)),0),
    IFERROR(MAX(FILTER('REGISTRO PROD. v1'!BV:BV,'REGISTRO PROD. v1'!BT:BT=B713)),0)
  )=0,
  ""NO"",
  IF(
    MAX(
      IFERROR(MAX(FILTER('REGISTRO PROD. v1'!F"&amp;":F,'REGISTRO PROD. v1'!D:D=B713)),0),
      IFERROR(MAX(FILTER('REGISTRO PROD. v1'!W:W,'REGISTRO PROD. v1'!U:U=B713)),0),
      IFERROR(MAX(FILTER('REGISTRO PROD. v1'!AN:AN,'REGISTRO PROD. v1'!AL:AL=B713)),0),
      IFERROR(MAX(FILTER('REGISTRO PROD. v1'!"&amp;"BE:BE,'REGISTRO PROD. v1'!BC:BC=B713)),0),
      IFERROR(MAX(FILTER('REGISTRO PROD. v1'!BV:BV,'REGISTRO PROD. v1'!BT:BT=B713)),0)
    )&gt;=F713,
    ""SI"",
    ""EN PROCESO""
  )
)
"),"NO")</f>
        <v>NO</v>
      </c>
      <c r="F713" s="132" t="s">
        <v>65</v>
      </c>
    </row>
    <row r="714" spans="2:6" ht="15" x14ac:dyDescent="0.25">
      <c r="B714" s="131">
        <v>711</v>
      </c>
      <c r="C714" s="131">
        <v>2019</v>
      </c>
      <c r="D714" s="131" t="s">
        <v>107</v>
      </c>
      <c r="E714" s="131" t="str">
        <f ca="1">IFERROR(__xludf.DUMMYFUNCTION("IF(
  MAX(
    IFERROR(MAX(FILTER('REGISTRO PROD. v1'!F:F,'REGISTRO PROD. v1'!D:D=B714)),0),
    IFERROR(MAX(FILTER('REGISTRO PROD. v1'!W:W,'REGISTRO PROD. v1'!U:U=B714)),0),
    IFERROR(MAX(FILTER('REGISTRO PROD. v1'!AN:AN,'REGISTRO PROD. v1'!AL:AL=B714)"&amp;"),0),
    IFERROR(MAX(FILTER('REGISTRO PROD. v1'!BE:BE,'REGISTRO PROD. v1'!BC:BC=B714)),0),
    IFERROR(MAX(FILTER('REGISTRO PROD. v1'!BV:BV,'REGISTRO PROD. v1'!BT:BT=B714)),0)
  )=0,
  ""NO"",
  IF(
    MAX(
      IFERROR(MAX(FILTER('REGISTRO PROD. v1'!F"&amp;":F,'REGISTRO PROD. v1'!D:D=B714)),0),
      IFERROR(MAX(FILTER('REGISTRO PROD. v1'!W:W,'REGISTRO PROD. v1'!U:U=B714)),0),
      IFERROR(MAX(FILTER('REGISTRO PROD. v1'!AN:AN,'REGISTRO PROD. v1'!AL:AL=B714)),0),
      IFERROR(MAX(FILTER('REGISTRO PROD. v1'!"&amp;"BE:BE,'REGISTRO PROD. v1'!BC:BC=B714)),0),
      IFERROR(MAX(FILTER('REGISTRO PROD. v1'!BV:BV,'REGISTRO PROD. v1'!BT:BT=B714)),0)
    )&gt;=F714,
    ""SI"",
    ""EN PROCESO""
  )
)
"),"NO")</f>
        <v>NO</v>
      </c>
      <c r="F714" s="132" t="s">
        <v>65</v>
      </c>
    </row>
    <row r="715" spans="2:6" ht="15" x14ac:dyDescent="0.25">
      <c r="B715" s="131">
        <v>712</v>
      </c>
      <c r="C715" s="131">
        <v>2019</v>
      </c>
      <c r="D715" s="131" t="s">
        <v>108</v>
      </c>
      <c r="E715" s="131" t="str">
        <f ca="1">IFERROR(__xludf.DUMMYFUNCTION("IF(
  MAX(
    IFERROR(MAX(FILTER('REGISTRO PROD. v1'!F:F,'REGISTRO PROD. v1'!D:D=B715)),0),
    IFERROR(MAX(FILTER('REGISTRO PROD. v1'!W:W,'REGISTRO PROD. v1'!U:U=B715)),0),
    IFERROR(MAX(FILTER('REGISTRO PROD. v1'!AN:AN,'REGISTRO PROD. v1'!AL:AL=B715)"&amp;"),0),
    IFERROR(MAX(FILTER('REGISTRO PROD. v1'!BE:BE,'REGISTRO PROD. v1'!BC:BC=B715)),0),
    IFERROR(MAX(FILTER('REGISTRO PROD. v1'!BV:BV,'REGISTRO PROD. v1'!BT:BT=B715)),0)
  )=0,
  ""NO"",
  IF(
    MAX(
      IFERROR(MAX(FILTER('REGISTRO PROD. v1'!F"&amp;":F,'REGISTRO PROD. v1'!D:D=B715)),0),
      IFERROR(MAX(FILTER('REGISTRO PROD. v1'!W:W,'REGISTRO PROD. v1'!U:U=B715)),0),
      IFERROR(MAX(FILTER('REGISTRO PROD. v1'!AN:AN,'REGISTRO PROD. v1'!AL:AL=B715)),0),
      IFERROR(MAX(FILTER('REGISTRO PROD. v1'!"&amp;"BE:BE,'REGISTRO PROD. v1'!BC:BC=B715)),0),
      IFERROR(MAX(FILTER('REGISTRO PROD. v1'!BV:BV,'REGISTRO PROD. v1'!BT:BT=B715)),0)
    )&gt;=F715,
    ""SI"",
    ""EN PROCESO""
  )
)
"),"NO")</f>
        <v>NO</v>
      </c>
      <c r="F715" s="132" t="s">
        <v>65</v>
      </c>
    </row>
    <row r="716" spans="2:6" ht="15" x14ac:dyDescent="0.25">
      <c r="B716" s="131">
        <v>713</v>
      </c>
      <c r="C716" s="131">
        <v>2019</v>
      </c>
      <c r="D716" s="131" t="s">
        <v>109</v>
      </c>
      <c r="E716" s="131" t="str">
        <f ca="1">IFERROR(__xludf.DUMMYFUNCTION("IF(
  MAX(
    IFERROR(MAX(FILTER('REGISTRO PROD. v1'!F:F,'REGISTRO PROD. v1'!D:D=B716)),0),
    IFERROR(MAX(FILTER('REGISTRO PROD. v1'!W:W,'REGISTRO PROD. v1'!U:U=B716)),0),
    IFERROR(MAX(FILTER('REGISTRO PROD. v1'!AN:AN,'REGISTRO PROD. v1'!AL:AL=B716)"&amp;"),0),
    IFERROR(MAX(FILTER('REGISTRO PROD. v1'!BE:BE,'REGISTRO PROD. v1'!BC:BC=B716)),0),
    IFERROR(MAX(FILTER('REGISTRO PROD. v1'!BV:BV,'REGISTRO PROD. v1'!BT:BT=B716)),0)
  )=0,
  ""NO"",
  IF(
    MAX(
      IFERROR(MAX(FILTER('REGISTRO PROD. v1'!F"&amp;":F,'REGISTRO PROD. v1'!D:D=B716)),0),
      IFERROR(MAX(FILTER('REGISTRO PROD. v1'!W:W,'REGISTRO PROD. v1'!U:U=B716)),0),
      IFERROR(MAX(FILTER('REGISTRO PROD. v1'!AN:AN,'REGISTRO PROD. v1'!AL:AL=B716)),0),
      IFERROR(MAX(FILTER('REGISTRO PROD. v1'!"&amp;"BE:BE,'REGISTRO PROD. v1'!BC:BC=B716)),0),
      IFERROR(MAX(FILTER('REGISTRO PROD. v1'!BV:BV,'REGISTRO PROD. v1'!BT:BT=B716)),0)
    )&gt;=F716,
    ""SI"",
    ""EN PROCESO""
  )
)
"),"NO")</f>
        <v>NO</v>
      </c>
      <c r="F716" s="132" t="s">
        <v>65</v>
      </c>
    </row>
    <row r="717" spans="2:6" ht="15" x14ac:dyDescent="0.25">
      <c r="B717" s="131">
        <v>714</v>
      </c>
      <c r="C717" s="131">
        <v>2019</v>
      </c>
      <c r="D717" s="131" t="s">
        <v>110</v>
      </c>
      <c r="E717" s="131" t="str">
        <f ca="1">IFERROR(__xludf.DUMMYFUNCTION("IF(
  MAX(
    IFERROR(MAX(FILTER('REGISTRO PROD. v1'!F:F,'REGISTRO PROD. v1'!D:D=B717)),0),
    IFERROR(MAX(FILTER('REGISTRO PROD. v1'!W:W,'REGISTRO PROD. v1'!U:U=B717)),0),
    IFERROR(MAX(FILTER('REGISTRO PROD. v1'!AN:AN,'REGISTRO PROD. v1'!AL:AL=B717)"&amp;"),0),
    IFERROR(MAX(FILTER('REGISTRO PROD. v1'!BE:BE,'REGISTRO PROD. v1'!BC:BC=B717)),0),
    IFERROR(MAX(FILTER('REGISTRO PROD. v1'!BV:BV,'REGISTRO PROD. v1'!BT:BT=B717)),0)
  )=0,
  ""NO"",
  IF(
    MAX(
      IFERROR(MAX(FILTER('REGISTRO PROD. v1'!F"&amp;":F,'REGISTRO PROD. v1'!D:D=B717)),0),
      IFERROR(MAX(FILTER('REGISTRO PROD. v1'!W:W,'REGISTRO PROD. v1'!U:U=B717)),0),
      IFERROR(MAX(FILTER('REGISTRO PROD. v1'!AN:AN,'REGISTRO PROD. v1'!AL:AL=B717)),0),
      IFERROR(MAX(FILTER('REGISTRO PROD. v1'!"&amp;"BE:BE,'REGISTRO PROD. v1'!BC:BC=B717)),0),
      IFERROR(MAX(FILTER('REGISTRO PROD. v1'!BV:BV,'REGISTRO PROD. v1'!BT:BT=B717)),0)
    )&gt;=F717,
    ""SI"",
    ""EN PROCESO""
  )
)
"),"NO")</f>
        <v>NO</v>
      </c>
      <c r="F717" s="132" t="s">
        <v>65</v>
      </c>
    </row>
    <row r="718" spans="2:6" ht="15" x14ac:dyDescent="0.25">
      <c r="B718" s="131">
        <v>715</v>
      </c>
      <c r="C718" s="131">
        <v>2019</v>
      </c>
      <c r="D718" s="131" t="s">
        <v>111</v>
      </c>
      <c r="E718" s="131" t="str">
        <f ca="1">IFERROR(__xludf.DUMMYFUNCTION("IF(
  MAX(
    IFERROR(MAX(FILTER('REGISTRO PROD. v1'!F:F,'REGISTRO PROD. v1'!D:D=B718)),0),
    IFERROR(MAX(FILTER('REGISTRO PROD. v1'!W:W,'REGISTRO PROD. v1'!U:U=B718)),0),
    IFERROR(MAX(FILTER('REGISTRO PROD. v1'!AN:AN,'REGISTRO PROD. v1'!AL:AL=B718)"&amp;"),0),
    IFERROR(MAX(FILTER('REGISTRO PROD. v1'!BE:BE,'REGISTRO PROD. v1'!BC:BC=B718)),0),
    IFERROR(MAX(FILTER('REGISTRO PROD. v1'!BV:BV,'REGISTRO PROD. v1'!BT:BT=B718)),0)
  )=0,
  ""NO"",
  IF(
    MAX(
      IFERROR(MAX(FILTER('REGISTRO PROD. v1'!F"&amp;":F,'REGISTRO PROD. v1'!D:D=B718)),0),
      IFERROR(MAX(FILTER('REGISTRO PROD. v1'!W:W,'REGISTRO PROD. v1'!U:U=B718)),0),
      IFERROR(MAX(FILTER('REGISTRO PROD. v1'!AN:AN,'REGISTRO PROD. v1'!AL:AL=B718)),0),
      IFERROR(MAX(FILTER('REGISTRO PROD. v1'!"&amp;"BE:BE,'REGISTRO PROD. v1'!BC:BC=B718)),0),
      IFERROR(MAX(FILTER('REGISTRO PROD. v1'!BV:BV,'REGISTRO PROD. v1'!BT:BT=B718)),0)
    )&gt;=F718,
    ""SI"",
    ""EN PROCESO""
  )
)
"),"NO")</f>
        <v>NO</v>
      </c>
      <c r="F718" s="132" t="s">
        <v>65</v>
      </c>
    </row>
    <row r="719" spans="2:6" ht="15" x14ac:dyDescent="0.25">
      <c r="B719" s="131">
        <v>716</v>
      </c>
      <c r="C719" s="131">
        <v>2019</v>
      </c>
      <c r="D719" s="131" t="s">
        <v>112</v>
      </c>
      <c r="E719" s="131" t="str">
        <f ca="1">IFERROR(__xludf.DUMMYFUNCTION("IF(
  MAX(
    IFERROR(MAX(FILTER('REGISTRO PROD. v1'!F:F,'REGISTRO PROD. v1'!D:D=B719)),0),
    IFERROR(MAX(FILTER('REGISTRO PROD. v1'!W:W,'REGISTRO PROD. v1'!U:U=B719)),0),
    IFERROR(MAX(FILTER('REGISTRO PROD. v1'!AN:AN,'REGISTRO PROD. v1'!AL:AL=B719)"&amp;"),0),
    IFERROR(MAX(FILTER('REGISTRO PROD. v1'!BE:BE,'REGISTRO PROD. v1'!BC:BC=B719)),0),
    IFERROR(MAX(FILTER('REGISTRO PROD. v1'!BV:BV,'REGISTRO PROD. v1'!BT:BT=B719)),0)
  )=0,
  ""NO"",
  IF(
    MAX(
      IFERROR(MAX(FILTER('REGISTRO PROD. v1'!F"&amp;":F,'REGISTRO PROD. v1'!D:D=B719)),0),
      IFERROR(MAX(FILTER('REGISTRO PROD. v1'!W:W,'REGISTRO PROD. v1'!U:U=B719)),0),
      IFERROR(MAX(FILTER('REGISTRO PROD. v1'!AN:AN,'REGISTRO PROD. v1'!AL:AL=B719)),0),
      IFERROR(MAX(FILTER('REGISTRO PROD. v1'!"&amp;"BE:BE,'REGISTRO PROD. v1'!BC:BC=B719)),0),
      IFERROR(MAX(FILTER('REGISTRO PROD. v1'!BV:BV,'REGISTRO PROD. v1'!BT:BT=B719)),0)
    )&gt;=F719,
    ""SI"",
    ""EN PROCESO""
  )
)
"),"NO")</f>
        <v>NO</v>
      </c>
      <c r="F719" s="132" t="s">
        <v>65</v>
      </c>
    </row>
    <row r="720" spans="2:6" ht="15" x14ac:dyDescent="0.25">
      <c r="B720" s="131">
        <v>717</v>
      </c>
      <c r="C720" s="131">
        <v>2019</v>
      </c>
      <c r="D720" s="131" t="s">
        <v>113</v>
      </c>
      <c r="E720" s="131" t="str">
        <f ca="1">IFERROR(__xludf.DUMMYFUNCTION("IF(
  MAX(
    IFERROR(MAX(FILTER('REGISTRO PROD. v1'!F:F,'REGISTRO PROD. v1'!D:D=B720)),0),
    IFERROR(MAX(FILTER('REGISTRO PROD. v1'!W:W,'REGISTRO PROD. v1'!U:U=B720)),0),
    IFERROR(MAX(FILTER('REGISTRO PROD. v1'!AN:AN,'REGISTRO PROD. v1'!AL:AL=B720)"&amp;"),0),
    IFERROR(MAX(FILTER('REGISTRO PROD. v1'!BE:BE,'REGISTRO PROD. v1'!BC:BC=B720)),0),
    IFERROR(MAX(FILTER('REGISTRO PROD. v1'!BV:BV,'REGISTRO PROD. v1'!BT:BT=B720)),0)
  )=0,
  ""NO"",
  IF(
    MAX(
      IFERROR(MAX(FILTER('REGISTRO PROD. v1'!F"&amp;":F,'REGISTRO PROD. v1'!D:D=B720)),0),
      IFERROR(MAX(FILTER('REGISTRO PROD. v1'!W:W,'REGISTRO PROD. v1'!U:U=B720)),0),
      IFERROR(MAX(FILTER('REGISTRO PROD. v1'!AN:AN,'REGISTRO PROD. v1'!AL:AL=B720)),0),
      IFERROR(MAX(FILTER('REGISTRO PROD. v1'!"&amp;"BE:BE,'REGISTRO PROD. v1'!BC:BC=B720)),0),
      IFERROR(MAX(FILTER('REGISTRO PROD. v1'!BV:BV,'REGISTRO PROD. v1'!BT:BT=B720)),0)
    )&gt;=F720,
    ""SI"",
    ""EN PROCESO""
  )
)
"),"NO")</f>
        <v>NO</v>
      </c>
      <c r="F720" s="132" t="s">
        <v>65</v>
      </c>
    </row>
    <row r="721" spans="2:6" ht="15" x14ac:dyDescent="0.25">
      <c r="B721" s="131">
        <v>718</v>
      </c>
      <c r="C721" s="131">
        <v>2019</v>
      </c>
      <c r="D721" s="131" t="s">
        <v>114</v>
      </c>
      <c r="E721" s="131" t="str">
        <f ca="1">IFERROR(__xludf.DUMMYFUNCTION("IF(
  MAX(
    IFERROR(MAX(FILTER('REGISTRO PROD. v1'!F:F,'REGISTRO PROD. v1'!D:D=B721)),0),
    IFERROR(MAX(FILTER('REGISTRO PROD. v1'!W:W,'REGISTRO PROD. v1'!U:U=B721)),0),
    IFERROR(MAX(FILTER('REGISTRO PROD. v1'!AN:AN,'REGISTRO PROD. v1'!AL:AL=B721)"&amp;"),0),
    IFERROR(MAX(FILTER('REGISTRO PROD. v1'!BE:BE,'REGISTRO PROD. v1'!BC:BC=B721)),0),
    IFERROR(MAX(FILTER('REGISTRO PROD. v1'!BV:BV,'REGISTRO PROD. v1'!BT:BT=B721)),0)
  )=0,
  ""NO"",
  IF(
    MAX(
      IFERROR(MAX(FILTER('REGISTRO PROD. v1'!F"&amp;":F,'REGISTRO PROD. v1'!D:D=B721)),0),
      IFERROR(MAX(FILTER('REGISTRO PROD. v1'!W:W,'REGISTRO PROD. v1'!U:U=B721)),0),
      IFERROR(MAX(FILTER('REGISTRO PROD. v1'!AN:AN,'REGISTRO PROD. v1'!AL:AL=B721)),0),
      IFERROR(MAX(FILTER('REGISTRO PROD. v1'!"&amp;"BE:BE,'REGISTRO PROD. v1'!BC:BC=B721)),0),
      IFERROR(MAX(FILTER('REGISTRO PROD. v1'!BV:BV,'REGISTRO PROD. v1'!BT:BT=B721)),0)
    )&gt;=F721,
    ""SI"",
    ""EN PROCESO""
  )
)
"),"NO")</f>
        <v>NO</v>
      </c>
      <c r="F721" s="132" t="s">
        <v>65</v>
      </c>
    </row>
    <row r="722" spans="2:6" ht="15" x14ac:dyDescent="0.25">
      <c r="B722" s="131">
        <v>719</v>
      </c>
      <c r="C722" s="131">
        <v>2019</v>
      </c>
      <c r="D722" s="131" t="s">
        <v>115</v>
      </c>
      <c r="E722" s="131" t="str">
        <f ca="1">IFERROR(__xludf.DUMMYFUNCTION("IF(
  MAX(
    IFERROR(MAX(FILTER('REGISTRO PROD. v1'!F:F,'REGISTRO PROD. v1'!D:D=B722)),0),
    IFERROR(MAX(FILTER('REGISTRO PROD. v1'!W:W,'REGISTRO PROD. v1'!U:U=B722)),0),
    IFERROR(MAX(FILTER('REGISTRO PROD. v1'!AN:AN,'REGISTRO PROD. v1'!AL:AL=B722)"&amp;"),0),
    IFERROR(MAX(FILTER('REGISTRO PROD. v1'!BE:BE,'REGISTRO PROD. v1'!BC:BC=B722)),0),
    IFERROR(MAX(FILTER('REGISTRO PROD. v1'!BV:BV,'REGISTRO PROD. v1'!BT:BT=B722)),0)
  )=0,
  ""NO"",
  IF(
    MAX(
      IFERROR(MAX(FILTER('REGISTRO PROD. v1'!F"&amp;":F,'REGISTRO PROD. v1'!D:D=B722)),0),
      IFERROR(MAX(FILTER('REGISTRO PROD. v1'!W:W,'REGISTRO PROD. v1'!U:U=B722)),0),
      IFERROR(MAX(FILTER('REGISTRO PROD. v1'!AN:AN,'REGISTRO PROD. v1'!AL:AL=B722)),0),
      IFERROR(MAX(FILTER('REGISTRO PROD. v1'!"&amp;"BE:BE,'REGISTRO PROD. v1'!BC:BC=B722)),0),
      IFERROR(MAX(FILTER('REGISTRO PROD. v1'!BV:BV,'REGISTRO PROD. v1'!BT:BT=B722)),0)
    )&gt;=F722,
    ""SI"",
    ""EN PROCESO""
  )
)
"),"NO")</f>
        <v>NO</v>
      </c>
      <c r="F722" s="132" t="s">
        <v>65</v>
      </c>
    </row>
    <row r="723" spans="2:6" ht="15" x14ac:dyDescent="0.25">
      <c r="B723" s="131">
        <v>720</v>
      </c>
      <c r="C723" s="131">
        <v>2019</v>
      </c>
      <c r="D723" s="131" t="s">
        <v>116</v>
      </c>
      <c r="E723" s="131" t="str">
        <f ca="1">IFERROR(__xludf.DUMMYFUNCTION("IF(
  MAX(
    IFERROR(MAX(FILTER('REGISTRO PROD. v1'!F:F,'REGISTRO PROD. v1'!D:D=B723)),0),
    IFERROR(MAX(FILTER('REGISTRO PROD. v1'!W:W,'REGISTRO PROD. v1'!U:U=B723)),0),
    IFERROR(MAX(FILTER('REGISTRO PROD. v1'!AN:AN,'REGISTRO PROD. v1'!AL:AL=B723)"&amp;"),0),
    IFERROR(MAX(FILTER('REGISTRO PROD. v1'!BE:BE,'REGISTRO PROD. v1'!BC:BC=B723)),0),
    IFERROR(MAX(FILTER('REGISTRO PROD. v1'!BV:BV,'REGISTRO PROD. v1'!BT:BT=B723)),0)
  )=0,
  ""NO"",
  IF(
    MAX(
      IFERROR(MAX(FILTER('REGISTRO PROD. v1'!F"&amp;":F,'REGISTRO PROD. v1'!D:D=B723)),0),
      IFERROR(MAX(FILTER('REGISTRO PROD. v1'!W:W,'REGISTRO PROD. v1'!U:U=B723)),0),
      IFERROR(MAX(FILTER('REGISTRO PROD. v1'!AN:AN,'REGISTRO PROD. v1'!AL:AL=B723)),0),
      IFERROR(MAX(FILTER('REGISTRO PROD. v1'!"&amp;"BE:BE,'REGISTRO PROD. v1'!BC:BC=B723)),0),
      IFERROR(MAX(FILTER('REGISTRO PROD. v1'!BV:BV,'REGISTRO PROD. v1'!BT:BT=B723)),0)
    )&gt;=F723,
    ""SI"",
    ""EN PROCESO""
  )
)
"),"NO")</f>
        <v>NO</v>
      </c>
      <c r="F723" s="132" t="s">
        <v>65</v>
      </c>
    </row>
    <row r="724" spans="2:6" ht="15" x14ac:dyDescent="0.25">
      <c r="B724" s="131">
        <v>721</v>
      </c>
      <c r="C724" s="131">
        <v>2019</v>
      </c>
      <c r="D724" s="131" t="s">
        <v>117</v>
      </c>
      <c r="E724" s="131" t="str">
        <f ca="1">IFERROR(__xludf.DUMMYFUNCTION("IF(
  MAX(
    IFERROR(MAX(FILTER('REGISTRO PROD. v1'!F:F,'REGISTRO PROD. v1'!D:D=B724)),0),
    IFERROR(MAX(FILTER('REGISTRO PROD. v1'!W:W,'REGISTRO PROD. v1'!U:U=B724)),0),
    IFERROR(MAX(FILTER('REGISTRO PROD. v1'!AN:AN,'REGISTRO PROD. v1'!AL:AL=B724)"&amp;"),0),
    IFERROR(MAX(FILTER('REGISTRO PROD. v1'!BE:BE,'REGISTRO PROD. v1'!BC:BC=B724)),0),
    IFERROR(MAX(FILTER('REGISTRO PROD. v1'!BV:BV,'REGISTRO PROD. v1'!BT:BT=B724)),0)
  )=0,
  ""NO"",
  IF(
    MAX(
      IFERROR(MAX(FILTER('REGISTRO PROD. v1'!F"&amp;":F,'REGISTRO PROD. v1'!D:D=B724)),0),
      IFERROR(MAX(FILTER('REGISTRO PROD. v1'!W:W,'REGISTRO PROD. v1'!U:U=B724)),0),
      IFERROR(MAX(FILTER('REGISTRO PROD. v1'!AN:AN,'REGISTRO PROD. v1'!AL:AL=B724)),0),
      IFERROR(MAX(FILTER('REGISTRO PROD. v1'!"&amp;"BE:BE,'REGISTRO PROD. v1'!BC:BC=B724)),0),
      IFERROR(MAX(FILTER('REGISTRO PROD. v1'!BV:BV,'REGISTRO PROD. v1'!BT:BT=B724)),0)
    )&gt;=F724,
    ""SI"",
    ""EN PROCESO""
  )
)
"),"NO")</f>
        <v>NO</v>
      </c>
      <c r="F724" s="132" t="s">
        <v>65</v>
      </c>
    </row>
    <row r="725" spans="2:6" ht="15" x14ac:dyDescent="0.25">
      <c r="B725" s="131">
        <v>722</v>
      </c>
      <c r="C725" s="131">
        <v>2019</v>
      </c>
      <c r="D725" s="131" t="s">
        <v>118</v>
      </c>
      <c r="E725" s="131" t="str">
        <f ca="1">IFERROR(__xludf.DUMMYFUNCTION("IF(
  MAX(
    IFERROR(MAX(FILTER('REGISTRO PROD. v1'!F:F,'REGISTRO PROD. v1'!D:D=B725)),0),
    IFERROR(MAX(FILTER('REGISTRO PROD. v1'!W:W,'REGISTRO PROD. v1'!U:U=B725)),0),
    IFERROR(MAX(FILTER('REGISTRO PROD. v1'!AN:AN,'REGISTRO PROD. v1'!AL:AL=B725)"&amp;"),0),
    IFERROR(MAX(FILTER('REGISTRO PROD. v1'!BE:BE,'REGISTRO PROD. v1'!BC:BC=B725)),0),
    IFERROR(MAX(FILTER('REGISTRO PROD. v1'!BV:BV,'REGISTRO PROD. v1'!BT:BT=B725)),0)
  )=0,
  ""NO"",
  IF(
    MAX(
      IFERROR(MAX(FILTER('REGISTRO PROD. v1'!F"&amp;":F,'REGISTRO PROD. v1'!D:D=B725)),0),
      IFERROR(MAX(FILTER('REGISTRO PROD. v1'!W:W,'REGISTRO PROD. v1'!U:U=B725)),0),
      IFERROR(MAX(FILTER('REGISTRO PROD. v1'!AN:AN,'REGISTRO PROD. v1'!AL:AL=B725)),0),
      IFERROR(MAX(FILTER('REGISTRO PROD. v1'!"&amp;"BE:BE,'REGISTRO PROD. v1'!BC:BC=B725)),0),
      IFERROR(MAX(FILTER('REGISTRO PROD. v1'!BV:BV,'REGISTRO PROD. v1'!BT:BT=B725)),0)
    )&gt;=F725,
    ""SI"",
    ""EN PROCESO""
  )
)
"),"NO")</f>
        <v>NO</v>
      </c>
      <c r="F725" s="132" t="s">
        <v>65</v>
      </c>
    </row>
    <row r="726" spans="2:6" ht="15" x14ac:dyDescent="0.25">
      <c r="B726" s="131">
        <v>723</v>
      </c>
      <c r="C726" s="131">
        <v>2019</v>
      </c>
      <c r="D726" s="131" t="s">
        <v>119</v>
      </c>
      <c r="E726" s="131" t="str">
        <f ca="1">IFERROR(__xludf.DUMMYFUNCTION("IF(
  MAX(
    IFERROR(MAX(FILTER('REGISTRO PROD. v1'!F:F,'REGISTRO PROD. v1'!D:D=B726)),0),
    IFERROR(MAX(FILTER('REGISTRO PROD. v1'!W:W,'REGISTRO PROD. v1'!U:U=B726)),0),
    IFERROR(MAX(FILTER('REGISTRO PROD. v1'!AN:AN,'REGISTRO PROD. v1'!AL:AL=B726)"&amp;"),0),
    IFERROR(MAX(FILTER('REGISTRO PROD. v1'!BE:BE,'REGISTRO PROD. v1'!BC:BC=B726)),0),
    IFERROR(MAX(FILTER('REGISTRO PROD. v1'!BV:BV,'REGISTRO PROD. v1'!BT:BT=B726)),0)
  )=0,
  ""NO"",
  IF(
    MAX(
      IFERROR(MAX(FILTER('REGISTRO PROD. v1'!F"&amp;":F,'REGISTRO PROD. v1'!D:D=B726)),0),
      IFERROR(MAX(FILTER('REGISTRO PROD. v1'!W:W,'REGISTRO PROD. v1'!U:U=B726)),0),
      IFERROR(MAX(FILTER('REGISTRO PROD. v1'!AN:AN,'REGISTRO PROD. v1'!AL:AL=B726)),0),
      IFERROR(MAX(FILTER('REGISTRO PROD. v1'!"&amp;"BE:BE,'REGISTRO PROD. v1'!BC:BC=B726)),0),
      IFERROR(MAX(FILTER('REGISTRO PROD. v1'!BV:BV,'REGISTRO PROD. v1'!BT:BT=B726)),0)
    )&gt;=F726,
    ""SI"",
    ""EN PROCESO""
  )
)
"),"NO")</f>
        <v>NO</v>
      </c>
      <c r="F726" s="132" t="s">
        <v>65</v>
      </c>
    </row>
    <row r="727" spans="2:6" ht="15" x14ac:dyDescent="0.25">
      <c r="B727" s="131">
        <v>724</v>
      </c>
      <c r="C727" s="131">
        <v>2019</v>
      </c>
      <c r="D727" s="131" t="s">
        <v>121</v>
      </c>
      <c r="E727" s="131" t="str">
        <f ca="1">IFERROR(__xludf.DUMMYFUNCTION("IF(
  MAX(
    IFERROR(MAX(FILTER('REGISTRO PROD. v1'!F:F,'REGISTRO PROD. v1'!D:D=B727)),0),
    IFERROR(MAX(FILTER('REGISTRO PROD. v1'!W:W,'REGISTRO PROD. v1'!U:U=B727)),0),
    IFERROR(MAX(FILTER('REGISTRO PROD. v1'!AN:AN,'REGISTRO PROD. v1'!AL:AL=B727)"&amp;"),0),
    IFERROR(MAX(FILTER('REGISTRO PROD. v1'!BE:BE,'REGISTRO PROD. v1'!BC:BC=B727)),0),
    IFERROR(MAX(FILTER('REGISTRO PROD. v1'!BV:BV,'REGISTRO PROD. v1'!BT:BT=B727)),0)
  )=0,
  ""NO"",
  IF(
    MAX(
      IFERROR(MAX(FILTER('REGISTRO PROD. v1'!F"&amp;":F,'REGISTRO PROD. v1'!D:D=B727)),0),
      IFERROR(MAX(FILTER('REGISTRO PROD. v1'!W:W,'REGISTRO PROD. v1'!U:U=B727)),0),
      IFERROR(MAX(FILTER('REGISTRO PROD. v1'!AN:AN,'REGISTRO PROD. v1'!AL:AL=B727)),0),
      IFERROR(MAX(FILTER('REGISTRO PROD. v1'!"&amp;"BE:BE,'REGISTRO PROD. v1'!BC:BC=B727)),0),
      IFERROR(MAX(FILTER('REGISTRO PROD. v1'!BV:BV,'REGISTRO PROD. v1'!BT:BT=B727)),0)
    )&gt;=F727,
    ""SI"",
    ""EN PROCESO""
  )
)
"),"NO")</f>
        <v>NO</v>
      </c>
      <c r="F727" s="132" t="s">
        <v>65</v>
      </c>
    </row>
    <row r="728" spans="2:6" ht="15" x14ac:dyDescent="0.25">
      <c r="B728" s="131">
        <v>725</v>
      </c>
      <c r="C728" s="131">
        <v>2019</v>
      </c>
      <c r="D728" s="131" t="s">
        <v>122</v>
      </c>
      <c r="E728" s="131" t="str">
        <f ca="1">IFERROR(__xludf.DUMMYFUNCTION("IF(
  MAX(
    IFERROR(MAX(FILTER('REGISTRO PROD. v1'!F:F,'REGISTRO PROD. v1'!D:D=B728)),0),
    IFERROR(MAX(FILTER('REGISTRO PROD. v1'!W:W,'REGISTRO PROD. v1'!U:U=B728)),0),
    IFERROR(MAX(FILTER('REGISTRO PROD. v1'!AN:AN,'REGISTRO PROD. v1'!AL:AL=B728)"&amp;"),0),
    IFERROR(MAX(FILTER('REGISTRO PROD. v1'!BE:BE,'REGISTRO PROD. v1'!BC:BC=B728)),0),
    IFERROR(MAX(FILTER('REGISTRO PROD. v1'!BV:BV,'REGISTRO PROD. v1'!BT:BT=B728)),0)
  )=0,
  ""NO"",
  IF(
    MAX(
      IFERROR(MAX(FILTER('REGISTRO PROD. v1'!F"&amp;":F,'REGISTRO PROD. v1'!D:D=B728)),0),
      IFERROR(MAX(FILTER('REGISTRO PROD. v1'!W:W,'REGISTRO PROD. v1'!U:U=B728)),0),
      IFERROR(MAX(FILTER('REGISTRO PROD. v1'!AN:AN,'REGISTRO PROD. v1'!AL:AL=B728)),0),
      IFERROR(MAX(FILTER('REGISTRO PROD. v1'!"&amp;"BE:BE,'REGISTRO PROD. v1'!BC:BC=B728)),0),
      IFERROR(MAX(FILTER('REGISTRO PROD. v1'!BV:BV,'REGISTRO PROD. v1'!BT:BT=B728)),0)
    )&gt;=F728,
    ""SI"",
    ""EN PROCESO""
  )
)
"),"NO")</f>
        <v>NO</v>
      </c>
      <c r="F728" s="132" t="s">
        <v>65</v>
      </c>
    </row>
    <row r="729" spans="2:6" ht="15" x14ac:dyDescent="0.25">
      <c r="B729" s="131">
        <v>726</v>
      </c>
      <c r="C729" s="131">
        <v>2019</v>
      </c>
      <c r="D729" s="131" t="s">
        <v>182</v>
      </c>
      <c r="E729" s="131" t="str">
        <f ca="1">IFERROR(__xludf.DUMMYFUNCTION("IF(
  MAX(
    IFERROR(MAX(FILTER('REGISTRO PROD. v1'!F:F,'REGISTRO PROD. v1'!D:D=B729)),0),
    IFERROR(MAX(FILTER('REGISTRO PROD. v1'!W:W,'REGISTRO PROD. v1'!U:U=B729)),0),
    IFERROR(MAX(FILTER('REGISTRO PROD. v1'!AN:AN,'REGISTRO PROD. v1'!AL:AL=B729)"&amp;"),0),
    IFERROR(MAX(FILTER('REGISTRO PROD. v1'!BE:BE,'REGISTRO PROD. v1'!BC:BC=B729)),0),
    IFERROR(MAX(FILTER('REGISTRO PROD. v1'!BV:BV,'REGISTRO PROD. v1'!BT:BT=B729)),0)
  )=0,
  ""NO"",
  IF(
    MAX(
      IFERROR(MAX(FILTER('REGISTRO PROD. v1'!F"&amp;":F,'REGISTRO PROD. v1'!D:D=B729)),0),
      IFERROR(MAX(FILTER('REGISTRO PROD. v1'!W:W,'REGISTRO PROD. v1'!U:U=B729)),0),
      IFERROR(MAX(FILTER('REGISTRO PROD. v1'!AN:AN,'REGISTRO PROD. v1'!AL:AL=B729)),0),
      IFERROR(MAX(FILTER('REGISTRO PROD. v1'!"&amp;"BE:BE,'REGISTRO PROD. v1'!BC:BC=B729)),0),
      IFERROR(MAX(FILTER('REGISTRO PROD. v1'!BV:BV,'REGISTRO PROD. v1'!BT:BT=B729)),0)
    )&gt;=F729,
    ""SI"",
    ""EN PROCESO""
  )
)
"),"NO")</f>
        <v>NO</v>
      </c>
      <c r="F729" s="132" t="s">
        <v>65</v>
      </c>
    </row>
    <row r="730" spans="2:6" ht="15" x14ac:dyDescent="0.25">
      <c r="B730" s="131">
        <v>727</v>
      </c>
      <c r="C730" s="131">
        <v>2020</v>
      </c>
      <c r="D730" s="131" t="s">
        <v>64</v>
      </c>
      <c r="E730" s="131" t="str">
        <f ca="1">IFERROR(__xludf.DUMMYFUNCTION("IF(
  MAX(
    IFERROR(MAX(FILTER('REGISTRO PROD. v1'!F:F,'REGISTRO PROD. v1'!D:D=B730)),0),
    IFERROR(MAX(FILTER('REGISTRO PROD. v1'!W:W,'REGISTRO PROD. v1'!U:U=B730)),0),
    IFERROR(MAX(FILTER('REGISTRO PROD. v1'!AN:AN,'REGISTRO PROD. v1'!AL:AL=B730)"&amp;"),0),
    IFERROR(MAX(FILTER('REGISTRO PROD. v1'!BE:BE,'REGISTRO PROD. v1'!BC:BC=B730)),0),
    IFERROR(MAX(FILTER('REGISTRO PROD. v1'!BV:BV,'REGISTRO PROD. v1'!BT:BT=B730)),0)
  )=0,
  ""NO"",
  IF(
    MAX(
      IFERROR(MAX(FILTER('REGISTRO PROD. v1'!F"&amp;":F,'REGISTRO PROD. v1'!D:D=B730)),0),
      IFERROR(MAX(FILTER('REGISTRO PROD. v1'!W:W,'REGISTRO PROD. v1'!U:U=B730)),0),
      IFERROR(MAX(FILTER('REGISTRO PROD. v1'!AN:AN,'REGISTRO PROD. v1'!AL:AL=B730)),0),
      IFERROR(MAX(FILTER('REGISTRO PROD. v1'!"&amp;"BE:BE,'REGISTRO PROD. v1'!BC:BC=B730)),0),
      IFERROR(MAX(FILTER('REGISTRO PROD. v1'!BV:BV,'REGISTRO PROD. v1'!BT:BT=B730)),0)
    )&gt;=F730,
    ""SI"",
    ""EN PROCESO""
  )
)
"),"NO")</f>
        <v>NO</v>
      </c>
      <c r="F730" s="132" t="s">
        <v>65</v>
      </c>
    </row>
    <row r="731" spans="2:6" ht="15" x14ac:dyDescent="0.25">
      <c r="B731" s="131">
        <v>728</v>
      </c>
      <c r="C731" s="131">
        <v>2020</v>
      </c>
      <c r="D731" s="131" t="s">
        <v>66</v>
      </c>
      <c r="E731" s="131" t="str">
        <f ca="1">IFERROR(__xludf.DUMMYFUNCTION("IF(
  MAX(
    IFERROR(MAX(FILTER('REGISTRO PROD. v1'!F:F,'REGISTRO PROD. v1'!D:D=B731)),0),
    IFERROR(MAX(FILTER('REGISTRO PROD. v1'!W:W,'REGISTRO PROD. v1'!U:U=B731)),0),
    IFERROR(MAX(FILTER('REGISTRO PROD. v1'!AN:AN,'REGISTRO PROD. v1'!AL:AL=B731)"&amp;"),0),
    IFERROR(MAX(FILTER('REGISTRO PROD. v1'!BE:BE,'REGISTRO PROD. v1'!BC:BC=B731)),0),
    IFERROR(MAX(FILTER('REGISTRO PROD. v1'!BV:BV,'REGISTRO PROD. v1'!BT:BT=B731)),0)
  )=0,
  ""NO"",
  IF(
    MAX(
      IFERROR(MAX(FILTER('REGISTRO PROD. v1'!F"&amp;":F,'REGISTRO PROD. v1'!D:D=B731)),0),
      IFERROR(MAX(FILTER('REGISTRO PROD. v1'!W:W,'REGISTRO PROD. v1'!U:U=B731)),0),
      IFERROR(MAX(FILTER('REGISTRO PROD. v1'!AN:AN,'REGISTRO PROD. v1'!AL:AL=B731)),0),
      IFERROR(MAX(FILTER('REGISTRO PROD. v1'!"&amp;"BE:BE,'REGISTRO PROD. v1'!BC:BC=B731)),0),
      IFERROR(MAX(FILTER('REGISTRO PROD. v1'!BV:BV,'REGISTRO PROD. v1'!BT:BT=B731)),0)
    )&gt;=F731,
    ""SI"",
    ""EN PROCESO""
  )
)
"),"NO")</f>
        <v>NO</v>
      </c>
      <c r="F731" s="132" t="s">
        <v>65</v>
      </c>
    </row>
    <row r="732" spans="2:6" ht="15" x14ac:dyDescent="0.25">
      <c r="B732" s="131">
        <v>729</v>
      </c>
      <c r="C732" s="131">
        <v>2020</v>
      </c>
      <c r="D732" s="131" t="s">
        <v>67</v>
      </c>
      <c r="E732" s="131" t="str">
        <f ca="1">IFERROR(__xludf.DUMMYFUNCTION("IF(
  MAX(
    IFERROR(MAX(FILTER('REGISTRO PROD. v1'!F:F,'REGISTRO PROD. v1'!D:D=B732)),0),
    IFERROR(MAX(FILTER('REGISTRO PROD. v1'!W:W,'REGISTRO PROD. v1'!U:U=B732)),0),
    IFERROR(MAX(FILTER('REGISTRO PROD. v1'!AN:AN,'REGISTRO PROD. v1'!AL:AL=B732)"&amp;"),0),
    IFERROR(MAX(FILTER('REGISTRO PROD. v1'!BE:BE,'REGISTRO PROD. v1'!BC:BC=B732)),0),
    IFERROR(MAX(FILTER('REGISTRO PROD. v1'!BV:BV,'REGISTRO PROD. v1'!BT:BT=B732)),0)
  )=0,
  ""NO"",
  IF(
    MAX(
      IFERROR(MAX(FILTER('REGISTRO PROD. v1'!F"&amp;":F,'REGISTRO PROD. v1'!D:D=B732)),0),
      IFERROR(MAX(FILTER('REGISTRO PROD. v1'!W:W,'REGISTRO PROD. v1'!U:U=B732)),0),
      IFERROR(MAX(FILTER('REGISTRO PROD. v1'!AN:AN,'REGISTRO PROD. v1'!AL:AL=B732)),0),
      IFERROR(MAX(FILTER('REGISTRO PROD. v1'!"&amp;"BE:BE,'REGISTRO PROD. v1'!BC:BC=B732)),0),
      IFERROR(MAX(FILTER('REGISTRO PROD. v1'!BV:BV,'REGISTRO PROD. v1'!BT:BT=B732)),0)
    )&gt;=F732,
    ""SI"",
    ""EN PROCESO""
  )
)
"),"NO")</f>
        <v>NO</v>
      </c>
      <c r="F732" s="181" t="s">
        <v>65</v>
      </c>
    </row>
    <row r="733" spans="2:6" ht="15" x14ac:dyDescent="0.25">
      <c r="B733" s="131">
        <v>730</v>
      </c>
      <c r="C733" s="131">
        <v>2020</v>
      </c>
      <c r="D733" s="131" t="s">
        <v>68</v>
      </c>
      <c r="E733" s="131" t="str">
        <f ca="1">IFERROR(__xludf.DUMMYFUNCTION("IF(
  MAX(
    IFERROR(MAX(FILTER('REGISTRO PROD. v1'!F:F,'REGISTRO PROD. v1'!D:D=B733)),0),
    IFERROR(MAX(FILTER('REGISTRO PROD. v1'!W:W,'REGISTRO PROD. v1'!U:U=B733)),0),
    IFERROR(MAX(FILTER('REGISTRO PROD. v1'!AN:AN,'REGISTRO PROD. v1'!AL:AL=B733)"&amp;"),0),
    IFERROR(MAX(FILTER('REGISTRO PROD. v1'!BE:BE,'REGISTRO PROD. v1'!BC:BC=B733)),0),
    IFERROR(MAX(FILTER('REGISTRO PROD. v1'!BV:BV,'REGISTRO PROD. v1'!BT:BT=B733)),0)
  )=0,
  ""NO"",
  IF(
    MAX(
      IFERROR(MAX(FILTER('REGISTRO PROD. v1'!F"&amp;":F,'REGISTRO PROD. v1'!D:D=B733)),0),
      IFERROR(MAX(FILTER('REGISTRO PROD. v1'!W:W,'REGISTRO PROD. v1'!U:U=B733)),0),
      IFERROR(MAX(FILTER('REGISTRO PROD. v1'!AN:AN,'REGISTRO PROD. v1'!AL:AL=B733)),0),
      IFERROR(MAX(FILTER('REGISTRO PROD. v1'!"&amp;"BE:BE,'REGISTRO PROD. v1'!BC:BC=B733)),0),
      IFERROR(MAX(FILTER('REGISTRO PROD. v1'!BV:BV,'REGISTRO PROD. v1'!BT:BT=B733)),0)
    )&gt;=F733,
    ""SI"",
    ""EN PROCESO""
  )
)
"),"NO")</f>
        <v>NO</v>
      </c>
      <c r="F733" s="132" t="s">
        <v>65</v>
      </c>
    </row>
    <row r="734" spans="2:6" ht="15" x14ac:dyDescent="0.25">
      <c r="B734" s="131">
        <v>731</v>
      </c>
      <c r="C734" s="131">
        <v>2020</v>
      </c>
      <c r="D734" s="131" t="s">
        <v>69</v>
      </c>
      <c r="E734" s="131" t="str">
        <f ca="1">IFERROR(__xludf.DUMMYFUNCTION("IF(
  MAX(
    IFERROR(MAX(FILTER('REGISTRO PROD. v1'!F:F,'REGISTRO PROD. v1'!D:D=B734)),0),
    IFERROR(MAX(FILTER('REGISTRO PROD. v1'!W:W,'REGISTRO PROD. v1'!U:U=B734)),0),
    IFERROR(MAX(FILTER('REGISTRO PROD. v1'!AN:AN,'REGISTRO PROD. v1'!AL:AL=B734)"&amp;"),0),
    IFERROR(MAX(FILTER('REGISTRO PROD. v1'!BE:BE,'REGISTRO PROD. v1'!BC:BC=B734)),0),
    IFERROR(MAX(FILTER('REGISTRO PROD. v1'!BV:BV,'REGISTRO PROD. v1'!BT:BT=B734)),0)
  )=0,
  ""NO"",
  IF(
    MAX(
      IFERROR(MAX(FILTER('REGISTRO PROD. v1'!F"&amp;":F,'REGISTRO PROD. v1'!D:D=B734)),0),
      IFERROR(MAX(FILTER('REGISTRO PROD. v1'!W:W,'REGISTRO PROD. v1'!U:U=B734)),0),
      IFERROR(MAX(FILTER('REGISTRO PROD. v1'!AN:AN,'REGISTRO PROD. v1'!AL:AL=B734)),0),
      IFERROR(MAX(FILTER('REGISTRO PROD. v1'!"&amp;"BE:BE,'REGISTRO PROD. v1'!BC:BC=B734)),0),
      IFERROR(MAX(FILTER('REGISTRO PROD. v1'!BV:BV,'REGISTRO PROD. v1'!BT:BT=B734)),0)
    )&gt;=F734,
    ""SI"",
    ""EN PROCESO""
  )
)
"),"NO")</f>
        <v>NO</v>
      </c>
      <c r="F734" s="132" t="s">
        <v>65</v>
      </c>
    </row>
    <row r="735" spans="2:6" ht="15" x14ac:dyDescent="0.25">
      <c r="B735" s="131">
        <v>732</v>
      </c>
      <c r="C735" s="131">
        <v>2020</v>
      </c>
      <c r="D735" s="131" t="s">
        <v>70</v>
      </c>
      <c r="E735" s="131" t="str">
        <f ca="1">IFERROR(__xludf.DUMMYFUNCTION("IF(
  MAX(
    IFERROR(MAX(FILTER('REGISTRO PROD. v1'!F:F,'REGISTRO PROD. v1'!D:D=B735)),0),
    IFERROR(MAX(FILTER('REGISTRO PROD. v1'!W:W,'REGISTRO PROD. v1'!U:U=B735)),0),
    IFERROR(MAX(FILTER('REGISTRO PROD. v1'!AN:AN,'REGISTRO PROD. v1'!AL:AL=B735)"&amp;"),0),
    IFERROR(MAX(FILTER('REGISTRO PROD. v1'!BE:BE,'REGISTRO PROD. v1'!BC:BC=B735)),0),
    IFERROR(MAX(FILTER('REGISTRO PROD. v1'!BV:BV,'REGISTRO PROD. v1'!BT:BT=B735)),0)
  )=0,
  ""NO"",
  IF(
    MAX(
      IFERROR(MAX(FILTER('REGISTRO PROD. v1'!F"&amp;":F,'REGISTRO PROD. v1'!D:D=B735)),0),
      IFERROR(MAX(FILTER('REGISTRO PROD. v1'!W:W,'REGISTRO PROD. v1'!U:U=B735)),0),
      IFERROR(MAX(FILTER('REGISTRO PROD. v1'!AN:AN,'REGISTRO PROD. v1'!AL:AL=B735)),0),
      IFERROR(MAX(FILTER('REGISTRO PROD. v1'!"&amp;"BE:BE,'REGISTRO PROD. v1'!BC:BC=B735)),0),
      IFERROR(MAX(FILTER('REGISTRO PROD. v1'!BV:BV,'REGISTRO PROD. v1'!BT:BT=B735)),0)
    )&gt;=F735,
    ""SI"",
    ""EN PROCESO""
  )
)
"),"NO")</f>
        <v>NO</v>
      </c>
      <c r="F735" s="132" t="s">
        <v>65</v>
      </c>
    </row>
    <row r="736" spans="2:6" ht="15" x14ac:dyDescent="0.25">
      <c r="B736" s="131">
        <v>733</v>
      </c>
      <c r="C736" s="131">
        <v>2020</v>
      </c>
      <c r="D736" s="131" t="s">
        <v>97</v>
      </c>
      <c r="E736" s="131" t="str">
        <f ca="1">IFERROR(__xludf.DUMMYFUNCTION("IF(
  MAX(
    IFERROR(MAX(FILTER('REGISTRO PROD. v1'!F:F,'REGISTRO PROD. v1'!D:D=B736)),0),
    IFERROR(MAX(FILTER('REGISTRO PROD. v1'!W:W,'REGISTRO PROD. v1'!U:U=B736)),0),
    IFERROR(MAX(FILTER('REGISTRO PROD. v1'!AN:AN,'REGISTRO PROD. v1'!AL:AL=B736)"&amp;"),0),
    IFERROR(MAX(FILTER('REGISTRO PROD. v1'!BE:BE,'REGISTRO PROD. v1'!BC:BC=B736)),0),
    IFERROR(MAX(FILTER('REGISTRO PROD. v1'!BV:BV,'REGISTRO PROD. v1'!BT:BT=B736)),0)
  )=0,
  ""NO"",
  IF(
    MAX(
      IFERROR(MAX(FILTER('REGISTRO PROD. v1'!F"&amp;":F,'REGISTRO PROD. v1'!D:D=B736)),0),
      IFERROR(MAX(FILTER('REGISTRO PROD. v1'!W:W,'REGISTRO PROD. v1'!U:U=B736)),0),
      IFERROR(MAX(FILTER('REGISTRO PROD. v1'!AN:AN,'REGISTRO PROD. v1'!AL:AL=B736)),0),
      IFERROR(MAX(FILTER('REGISTRO PROD. v1'!"&amp;"BE:BE,'REGISTRO PROD. v1'!BC:BC=B736)),0),
      IFERROR(MAX(FILTER('REGISTRO PROD. v1'!BV:BV,'REGISTRO PROD. v1'!BT:BT=B736)),0)
    )&gt;=F736,
    ""SI"",
    ""EN PROCESO""
  )
)
"),"NO")</f>
        <v>NO</v>
      </c>
      <c r="F736" s="132" t="s">
        <v>65</v>
      </c>
    </row>
    <row r="737" spans="2:6" ht="15" x14ac:dyDescent="0.25">
      <c r="B737" s="131">
        <v>734</v>
      </c>
      <c r="C737" s="131">
        <v>2020</v>
      </c>
      <c r="D737" s="131" t="s">
        <v>98</v>
      </c>
      <c r="E737" s="131" t="str">
        <f ca="1">IFERROR(__xludf.DUMMYFUNCTION("IF(
  MAX(
    IFERROR(MAX(FILTER('REGISTRO PROD. v1'!F:F,'REGISTRO PROD. v1'!D:D=B737)),0),
    IFERROR(MAX(FILTER('REGISTRO PROD. v1'!W:W,'REGISTRO PROD. v1'!U:U=B737)),0),
    IFERROR(MAX(FILTER('REGISTRO PROD. v1'!AN:AN,'REGISTRO PROD. v1'!AL:AL=B737)"&amp;"),0),
    IFERROR(MAX(FILTER('REGISTRO PROD. v1'!BE:BE,'REGISTRO PROD. v1'!BC:BC=B737)),0),
    IFERROR(MAX(FILTER('REGISTRO PROD. v1'!BV:BV,'REGISTRO PROD. v1'!BT:BT=B737)),0)
  )=0,
  ""NO"",
  IF(
    MAX(
      IFERROR(MAX(FILTER('REGISTRO PROD. v1'!F"&amp;":F,'REGISTRO PROD. v1'!D:D=B737)),0),
      IFERROR(MAX(FILTER('REGISTRO PROD. v1'!W:W,'REGISTRO PROD. v1'!U:U=B737)),0),
      IFERROR(MAX(FILTER('REGISTRO PROD. v1'!AN:AN,'REGISTRO PROD. v1'!AL:AL=B737)),0),
      IFERROR(MAX(FILTER('REGISTRO PROD. v1'!"&amp;"BE:BE,'REGISTRO PROD. v1'!BC:BC=B737)),0),
      IFERROR(MAX(FILTER('REGISTRO PROD. v1'!BV:BV,'REGISTRO PROD. v1'!BT:BT=B737)),0)
    )&gt;=F737,
    ""SI"",
    ""EN PROCESO""
  )
)
"),"NO")</f>
        <v>NO</v>
      </c>
      <c r="F737" s="132" t="s">
        <v>65</v>
      </c>
    </row>
    <row r="738" spans="2:6" ht="15" x14ac:dyDescent="0.25">
      <c r="B738" s="131">
        <v>735</v>
      </c>
      <c r="C738" s="131">
        <v>2020</v>
      </c>
      <c r="D738" s="131" t="s">
        <v>99</v>
      </c>
      <c r="E738" s="131" t="str">
        <f ca="1">IFERROR(__xludf.DUMMYFUNCTION("IF(
  MAX(
    IFERROR(MAX(FILTER('REGISTRO PROD. v1'!F:F,'REGISTRO PROD. v1'!D:D=B738)),0),
    IFERROR(MAX(FILTER('REGISTRO PROD. v1'!W:W,'REGISTRO PROD. v1'!U:U=B738)),0),
    IFERROR(MAX(FILTER('REGISTRO PROD. v1'!AN:AN,'REGISTRO PROD. v1'!AL:AL=B738)"&amp;"),0),
    IFERROR(MAX(FILTER('REGISTRO PROD. v1'!BE:BE,'REGISTRO PROD. v1'!BC:BC=B738)),0),
    IFERROR(MAX(FILTER('REGISTRO PROD. v1'!BV:BV,'REGISTRO PROD. v1'!BT:BT=B738)),0)
  )=0,
  ""NO"",
  IF(
    MAX(
      IFERROR(MAX(FILTER('REGISTRO PROD. v1'!F"&amp;":F,'REGISTRO PROD. v1'!D:D=B738)),0),
      IFERROR(MAX(FILTER('REGISTRO PROD. v1'!W:W,'REGISTRO PROD. v1'!U:U=B738)),0),
      IFERROR(MAX(FILTER('REGISTRO PROD. v1'!AN:AN,'REGISTRO PROD. v1'!AL:AL=B738)),0),
      IFERROR(MAX(FILTER('REGISTRO PROD. v1'!"&amp;"BE:BE,'REGISTRO PROD. v1'!BC:BC=B738)),0),
      IFERROR(MAX(FILTER('REGISTRO PROD. v1'!BV:BV,'REGISTRO PROD. v1'!BT:BT=B738)),0)
    )&gt;=F738,
    ""SI"",
    ""EN PROCESO""
  )
)
"),"NO")</f>
        <v>NO</v>
      </c>
      <c r="F738" s="132" t="s">
        <v>65</v>
      </c>
    </row>
    <row r="739" spans="2:6" ht="15" x14ac:dyDescent="0.25">
      <c r="B739" s="131">
        <v>736</v>
      </c>
      <c r="C739" s="131">
        <v>2020</v>
      </c>
      <c r="D739" s="131" t="s">
        <v>100</v>
      </c>
      <c r="E739" s="131" t="str">
        <f ca="1">IFERROR(__xludf.DUMMYFUNCTION("IF(
  MAX(
    IFERROR(MAX(FILTER('REGISTRO PROD. v1'!F:F,'REGISTRO PROD. v1'!D:D=B739)),0),
    IFERROR(MAX(FILTER('REGISTRO PROD. v1'!W:W,'REGISTRO PROD. v1'!U:U=B739)),0),
    IFERROR(MAX(FILTER('REGISTRO PROD. v1'!AN:AN,'REGISTRO PROD. v1'!AL:AL=B739)"&amp;"),0),
    IFERROR(MAX(FILTER('REGISTRO PROD. v1'!BE:BE,'REGISTRO PROD. v1'!BC:BC=B739)),0),
    IFERROR(MAX(FILTER('REGISTRO PROD. v1'!BV:BV,'REGISTRO PROD. v1'!BT:BT=B739)),0)
  )=0,
  ""NO"",
  IF(
    MAX(
      IFERROR(MAX(FILTER('REGISTRO PROD. v1'!F"&amp;":F,'REGISTRO PROD. v1'!D:D=B739)),0),
      IFERROR(MAX(FILTER('REGISTRO PROD. v1'!W:W,'REGISTRO PROD. v1'!U:U=B739)),0),
      IFERROR(MAX(FILTER('REGISTRO PROD. v1'!AN:AN,'REGISTRO PROD. v1'!AL:AL=B739)),0),
      IFERROR(MAX(FILTER('REGISTRO PROD. v1'!"&amp;"BE:BE,'REGISTRO PROD. v1'!BC:BC=B739)),0),
      IFERROR(MAX(FILTER('REGISTRO PROD. v1'!BV:BV,'REGISTRO PROD. v1'!BT:BT=B739)),0)
    )&gt;=F739,
    ""SI"",
    ""EN PROCESO""
  )
)
"),"NO")</f>
        <v>NO</v>
      </c>
      <c r="F739" s="132" t="s">
        <v>65</v>
      </c>
    </row>
    <row r="740" spans="2:6" ht="15" x14ac:dyDescent="0.25">
      <c r="B740" s="131">
        <v>737</v>
      </c>
      <c r="C740" s="131">
        <v>2020</v>
      </c>
      <c r="D740" s="131" t="s">
        <v>101</v>
      </c>
      <c r="E740" s="131" t="str">
        <f ca="1">IFERROR(__xludf.DUMMYFUNCTION("IF(
  MAX(
    IFERROR(MAX(FILTER('REGISTRO PROD. v1'!F:F,'REGISTRO PROD. v1'!D:D=B740)),0),
    IFERROR(MAX(FILTER('REGISTRO PROD. v1'!W:W,'REGISTRO PROD. v1'!U:U=B740)),0),
    IFERROR(MAX(FILTER('REGISTRO PROD. v1'!AN:AN,'REGISTRO PROD. v1'!AL:AL=B740)"&amp;"),0),
    IFERROR(MAX(FILTER('REGISTRO PROD. v1'!BE:BE,'REGISTRO PROD. v1'!BC:BC=B740)),0),
    IFERROR(MAX(FILTER('REGISTRO PROD. v1'!BV:BV,'REGISTRO PROD. v1'!BT:BT=B740)),0)
  )=0,
  ""NO"",
  IF(
    MAX(
      IFERROR(MAX(FILTER('REGISTRO PROD. v1'!F"&amp;":F,'REGISTRO PROD. v1'!D:D=B740)),0),
      IFERROR(MAX(FILTER('REGISTRO PROD. v1'!W:W,'REGISTRO PROD. v1'!U:U=B740)),0),
      IFERROR(MAX(FILTER('REGISTRO PROD. v1'!AN:AN,'REGISTRO PROD. v1'!AL:AL=B740)),0),
      IFERROR(MAX(FILTER('REGISTRO PROD. v1'!"&amp;"BE:BE,'REGISTRO PROD. v1'!BC:BC=B740)),0),
      IFERROR(MAX(FILTER('REGISTRO PROD. v1'!BV:BV,'REGISTRO PROD. v1'!BT:BT=B740)),0)
    )&gt;=F740,
    ""SI"",
    ""EN PROCESO""
  )
)
"),"NO")</f>
        <v>NO</v>
      </c>
      <c r="F740" s="132" t="s">
        <v>65</v>
      </c>
    </row>
    <row r="741" spans="2:6" ht="15" x14ac:dyDescent="0.25">
      <c r="B741" s="131">
        <v>738</v>
      </c>
      <c r="C741" s="131">
        <v>2020</v>
      </c>
      <c r="D741" s="131" t="s">
        <v>102</v>
      </c>
      <c r="E741" s="131" t="str">
        <f ca="1">IFERROR(__xludf.DUMMYFUNCTION("IF(
  MAX(
    IFERROR(MAX(FILTER('REGISTRO PROD. v1'!F:F,'REGISTRO PROD. v1'!D:D=B741)),0),
    IFERROR(MAX(FILTER('REGISTRO PROD. v1'!W:W,'REGISTRO PROD. v1'!U:U=B741)),0),
    IFERROR(MAX(FILTER('REGISTRO PROD. v1'!AN:AN,'REGISTRO PROD. v1'!AL:AL=B741)"&amp;"),0),
    IFERROR(MAX(FILTER('REGISTRO PROD. v1'!BE:BE,'REGISTRO PROD. v1'!BC:BC=B741)),0),
    IFERROR(MAX(FILTER('REGISTRO PROD. v1'!BV:BV,'REGISTRO PROD. v1'!BT:BT=B741)),0)
  )=0,
  ""NO"",
  IF(
    MAX(
      IFERROR(MAX(FILTER('REGISTRO PROD. v1'!F"&amp;":F,'REGISTRO PROD. v1'!D:D=B741)),0),
      IFERROR(MAX(FILTER('REGISTRO PROD. v1'!W:W,'REGISTRO PROD. v1'!U:U=B741)),0),
      IFERROR(MAX(FILTER('REGISTRO PROD. v1'!AN:AN,'REGISTRO PROD. v1'!AL:AL=B741)),0),
      IFERROR(MAX(FILTER('REGISTRO PROD. v1'!"&amp;"BE:BE,'REGISTRO PROD. v1'!BC:BC=B741)),0),
      IFERROR(MAX(FILTER('REGISTRO PROD. v1'!BV:BV,'REGISTRO PROD. v1'!BT:BT=B741)),0)
    )&gt;=F741,
    ""SI"",
    ""EN PROCESO""
  )
)
"),"NO")</f>
        <v>NO</v>
      </c>
      <c r="F741" s="132" t="s">
        <v>65</v>
      </c>
    </row>
    <row r="742" spans="2:6" ht="15" x14ac:dyDescent="0.25">
      <c r="B742" s="131">
        <v>739</v>
      </c>
      <c r="C742" s="131">
        <v>2020</v>
      </c>
      <c r="D742" s="131" t="s">
        <v>103</v>
      </c>
      <c r="E742" s="131" t="str">
        <f ca="1">IFERROR(__xludf.DUMMYFUNCTION("IF(
  MAX(
    IFERROR(MAX(FILTER('REGISTRO PROD. v1'!F:F,'REGISTRO PROD. v1'!D:D=B742)),0),
    IFERROR(MAX(FILTER('REGISTRO PROD. v1'!W:W,'REGISTRO PROD. v1'!U:U=B742)),0),
    IFERROR(MAX(FILTER('REGISTRO PROD. v1'!AN:AN,'REGISTRO PROD. v1'!AL:AL=B742)"&amp;"),0),
    IFERROR(MAX(FILTER('REGISTRO PROD. v1'!BE:BE,'REGISTRO PROD. v1'!BC:BC=B742)),0),
    IFERROR(MAX(FILTER('REGISTRO PROD. v1'!BV:BV,'REGISTRO PROD. v1'!BT:BT=B742)),0)
  )=0,
  ""NO"",
  IF(
    MAX(
      IFERROR(MAX(FILTER('REGISTRO PROD. v1'!F"&amp;":F,'REGISTRO PROD. v1'!D:D=B742)),0),
      IFERROR(MAX(FILTER('REGISTRO PROD. v1'!W:W,'REGISTRO PROD. v1'!U:U=B742)),0),
      IFERROR(MAX(FILTER('REGISTRO PROD. v1'!AN:AN,'REGISTRO PROD. v1'!AL:AL=B742)),0),
      IFERROR(MAX(FILTER('REGISTRO PROD. v1'!"&amp;"BE:BE,'REGISTRO PROD. v1'!BC:BC=B742)),0),
      IFERROR(MAX(FILTER('REGISTRO PROD. v1'!BV:BV,'REGISTRO PROD. v1'!BT:BT=B742)),0)
    )&gt;=F742,
    ""SI"",
    ""EN PROCESO""
  )
)
"),"NO")</f>
        <v>NO</v>
      </c>
      <c r="F742" s="132" t="s">
        <v>65</v>
      </c>
    </row>
    <row r="743" spans="2:6" ht="15" x14ac:dyDescent="0.25">
      <c r="B743" s="131">
        <v>740</v>
      </c>
      <c r="C743" s="131">
        <v>2020</v>
      </c>
      <c r="D743" s="131" t="s">
        <v>104</v>
      </c>
      <c r="E743" s="131" t="str">
        <f ca="1">IFERROR(__xludf.DUMMYFUNCTION("IF(
  MAX(
    IFERROR(MAX(FILTER('REGISTRO PROD. v1'!F:F,'REGISTRO PROD. v1'!D:D=B743)),0),
    IFERROR(MAX(FILTER('REGISTRO PROD. v1'!W:W,'REGISTRO PROD. v1'!U:U=B743)),0),
    IFERROR(MAX(FILTER('REGISTRO PROD. v1'!AN:AN,'REGISTRO PROD. v1'!AL:AL=B743)"&amp;"),0),
    IFERROR(MAX(FILTER('REGISTRO PROD. v1'!BE:BE,'REGISTRO PROD. v1'!BC:BC=B743)),0),
    IFERROR(MAX(FILTER('REGISTRO PROD. v1'!BV:BV,'REGISTRO PROD. v1'!BT:BT=B743)),0)
  )=0,
  ""NO"",
  IF(
    MAX(
      IFERROR(MAX(FILTER('REGISTRO PROD. v1'!F"&amp;":F,'REGISTRO PROD. v1'!D:D=B743)),0),
      IFERROR(MAX(FILTER('REGISTRO PROD. v1'!W:W,'REGISTRO PROD. v1'!U:U=B743)),0),
      IFERROR(MAX(FILTER('REGISTRO PROD. v1'!AN:AN,'REGISTRO PROD. v1'!AL:AL=B743)),0),
      IFERROR(MAX(FILTER('REGISTRO PROD. v1'!"&amp;"BE:BE,'REGISTRO PROD. v1'!BC:BC=B743)),0),
      IFERROR(MAX(FILTER('REGISTRO PROD. v1'!BV:BV,'REGISTRO PROD. v1'!BT:BT=B743)),0)
    )&gt;=F743,
    ""SI"",
    ""EN PROCESO""
  )
)
"),"NO")</f>
        <v>NO</v>
      </c>
      <c r="F743" s="132" t="s">
        <v>65</v>
      </c>
    </row>
    <row r="744" spans="2:6" ht="15" x14ac:dyDescent="0.25">
      <c r="B744" s="131">
        <v>741</v>
      </c>
      <c r="C744" s="131">
        <v>2020</v>
      </c>
      <c r="D744" s="131" t="s">
        <v>105</v>
      </c>
      <c r="E744" s="131" t="str">
        <f ca="1">IFERROR(__xludf.DUMMYFUNCTION("IF(
  MAX(
    IFERROR(MAX(FILTER('REGISTRO PROD. v1'!F:F,'REGISTRO PROD. v1'!D:D=B744)),0),
    IFERROR(MAX(FILTER('REGISTRO PROD. v1'!W:W,'REGISTRO PROD. v1'!U:U=B744)),0),
    IFERROR(MAX(FILTER('REGISTRO PROD. v1'!AN:AN,'REGISTRO PROD. v1'!AL:AL=B744)"&amp;"),0),
    IFERROR(MAX(FILTER('REGISTRO PROD. v1'!BE:BE,'REGISTRO PROD. v1'!BC:BC=B744)),0),
    IFERROR(MAX(FILTER('REGISTRO PROD. v1'!BV:BV,'REGISTRO PROD. v1'!BT:BT=B744)),0)
  )=0,
  ""NO"",
  IF(
    MAX(
      IFERROR(MAX(FILTER('REGISTRO PROD. v1'!F"&amp;":F,'REGISTRO PROD. v1'!D:D=B744)),0),
      IFERROR(MAX(FILTER('REGISTRO PROD. v1'!W:W,'REGISTRO PROD. v1'!U:U=B744)),0),
      IFERROR(MAX(FILTER('REGISTRO PROD. v1'!AN:AN,'REGISTRO PROD. v1'!AL:AL=B744)),0),
      IFERROR(MAX(FILTER('REGISTRO PROD. v1'!"&amp;"BE:BE,'REGISTRO PROD. v1'!BC:BC=B744)),0),
      IFERROR(MAX(FILTER('REGISTRO PROD. v1'!BV:BV,'REGISTRO PROD. v1'!BT:BT=B744)),0)
    )&gt;=F744,
    ""SI"",
    ""EN PROCESO""
  )
)
"),"NO")</f>
        <v>NO</v>
      </c>
      <c r="F744" s="132" t="s">
        <v>65</v>
      </c>
    </row>
    <row r="745" spans="2:6" ht="15" x14ac:dyDescent="0.25">
      <c r="B745" s="131">
        <v>742</v>
      </c>
      <c r="C745" s="131">
        <v>2020</v>
      </c>
      <c r="D745" s="131" t="s">
        <v>106</v>
      </c>
      <c r="E745" s="131" t="str">
        <f ca="1">IFERROR(__xludf.DUMMYFUNCTION("IF(
  MAX(
    IFERROR(MAX(FILTER('REGISTRO PROD. v1'!F:F,'REGISTRO PROD. v1'!D:D=B745)),0),
    IFERROR(MAX(FILTER('REGISTRO PROD. v1'!W:W,'REGISTRO PROD. v1'!U:U=B745)),0),
    IFERROR(MAX(FILTER('REGISTRO PROD. v1'!AN:AN,'REGISTRO PROD. v1'!AL:AL=B745)"&amp;"),0),
    IFERROR(MAX(FILTER('REGISTRO PROD. v1'!BE:BE,'REGISTRO PROD. v1'!BC:BC=B745)),0),
    IFERROR(MAX(FILTER('REGISTRO PROD. v1'!BV:BV,'REGISTRO PROD. v1'!BT:BT=B745)),0)
  )=0,
  ""NO"",
  IF(
    MAX(
      IFERROR(MAX(FILTER('REGISTRO PROD. v1'!F"&amp;":F,'REGISTRO PROD. v1'!D:D=B745)),0),
      IFERROR(MAX(FILTER('REGISTRO PROD. v1'!W:W,'REGISTRO PROD. v1'!U:U=B745)),0),
      IFERROR(MAX(FILTER('REGISTRO PROD. v1'!AN:AN,'REGISTRO PROD. v1'!AL:AL=B745)),0),
      IFERROR(MAX(FILTER('REGISTRO PROD. v1'!"&amp;"BE:BE,'REGISTRO PROD. v1'!BC:BC=B745)),0),
      IFERROR(MAX(FILTER('REGISTRO PROD. v1'!BV:BV,'REGISTRO PROD. v1'!BT:BT=B745)),0)
    )&gt;=F745,
    ""SI"",
    ""EN PROCESO""
  )
)
"),"NO")</f>
        <v>NO</v>
      </c>
      <c r="F745" s="132" t="s">
        <v>65</v>
      </c>
    </row>
    <row r="746" spans="2:6" ht="15" x14ac:dyDescent="0.25">
      <c r="B746" s="131">
        <v>743</v>
      </c>
      <c r="C746" s="131">
        <v>2020</v>
      </c>
      <c r="D746" s="131" t="s">
        <v>107</v>
      </c>
      <c r="E746" s="131" t="str">
        <f ca="1">IFERROR(__xludf.DUMMYFUNCTION("IF(
  MAX(
    IFERROR(MAX(FILTER('REGISTRO PROD. v1'!F:F,'REGISTRO PROD. v1'!D:D=B746)),0),
    IFERROR(MAX(FILTER('REGISTRO PROD. v1'!W:W,'REGISTRO PROD. v1'!U:U=B746)),0),
    IFERROR(MAX(FILTER('REGISTRO PROD. v1'!AN:AN,'REGISTRO PROD. v1'!AL:AL=B746)"&amp;"),0),
    IFERROR(MAX(FILTER('REGISTRO PROD. v1'!BE:BE,'REGISTRO PROD. v1'!BC:BC=B746)),0),
    IFERROR(MAX(FILTER('REGISTRO PROD. v1'!BV:BV,'REGISTRO PROD. v1'!BT:BT=B746)),0)
  )=0,
  ""NO"",
  IF(
    MAX(
      IFERROR(MAX(FILTER('REGISTRO PROD. v1'!F"&amp;":F,'REGISTRO PROD. v1'!D:D=B746)),0),
      IFERROR(MAX(FILTER('REGISTRO PROD. v1'!W:W,'REGISTRO PROD. v1'!U:U=B746)),0),
      IFERROR(MAX(FILTER('REGISTRO PROD. v1'!AN:AN,'REGISTRO PROD. v1'!AL:AL=B746)),0),
      IFERROR(MAX(FILTER('REGISTRO PROD. v1'!"&amp;"BE:BE,'REGISTRO PROD. v1'!BC:BC=B746)),0),
      IFERROR(MAX(FILTER('REGISTRO PROD. v1'!BV:BV,'REGISTRO PROD. v1'!BT:BT=B746)),0)
    )&gt;=F746,
    ""SI"",
    ""EN PROCESO""
  )
)
"),"NO")</f>
        <v>NO</v>
      </c>
      <c r="F746" s="132" t="s">
        <v>65</v>
      </c>
    </row>
    <row r="747" spans="2:6" ht="15" x14ac:dyDescent="0.25">
      <c r="B747" s="131">
        <v>744</v>
      </c>
      <c r="C747" s="131">
        <v>2020</v>
      </c>
      <c r="D747" s="131" t="s">
        <v>108</v>
      </c>
      <c r="E747" s="131" t="str">
        <f ca="1">IFERROR(__xludf.DUMMYFUNCTION("IF(
  MAX(
    IFERROR(MAX(FILTER('REGISTRO PROD. v1'!F:F,'REGISTRO PROD. v1'!D:D=B747)),0),
    IFERROR(MAX(FILTER('REGISTRO PROD. v1'!W:W,'REGISTRO PROD. v1'!U:U=B747)),0),
    IFERROR(MAX(FILTER('REGISTRO PROD. v1'!AN:AN,'REGISTRO PROD. v1'!AL:AL=B747)"&amp;"),0),
    IFERROR(MAX(FILTER('REGISTRO PROD. v1'!BE:BE,'REGISTRO PROD. v1'!BC:BC=B747)),0),
    IFERROR(MAX(FILTER('REGISTRO PROD. v1'!BV:BV,'REGISTRO PROD. v1'!BT:BT=B747)),0)
  )=0,
  ""NO"",
  IF(
    MAX(
      IFERROR(MAX(FILTER('REGISTRO PROD. v1'!F"&amp;":F,'REGISTRO PROD. v1'!D:D=B747)),0),
      IFERROR(MAX(FILTER('REGISTRO PROD. v1'!W:W,'REGISTRO PROD. v1'!U:U=B747)),0),
      IFERROR(MAX(FILTER('REGISTRO PROD. v1'!AN:AN,'REGISTRO PROD. v1'!AL:AL=B747)),0),
      IFERROR(MAX(FILTER('REGISTRO PROD. v1'!"&amp;"BE:BE,'REGISTRO PROD. v1'!BC:BC=B747)),0),
      IFERROR(MAX(FILTER('REGISTRO PROD. v1'!BV:BV,'REGISTRO PROD. v1'!BT:BT=B747)),0)
    )&gt;=F747,
    ""SI"",
    ""EN PROCESO""
  )
)
"),"NO")</f>
        <v>NO</v>
      </c>
      <c r="F747" s="132" t="s">
        <v>65</v>
      </c>
    </row>
    <row r="748" spans="2:6" ht="15" x14ac:dyDescent="0.25">
      <c r="B748" s="131">
        <v>745</v>
      </c>
      <c r="C748" s="131">
        <v>2020</v>
      </c>
      <c r="D748" s="131" t="s">
        <v>183</v>
      </c>
      <c r="E748" s="131" t="str">
        <f ca="1">IFERROR(__xludf.DUMMYFUNCTION("IF(
  MAX(
    IFERROR(MAX(FILTER('REGISTRO PROD. v1'!F:F,'REGISTRO PROD. v1'!D:D=B748)),0),
    IFERROR(MAX(FILTER('REGISTRO PROD. v1'!W:W,'REGISTRO PROD. v1'!U:U=B748)),0),
    IFERROR(MAX(FILTER('REGISTRO PROD. v1'!AN:AN,'REGISTRO PROD. v1'!AL:AL=B748)"&amp;"),0),
    IFERROR(MAX(FILTER('REGISTRO PROD. v1'!BE:BE,'REGISTRO PROD. v1'!BC:BC=B748)),0),
    IFERROR(MAX(FILTER('REGISTRO PROD. v1'!BV:BV,'REGISTRO PROD. v1'!BT:BT=B748)),0)
  )=0,
  ""NO"",
  IF(
    MAX(
      IFERROR(MAX(FILTER('REGISTRO PROD. v1'!F"&amp;":F,'REGISTRO PROD. v1'!D:D=B748)),0),
      IFERROR(MAX(FILTER('REGISTRO PROD. v1'!W:W,'REGISTRO PROD. v1'!U:U=B748)),0),
      IFERROR(MAX(FILTER('REGISTRO PROD. v1'!AN:AN,'REGISTRO PROD. v1'!AL:AL=B748)),0),
      IFERROR(MAX(FILTER('REGISTRO PROD. v1'!"&amp;"BE:BE,'REGISTRO PROD. v1'!BC:BC=B748)),0),
      IFERROR(MAX(FILTER('REGISTRO PROD. v1'!BV:BV,'REGISTRO PROD. v1'!BT:BT=B748)),0)
    )&gt;=F748,
    ""SI"",
    ""EN PROCESO""
  )
)
"),"NO")</f>
        <v>NO</v>
      </c>
      <c r="F748" s="132" t="s">
        <v>65</v>
      </c>
    </row>
    <row r="749" spans="2:6" ht="15" x14ac:dyDescent="0.25">
      <c r="B749" s="131">
        <v>746</v>
      </c>
      <c r="C749" s="131">
        <v>2021</v>
      </c>
      <c r="D749" s="131" t="s">
        <v>64</v>
      </c>
      <c r="E749" s="131" t="str">
        <f ca="1">IFERROR(__xludf.DUMMYFUNCTION("IF(
  MAX(
    IFERROR(MAX(FILTER('REGISTRO PROD. v1'!F:F,'REGISTRO PROD. v1'!D:D=B749)),0),
    IFERROR(MAX(FILTER('REGISTRO PROD. v1'!W:W,'REGISTRO PROD. v1'!U:U=B749)),0),
    IFERROR(MAX(FILTER('REGISTRO PROD. v1'!AN:AN,'REGISTRO PROD. v1'!AL:AL=B749)"&amp;"),0),
    IFERROR(MAX(FILTER('REGISTRO PROD. v1'!BE:BE,'REGISTRO PROD. v1'!BC:BC=B749)),0),
    IFERROR(MAX(FILTER('REGISTRO PROD. v1'!BV:BV,'REGISTRO PROD. v1'!BT:BT=B749)),0)
  )=0,
  ""NO"",
  IF(
    MAX(
      IFERROR(MAX(FILTER('REGISTRO PROD. v1'!F"&amp;":F,'REGISTRO PROD. v1'!D:D=B749)),0),
      IFERROR(MAX(FILTER('REGISTRO PROD. v1'!W:W,'REGISTRO PROD. v1'!U:U=B749)),0),
      IFERROR(MAX(FILTER('REGISTRO PROD. v1'!AN:AN,'REGISTRO PROD. v1'!AL:AL=B749)),0),
      IFERROR(MAX(FILTER('REGISTRO PROD. v1'!"&amp;"BE:BE,'REGISTRO PROD. v1'!BC:BC=B749)),0),
      IFERROR(MAX(FILTER('REGISTRO PROD. v1'!BV:BV,'REGISTRO PROD. v1'!BT:BT=B749)),0)
    )&gt;=F749,
    ""SI"",
    ""EN PROCESO""
  )
)
"),"NO")</f>
        <v>NO</v>
      </c>
      <c r="F749" s="132" t="s">
        <v>65</v>
      </c>
    </row>
    <row r="750" spans="2:6" ht="15" x14ac:dyDescent="0.25">
      <c r="B750" s="131">
        <v>747</v>
      </c>
      <c r="C750" s="131">
        <v>2021</v>
      </c>
      <c r="D750" s="131" t="s">
        <v>66</v>
      </c>
      <c r="E750" s="131" t="str">
        <f ca="1">IFERROR(__xludf.DUMMYFUNCTION("IF(
  MAX(
    IFERROR(MAX(FILTER('REGISTRO PROD. v1'!F:F,'REGISTRO PROD. v1'!D:D=B750)),0),
    IFERROR(MAX(FILTER('REGISTRO PROD. v1'!W:W,'REGISTRO PROD. v1'!U:U=B750)),0),
    IFERROR(MAX(FILTER('REGISTRO PROD. v1'!AN:AN,'REGISTRO PROD. v1'!AL:AL=B750)"&amp;"),0),
    IFERROR(MAX(FILTER('REGISTRO PROD. v1'!BE:BE,'REGISTRO PROD. v1'!BC:BC=B750)),0),
    IFERROR(MAX(FILTER('REGISTRO PROD. v1'!BV:BV,'REGISTRO PROD. v1'!BT:BT=B750)),0)
  )=0,
  ""NO"",
  IF(
    MAX(
      IFERROR(MAX(FILTER('REGISTRO PROD. v1'!F"&amp;":F,'REGISTRO PROD. v1'!D:D=B750)),0),
      IFERROR(MAX(FILTER('REGISTRO PROD. v1'!W:W,'REGISTRO PROD. v1'!U:U=B750)),0),
      IFERROR(MAX(FILTER('REGISTRO PROD. v1'!AN:AN,'REGISTRO PROD. v1'!AL:AL=B750)),0),
      IFERROR(MAX(FILTER('REGISTRO PROD. v1'!"&amp;"BE:BE,'REGISTRO PROD. v1'!BC:BC=B750)),0),
      IFERROR(MAX(FILTER('REGISTRO PROD. v1'!BV:BV,'REGISTRO PROD. v1'!BT:BT=B750)),0)
    )&gt;=F750,
    ""SI"",
    ""EN PROCESO""
  )
)
"),"NO")</f>
        <v>NO</v>
      </c>
      <c r="F750" s="132" t="s">
        <v>65</v>
      </c>
    </row>
    <row r="751" spans="2:6" ht="15" x14ac:dyDescent="0.25">
      <c r="B751" s="131">
        <v>748</v>
      </c>
      <c r="C751" s="131">
        <v>2021</v>
      </c>
      <c r="D751" s="131" t="s">
        <v>67</v>
      </c>
      <c r="E751" s="131" t="str">
        <f ca="1">IFERROR(__xludf.DUMMYFUNCTION("IF(
  MAX(
    IFERROR(MAX(FILTER('REGISTRO PROD. v1'!F:F,'REGISTRO PROD. v1'!D:D=B751)),0),
    IFERROR(MAX(FILTER('REGISTRO PROD. v1'!W:W,'REGISTRO PROD. v1'!U:U=B751)),0),
    IFERROR(MAX(FILTER('REGISTRO PROD. v1'!AN:AN,'REGISTRO PROD. v1'!AL:AL=B751)"&amp;"),0),
    IFERROR(MAX(FILTER('REGISTRO PROD. v1'!BE:BE,'REGISTRO PROD. v1'!BC:BC=B751)),0),
    IFERROR(MAX(FILTER('REGISTRO PROD. v1'!BV:BV,'REGISTRO PROD. v1'!BT:BT=B751)),0)
  )=0,
  ""NO"",
  IF(
    MAX(
      IFERROR(MAX(FILTER('REGISTRO PROD. v1'!F"&amp;":F,'REGISTRO PROD. v1'!D:D=B751)),0),
      IFERROR(MAX(FILTER('REGISTRO PROD. v1'!W:W,'REGISTRO PROD. v1'!U:U=B751)),0),
      IFERROR(MAX(FILTER('REGISTRO PROD. v1'!AN:AN,'REGISTRO PROD. v1'!AL:AL=B751)),0),
      IFERROR(MAX(FILTER('REGISTRO PROD. v1'!"&amp;"BE:BE,'REGISTRO PROD. v1'!BC:BC=B751)),0),
      IFERROR(MAX(FILTER('REGISTRO PROD. v1'!BV:BV,'REGISTRO PROD. v1'!BT:BT=B751)),0)
    )&gt;=F751,
    ""SI"",
    ""EN PROCESO""
  )
)
"),"NO")</f>
        <v>NO</v>
      </c>
      <c r="F751" s="132" t="s">
        <v>65</v>
      </c>
    </row>
    <row r="752" spans="2:6" ht="15" x14ac:dyDescent="0.25">
      <c r="B752" s="131">
        <v>749</v>
      </c>
      <c r="C752" s="131">
        <v>2021</v>
      </c>
      <c r="D752" s="131" t="s">
        <v>68</v>
      </c>
      <c r="E752" s="131" t="str">
        <f ca="1">IFERROR(__xludf.DUMMYFUNCTION("IF(
  MAX(
    IFERROR(MAX(FILTER('REGISTRO PROD. v1'!F:F,'REGISTRO PROD. v1'!D:D=B752)),0),
    IFERROR(MAX(FILTER('REGISTRO PROD. v1'!W:W,'REGISTRO PROD. v1'!U:U=B752)),0),
    IFERROR(MAX(FILTER('REGISTRO PROD. v1'!AN:AN,'REGISTRO PROD. v1'!AL:AL=B752)"&amp;"),0),
    IFERROR(MAX(FILTER('REGISTRO PROD. v1'!BE:BE,'REGISTRO PROD. v1'!BC:BC=B752)),0),
    IFERROR(MAX(FILTER('REGISTRO PROD. v1'!BV:BV,'REGISTRO PROD. v1'!BT:BT=B752)),0)
  )=0,
  ""NO"",
  IF(
    MAX(
      IFERROR(MAX(FILTER('REGISTRO PROD. v1'!F"&amp;":F,'REGISTRO PROD. v1'!D:D=B752)),0),
      IFERROR(MAX(FILTER('REGISTRO PROD. v1'!W:W,'REGISTRO PROD. v1'!U:U=B752)),0),
      IFERROR(MAX(FILTER('REGISTRO PROD. v1'!AN:AN,'REGISTRO PROD. v1'!AL:AL=B752)),0),
      IFERROR(MAX(FILTER('REGISTRO PROD. v1'!"&amp;"BE:BE,'REGISTRO PROD. v1'!BC:BC=B752)),0),
      IFERROR(MAX(FILTER('REGISTRO PROD. v1'!BV:BV,'REGISTRO PROD. v1'!BT:BT=B752)),0)
    )&gt;=F752,
    ""SI"",
    ""EN PROCESO""
  )
)
"),"NO")</f>
        <v>NO</v>
      </c>
      <c r="F752" s="132" t="s">
        <v>65</v>
      </c>
    </row>
    <row r="753" spans="2:6" ht="15" x14ac:dyDescent="0.25">
      <c r="B753" s="131">
        <v>750</v>
      </c>
      <c r="C753" s="131">
        <v>2021</v>
      </c>
      <c r="D753" s="131" t="s">
        <v>69</v>
      </c>
      <c r="E753" s="131" t="str">
        <f ca="1">IFERROR(__xludf.DUMMYFUNCTION("IF(
  MAX(
    IFERROR(MAX(FILTER('REGISTRO PROD. v1'!F:F,'REGISTRO PROD. v1'!D:D=B753)),0),
    IFERROR(MAX(FILTER('REGISTRO PROD. v1'!W:W,'REGISTRO PROD. v1'!U:U=B753)),0),
    IFERROR(MAX(FILTER('REGISTRO PROD. v1'!AN:AN,'REGISTRO PROD. v1'!AL:AL=B753)"&amp;"),0),
    IFERROR(MAX(FILTER('REGISTRO PROD. v1'!BE:BE,'REGISTRO PROD. v1'!BC:BC=B753)),0),
    IFERROR(MAX(FILTER('REGISTRO PROD. v1'!BV:BV,'REGISTRO PROD. v1'!BT:BT=B753)),0)
  )=0,
  ""NO"",
  IF(
    MAX(
      IFERROR(MAX(FILTER('REGISTRO PROD. v1'!F"&amp;":F,'REGISTRO PROD. v1'!D:D=B753)),0),
      IFERROR(MAX(FILTER('REGISTRO PROD. v1'!W:W,'REGISTRO PROD. v1'!U:U=B753)),0),
      IFERROR(MAX(FILTER('REGISTRO PROD. v1'!AN:AN,'REGISTRO PROD. v1'!AL:AL=B753)),0),
      IFERROR(MAX(FILTER('REGISTRO PROD. v1'!"&amp;"BE:BE,'REGISTRO PROD. v1'!BC:BC=B753)),0),
      IFERROR(MAX(FILTER('REGISTRO PROD. v1'!BV:BV,'REGISTRO PROD. v1'!BT:BT=B753)),0)
    )&gt;=F753,
    ""SI"",
    ""EN PROCESO""
  )
)
"),"NO")</f>
        <v>NO</v>
      </c>
      <c r="F753" s="132" t="s">
        <v>65</v>
      </c>
    </row>
    <row r="754" spans="2:6" ht="15" x14ac:dyDescent="0.25">
      <c r="B754" s="131">
        <v>751</v>
      </c>
      <c r="C754" s="131">
        <v>2021</v>
      </c>
      <c r="D754" s="131" t="s">
        <v>70</v>
      </c>
      <c r="E754" s="131" t="str">
        <f ca="1">IFERROR(__xludf.DUMMYFUNCTION("IF(
  MAX(
    IFERROR(MAX(FILTER('REGISTRO PROD. v1'!F:F,'REGISTRO PROD. v1'!D:D=B754)),0),
    IFERROR(MAX(FILTER('REGISTRO PROD. v1'!W:W,'REGISTRO PROD. v1'!U:U=B754)),0),
    IFERROR(MAX(FILTER('REGISTRO PROD. v1'!AN:AN,'REGISTRO PROD. v1'!AL:AL=B754)"&amp;"),0),
    IFERROR(MAX(FILTER('REGISTRO PROD. v1'!BE:BE,'REGISTRO PROD. v1'!BC:BC=B754)),0),
    IFERROR(MAX(FILTER('REGISTRO PROD. v1'!BV:BV,'REGISTRO PROD. v1'!BT:BT=B754)),0)
  )=0,
  ""NO"",
  IF(
    MAX(
      IFERROR(MAX(FILTER('REGISTRO PROD. v1'!F"&amp;":F,'REGISTRO PROD. v1'!D:D=B754)),0),
      IFERROR(MAX(FILTER('REGISTRO PROD. v1'!W:W,'REGISTRO PROD. v1'!U:U=B754)),0),
      IFERROR(MAX(FILTER('REGISTRO PROD. v1'!AN:AN,'REGISTRO PROD. v1'!AL:AL=B754)),0),
      IFERROR(MAX(FILTER('REGISTRO PROD. v1'!"&amp;"BE:BE,'REGISTRO PROD. v1'!BC:BC=B754)),0),
      IFERROR(MAX(FILTER('REGISTRO PROD. v1'!BV:BV,'REGISTRO PROD. v1'!BT:BT=B754)),0)
    )&gt;=F754,
    ""SI"",
    ""EN PROCESO""
  )
)
"),"NO")</f>
        <v>NO</v>
      </c>
      <c r="F754" s="132" t="s">
        <v>65</v>
      </c>
    </row>
    <row r="755" spans="2:6" ht="15" x14ac:dyDescent="0.25">
      <c r="B755" s="131">
        <v>752</v>
      </c>
      <c r="C755" s="131">
        <v>2021</v>
      </c>
      <c r="D755" s="131" t="s">
        <v>97</v>
      </c>
      <c r="E755" s="131" t="str">
        <f ca="1">IFERROR(__xludf.DUMMYFUNCTION("IF(
  MAX(
    IFERROR(MAX(FILTER('REGISTRO PROD. v1'!F:F,'REGISTRO PROD. v1'!D:D=B755)),0),
    IFERROR(MAX(FILTER('REGISTRO PROD. v1'!W:W,'REGISTRO PROD. v1'!U:U=B755)),0),
    IFERROR(MAX(FILTER('REGISTRO PROD. v1'!AN:AN,'REGISTRO PROD. v1'!AL:AL=B755)"&amp;"),0),
    IFERROR(MAX(FILTER('REGISTRO PROD. v1'!BE:BE,'REGISTRO PROD. v1'!BC:BC=B755)),0),
    IFERROR(MAX(FILTER('REGISTRO PROD. v1'!BV:BV,'REGISTRO PROD. v1'!BT:BT=B755)),0)
  )=0,
  ""NO"",
  IF(
    MAX(
      IFERROR(MAX(FILTER('REGISTRO PROD. v1'!F"&amp;":F,'REGISTRO PROD. v1'!D:D=B755)),0),
      IFERROR(MAX(FILTER('REGISTRO PROD. v1'!W:W,'REGISTRO PROD. v1'!U:U=B755)),0),
      IFERROR(MAX(FILTER('REGISTRO PROD. v1'!AN:AN,'REGISTRO PROD. v1'!AL:AL=B755)),0),
      IFERROR(MAX(FILTER('REGISTRO PROD. v1'!"&amp;"BE:BE,'REGISTRO PROD. v1'!BC:BC=B755)),0),
      IFERROR(MAX(FILTER('REGISTRO PROD. v1'!BV:BV,'REGISTRO PROD. v1'!BT:BT=B755)),0)
    )&gt;=F755,
    ""SI"",
    ""EN PROCESO""
  )
)
"),"NO")</f>
        <v>NO</v>
      </c>
      <c r="F755" s="132" t="s">
        <v>65</v>
      </c>
    </row>
    <row r="756" spans="2:6" ht="15" x14ac:dyDescent="0.25">
      <c r="B756" s="131">
        <v>753</v>
      </c>
      <c r="C756" s="131">
        <v>2021</v>
      </c>
      <c r="D756" s="131" t="s">
        <v>98</v>
      </c>
      <c r="E756" s="131" t="str">
        <f ca="1">IFERROR(__xludf.DUMMYFUNCTION("IF(
  MAX(
    IFERROR(MAX(FILTER('REGISTRO PROD. v1'!F:F,'REGISTRO PROD. v1'!D:D=B756)),0),
    IFERROR(MAX(FILTER('REGISTRO PROD. v1'!W:W,'REGISTRO PROD. v1'!U:U=B756)),0),
    IFERROR(MAX(FILTER('REGISTRO PROD. v1'!AN:AN,'REGISTRO PROD. v1'!AL:AL=B756)"&amp;"),0),
    IFERROR(MAX(FILTER('REGISTRO PROD. v1'!BE:BE,'REGISTRO PROD. v1'!BC:BC=B756)),0),
    IFERROR(MAX(FILTER('REGISTRO PROD. v1'!BV:BV,'REGISTRO PROD. v1'!BT:BT=B756)),0)
  )=0,
  ""NO"",
  IF(
    MAX(
      IFERROR(MAX(FILTER('REGISTRO PROD. v1'!F"&amp;":F,'REGISTRO PROD. v1'!D:D=B756)),0),
      IFERROR(MAX(FILTER('REGISTRO PROD. v1'!W:W,'REGISTRO PROD. v1'!U:U=B756)),0),
      IFERROR(MAX(FILTER('REGISTRO PROD. v1'!AN:AN,'REGISTRO PROD. v1'!AL:AL=B756)),0),
      IFERROR(MAX(FILTER('REGISTRO PROD. v1'!"&amp;"BE:BE,'REGISTRO PROD. v1'!BC:BC=B756)),0),
      IFERROR(MAX(FILTER('REGISTRO PROD. v1'!BV:BV,'REGISTRO PROD. v1'!BT:BT=B756)),0)
    )&gt;=F756,
    ""SI"",
    ""EN PROCESO""
  )
)
"),"NO")</f>
        <v>NO</v>
      </c>
      <c r="F756" s="132" t="s">
        <v>65</v>
      </c>
    </row>
    <row r="757" spans="2:6" ht="15" x14ac:dyDescent="0.25">
      <c r="B757" s="131">
        <v>754</v>
      </c>
      <c r="C757" s="131">
        <v>2021</v>
      </c>
      <c r="D757" s="131" t="s">
        <v>99</v>
      </c>
      <c r="E757" s="131" t="str">
        <f ca="1">IFERROR(__xludf.DUMMYFUNCTION("IF(
  MAX(
    IFERROR(MAX(FILTER('REGISTRO PROD. v1'!F:F,'REGISTRO PROD. v1'!D:D=B757)),0),
    IFERROR(MAX(FILTER('REGISTRO PROD. v1'!W:W,'REGISTRO PROD. v1'!U:U=B757)),0),
    IFERROR(MAX(FILTER('REGISTRO PROD. v1'!AN:AN,'REGISTRO PROD. v1'!AL:AL=B757)"&amp;"),0),
    IFERROR(MAX(FILTER('REGISTRO PROD. v1'!BE:BE,'REGISTRO PROD. v1'!BC:BC=B757)),0),
    IFERROR(MAX(FILTER('REGISTRO PROD. v1'!BV:BV,'REGISTRO PROD. v1'!BT:BT=B757)),0)
  )=0,
  ""NO"",
  IF(
    MAX(
      IFERROR(MAX(FILTER('REGISTRO PROD. v1'!F"&amp;":F,'REGISTRO PROD. v1'!D:D=B757)),0),
      IFERROR(MAX(FILTER('REGISTRO PROD. v1'!W:W,'REGISTRO PROD. v1'!U:U=B757)),0),
      IFERROR(MAX(FILTER('REGISTRO PROD. v1'!AN:AN,'REGISTRO PROD. v1'!AL:AL=B757)),0),
      IFERROR(MAX(FILTER('REGISTRO PROD. v1'!"&amp;"BE:BE,'REGISTRO PROD. v1'!BC:BC=B757)),0),
      IFERROR(MAX(FILTER('REGISTRO PROD. v1'!BV:BV,'REGISTRO PROD. v1'!BT:BT=B757)),0)
    )&gt;=F757,
    ""SI"",
    ""EN PROCESO""
  )
)
"),"NO")</f>
        <v>NO</v>
      </c>
      <c r="F757" s="132" t="s">
        <v>65</v>
      </c>
    </row>
    <row r="758" spans="2:6" ht="15" x14ac:dyDescent="0.25">
      <c r="B758" s="131">
        <v>755</v>
      </c>
      <c r="C758" s="131">
        <v>2021</v>
      </c>
      <c r="D758" s="131" t="s">
        <v>100</v>
      </c>
      <c r="E758" s="131" t="str">
        <f ca="1">IFERROR(__xludf.DUMMYFUNCTION("IF(
  MAX(
    IFERROR(MAX(FILTER('REGISTRO PROD. v1'!F:F,'REGISTRO PROD. v1'!D:D=B758)),0),
    IFERROR(MAX(FILTER('REGISTRO PROD. v1'!W:W,'REGISTRO PROD. v1'!U:U=B758)),0),
    IFERROR(MAX(FILTER('REGISTRO PROD. v1'!AN:AN,'REGISTRO PROD. v1'!AL:AL=B758)"&amp;"),0),
    IFERROR(MAX(FILTER('REGISTRO PROD. v1'!BE:BE,'REGISTRO PROD. v1'!BC:BC=B758)),0),
    IFERROR(MAX(FILTER('REGISTRO PROD. v1'!BV:BV,'REGISTRO PROD. v1'!BT:BT=B758)),0)
  )=0,
  ""NO"",
  IF(
    MAX(
      IFERROR(MAX(FILTER('REGISTRO PROD. v1'!F"&amp;":F,'REGISTRO PROD. v1'!D:D=B758)),0),
      IFERROR(MAX(FILTER('REGISTRO PROD. v1'!W:W,'REGISTRO PROD. v1'!U:U=B758)),0),
      IFERROR(MAX(FILTER('REGISTRO PROD. v1'!AN:AN,'REGISTRO PROD. v1'!AL:AL=B758)),0),
      IFERROR(MAX(FILTER('REGISTRO PROD. v1'!"&amp;"BE:BE,'REGISTRO PROD. v1'!BC:BC=B758)),0),
      IFERROR(MAX(FILTER('REGISTRO PROD. v1'!BV:BV,'REGISTRO PROD. v1'!BT:BT=B758)),0)
    )&gt;=F758,
    ""SI"",
    ""EN PROCESO""
  )
)
"),"NO")</f>
        <v>NO</v>
      </c>
      <c r="F758" s="132" t="s">
        <v>65</v>
      </c>
    </row>
    <row r="759" spans="2:6" ht="15" x14ac:dyDescent="0.25">
      <c r="B759" s="131">
        <v>756</v>
      </c>
      <c r="C759" s="131">
        <v>2021</v>
      </c>
      <c r="D759" s="131" t="s">
        <v>101</v>
      </c>
      <c r="E759" s="131" t="str">
        <f ca="1">IFERROR(__xludf.DUMMYFUNCTION("IF(
  MAX(
    IFERROR(MAX(FILTER('REGISTRO PROD. v1'!F:F,'REGISTRO PROD. v1'!D:D=B759)),0),
    IFERROR(MAX(FILTER('REGISTRO PROD. v1'!W:W,'REGISTRO PROD. v1'!U:U=B759)),0),
    IFERROR(MAX(FILTER('REGISTRO PROD. v1'!AN:AN,'REGISTRO PROD. v1'!AL:AL=B759)"&amp;"),0),
    IFERROR(MAX(FILTER('REGISTRO PROD. v1'!BE:BE,'REGISTRO PROD. v1'!BC:BC=B759)),0),
    IFERROR(MAX(FILTER('REGISTRO PROD. v1'!BV:BV,'REGISTRO PROD. v1'!BT:BT=B759)),0)
  )=0,
  ""NO"",
  IF(
    MAX(
      IFERROR(MAX(FILTER('REGISTRO PROD. v1'!F"&amp;":F,'REGISTRO PROD. v1'!D:D=B759)),0),
      IFERROR(MAX(FILTER('REGISTRO PROD. v1'!W:W,'REGISTRO PROD. v1'!U:U=B759)),0),
      IFERROR(MAX(FILTER('REGISTRO PROD. v1'!AN:AN,'REGISTRO PROD. v1'!AL:AL=B759)),0),
      IFERROR(MAX(FILTER('REGISTRO PROD. v1'!"&amp;"BE:BE,'REGISTRO PROD. v1'!BC:BC=B759)),0),
      IFERROR(MAX(FILTER('REGISTRO PROD. v1'!BV:BV,'REGISTRO PROD. v1'!BT:BT=B759)),0)
    )&gt;=F759,
    ""SI"",
    ""EN PROCESO""
  )
)
"),"NO")</f>
        <v>NO</v>
      </c>
      <c r="F759" s="132" t="s">
        <v>65</v>
      </c>
    </row>
    <row r="760" spans="2:6" ht="15" x14ac:dyDescent="0.25">
      <c r="B760" s="131">
        <v>757</v>
      </c>
      <c r="C760" s="131">
        <v>2021</v>
      </c>
      <c r="D760" s="131" t="s">
        <v>102</v>
      </c>
      <c r="E760" s="131" t="str">
        <f ca="1">IFERROR(__xludf.DUMMYFUNCTION("IF(
  MAX(
    IFERROR(MAX(FILTER('REGISTRO PROD. v1'!F:F,'REGISTRO PROD. v1'!D:D=B760)),0),
    IFERROR(MAX(FILTER('REGISTRO PROD. v1'!W:W,'REGISTRO PROD. v1'!U:U=B760)),0),
    IFERROR(MAX(FILTER('REGISTRO PROD. v1'!AN:AN,'REGISTRO PROD. v1'!AL:AL=B760)"&amp;"),0),
    IFERROR(MAX(FILTER('REGISTRO PROD. v1'!BE:BE,'REGISTRO PROD. v1'!BC:BC=B760)),0),
    IFERROR(MAX(FILTER('REGISTRO PROD. v1'!BV:BV,'REGISTRO PROD. v1'!BT:BT=B760)),0)
  )=0,
  ""NO"",
  IF(
    MAX(
      IFERROR(MAX(FILTER('REGISTRO PROD. v1'!F"&amp;":F,'REGISTRO PROD. v1'!D:D=B760)),0),
      IFERROR(MAX(FILTER('REGISTRO PROD. v1'!W:W,'REGISTRO PROD. v1'!U:U=B760)),0),
      IFERROR(MAX(FILTER('REGISTRO PROD. v1'!AN:AN,'REGISTRO PROD. v1'!AL:AL=B760)),0),
      IFERROR(MAX(FILTER('REGISTRO PROD. v1'!"&amp;"BE:BE,'REGISTRO PROD. v1'!BC:BC=B760)),0),
      IFERROR(MAX(FILTER('REGISTRO PROD. v1'!BV:BV,'REGISTRO PROD. v1'!BT:BT=B760)),0)
    )&gt;=F760,
    ""SI"",
    ""EN PROCESO""
  )
)
"),"NO")</f>
        <v>NO</v>
      </c>
      <c r="F760" s="181" t="s">
        <v>65</v>
      </c>
    </row>
    <row r="761" spans="2:6" ht="15" x14ac:dyDescent="0.25">
      <c r="B761" s="131">
        <v>758</v>
      </c>
      <c r="C761" s="131">
        <v>2021</v>
      </c>
      <c r="D761" s="131" t="s">
        <v>103</v>
      </c>
      <c r="E761" s="131" t="str">
        <f ca="1">IFERROR(__xludf.DUMMYFUNCTION("IF(
  MAX(
    IFERROR(MAX(FILTER('REGISTRO PROD. v1'!F:F,'REGISTRO PROD. v1'!D:D=B761)),0),
    IFERROR(MAX(FILTER('REGISTRO PROD. v1'!W:W,'REGISTRO PROD. v1'!U:U=B761)),0),
    IFERROR(MAX(FILTER('REGISTRO PROD. v1'!AN:AN,'REGISTRO PROD. v1'!AL:AL=B761)"&amp;"),0),
    IFERROR(MAX(FILTER('REGISTRO PROD. v1'!BE:BE,'REGISTRO PROD. v1'!BC:BC=B761)),0),
    IFERROR(MAX(FILTER('REGISTRO PROD. v1'!BV:BV,'REGISTRO PROD. v1'!BT:BT=B761)),0)
  )=0,
  ""NO"",
  IF(
    MAX(
      IFERROR(MAX(FILTER('REGISTRO PROD. v1'!F"&amp;":F,'REGISTRO PROD. v1'!D:D=B761)),0),
      IFERROR(MAX(FILTER('REGISTRO PROD. v1'!W:W,'REGISTRO PROD. v1'!U:U=B761)),0),
      IFERROR(MAX(FILTER('REGISTRO PROD. v1'!AN:AN,'REGISTRO PROD. v1'!AL:AL=B761)),0),
      IFERROR(MAX(FILTER('REGISTRO PROD. v1'!"&amp;"BE:BE,'REGISTRO PROD. v1'!BC:BC=B761)),0),
      IFERROR(MAX(FILTER('REGISTRO PROD. v1'!BV:BV,'REGISTRO PROD. v1'!BT:BT=B761)),0)
    )&gt;=F761,
    ""SI"",
    ""EN PROCESO""
  )
)
"),"NO")</f>
        <v>NO</v>
      </c>
      <c r="F761" s="132" t="s">
        <v>65</v>
      </c>
    </row>
    <row r="762" spans="2:6" ht="15" x14ac:dyDescent="0.25">
      <c r="B762" s="131">
        <v>759</v>
      </c>
      <c r="C762" s="131">
        <v>2021</v>
      </c>
      <c r="D762" s="131" t="s">
        <v>104</v>
      </c>
      <c r="E762" s="131" t="str">
        <f ca="1">IFERROR(__xludf.DUMMYFUNCTION("IF(
  MAX(
    IFERROR(MAX(FILTER('REGISTRO PROD. v1'!F:F,'REGISTRO PROD. v1'!D:D=B762)),0),
    IFERROR(MAX(FILTER('REGISTRO PROD. v1'!W:W,'REGISTRO PROD. v1'!U:U=B762)),0),
    IFERROR(MAX(FILTER('REGISTRO PROD. v1'!AN:AN,'REGISTRO PROD. v1'!AL:AL=B762)"&amp;"),0),
    IFERROR(MAX(FILTER('REGISTRO PROD. v1'!BE:BE,'REGISTRO PROD. v1'!BC:BC=B762)),0),
    IFERROR(MAX(FILTER('REGISTRO PROD. v1'!BV:BV,'REGISTRO PROD. v1'!BT:BT=B762)),0)
  )=0,
  ""NO"",
  IF(
    MAX(
      IFERROR(MAX(FILTER('REGISTRO PROD. v1'!F"&amp;":F,'REGISTRO PROD. v1'!D:D=B762)),0),
      IFERROR(MAX(FILTER('REGISTRO PROD. v1'!W:W,'REGISTRO PROD. v1'!U:U=B762)),0),
      IFERROR(MAX(FILTER('REGISTRO PROD. v1'!AN:AN,'REGISTRO PROD. v1'!AL:AL=B762)),0),
      IFERROR(MAX(FILTER('REGISTRO PROD. v1'!"&amp;"BE:BE,'REGISTRO PROD. v1'!BC:BC=B762)),0),
      IFERROR(MAX(FILTER('REGISTRO PROD. v1'!BV:BV,'REGISTRO PROD. v1'!BT:BT=B762)),0)
    )&gt;=F762,
    ""SI"",
    ""EN PROCESO""
  )
)
"),"NO")</f>
        <v>NO</v>
      </c>
      <c r="F762" s="132" t="s">
        <v>65</v>
      </c>
    </row>
    <row r="763" spans="2:6" ht="15" x14ac:dyDescent="0.25">
      <c r="B763" s="131">
        <v>760</v>
      </c>
      <c r="C763" s="131">
        <v>2021</v>
      </c>
      <c r="D763" s="131" t="s">
        <v>105</v>
      </c>
      <c r="E763" s="131" t="str">
        <f ca="1">IFERROR(__xludf.DUMMYFUNCTION("IF(
  MAX(
    IFERROR(MAX(FILTER('REGISTRO PROD. v1'!F:F,'REGISTRO PROD. v1'!D:D=B763)),0),
    IFERROR(MAX(FILTER('REGISTRO PROD. v1'!W:W,'REGISTRO PROD. v1'!U:U=B763)),0),
    IFERROR(MAX(FILTER('REGISTRO PROD. v1'!AN:AN,'REGISTRO PROD. v1'!AL:AL=B763)"&amp;"),0),
    IFERROR(MAX(FILTER('REGISTRO PROD. v1'!BE:BE,'REGISTRO PROD. v1'!BC:BC=B763)),0),
    IFERROR(MAX(FILTER('REGISTRO PROD. v1'!BV:BV,'REGISTRO PROD. v1'!BT:BT=B763)),0)
  )=0,
  ""NO"",
  IF(
    MAX(
      IFERROR(MAX(FILTER('REGISTRO PROD. v1'!F"&amp;":F,'REGISTRO PROD. v1'!D:D=B763)),0),
      IFERROR(MAX(FILTER('REGISTRO PROD. v1'!W:W,'REGISTRO PROD. v1'!U:U=B763)),0),
      IFERROR(MAX(FILTER('REGISTRO PROD. v1'!AN:AN,'REGISTRO PROD. v1'!AL:AL=B763)),0),
      IFERROR(MAX(FILTER('REGISTRO PROD. v1'!"&amp;"BE:BE,'REGISTRO PROD. v1'!BC:BC=B763)),0),
      IFERROR(MAX(FILTER('REGISTRO PROD. v1'!BV:BV,'REGISTRO PROD. v1'!BT:BT=B763)),0)
    )&gt;=F763,
    ""SI"",
    ""EN PROCESO""
  )
)
"),"NO")</f>
        <v>NO</v>
      </c>
      <c r="F763" s="132" t="s">
        <v>65</v>
      </c>
    </row>
    <row r="764" spans="2:6" ht="15" x14ac:dyDescent="0.25">
      <c r="B764" s="131">
        <v>761</v>
      </c>
      <c r="C764" s="131">
        <v>2021</v>
      </c>
      <c r="D764" s="131" t="s">
        <v>106</v>
      </c>
      <c r="E764" s="131" t="str">
        <f ca="1">IFERROR(__xludf.DUMMYFUNCTION("IF(
  MAX(
    IFERROR(MAX(FILTER('REGISTRO PROD. v1'!F:F,'REGISTRO PROD. v1'!D:D=B764)),0),
    IFERROR(MAX(FILTER('REGISTRO PROD. v1'!W:W,'REGISTRO PROD. v1'!U:U=B764)),0),
    IFERROR(MAX(FILTER('REGISTRO PROD. v1'!AN:AN,'REGISTRO PROD. v1'!AL:AL=B764)"&amp;"),0),
    IFERROR(MAX(FILTER('REGISTRO PROD. v1'!BE:BE,'REGISTRO PROD. v1'!BC:BC=B764)),0),
    IFERROR(MAX(FILTER('REGISTRO PROD. v1'!BV:BV,'REGISTRO PROD. v1'!BT:BT=B764)),0)
  )=0,
  ""NO"",
  IF(
    MAX(
      IFERROR(MAX(FILTER('REGISTRO PROD. v1'!F"&amp;":F,'REGISTRO PROD. v1'!D:D=B764)),0),
      IFERROR(MAX(FILTER('REGISTRO PROD. v1'!W:W,'REGISTRO PROD. v1'!U:U=B764)),0),
      IFERROR(MAX(FILTER('REGISTRO PROD. v1'!AN:AN,'REGISTRO PROD. v1'!AL:AL=B764)),0),
      IFERROR(MAX(FILTER('REGISTRO PROD. v1'!"&amp;"BE:BE,'REGISTRO PROD. v1'!BC:BC=B764)),0),
      IFERROR(MAX(FILTER('REGISTRO PROD. v1'!BV:BV,'REGISTRO PROD. v1'!BT:BT=B764)),0)
    )&gt;=F764,
    ""SI"",
    ""EN PROCESO""
  )
)
"),"NO")</f>
        <v>NO</v>
      </c>
      <c r="F764" s="132" t="s">
        <v>65</v>
      </c>
    </row>
    <row r="765" spans="2:6" ht="15" x14ac:dyDescent="0.25">
      <c r="B765" s="131">
        <v>762</v>
      </c>
      <c r="C765" s="131">
        <v>2021</v>
      </c>
      <c r="D765" s="131" t="s">
        <v>107</v>
      </c>
      <c r="E765" s="131" t="str">
        <f ca="1">IFERROR(__xludf.DUMMYFUNCTION("IF(
  MAX(
    IFERROR(MAX(FILTER('REGISTRO PROD. v1'!F:F,'REGISTRO PROD. v1'!D:D=B765)),0),
    IFERROR(MAX(FILTER('REGISTRO PROD. v1'!W:W,'REGISTRO PROD. v1'!U:U=B765)),0),
    IFERROR(MAX(FILTER('REGISTRO PROD. v1'!AN:AN,'REGISTRO PROD. v1'!AL:AL=B765)"&amp;"),0),
    IFERROR(MAX(FILTER('REGISTRO PROD. v1'!BE:BE,'REGISTRO PROD. v1'!BC:BC=B765)),0),
    IFERROR(MAX(FILTER('REGISTRO PROD. v1'!BV:BV,'REGISTRO PROD. v1'!BT:BT=B765)),0)
  )=0,
  ""NO"",
  IF(
    MAX(
      IFERROR(MAX(FILTER('REGISTRO PROD. v1'!F"&amp;":F,'REGISTRO PROD. v1'!D:D=B765)),0),
      IFERROR(MAX(FILTER('REGISTRO PROD. v1'!W:W,'REGISTRO PROD. v1'!U:U=B765)),0),
      IFERROR(MAX(FILTER('REGISTRO PROD. v1'!AN:AN,'REGISTRO PROD. v1'!AL:AL=B765)),0),
      IFERROR(MAX(FILTER('REGISTRO PROD. v1'!"&amp;"BE:BE,'REGISTRO PROD. v1'!BC:BC=B765)),0),
      IFERROR(MAX(FILTER('REGISTRO PROD. v1'!BV:BV,'REGISTRO PROD. v1'!BT:BT=B765)),0)
    )&gt;=F765,
    ""SI"",
    ""EN PROCESO""
  )
)
"),"NO")</f>
        <v>NO</v>
      </c>
      <c r="F765" s="132" t="s">
        <v>65</v>
      </c>
    </row>
    <row r="766" spans="2:6" ht="15" x14ac:dyDescent="0.25">
      <c r="B766" s="131">
        <v>763</v>
      </c>
      <c r="C766" s="131">
        <v>2021</v>
      </c>
      <c r="D766" s="131" t="s">
        <v>108</v>
      </c>
      <c r="E766" s="131" t="str">
        <f ca="1">IFERROR(__xludf.DUMMYFUNCTION("IF(
  MAX(
    IFERROR(MAX(FILTER('REGISTRO PROD. v1'!F:F,'REGISTRO PROD. v1'!D:D=B766)),0),
    IFERROR(MAX(FILTER('REGISTRO PROD. v1'!W:W,'REGISTRO PROD. v1'!U:U=B766)),0),
    IFERROR(MAX(FILTER('REGISTRO PROD. v1'!AN:AN,'REGISTRO PROD. v1'!AL:AL=B766)"&amp;"),0),
    IFERROR(MAX(FILTER('REGISTRO PROD. v1'!BE:BE,'REGISTRO PROD. v1'!BC:BC=B766)),0),
    IFERROR(MAX(FILTER('REGISTRO PROD. v1'!BV:BV,'REGISTRO PROD. v1'!BT:BT=B766)),0)
  )=0,
  ""NO"",
  IF(
    MAX(
      IFERROR(MAX(FILTER('REGISTRO PROD. v1'!F"&amp;":F,'REGISTRO PROD. v1'!D:D=B766)),0),
      IFERROR(MAX(FILTER('REGISTRO PROD. v1'!W:W,'REGISTRO PROD. v1'!U:U=B766)),0),
      IFERROR(MAX(FILTER('REGISTRO PROD. v1'!AN:AN,'REGISTRO PROD. v1'!AL:AL=B766)),0),
      IFERROR(MAX(FILTER('REGISTRO PROD. v1'!"&amp;"BE:BE,'REGISTRO PROD. v1'!BC:BC=B766)),0),
      IFERROR(MAX(FILTER('REGISTRO PROD. v1'!BV:BV,'REGISTRO PROD. v1'!BT:BT=B766)),0)
    )&gt;=F766,
    ""SI"",
    ""EN PROCESO""
  )
)
"),"NO")</f>
        <v>NO</v>
      </c>
      <c r="F766" s="132" t="s">
        <v>65</v>
      </c>
    </row>
    <row r="767" spans="2:6" ht="15" x14ac:dyDescent="0.25">
      <c r="B767" s="131">
        <v>764</v>
      </c>
      <c r="C767" s="131">
        <v>2021</v>
      </c>
      <c r="D767" s="131" t="s">
        <v>109</v>
      </c>
      <c r="E767" s="131" t="str">
        <f ca="1">IFERROR(__xludf.DUMMYFUNCTION("IF(
  MAX(
    IFERROR(MAX(FILTER('REGISTRO PROD. v1'!F:F,'REGISTRO PROD. v1'!D:D=B767)),0),
    IFERROR(MAX(FILTER('REGISTRO PROD. v1'!W:W,'REGISTRO PROD. v1'!U:U=B767)),0),
    IFERROR(MAX(FILTER('REGISTRO PROD. v1'!AN:AN,'REGISTRO PROD. v1'!AL:AL=B767)"&amp;"),0),
    IFERROR(MAX(FILTER('REGISTRO PROD. v1'!BE:BE,'REGISTRO PROD. v1'!BC:BC=B767)),0),
    IFERROR(MAX(FILTER('REGISTRO PROD. v1'!BV:BV,'REGISTRO PROD. v1'!BT:BT=B767)),0)
  )=0,
  ""NO"",
  IF(
    MAX(
      IFERROR(MAX(FILTER('REGISTRO PROD. v1'!F"&amp;":F,'REGISTRO PROD. v1'!D:D=B767)),0),
      IFERROR(MAX(FILTER('REGISTRO PROD. v1'!W:W,'REGISTRO PROD. v1'!U:U=B767)),0),
      IFERROR(MAX(FILTER('REGISTRO PROD. v1'!AN:AN,'REGISTRO PROD. v1'!AL:AL=B767)),0),
      IFERROR(MAX(FILTER('REGISTRO PROD. v1'!"&amp;"BE:BE,'REGISTRO PROD. v1'!BC:BC=B767)),0),
      IFERROR(MAX(FILTER('REGISTRO PROD. v1'!BV:BV,'REGISTRO PROD. v1'!BT:BT=B767)),0)
    )&gt;=F767,
    ""SI"",
    ""EN PROCESO""
  )
)
"),"NO")</f>
        <v>NO</v>
      </c>
      <c r="F767" s="132" t="s">
        <v>65</v>
      </c>
    </row>
    <row r="768" spans="2:6" ht="15" x14ac:dyDescent="0.25">
      <c r="B768" s="131">
        <v>765</v>
      </c>
      <c r="C768" s="131">
        <v>2021</v>
      </c>
      <c r="D768" s="131" t="s">
        <v>110</v>
      </c>
      <c r="E768" s="131" t="str">
        <f ca="1">IFERROR(__xludf.DUMMYFUNCTION("IF(
  MAX(
    IFERROR(MAX(FILTER('REGISTRO PROD. v1'!F:F,'REGISTRO PROD. v1'!D:D=B768)),0),
    IFERROR(MAX(FILTER('REGISTRO PROD. v1'!W:W,'REGISTRO PROD. v1'!U:U=B768)),0),
    IFERROR(MAX(FILTER('REGISTRO PROD. v1'!AN:AN,'REGISTRO PROD. v1'!AL:AL=B768)"&amp;"),0),
    IFERROR(MAX(FILTER('REGISTRO PROD. v1'!BE:BE,'REGISTRO PROD. v1'!BC:BC=B768)),0),
    IFERROR(MAX(FILTER('REGISTRO PROD. v1'!BV:BV,'REGISTRO PROD. v1'!BT:BT=B768)),0)
  )=0,
  ""NO"",
  IF(
    MAX(
      IFERROR(MAX(FILTER('REGISTRO PROD. v1'!F"&amp;":F,'REGISTRO PROD. v1'!D:D=B768)),0),
      IFERROR(MAX(FILTER('REGISTRO PROD. v1'!W:W,'REGISTRO PROD. v1'!U:U=B768)),0),
      IFERROR(MAX(FILTER('REGISTRO PROD. v1'!AN:AN,'REGISTRO PROD. v1'!AL:AL=B768)),0),
      IFERROR(MAX(FILTER('REGISTRO PROD. v1'!"&amp;"BE:BE,'REGISTRO PROD. v1'!BC:BC=B768)),0),
      IFERROR(MAX(FILTER('REGISTRO PROD. v1'!BV:BV,'REGISTRO PROD. v1'!BT:BT=B768)),0)
    )&gt;=F768,
    ""SI"",
    ""EN PROCESO""
  )
)
"),"NO")</f>
        <v>NO</v>
      </c>
      <c r="F768" s="132" t="s">
        <v>65</v>
      </c>
    </row>
    <row r="769" spans="2:6" ht="15" x14ac:dyDescent="0.25">
      <c r="B769" s="131">
        <v>766</v>
      </c>
      <c r="C769" s="131">
        <v>2021</v>
      </c>
      <c r="D769" s="131" t="s">
        <v>111</v>
      </c>
      <c r="E769" s="131" t="str">
        <f ca="1">IFERROR(__xludf.DUMMYFUNCTION("IF(
  MAX(
    IFERROR(MAX(FILTER('REGISTRO PROD. v1'!F:F,'REGISTRO PROD. v1'!D:D=B769)),0),
    IFERROR(MAX(FILTER('REGISTRO PROD. v1'!W:W,'REGISTRO PROD. v1'!U:U=B769)),0),
    IFERROR(MAX(FILTER('REGISTRO PROD. v1'!AN:AN,'REGISTRO PROD. v1'!AL:AL=B769)"&amp;"),0),
    IFERROR(MAX(FILTER('REGISTRO PROD. v1'!BE:BE,'REGISTRO PROD. v1'!BC:BC=B769)),0),
    IFERROR(MAX(FILTER('REGISTRO PROD. v1'!BV:BV,'REGISTRO PROD. v1'!BT:BT=B769)),0)
  )=0,
  ""NO"",
  IF(
    MAX(
      IFERROR(MAX(FILTER('REGISTRO PROD. v1'!F"&amp;":F,'REGISTRO PROD. v1'!D:D=B769)),0),
      IFERROR(MAX(FILTER('REGISTRO PROD. v1'!W:W,'REGISTRO PROD. v1'!U:U=B769)),0),
      IFERROR(MAX(FILTER('REGISTRO PROD. v1'!AN:AN,'REGISTRO PROD. v1'!AL:AL=B769)),0),
      IFERROR(MAX(FILTER('REGISTRO PROD. v1'!"&amp;"BE:BE,'REGISTRO PROD. v1'!BC:BC=B769)),0),
      IFERROR(MAX(FILTER('REGISTRO PROD. v1'!BV:BV,'REGISTRO PROD. v1'!BT:BT=B769)),0)
    )&gt;=F769,
    ""SI"",
    ""EN PROCESO""
  )
)
"),"NO")</f>
        <v>NO</v>
      </c>
      <c r="F769" s="132" t="s">
        <v>65</v>
      </c>
    </row>
    <row r="770" spans="2:6" ht="15" x14ac:dyDescent="0.25">
      <c r="B770" s="131">
        <v>767</v>
      </c>
      <c r="C770" s="131">
        <v>2021</v>
      </c>
      <c r="D770" s="131" t="s">
        <v>112</v>
      </c>
      <c r="E770" s="131" t="str">
        <f ca="1">IFERROR(__xludf.DUMMYFUNCTION("IF(
  MAX(
    IFERROR(MAX(FILTER('REGISTRO PROD. v1'!F:F,'REGISTRO PROD. v1'!D:D=B770)),0),
    IFERROR(MAX(FILTER('REGISTRO PROD. v1'!W:W,'REGISTRO PROD. v1'!U:U=B770)),0),
    IFERROR(MAX(FILTER('REGISTRO PROD. v1'!AN:AN,'REGISTRO PROD. v1'!AL:AL=B770)"&amp;"),0),
    IFERROR(MAX(FILTER('REGISTRO PROD. v1'!BE:BE,'REGISTRO PROD. v1'!BC:BC=B770)),0),
    IFERROR(MAX(FILTER('REGISTRO PROD. v1'!BV:BV,'REGISTRO PROD. v1'!BT:BT=B770)),0)
  )=0,
  ""NO"",
  IF(
    MAX(
      IFERROR(MAX(FILTER('REGISTRO PROD. v1'!F"&amp;":F,'REGISTRO PROD. v1'!D:D=B770)),0),
      IFERROR(MAX(FILTER('REGISTRO PROD. v1'!W:W,'REGISTRO PROD. v1'!U:U=B770)),0),
      IFERROR(MAX(FILTER('REGISTRO PROD. v1'!AN:AN,'REGISTRO PROD. v1'!AL:AL=B770)),0),
      IFERROR(MAX(FILTER('REGISTRO PROD. v1'!"&amp;"BE:BE,'REGISTRO PROD. v1'!BC:BC=B770)),0),
      IFERROR(MAX(FILTER('REGISTRO PROD. v1'!BV:BV,'REGISTRO PROD. v1'!BT:BT=B770)),0)
    )&gt;=F770,
    ""SI"",
    ""EN PROCESO""
  )
)
"),"NO")</f>
        <v>NO</v>
      </c>
      <c r="F770" s="132" t="s">
        <v>65</v>
      </c>
    </row>
    <row r="771" spans="2:6" ht="15" x14ac:dyDescent="0.25">
      <c r="B771" s="131">
        <v>768</v>
      </c>
      <c r="C771" s="131">
        <v>2021</v>
      </c>
      <c r="D771" s="131" t="s">
        <v>113</v>
      </c>
      <c r="E771" s="131" t="str">
        <f ca="1">IFERROR(__xludf.DUMMYFUNCTION("IF(
  MAX(
    IFERROR(MAX(FILTER('REGISTRO PROD. v1'!F:F,'REGISTRO PROD. v1'!D:D=B771)),0),
    IFERROR(MAX(FILTER('REGISTRO PROD. v1'!W:W,'REGISTRO PROD. v1'!U:U=B771)),0),
    IFERROR(MAX(FILTER('REGISTRO PROD. v1'!AN:AN,'REGISTRO PROD. v1'!AL:AL=B771)"&amp;"),0),
    IFERROR(MAX(FILTER('REGISTRO PROD. v1'!BE:BE,'REGISTRO PROD. v1'!BC:BC=B771)),0),
    IFERROR(MAX(FILTER('REGISTRO PROD. v1'!BV:BV,'REGISTRO PROD. v1'!BT:BT=B771)),0)
  )=0,
  ""NO"",
  IF(
    MAX(
      IFERROR(MAX(FILTER('REGISTRO PROD. v1'!F"&amp;":F,'REGISTRO PROD. v1'!D:D=B771)),0),
      IFERROR(MAX(FILTER('REGISTRO PROD. v1'!W:W,'REGISTRO PROD. v1'!U:U=B771)),0),
      IFERROR(MAX(FILTER('REGISTRO PROD. v1'!AN:AN,'REGISTRO PROD. v1'!AL:AL=B771)),0),
      IFERROR(MAX(FILTER('REGISTRO PROD. v1'!"&amp;"BE:BE,'REGISTRO PROD. v1'!BC:BC=B771)),0),
      IFERROR(MAX(FILTER('REGISTRO PROD. v1'!BV:BV,'REGISTRO PROD. v1'!BT:BT=B771)),0)
    )&gt;=F771,
    ""SI"",
    ""EN PROCESO""
  )
)
"),"NO")</f>
        <v>NO</v>
      </c>
      <c r="F771" s="132" t="s">
        <v>65</v>
      </c>
    </row>
    <row r="772" spans="2:6" ht="15" x14ac:dyDescent="0.25">
      <c r="B772" s="131">
        <v>769</v>
      </c>
      <c r="C772" s="131">
        <v>2021</v>
      </c>
      <c r="D772" s="131" t="s">
        <v>114</v>
      </c>
      <c r="E772" s="131" t="str">
        <f ca="1">IFERROR(__xludf.DUMMYFUNCTION("IF(
  MAX(
    IFERROR(MAX(FILTER('REGISTRO PROD. v1'!F:F,'REGISTRO PROD. v1'!D:D=B772)),0),
    IFERROR(MAX(FILTER('REGISTRO PROD. v1'!W:W,'REGISTRO PROD. v1'!U:U=B772)),0),
    IFERROR(MAX(FILTER('REGISTRO PROD. v1'!AN:AN,'REGISTRO PROD. v1'!AL:AL=B772)"&amp;"),0),
    IFERROR(MAX(FILTER('REGISTRO PROD. v1'!BE:BE,'REGISTRO PROD. v1'!BC:BC=B772)),0),
    IFERROR(MAX(FILTER('REGISTRO PROD. v1'!BV:BV,'REGISTRO PROD. v1'!BT:BT=B772)),0)
  )=0,
  ""NO"",
  IF(
    MAX(
      IFERROR(MAX(FILTER('REGISTRO PROD. v1'!F"&amp;":F,'REGISTRO PROD. v1'!D:D=B772)),0),
      IFERROR(MAX(FILTER('REGISTRO PROD. v1'!W:W,'REGISTRO PROD. v1'!U:U=B772)),0),
      IFERROR(MAX(FILTER('REGISTRO PROD. v1'!AN:AN,'REGISTRO PROD. v1'!AL:AL=B772)),0),
      IFERROR(MAX(FILTER('REGISTRO PROD. v1'!"&amp;"BE:BE,'REGISTRO PROD. v1'!BC:BC=B772)),0),
      IFERROR(MAX(FILTER('REGISTRO PROD. v1'!BV:BV,'REGISTRO PROD. v1'!BT:BT=B772)),0)
    )&gt;=F772,
    ""SI"",
    ""EN PROCESO""
  )
)
"),"NO")</f>
        <v>NO</v>
      </c>
      <c r="F772" s="132" t="s">
        <v>65</v>
      </c>
    </row>
    <row r="773" spans="2:6" ht="15" x14ac:dyDescent="0.25">
      <c r="B773" s="131">
        <v>770</v>
      </c>
      <c r="C773" s="131">
        <v>2021</v>
      </c>
      <c r="D773" s="131" t="s">
        <v>115</v>
      </c>
      <c r="E773" s="131" t="str">
        <f ca="1">IFERROR(__xludf.DUMMYFUNCTION("IF(
  MAX(
    IFERROR(MAX(FILTER('REGISTRO PROD. v1'!F:F,'REGISTRO PROD. v1'!D:D=B773)),0),
    IFERROR(MAX(FILTER('REGISTRO PROD. v1'!W:W,'REGISTRO PROD. v1'!U:U=B773)),0),
    IFERROR(MAX(FILTER('REGISTRO PROD. v1'!AN:AN,'REGISTRO PROD. v1'!AL:AL=B773)"&amp;"),0),
    IFERROR(MAX(FILTER('REGISTRO PROD. v1'!BE:BE,'REGISTRO PROD. v1'!BC:BC=B773)),0),
    IFERROR(MAX(FILTER('REGISTRO PROD. v1'!BV:BV,'REGISTRO PROD. v1'!BT:BT=B773)),0)
  )=0,
  ""NO"",
  IF(
    MAX(
      IFERROR(MAX(FILTER('REGISTRO PROD. v1'!F"&amp;":F,'REGISTRO PROD. v1'!D:D=B773)),0),
      IFERROR(MAX(FILTER('REGISTRO PROD. v1'!W:W,'REGISTRO PROD. v1'!U:U=B773)),0),
      IFERROR(MAX(FILTER('REGISTRO PROD. v1'!AN:AN,'REGISTRO PROD. v1'!AL:AL=B773)),0),
      IFERROR(MAX(FILTER('REGISTRO PROD. v1'!"&amp;"BE:BE,'REGISTRO PROD. v1'!BC:BC=B773)),0),
      IFERROR(MAX(FILTER('REGISTRO PROD. v1'!BV:BV,'REGISTRO PROD. v1'!BT:BT=B773)),0)
    )&gt;=F773,
    ""SI"",
    ""EN PROCESO""
  )
)
"),"NO")</f>
        <v>NO</v>
      </c>
      <c r="F773" s="132" t="s">
        <v>65</v>
      </c>
    </row>
    <row r="774" spans="2:6" ht="15" x14ac:dyDescent="0.25">
      <c r="B774" s="131">
        <v>771</v>
      </c>
      <c r="C774" s="131">
        <v>2021</v>
      </c>
      <c r="D774" s="131" t="s">
        <v>184</v>
      </c>
      <c r="E774" s="131" t="str">
        <f ca="1">IFERROR(__xludf.DUMMYFUNCTION("IF(
  MAX(
    IFERROR(MAX(FILTER('REGISTRO PROD. v1'!F:F,'REGISTRO PROD. v1'!D:D=B774)),0),
    IFERROR(MAX(FILTER('REGISTRO PROD. v1'!W:W,'REGISTRO PROD. v1'!U:U=B774)),0),
    IFERROR(MAX(FILTER('REGISTRO PROD. v1'!AN:AN,'REGISTRO PROD. v1'!AL:AL=B774)"&amp;"),0),
    IFERROR(MAX(FILTER('REGISTRO PROD. v1'!BE:BE,'REGISTRO PROD. v1'!BC:BC=B774)),0),
    IFERROR(MAX(FILTER('REGISTRO PROD. v1'!BV:BV,'REGISTRO PROD. v1'!BT:BT=B774)),0)
  )=0,
  ""NO"",
  IF(
    MAX(
      IFERROR(MAX(FILTER('REGISTRO PROD. v1'!F"&amp;":F,'REGISTRO PROD. v1'!D:D=B774)),0),
      IFERROR(MAX(FILTER('REGISTRO PROD. v1'!W:W,'REGISTRO PROD. v1'!U:U=B774)),0),
      IFERROR(MAX(FILTER('REGISTRO PROD. v1'!AN:AN,'REGISTRO PROD. v1'!AL:AL=B774)),0),
      IFERROR(MAX(FILTER('REGISTRO PROD. v1'!"&amp;"BE:BE,'REGISTRO PROD. v1'!BC:BC=B774)),0),
      IFERROR(MAX(FILTER('REGISTRO PROD. v1'!BV:BV,'REGISTRO PROD. v1'!BT:BT=B774)),0)
    )&gt;=F774,
    ""SI"",
    ""EN PROCESO""
  )
)
"),"NO")</f>
        <v>NO</v>
      </c>
      <c r="F774" s="132" t="s">
        <v>65</v>
      </c>
    </row>
    <row r="775" spans="2:6" ht="15" x14ac:dyDescent="0.25">
      <c r="B775" s="131">
        <v>772</v>
      </c>
      <c r="C775" s="131">
        <v>2022</v>
      </c>
      <c r="D775" s="131" t="s">
        <v>64</v>
      </c>
      <c r="E775" s="131" t="str">
        <f ca="1">IFERROR(__xludf.DUMMYFUNCTION("IF(
  MAX(
    IFERROR(MAX(FILTER('REGISTRO PROD. v1'!F:F,'REGISTRO PROD. v1'!D:D=B775)),0),
    IFERROR(MAX(FILTER('REGISTRO PROD. v1'!W:W,'REGISTRO PROD. v1'!U:U=B775)),0),
    IFERROR(MAX(FILTER('REGISTRO PROD. v1'!AN:AN,'REGISTRO PROD. v1'!AL:AL=B775)"&amp;"),0),
    IFERROR(MAX(FILTER('REGISTRO PROD. v1'!BE:BE,'REGISTRO PROD. v1'!BC:BC=B775)),0),
    IFERROR(MAX(FILTER('REGISTRO PROD. v1'!BV:BV,'REGISTRO PROD. v1'!BT:BT=B775)),0)
  )=0,
  ""NO"",
  IF(
    MAX(
      IFERROR(MAX(FILTER('REGISTRO PROD. v1'!F"&amp;":F,'REGISTRO PROD. v1'!D:D=B775)),0),
      IFERROR(MAX(FILTER('REGISTRO PROD. v1'!W:W,'REGISTRO PROD. v1'!U:U=B775)),0),
      IFERROR(MAX(FILTER('REGISTRO PROD. v1'!AN:AN,'REGISTRO PROD. v1'!AL:AL=B775)),0),
      IFERROR(MAX(FILTER('REGISTRO PROD. v1'!"&amp;"BE:BE,'REGISTRO PROD. v1'!BC:BC=B775)),0),
      IFERROR(MAX(FILTER('REGISTRO PROD. v1'!BV:BV,'REGISTRO PROD. v1'!BT:BT=B775)),0)
    )&gt;=F775,
    ""SI"",
    ""EN PROCESO""
  )
)
"),"NO")</f>
        <v>NO</v>
      </c>
      <c r="F775" s="132" t="s">
        <v>65</v>
      </c>
    </row>
    <row r="776" spans="2:6" ht="15" x14ac:dyDescent="0.25">
      <c r="B776" s="131">
        <v>773</v>
      </c>
      <c r="C776" s="131">
        <v>2022</v>
      </c>
      <c r="D776" s="131" t="s">
        <v>66</v>
      </c>
      <c r="E776" s="131" t="str">
        <f ca="1">IFERROR(__xludf.DUMMYFUNCTION("IF(
  MAX(
    IFERROR(MAX(FILTER('REGISTRO PROD. v1'!F:F,'REGISTRO PROD. v1'!D:D=B776)),0),
    IFERROR(MAX(FILTER('REGISTRO PROD. v1'!W:W,'REGISTRO PROD. v1'!U:U=B776)),0),
    IFERROR(MAX(FILTER('REGISTRO PROD. v1'!AN:AN,'REGISTRO PROD. v1'!AL:AL=B776)"&amp;"),0),
    IFERROR(MAX(FILTER('REGISTRO PROD. v1'!BE:BE,'REGISTRO PROD. v1'!BC:BC=B776)),0),
    IFERROR(MAX(FILTER('REGISTRO PROD. v1'!BV:BV,'REGISTRO PROD. v1'!BT:BT=B776)),0)
  )=0,
  ""NO"",
  IF(
    MAX(
      IFERROR(MAX(FILTER('REGISTRO PROD. v1'!F"&amp;":F,'REGISTRO PROD. v1'!D:D=B776)),0),
      IFERROR(MAX(FILTER('REGISTRO PROD. v1'!W:W,'REGISTRO PROD. v1'!U:U=B776)),0),
      IFERROR(MAX(FILTER('REGISTRO PROD. v1'!AN:AN,'REGISTRO PROD. v1'!AL:AL=B776)),0),
      IFERROR(MAX(FILTER('REGISTRO PROD. v1'!"&amp;"BE:BE,'REGISTRO PROD. v1'!BC:BC=B776)),0),
      IFERROR(MAX(FILTER('REGISTRO PROD. v1'!BV:BV,'REGISTRO PROD. v1'!BT:BT=B776)),0)
    )&gt;=F776,
    ""SI"",
    ""EN PROCESO""
  )
)
"),"NO")</f>
        <v>NO</v>
      </c>
      <c r="F776" s="132" t="s">
        <v>65</v>
      </c>
    </row>
    <row r="777" spans="2:6" ht="15" x14ac:dyDescent="0.25">
      <c r="B777" s="131">
        <v>774</v>
      </c>
      <c r="C777" s="131">
        <v>2022</v>
      </c>
      <c r="D777" s="131" t="s">
        <v>67</v>
      </c>
      <c r="E777" s="131" t="str">
        <f ca="1">IFERROR(__xludf.DUMMYFUNCTION("IF(
  MAX(
    IFERROR(MAX(FILTER('REGISTRO PROD. v1'!F:F,'REGISTRO PROD. v1'!D:D=B777)),0),
    IFERROR(MAX(FILTER('REGISTRO PROD. v1'!W:W,'REGISTRO PROD. v1'!U:U=B777)),0),
    IFERROR(MAX(FILTER('REGISTRO PROD. v1'!AN:AN,'REGISTRO PROD. v1'!AL:AL=B777)"&amp;"),0),
    IFERROR(MAX(FILTER('REGISTRO PROD. v1'!BE:BE,'REGISTRO PROD. v1'!BC:BC=B777)),0),
    IFERROR(MAX(FILTER('REGISTRO PROD. v1'!BV:BV,'REGISTRO PROD. v1'!BT:BT=B777)),0)
  )=0,
  ""NO"",
  IF(
    MAX(
      IFERROR(MAX(FILTER('REGISTRO PROD. v1'!F"&amp;":F,'REGISTRO PROD. v1'!D:D=B777)),0),
      IFERROR(MAX(FILTER('REGISTRO PROD. v1'!W:W,'REGISTRO PROD. v1'!U:U=B777)),0),
      IFERROR(MAX(FILTER('REGISTRO PROD. v1'!AN:AN,'REGISTRO PROD. v1'!AL:AL=B777)),0),
      IFERROR(MAX(FILTER('REGISTRO PROD. v1'!"&amp;"BE:BE,'REGISTRO PROD. v1'!BC:BC=B777)),0),
      IFERROR(MAX(FILTER('REGISTRO PROD. v1'!BV:BV,'REGISTRO PROD. v1'!BT:BT=B777)),0)
    )&gt;=F777,
    ""SI"",
    ""EN PROCESO""
  )
)
"),"NO")</f>
        <v>NO</v>
      </c>
      <c r="F777" s="132" t="s">
        <v>65</v>
      </c>
    </row>
    <row r="778" spans="2:6" ht="15" x14ac:dyDescent="0.25">
      <c r="B778" s="131">
        <v>775</v>
      </c>
      <c r="C778" s="131">
        <v>2022</v>
      </c>
      <c r="D778" s="131" t="s">
        <v>68</v>
      </c>
      <c r="E778" s="131" t="str">
        <f ca="1">IFERROR(__xludf.DUMMYFUNCTION("IF(
  MAX(
    IFERROR(MAX(FILTER('REGISTRO PROD. v1'!F:F,'REGISTRO PROD. v1'!D:D=B778)),0),
    IFERROR(MAX(FILTER('REGISTRO PROD. v1'!W:W,'REGISTRO PROD. v1'!U:U=B778)),0),
    IFERROR(MAX(FILTER('REGISTRO PROD. v1'!AN:AN,'REGISTRO PROD. v1'!AL:AL=B778)"&amp;"),0),
    IFERROR(MAX(FILTER('REGISTRO PROD. v1'!BE:BE,'REGISTRO PROD. v1'!BC:BC=B778)),0),
    IFERROR(MAX(FILTER('REGISTRO PROD. v1'!BV:BV,'REGISTRO PROD. v1'!BT:BT=B778)),0)
  )=0,
  ""NO"",
  IF(
    MAX(
      IFERROR(MAX(FILTER('REGISTRO PROD. v1'!F"&amp;":F,'REGISTRO PROD. v1'!D:D=B778)),0),
      IFERROR(MAX(FILTER('REGISTRO PROD. v1'!W:W,'REGISTRO PROD. v1'!U:U=B778)),0),
      IFERROR(MAX(FILTER('REGISTRO PROD. v1'!AN:AN,'REGISTRO PROD. v1'!AL:AL=B778)),0),
      IFERROR(MAX(FILTER('REGISTRO PROD. v1'!"&amp;"BE:BE,'REGISTRO PROD. v1'!BC:BC=B778)),0),
      IFERROR(MAX(FILTER('REGISTRO PROD. v1'!BV:BV,'REGISTRO PROD. v1'!BT:BT=B778)),0)
    )&gt;=F778,
    ""SI"",
    ""EN PROCESO""
  )
)
"),"NO")</f>
        <v>NO</v>
      </c>
      <c r="F778" s="132" t="s">
        <v>65</v>
      </c>
    </row>
    <row r="779" spans="2:6" ht="15" x14ac:dyDescent="0.25">
      <c r="B779" s="131">
        <v>776</v>
      </c>
      <c r="C779" s="131">
        <v>2022</v>
      </c>
      <c r="D779" s="131" t="s">
        <v>69</v>
      </c>
      <c r="E779" s="131" t="str">
        <f ca="1">IFERROR(__xludf.DUMMYFUNCTION("IF(
  MAX(
    IFERROR(MAX(FILTER('REGISTRO PROD. v1'!F:F,'REGISTRO PROD. v1'!D:D=B779)),0),
    IFERROR(MAX(FILTER('REGISTRO PROD. v1'!W:W,'REGISTRO PROD. v1'!U:U=B779)),0),
    IFERROR(MAX(FILTER('REGISTRO PROD. v1'!AN:AN,'REGISTRO PROD. v1'!AL:AL=B779)"&amp;"),0),
    IFERROR(MAX(FILTER('REGISTRO PROD. v1'!BE:BE,'REGISTRO PROD. v1'!BC:BC=B779)),0),
    IFERROR(MAX(FILTER('REGISTRO PROD. v1'!BV:BV,'REGISTRO PROD. v1'!BT:BT=B779)),0)
  )=0,
  ""NO"",
  IF(
    MAX(
      IFERROR(MAX(FILTER('REGISTRO PROD. v1'!F"&amp;":F,'REGISTRO PROD. v1'!D:D=B779)),0),
      IFERROR(MAX(FILTER('REGISTRO PROD. v1'!W:W,'REGISTRO PROD. v1'!U:U=B779)),0),
      IFERROR(MAX(FILTER('REGISTRO PROD. v1'!AN:AN,'REGISTRO PROD. v1'!AL:AL=B779)),0),
      IFERROR(MAX(FILTER('REGISTRO PROD. v1'!"&amp;"BE:BE,'REGISTRO PROD. v1'!BC:BC=B779)),0),
      IFERROR(MAX(FILTER('REGISTRO PROD. v1'!BV:BV,'REGISTRO PROD. v1'!BT:BT=B779)),0)
    )&gt;=F779,
    ""SI"",
    ""EN PROCESO""
  )
)
"),"NO")</f>
        <v>NO</v>
      </c>
      <c r="F779" s="132" t="s">
        <v>65</v>
      </c>
    </row>
    <row r="780" spans="2:6" ht="15" x14ac:dyDescent="0.25">
      <c r="B780" s="131">
        <v>777</v>
      </c>
      <c r="C780" s="131">
        <v>2022</v>
      </c>
      <c r="D780" s="131" t="s">
        <v>70</v>
      </c>
      <c r="E780" s="131" t="str">
        <f ca="1">IFERROR(__xludf.DUMMYFUNCTION("IF(
  MAX(
    IFERROR(MAX(FILTER('REGISTRO PROD. v1'!F:F,'REGISTRO PROD. v1'!D:D=B780)),0),
    IFERROR(MAX(FILTER('REGISTRO PROD. v1'!W:W,'REGISTRO PROD. v1'!U:U=B780)),0),
    IFERROR(MAX(FILTER('REGISTRO PROD. v1'!AN:AN,'REGISTRO PROD. v1'!AL:AL=B780)"&amp;"),0),
    IFERROR(MAX(FILTER('REGISTRO PROD. v1'!BE:BE,'REGISTRO PROD. v1'!BC:BC=B780)),0),
    IFERROR(MAX(FILTER('REGISTRO PROD. v1'!BV:BV,'REGISTRO PROD. v1'!BT:BT=B780)),0)
  )=0,
  ""NO"",
  IF(
    MAX(
      IFERROR(MAX(FILTER('REGISTRO PROD. v1'!F"&amp;":F,'REGISTRO PROD. v1'!D:D=B780)),0),
      IFERROR(MAX(FILTER('REGISTRO PROD. v1'!W:W,'REGISTRO PROD. v1'!U:U=B780)),0),
      IFERROR(MAX(FILTER('REGISTRO PROD. v1'!AN:AN,'REGISTRO PROD. v1'!AL:AL=B780)),0),
      IFERROR(MAX(FILTER('REGISTRO PROD. v1'!"&amp;"BE:BE,'REGISTRO PROD. v1'!BC:BC=B780)),0),
      IFERROR(MAX(FILTER('REGISTRO PROD. v1'!BV:BV,'REGISTRO PROD. v1'!BT:BT=B780)),0)
    )&gt;=F780,
    ""SI"",
    ""EN PROCESO""
  )
)
"),"NO")</f>
        <v>NO</v>
      </c>
      <c r="F780" s="132" t="s">
        <v>65</v>
      </c>
    </row>
    <row r="781" spans="2:6" ht="15" x14ac:dyDescent="0.25">
      <c r="B781" s="131">
        <v>778</v>
      </c>
      <c r="C781" s="131">
        <v>2022</v>
      </c>
      <c r="D781" s="131" t="s">
        <v>97</v>
      </c>
      <c r="E781" s="131" t="str">
        <f ca="1">IFERROR(__xludf.DUMMYFUNCTION("IF(
  MAX(
    IFERROR(MAX(FILTER('REGISTRO PROD. v1'!F:F,'REGISTRO PROD. v1'!D:D=B781)),0),
    IFERROR(MAX(FILTER('REGISTRO PROD. v1'!W:W,'REGISTRO PROD. v1'!U:U=B781)),0),
    IFERROR(MAX(FILTER('REGISTRO PROD. v1'!AN:AN,'REGISTRO PROD. v1'!AL:AL=B781)"&amp;"),0),
    IFERROR(MAX(FILTER('REGISTRO PROD. v1'!BE:BE,'REGISTRO PROD. v1'!BC:BC=B781)),0),
    IFERROR(MAX(FILTER('REGISTRO PROD. v1'!BV:BV,'REGISTRO PROD. v1'!BT:BT=B781)),0)
  )=0,
  ""NO"",
  IF(
    MAX(
      IFERROR(MAX(FILTER('REGISTRO PROD. v1'!F"&amp;":F,'REGISTRO PROD. v1'!D:D=B781)),0),
      IFERROR(MAX(FILTER('REGISTRO PROD. v1'!W:W,'REGISTRO PROD. v1'!U:U=B781)),0),
      IFERROR(MAX(FILTER('REGISTRO PROD. v1'!AN:AN,'REGISTRO PROD. v1'!AL:AL=B781)),0),
      IFERROR(MAX(FILTER('REGISTRO PROD. v1'!"&amp;"BE:BE,'REGISTRO PROD. v1'!BC:BC=B781)),0),
      IFERROR(MAX(FILTER('REGISTRO PROD. v1'!BV:BV,'REGISTRO PROD. v1'!BT:BT=B781)),0)
    )&gt;=F781,
    ""SI"",
    ""EN PROCESO""
  )
)
"),"NO")</f>
        <v>NO</v>
      </c>
      <c r="F781" s="132" t="s">
        <v>65</v>
      </c>
    </row>
    <row r="782" spans="2:6" ht="15" x14ac:dyDescent="0.25">
      <c r="B782" s="131">
        <v>779</v>
      </c>
      <c r="C782" s="131">
        <v>2022</v>
      </c>
      <c r="D782" s="131" t="s">
        <v>98</v>
      </c>
      <c r="E782" s="131" t="str">
        <f ca="1">IFERROR(__xludf.DUMMYFUNCTION("IF(
  MAX(
    IFERROR(MAX(FILTER('REGISTRO PROD. v1'!F:F,'REGISTRO PROD. v1'!D:D=B782)),0),
    IFERROR(MAX(FILTER('REGISTRO PROD. v1'!W:W,'REGISTRO PROD. v1'!U:U=B782)),0),
    IFERROR(MAX(FILTER('REGISTRO PROD. v1'!AN:AN,'REGISTRO PROD. v1'!AL:AL=B782)"&amp;"),0),
    IFERROR(MAX(FILTER('REGISTRO PROD. v1'!BE:BE,'REGISTRO PROD. v1'!BC:BC=B782)),0),
    IFERROR(MAX(FILTER('REGISTRO PROD. v1'!BV:BV,'REGISTRO PROD. v1'!BT:BT=B782)),0)
  )=0,
  ""NO"",
  IF(
    MAX(
      IFERROR(MAX(FILTER('REGISTRO PROD. v1'!F"&amp;":F,'REGISTRO PROD. v1'!D:D=B782)),0),
      IFERROR(MAX(FILTER('REGISTRO PROD. v1'!W:W,'REGISTRO PROD. v1'!U:U=B782)),0),
      IFERROR(MAX(FILTER('REGISTRO PROD. v1'!AN:AN,'REGISTRO PROD. v1'!AL:AL=B782)),0),
      IFERROR(MAX(FILTER('REGISTRO PROD. v1'!"&amp;"BE:BE,'REGISTRO PROD. v1'!BC:BC=B782)),0),
      IFERROR(MAX(FILTER('REGISTRO PROD. v1'!BV:BV,'REGISTRO PROD. v1'!BT:BT=B782)),0)
    )&gt;=F782,
    ""SI"",
    ""EN PROCESO""
  )
)
"),"NO")</f>
        <v>NO</v>
      </c>
      <c r="F782" s="132" t="s">
        <v>65</v>
      </c>
    </row>
    <row r="783" spans="2:6" ht="15" x14ac:dyDescent="0.25">
      <c r="B783" s="131">
        <v>780</v>
      </c>
      <c r="C783" s="131">
        <v>2022</v>
      </c>
      <c r="D783" s="131" t="s">
        <v>99</v>
      </c>
      <c r="E783" s="131" t="str">
        <f ca="1">IFERROR(__xludf.DUMMYFUNCTION("IF(
  MAX(
    IFERROR(MAX(FILTER('REGISTRO PROD. v1'!F:F,'REGISTRO PROD. v1'!D:D=B783)),0),
    IFERROR(MAX(FILTER('REGISTRO PROD. v1'!W:W,'REGISTRO PROD. v1'!U:U=B783)),0),
    IFERROR(MAX(FILTER('REGISTRO PROD. v1'!AN:AN,'REGISTRO PROD. v1'!AL:AL=B783)"&amp;"),0),
    IFERROR(MAX(FILTER('REGISTRO PROD. v1'!BE:BE,'REGISTRO PROD. v1'!BC:BC=B783)),0),
    IFERROR(MAX(FILTER('REGISTRO PROD. v1'!BV:BV,'REGISTRO PROD. v1'!BT:BT=B783)),0)
  )=0,
  ""NO"",
  IF(
    MAX(
      IFERROR(MAX(FILTER('REGISTRO PROD. v1'!F"&amp;":F,'REGISTRO PROD. v1'!D:D=B783)),0),
      IFERROR(MAX(FILTER('REGISTRO PROD. v1'!W:W,'REGISTRO PROD. v1'!U:U=B783)),0),
      IFERROR(MAX(FILTER('REGISTRO PROD. v1'!AN:AN,'REGISTRO PROD. v1'!AL:AL=B783)),0),
      IFERROR(MAX(FILTER('REGISTRO PROD. v1'!"&amp;"BE:BE,'REGISTRO PROD. v1'!BC:BC=B783)),0),
      IFERROR(MAX(FILTER('REGISTRO PROD. v1'!BV:BV,'REGISTRO PROD. v1'!BT:BT=B783)),0)
    )&gt;=F783,
    ""SI"",
    ""EN PROCESO""
  )
)
"),"NO")</f>
        <v>NO</v>
      </c>
      <c r="F783" s="132" t="s">
        <v>65</v>
      </c>
    </row>
    <row r="784" spans="2:6" ht="15" x14ac:dyDescent="0.25">
      <c r="B784" s="131">
        <v>781</v>
      </c>
      <c r="C784" s="131">
        <v>2022</v>
      </c>
      <c r="D784" s="131" t="s">
        <v>100</v>
      </c>
      <c r="E784" s="131" t="str">
        <f ca="1">IFERROR(__xludf.DUMMYFUNCTION("IF(
  MAX(
    IFERROR(MAX(FILTER('REGISTRO PROD. v1'!F:F,'REGISTRO PROD. v1'!D:D=B784)),0),
    IFERROR(MAX(FILTER('REGISTRO PROD. v1'!W:W,'REGISTRO PROD. v1'!U:U=B784)),0),
    IFERROR(MAX(FILTER('REGISTRO PROD. v1'!AN:AN,'REGISTRO PROD. v1'!AL:AL=B784)"&amp;"),0),
    IFERROR(MAX(FILTER('REGISTRO PROD. v1'!BE:BE,'REGISTRO PROD. v1'!BC:BC=B784)),0),
    IFERROR(MAX(FILTER('REGISTRO PROD. v1'!BV:BV,'REGISTRO PROD. v1'!BT:BT=B784)),0)
  )=0,
  ""NO"",
  IF(
    MAX(
      IFERROR(MAX(FILTER('REGISTRO PROD. v1'!F"&amp;":F,'REGISTRO PROD. v1'!D:D=B784)),0),
      IFERROR(MAX(FILTER('REGISTRO PROD. v1'!W:W,'REGISTRO PROD. v1'!U:U=B784)),0),
      IFERROR(MAX(FILTER('REGISTRO PROD. v1'!AN:AN,'REGISTRO PROD. v1'!AL:AL=B784)),0),
      IFERROR(MAX(FILTER('REGISTRO PROD. v1'!"&amp;"BE:BE,'REGISTRO PROD. v1'!BC:BC=B784)),0),
      IFERROR(MAX(FILTER('REGISTRO PROD. v1'!BV:BV,'REGISTRO PROD. v1'!BT:BT=B784)),0)
    )&gt;=F784,
    ""SI"",
    ""EN PROCESO""
  )
)
"),"NO")</f>
        <v>NO</v>
      </c>
      <c r="F784" s="132" t="s">
        <v>65</v>
      </c>
    </row>
    <row r="785" spans="2:6" ht="15" x14ac:dyDescent="0.25">
      <c r="B785" s="131">
        <v>782</v>
      </c>
      <c r="C785" s="131">
        <v>2022</v>
      </c>
      <c r="D785" s="131" t="s">
        <v>101</v>
      </c>
      <c r="E785" s="131" t="str">
        <f ca="1">IFERROR(__xludf.DUMMYFUNCTION("IF(
  MAX(
    IFERROR(MAX(FILTER('REGISTRO PROD. v1'!F:F,'REGISTRO PROD. v1'!D:D=B785)),0),
    IFERROR(MAX(FILTER('REGISTRO PROD. v1'!W:W,'REGISTRO PROD. v1'!U:U=B785)),0),
    IFERROR(MAX(FILTER('REGISTRO PROD. v1'!AN:AN,'REGISTRO PROD. v1'!AL:AL=B785)"&amp;"),0),
    IFERROR(MAX(FILTER('REGISTRO PROD. v1'!BE:BE,'REGISTRO PROD. v1'!BC:BC=B785)),0),
    IFERROR(MAX(FILTER('REGISTRO PROD. v1'!BV:BV,'REGISTRO PROD. v1'!BT:BT=B785)),0)
  )=0,
  ""NO"",
  IF(
    MAX(
      IFERROR(MAX(FILTER('REGISTRO PROD. v1'!F"&amp;":F,'REGISTRO PROD. v1'!D:D=B785)),0),
      IFERROR(MAX(FILTER('REGISTRO PROD. v1'!W:W,'REGISTRO PROD. v1'!U:U=B785)),0),
      IFERROR(MAX(FILTER('REGISTRO PROD. v1'!AN:AN,'REGISTRO PROD. v1'!AL:AL=B785)),0),
      IFERROR(MAX(FILTER('REGISTRO PROD. v1'!"&amp;"BE:BE,'REGISTRO PROD. v1'!BC:BC=B785)),0),
      IFERROR(MAX(FILTER('REGISTRO PROD. v1'!BV:BV,'REGISTRO PROD. v1'!BT:BT=B785)),0)
    )&gt;=F785,
    ""SI"",
    ""EN PROCESO""
  )
)
"),"NO")</f>
        <v>NO</v>
      </c>
      <c r="F785" s="132" t="s">
        <v>65</v>
      </c>
    </row>
    <row r="786" spans="2:6" ht="15" x14ac:dyDescent="0.25">
      <c r="B786" s="131">
        <v>783</v>
      </c>
      <c r="C786" s="131">
        <v>2022</v>
      </c>
      <c r="D786" s="131" t="s">
        <v>102</v>
      </c>
      <c r="E786" s="131" t="str">
        <f ca="1">IFERROR(__xludf.DUMMYFUNCTION("IF(
  MAX(
    IFERROR(MAX(FILTER('REGISTRO PROD. v1'!F:F,'REGISTRO PROD. v1'!D:D=B786)),0),
    IFERROR(MAX(FILTER('REGISTRO PROD. v1'!W:W,'REGISTRO PROD. v1'!U:U=B786)),0),
    IFERROR(MAX(FILTER('REGISTRO PROD. v1'!AN:AN,'REGISTRO PROD. v1'!AL:AL=B786)"&amp;"),0),
    IFERROR(MAX(FILTER('REGISTRO PROD. v1'!BE:BE,'REGISTRO PROD. v1'!BC:BC=B786)),0),
    IFERROR(MAX(FILTER('REGISTRO PROD. v1'!BV:BV,'REGISTRO PROD. v1'!BT:BT=B786)),0)
  )=0,
  ""NO"",
  IF(
    MAX(
      IFERROR(MAX(FILTER('REGISTRO PROD. v1'!F"&amp;":F,'REGISTRO PROD. v1'!D:D=B786)),0),
      IFERROR(MAX(FILTER('REGISTRO PROD. v1'!W:W,'REGISTRO PROD. v1'!U:U=B786)),0),
      IFERROR(MAX(FILTER('REGISTRO PROD. v1'!AN:AN,'REGISTRO PROD. v1'!AL:AL=B786)),0),
      IFERROR(MAX(FILTER('REGISTRO PROD. v1'!"&amp;"BE:BE,'REGISTRO PROD. v1'!BC:BC=B786)),0),
      IFERROR(MAX(FILTER('REGISTRO PROD. v1'!BV:BV,'REGISTRO PROD. v1'!BT:BT=B786)),0)
    )&gt;=F786,
    ""SI"",
    ""EN PROCESO""
  )
)
"),"NO")</f>
        <v>NO</v>
      </c>
      <c r="F786" s="132" t="s">
        <v>65</v>
      </c>
    </row>
    <row r="787" spans="2:6" ht="15" x14ac:dyDescent="0.25">
      <c r="B787" s="131">
        <v>784</v>
      </c>
      <c r="C787" s="131">
        <v>2022</v>
      </c>
      <c r="D787" s="131" t="s">
        <v>103</v>
      </c>
      <c r="E787" s="131" t="str">
        <f ca="1">IFERROR(__xludf.DUMMYFUNCTION("IF(
  MAX(
    IFERROR(MAX(FILTER('REGISTRO PROD. v1'!F:F,'REGISTRO PROD. v1'!D:D=B787)),0),
    IFERROR(MAX(FILTER('REGISTRO PROD. v1'!W:W,'REGISTRO PROD. v1'!U:U=B787)),0),
    IFERROR(MAX(FILTER('REGISTRO PROD. v1'!AN:AN,'REGISTRO PROD. v1'!AL:AL=B787)"&amp;"),0),
    IFERROR(MAX(FILTER('REGISTRO PROD. v1'!BE:BE,'REGISTRO PROD. v1'!BC:BC=B787)),0),
    IFERROR(MAX(FILTER('REGISTRO PROD. v1'!BV:BV,'REGISTRO PROD. v1'!BT:BT=B787)),0)
  )=0,
  ""NO"",
  IF(
    MAX(
      IFERROR(MAX(FILTER('REGISTRO PROD. v1'!F"&amp;":F,'REGISTRO PROD. v1'!D:D=B787)),0),
      IFERROR(MAX(FILTER('REGISTRO PROD. v1'!W:W,'REGISTRO PROD. v1'!U:U=B787)),0),
      IFERROR(MAX(FILTER('REGISTRO PROD. v1'!AN:AN,'REGISTRO PROD. v1'!AL:AL=B787)),0),
      IFERROR(MAX(FILTER('REGISTRO PROD. v1'!"&amp;"BE:BE,'REGISTRO PROD. v1'!BC:BC=B787)),0),
      IFERROR(MAX(FILTER('REGISTRO PROD. v1'!BV:BV,'REGISTRO PROD. v1'!BT:BT=B787)),0)
    )&gt;=F787,
    ""SI"",
    ""EN PROCESO""
  )
)
"),"NO")</f>
        <v>NO</v>
      </c>
      <c r="F787" s="132" t="s">
        <v>65</v>
      </c>
    </row>
    <row r="788" spans="2:6" ht="15" x14ac:dyDescent="0.25">
      <c r="B788" s="131">
        <v>785</v>
      </c>
      <c r="C788" s="131">
        <v>2022</v>
      </c>
      <c r="D788" s="131" t="s">
        <v>104</v>
      </c>
      <c r="E788" s="131" t="str">
        <f ca="1">IFERROR(__xludf.DUMMYFUNCTION("IF(
  MAX(
    IFERROR(MAX(FILTER('REGISTRO PROD. v1'!F:F,'REGISTRO PROD. v1'!D:D=B788)),0),
    IFERROR(MAX(FILTER('REGISTRO PROD. v1'!W:W,'REGISTRO PROD. v1'!U:U=B788)),0),
    IFERROR(MAX(FILTER('REGISTRO PROD. v1'!AN:AN,'REGISTRO PROD. v1'!AL:AL=B788)"&amp;"),0),
    IFERROR(MAX(FILTER('REGISTRO PROD. v1'!BE:BE,'REGISTRO PROD. v1'!BC:BC=B788)),0),
    IFERROR(MAX(FILTER('REGISTRO PROD. v1'!BV:BV,'REGISTRO PROD. v1'!BT:BT=B788)),0)
  )=0,
  ""NO"",
  IF(
    MAX(
      IFERROR(MAX(FILTER('REGISTRO PROD. v1'!F"&amp;":F,'REGISTRO PROD. v1'!D:D=B788)),0),
      IFERROR(MAX(FILTER('REGISTRO PROD. v1'!W:W,'REGISTRO PROD. v1'!U:U=B788)),0),
      IFERROR(MAX(FILTER('REGISTRO PROD. v1'!AN:AN,'REGISTRO PROD. v1'!AL:AL=B788)),0),
      IFERROR(MAX(FILTER('REGISTRO PROD. v1'!"&amp;"BE:BE,'REGISTRO PROD. v1'!BC:BC=B788)),0),
      IFERROR(MAX(FILTER('REGISTRO PROD. v1'!BV:BV,'REGISTRO PROD. v1'!BT:BT=B788)),0)
    )&gt;=F788,
    ""SI"",
    ""EN PROCESO""
  )
)
"),"NO")</f>
        <v>NO</v>
      </c>
      <c r="F788" s="132" t="s">
        <v>65</v>
      </c>
    </row>
    <row r="789" spans="2:6" ht="15" x14ac:dyDescent="0.25">
      <c r="B789" s="131">
        <v>786</v>
      </c>
      <c r="C789" s="131">
        <v>2022</v>
      </c>
      <c r="D789" s="131" t="s">
        <v>105</v>
      </c>
      <c r="E789" s="131" t="str">
        <f ca="1">IFERROR(__xludf.DUMMYFUNCTION("IF(
  MAX(
    IFERROR(MAX(FILTER('REGISTRO PROD. v1'!F:F,'REGISTRO PROD. v1'!D:D=B789)),0),
    IFERROR(MAX(FILTER('REGISTRO PROD. v1'!W:W,'REGISTRO PROD. v1'!U:U=B789)),0),
    IFERROR(MAX(FILTER('REGISTRO PROD. v1'!AN:AN,'REGISTRO PROD. v1'!AL:AL=B789)"&amp;"),0),
    IFERROR(MAX(FILTER('REGISTRO PROD. v1'!BE:BE,'REGISTRO PROD. v1'!BC:BC=B789)),0),
    IFERROR(MAX(FILTER('REGISTRO PROD. v1'!BV:BV,'REGISTRO PROD. v1'!BT:BT=B789)),0)
  )=0,
  ""NO"",
  IF(
    MAX(
      IFERROR(MAX(FILTER('REGISTRO PROD. v1'!F"&amp;":F,'REGISTRO PROD. v1'!D:D=B789)),0),
      IFERROR(MAX(FILTER('REGISTRO PROD. v1'!W:W,'REGISTRO PROD. v1'!U:U=B789)),0),
      IFERROR(MAX(FILTER('REGISTRO PROD. v1'!AN:AN,'REGISTRO PROD. v1'!AL:AL=B789)),0),
      IFERROR(MAX(FILTER('REGISTRO PROD. v1'!"&amp;"BE:BE,'REGISTRO PROD. v1'!BC:BC=B789)),0),
      IFERROR(MAX(FILTER('REGISTRO PROD. v1'!BV:BV,'REGISTRO PROD. v1'!BT:BT=B789)),0)
    )&gt;=F789,
    ""SI"",
    ""EN PROCESO""
  )
)
"),"NO")</f>
        <v>NO</v>
      </c>
      <c r="F789" s="132" t="s">
        <v>65</v>
      </c>
    </row>
    <row r="790" spans="2:6" ht="15" x14ac:dyDescent="0.25">
      <c r="B790" s="131">
        <v>787</v>
      </c>
      <c r="C790" s="131">
        <v>2022</v>
      </c>
      <c r="D790" s="131" t="s">
        <v>106</v>
      </c>
      <c r="E790" s="131" t="str">
        <f ca="1">IFERROR(__xludf.DUMMYFUNCTION("IF(
  MAX(
    IFERROR(MAX(FILTER('REGISTRO PROD. v1'!F:F,'REGISTRO PROD. v1'!D:D=B790)),0),
    IFERROR(MAX(FILTER('REGISTRO PROD. v1'!W:W,'REGISTRO PROD. v1'!U:U=B790)),0),
    IFERROR(MAX(FILTER('REGISTRO PROD. v1'!AN:AN,'REGISTRO PROD. v1'!AL:AL=B790)"&amp;"),0),
    IFERROR(MAX(FILTER('REGISTRO PROD. v1'!BE:BE,'REGISTRO PROD. v1'!BC:BC=B790)),0),
    IFERROR(MAX(FILTER('REGISTRO PROD. v1'!BV:BV,'REGISTRO PROD. v1'!BT:BT=B790)),0)
  )=0,
  ""NO"",
  IF(
    MAX(
      IFERROR(MAX(FILTER('REGISTRO PROD. v1'!F"&amp;":F,'REGISTRO PROD. v1'!D:D=B790)),0),
      IFERROR(MAX(FILTER('REGISTRO PROD. v1'!W:W,'REGISTRO PROD. v1'!U:U=B790)),0),
      IFERROR(MAX(FILTER('REGISTRO PROD. v1'!AN:AN,'REGISTRO PROD. v1'!AL:AL=B790)),0),
      IFERROR(MAX(FILTER('REGISTRO PROD. v1'!"&amp;"BE:BE,'REGISTRO PROD. v1'!BC:BC=B790)),0),
      IFERROR(MAX(FILTER('REGISTRO PROD. v1'!BV:BV,'REGISTRO PROD. v1'!BT:BT=B790)),0)
    )&gt;=F790,
    ""SI"",
    ""EN PROCESO""
  )
)
"),"NO")</f>
        <v>NO</v>
      </c>
      <c r="F790" s="132" t="s">
        <v>65</v>
      </c>
    </row>
    <row r="791" spans="2:6" ht="15" x14ac:dyDescent="0.25">
      <c r="B791" s="131">
        <v>788</v>
      </c>
      <c r="C791" s="131">
        <v>2022</v>
      </c>
      <c r="D791" s="131" t="s">
        <v>107</v>
      </c>
      <c r="E791" s="131" t="str">
        <f ca="1">IFERROR(__xludf.DUMMYFUNCTION("IF(
  MAX(
    IFERROR(MAX(FILTER('REGISTRO PROD. v1'!F:F,'REGISTRO PROD. v1'!D:D=B791)),0),
    IFERROR(MAX(FILTER('REGISTRO PROD. v1'!W:W,'REGISTRO PROD. v1'!U:U=B791)),0),
    IFERROR(MAX(FILTER('REGISTRO PROD. v1'!AN:AN,'REGISTRO PROD. v1'!AL:AL=B791)"&amp;"),0),
    IFERROR(MAX(FILTER('REGISTRO PROD. v1'!BE:BE,'REGISTRO PROD. v1'!BC:BC=B791)),0),
    IFERROR(MAX(FILTER('REGISTRO PROD. v1'!BV:BV,'REGISTRO PROD. v1'!BT:BT=B791)),0)
  )=0,
  ""NO"",
  IF(
    MAX(
      IFERROR(MAX(FILTER('REGISTRO PROD. v1'!F"&amp;":F,'REGISTRO PROD. v1'!D:D=B791)),0),
      IFERROR(MAX(FILTER('REGISTRO PROD. v1'!W:W,'REGISTRO PROD. v1'!U:U=B791)),0),
      IFERROR(MAX(FILTER('REGISTRO PROD. v1'!AN:AN,'REGISTRO PROD. v1'!AL:AL=B791)),0),
      IFERROR(MAX(FILTER('REGISTRO PROD. v1'!"&amp;"BE:BE,'REGISTRO PROD. v1'!BC:BC=B791)),0),
      IFERROR(MAX(FILTER('REGISTRO PROD. v1'!BV:BV,'REGISTRO PROD. v1'!BT:BT=B791)),0)
    )&gt;=F791,
    ""SI"",
    ""EN PROCESO""
  )
)
"),"NO")</f>
        <v>NO</v>
      </c>
      <c r="F791" s="132" t="s">
        <v>65</v>
      </c>
    </row>
    <row r="792" spans="2:6" ht="15" x14ac:dyDescent="0.25">
      <c r="B792" s="131">
        <v>789</v>
      </c>
      <c r="C792" s="131">
        <v>2022</v>
      </c>
      <c r="D792" s="131" t="s">
        <v>108</v>
      </c>
      <c r="E792" s="131" t="str">
        <f ca="1">IFERROR(__xludf.DUMMYFUNCTION("IF(
  MAX(
    IFERROR(MAX(FILTER('REGISTRO PROD. v1'!F:F,'REGISTRO PROD. v1'!D:D=B792)),0),
    IFERROR(MAX(FILTER('REGISTRO PROD. v1'!W:W,'REGISTRO PROD. v1'!U:U=B792)),0),
    IFERROR(MAX(FILTER('REGISTRO PROD. v1'!AN:AN,'REGISTRO PROD. v1'!AL:AL=B792)"&amp;"),0),
    IFERROR(MAX(FILTER('REGISTRO PROD. v1'!BE:BE,'REGISTRO PROD. v1'!BC:BC=B792)),0),
    IFERROR(MAX(FILTER('REGISTRO PROD. v1'!BV:BV,'REGISTRO PROD. v1'!BT:BT=B792)),0)
  )=0,
  ""NO"",
  IF(
    MAX(
      IFERROR(MAX(FILTER('REGISTRO PROD. v1'!F"&amp;":F,'REGISTRO PROD. v1'!D:D=B792)),0),
      IFERROR(MAX(FILTER('REGISTRO PROD. v1'!W:W,'REGISTRO PROD. v1'!U:U=B792)),0),
      IFERROR(MAX(FILTER('REGISTRO PROD. v1'!AN:AN,'REGISTRO PROD. v1'!AL:AL=B792)),0),
      IFERROR(MAX(FILTER('REGISTRO PROD. v1'!"&amp;"BE:BE,'REGISTRO PROD. v1'!BC:BC=B792)),0),
      IFERROR(MAX(FILTER('REGISTRO PROD. v1'!BV:BV,'REGISTRO PROD. v1'!BT:BT=B792)),0)
    )&gt;=F792,
    ""SI"",
    ""EN PROCESO""
  )
)
"),"NO")</f>
        <v>NO</v>
      </c>
      <c r="F792" s="132" t="s">
        <v>65</v>
      </c>
    </row>
    <row r="793" spans="2:6" ht="15" x14ac:dyDescent="0.25">
      <c r="B793" s="131">
        <v>790</v>
      </c>
      <c r="C793" s="131">
        <v>2022</v>
      </c>
      <c r="D793" s="131" t="s">
        <v>109</v>
      </c>
      <c r="E793" s="131" t="str">
        <f ca="1">IFERROR(__xludf.DUMMYFUNCTION("IF(
  MAX(
    IFERROR(MAX(FILTER('REGISTRO PROD. v1'!F:F,'REGISTRO PROD. v1'!D:D=B793)),0),
    IFERROR(MAX(FILTER('REGISTRO PROD. v1'!W:W,'REGISTRO PROD. v1'!U:U=B793)),0),
    IFERROR(MAX(FILTER('REGISTRO PROD. v1'!AN:AN,'REGISTRO PROD. v1'!AL:AL=B793)"&amp;"),0),
    IFERROR(MAX(FILTER('REGISTRO PROD. v1'!BE:BE,'REGISTRO PROD. v1'!BC:BC=B793)),0),
    IFERROR(MAX(FILTER('REGISTRO PROD. v1'!BV:BV,'REGISTRO PROD. v1'!BT:BT=B793)),0)
  )=0,
  ""NO"",
  IF(
    MAX(
      IFERROR(MAX(FILTER('REGISTRO PROD. v1'!F"&amp;":F,'REGISTRO PROD. v1'!D:D=B793)),0),
      IFERROR(MAX(FILTER('REGISTRO PROD. v1'!W:W,'REGISTRO PROD. v1'!U:U=B793)),0),
      IFERROR(MAX(FILTER('REGISTRO PROD. v1'!AN:AN,'REGISTRO PROD. v1'!AL:AL=B793)),0),
      IFERROR(MAX(FILTER('REGISTRO PROD. v1'!"&amp;"BE:BE,'REGISTRO PROD. v1'!BC:BC=B793)),0),
      IFERROR(MAX(FILTER('REGISTRO PROD. v1'!BV:BV,'REGISTRO PROD. v1'!BT:BT=B793)),0)
    )&gt;=F793,
    ""SI"",
    ""EN PROCESO""
  )
)
"),"NO")</f>
        <v>NO</v>
      </c>
      <c r="F793" s="132" t="s">
        <v>65</v>
      </c>
    </row>
    <row r="794" spans="2:6" ht="15" x14ac:dyDescent="0.25">
      <c r="B794" s="131">
        <v>791</v>
      </c>
      <c r="C794" s="131">
        <v>2022</v>
      </c>
      <c r="D794" s="131" t="s">
        <v>110</v>
      </c>
      <c r="E794" s="131" t="str">
        <f ca="1">IFERROR(__xludf.DUMMYFUNCTION("IF(
  MAX(
    IFERROR(MAX(FILTER('REGISTRO PROD. v1'!F:F,'REGISTRO PROD. v1'!D:D=B794)),0),
    IFERROR(MAX(FILTER('REGISTRO PROD. v1'!W:W,'REGISTRO PROD. v1'!U:U=B794)),0),
    IFERROR(MAX(FILTER('REGISTRO PROD. v1'!AN:AN,'REGISTRO PROD. v1'!AL:AL=B794)"&amp;"),0),
    IFERROR(MAX(FILTER('REGISTRO PROD. v1'!BE:BE,'REGISTRO PROD. v1'!BC:BC=B794)),0),
    IFERROR(MAX(FILTER('REGISTRO PROD. v1'!BV:BV,'REGISTRO PROD. v1'!BT:BT=B794)),0)
  )=0,
  ""NO"",
  IF(
    MAX(
      IFERROR(MAX(FILTER('REGISTRO PROD. v1'!F"&amp;":F,'REGISTRO PROD. v1'!D:D=B794)),0),
      IFERROR(MAX(FILTER('REGISTRO PROD. v1'!W:W,'REGISTRO PROD. v1'!U:U=B794)),0),
      IFERROR(MAX(FILTER('REGISTRO PROD. v1'!AN:AN,'REGISTRO PROD. v1'!AL:AL=B794)),0),
      IFERROR(MAX(FILTER('REGISTRO PROD. v1'!"&amp;"BE:BE,'REGISTRO PROD. v1'!BC:BC=B794)),0),
      IFERROR(MAX(FILTER('REGISTRO PROD. v1'!BV:BV,'REGISTRO PROD. v1'!BT:BT=B794)),0)
    )&gt;=F794,
    ""SI"",
    ""EN PROCESO""
  )
)
"),"NO")</f>
        <v>NO</v>
      </c>
      <c r="F794" s="132" t="s">
        <v>65</v>
      </c>
    </row>
    <row r="795" spans="2:6" ht="15" x14ac:dyDescent="0.25">
      <c r="B795" s="131">
        <v>792</v>
      </c>
      <c r="C795" s="131">
        <v>2022</v>
      </c>
      <c r="D795" s="131" t="s">
        <v>111</v>
      </c>
      <c r="E795" s="131" t="str">
        <f ca="1">IFERROR(__xludf.DUMMYFUNCTION("IF(
  MAX(
    IFERROR(MAX(FILTER('REGISTRO PROD. v1'!F:F,'REGISTRO PROD. v1'!D:D=B795)),0),
    IFERROR(MAX(FILTER('REGISTRO PROD. v1'!W:W,'REGISTRO PROD. v1'!U:U=B795)),0),
    IFERROR(MAX(FILTER('REGISTRO PROD. v1'!AN:AN,'REGISTRO PROD. v1'!AL:AL=B795)"&amp;"),0),
    IFERROR(MAX(FILTER('REGISTRO PROD. v1'!BE:BE,'REGISTRO PROD. v1'!BC:BC=B795)),0),
    IFERROR(MAX(FILTER('REGISTRO PROD. v1'!BV:BV,'REGISTRO PROD. v1'!BT:BT=B795)),0)
  )=0,
  ""NO"",
  IF(
    MAX(
      IFERROR(MAX(FILTER('REGISTRO PROD. v1'!F"&amp;":F,'REGISTRO PROD. v1'!D:D=B795)),0),
      IFERROR(MAX(FILTER('REGISTRO PROD. v1'!W:W,'REGISTRO PROD. v1'!U:U=B795)),0),
      IFERROR(MAX(FILTER('REGISTRO PROD. v1'!AN:AN,'REGISTRO PROD. v1'!AL:AL=B795)),0),
      IFERROR(MAX(FILTER('REGISTRO PROD. v1'!"&amp;"BE:BE,'REGISTRO PROD. v1'!BC:BC=B795)),0),
      IFERROR(MAX(FILTER('REGISTRO PROD. v1'!BV:BV,'REGISTRO PROD. v1'!BT:BT=B795)),0)
    )&gt;=F795,
    ""SI"",
    ""EN PROCESO""
  )
)
"),"NO")</f>
        <v>NO</v>
      </c>
      <c r="F795" s="132" t="s">
        <v>65</v>
      </c>
    </row>
    <row r="796" spans="2:6" ht="15" x14ac:dyDescent="0.25">
      <c r="B796" s="131">
        <v>793</v>
      </c>
      <c r="C796" s="131">
        <v>2022</v>
      </c>
      <c r="D796" s="131" t="s">
        <v>112</v>
      </c>
      <c r="E796" s="131" t="str">
        <f ca="1">IFERROR(__xludf.DUMMYFUNCTION("IF(
  MAX(
    IFERROR(MAX(FILTER('REGISTRO PROD. v1'!F:F,'REGISTRO PROD. v1'!D:D=B796)),0),
    IFERROR(MAX(FILTER('REGISTRO PROD. v1'!W:W,'REGISTRO PROD. v1'!U:U=B796)),0),
    IFERROR(MAX(FILTER('REGISTRO PROD. v1'!AN:AN,'REGISTRO PROD. v1'!AL:AL=B796)"&amp;"),0),
    IFERROR(MAX(FILTER('REGISTRO PROD. v1'!BE:BE,'REGISTRO PROD. v1'!BC:BC=B796)),0),
    IFERROR(MAX(FILTER('REGISTRO PROD. v1'!BV:BV,'REGISTRO PROD. v1'!BT:BT=B796)),0)
  )=0,
  ""NO"",
  IF(
    MAX(
      IFERROR(MAX(FILTER('REGISTRO PROD. v1'!F"&amp;":F,'REGISTRO PROD. v1'!D:D=B796)),0),
      IFERROR(MAX(FILTER('REGISTRO PROD. v1'!W:W,'REGISTRO PROD. v1'!U:U=B796)),0),
      IFERROR(MAX(FILTER('REGISTRO PROD. v1'!AN:AN,'REGISTRO PROD. v1'!AL:AL=B796)),0),
      IFERROR(MAX(FILTER('REGISTRO PROD. v1'!"&amp;"BE:BE,'REGISTRO PROD. v1'!BC:BC=B796)),0),
      IFERROR(MAX(FILTER('REGISTRO PROD. v1'!BV:BV,'REGISTRO PROD. v1'!BT:BT=B796)),0)
    )&gt;=F796,
    ""SI"",
    ""EN PROCESO""
  )
)
"),"NO")</f>
        <v>NO</v>
      </c>
      <c r="F796" s="132" t="s">
        <v>65</v>
      </c>
    </row>
    <row r="797" spans="2:6" ht="15" x14ac:dyDescent="0.25">
      <c r="B797" s="131">
        <v>794</v>
      </c>
      <c r="C797" s="131">
        <v>2022</v>
      </c>
      <c r="D797" s="131" t="s">
        <v>113</v>
      </c>
      <c r="E797" s="131" t="str">
        <f ca="1">IFERROR(__xludf.DUMMYFUNCTION("IF(
  MAX(
    IFERROR(MAX(FILTER('REGISTRO PROD. v1'!F:F,'REGISTRO PROD. v1'!D:D=B797)),0),
    IFERROR(MAX(FILTER('REGISTRO PROD. v1'!W:W,'REGISTRO PROD. v1'!U:U=B797)),0),
    IFERROR(MAX(FILTER('REGISTRO PROD. v1'!AN:AN,'REGISTRO PROD. v1'!AL:AL=B797)"&amp;"),0),
    IFERROR(MAX(FILTER('REGISTRO PROD. v1'!BE:BE,'REGISTRO PROD. v1'!BC:BC=B797)),0),
    IFERROR(MAX(FILTER('REGISTRO PROD. v1'!BV:BV,'REGISTRO PROD. v1'!BT:BT=B797)),0)
  )=0,
  ""NO"",
  IF(
    MAX(
      IFERROR(MAX(FILTER('REGISTRO PROD. v1'!F"&amp;":F,'REGISTRO PROD. v1'!D:D=B797)),0),
      IFERROR(MAX(FILTER('REGISTRO PROD. v1'!W:W,'REGISTRO PROD. v1'!U:U=B797)),0),
      IFERROR(MAX(FILTER('REGISTRO PROD. v1'!AN:AN,'REGISTRO PROD. v1'!AL:AL=B797)),0),
      IFERROR(MAX(FILTER('REGISTRO PROD. v1'!"&amp;"BE:BE,'REGISTRO PROD. v1'!BC:BC=B797)),0),
      IFERROR(MAX(FILTER('REGISTRO PROD. v1'!BV:BV,'REGISTRO PROD. v1'!BT:BT=B797)),0)
    )&gt;=F797,
    ""SI"",
    ""EN PROCESO""
  )
)
"),"NO")</f>
        <v>NO</v>
      </c>
      <c r="F797" s="132" t="s">
        <v>65</v>
      </c>
    </row>
    <row r="798" spans="2:6" ht="15" x14ac:dyDescent="0.25">
      <c r="B798" s="131">
        <v>795</v>
      </c>
      <c r="C798" s="131">
        <v>2022</v>
      </c>
      <c r="D798" s="131" t="s">
        <v>114</v>
      </c>
      <c r="E798" s="131" t="str">
        <f ca="1">IFERROR(__xludf.DUMMYFUNCTION("IF(
  MAX(
    IFERROR(MAX(FILTER('REGISTRO PROD. v1'!F:F,'REGISTRO PROD. v1'!D:D=B798)),0),
    IFERROR(MAX(FILTER('REGISTRO PROD. v1'!W:W,'REGISTRO PROD. v1'!U:U=B798)),0),
    IFERROR(MAX(FILTER('REGISTRO PROD. v1'!AN:AN,'REGISTRO PROD. v1'!AL:AL=B798)"&amp;"),0),
    IFERROR(MAX(FILTER('REGISTRO PROD. v1'!BE:BE,'REGISTRO PROD. v1'!BC:BC=B798)),0),
    IFERROR(MAX(FILTER('REGISTRO PROD. v1'!BV:BV,'REGISTRO PROD. v1'!BT:BT=B798)),0)
  )=0,
  ""NO"",
  IF(
    MAX(
      IFERROR(MAX(FILTER('REGISTRO PROD. v1'!F"&amp;":F,'REGISTRO PROD. v1'!D:D=B798)),0),
      IFERROR(MAX(FILTER('REGISTRO PROD. v1'!W:W,'REGISTRO PROD. v1'!U:U=B798)),0),
      IFERROR(MAX(FILTER('REGISTRO PROD. v1'!AN:AN,'REGISTRO PROD. v1'!AL:AL=B798)),0),
      IFERROR(MAX(FILTER('REGISTRO PROD. v1'!"&amp;"BE:BE,'REGISTRO PROD. v1'!BC:BC=B798)),0),
      IFERROR(MAX(FILTER('REGISTRO PROD. v1'!BV:BV,'REGISTRO PROD. v1'!BT:BT=B798)),0)
    )&gt;=F798,
    ""SI"",
    ""EN PROCESO""
  )
)
"),"NO")</f>
        <v>NO</v>
      </c>
      <c r="F798" s="132" t="s">
        <v>65</v>
      </c>
    </row>
    <row r="799" spans="2:6" ht="15" x14ac:dyDescent="0.25">
      <c r="B799" s="131">
        <v>796</v>
      </c>
      <c r="C799" s="131">
        <v>2022</v>
      </c>
      <c r="D799" s="131" t="s">
        <v>115</v>
      </c>
      <c r="E799" s="131" t="str">
        <f ca="1">IFERROR(__xludf.DUMMYFUNCTION("IF(
  MAX(
    IFERROR(MAX(FILTER('REGISTRO PROD. v1'!F:F,'REGISTRO PROD. v1'!D:D=B799)),0),
    IFERROR(MAX(FILTER('REGISTRO PROD. v1'!W:W,'REGISTRO PROD. v1'!U:U=B799)),0),
    IFERROR(MAX(FILTER('REGISTRO PROD. v1'!AN:AN,'REGISTRO PROD. v1'!AL:AL=B799)"&amp;"),0),
    IFERROR(MAX(FILTER('REGISTRO PROD. v1'!BE:BE,'REGISTRO PROD. v1'!BC:BC=B799)),0),
    IFERROR(MAX(FILTER('REGISTRO PROD. v1'!BV:BV,'REGISTRO PROD. v1'!BT:BT=B799)),0)
  )=0,
  ""NO"",
  IF(
    MAX(
      IFERROR(MAX(FILTER('REGISTRO PROD. v1'!F"&amp;":F,'REGISTRO PROD. v1'!D:D=B799)),0),
      IFERROR(MAX(FILTER('REGISTRO PROD. v1'!W:W,'REGISTRO PROD. v1'!U:U=B799)),0),
      IFERROR(MAX(FILTER('REGISTRO PROD. v1'!AN:AN,'REGISTRO PROD. v1'!AL:AL=B799)),0),
      IFERROR(MAX(FILTER('REGISTRO PROD. v1'!"&amp;"BE:BE,'REGISTRO PROD. v1'!BC:BC=B799)),0),
      IFERROR(MAX(FILTER('REGISTRO PROD. v1'!BV:BV,'REGISTRO PROD. v1'!BT:BT=B799)),0)
    )&gt;=F799,
    ""SI"",
    ""EN PROCESO""
  )
)
"),"NO")</f>
        <v>NO</v>
      </c>
      <c r="F799" s="132" t="s">
        <v>65</v>
      </c>
    </row>
    <row r="800" spans="2:6" ht="15" x14ac:dyDescent="0.25">
      <c r="B800" s="131">
        <v>797</v>
      </c>
      <c r="C800" s="131">
        <v>2022</v>
      </c>
      <c r="D800" s="131" t="s">
        <v>116</v>
      </c>
      <c r="E800" s="131" t="str">
        <f ca="1">IFERROR(__xludf.DUMMYFUNCTION("IF(
  MAX(
    IFERROR(MAX(FILTER('REGISTRO PROD. v1'!F:F,'REGISTRO PROD. v1'!D:D=B800)),0),
    IFERROR(MAX(FILTER('REGISTRO PROD. v1'!W:W,'REGISTRO PROD. v1'!U:U=B800)),0),
    IFERROR(MAX(FILTER('REGISTRO PROD. v1'!AN:AN,'REGISTRO PROD. v1'!AL:AL=B800)"&amp;"),0),
    IFERROR(MAX(FILTER('REGISTRO PROD. v1'!BE:BE,'REGISTRO PROD. v1'!BC:BC=B800)),0),
    IFERROR(MAX(FILTER('REGISTRO PROD. v1'!BV:BV,'REGISTRO PROD. v1'!BT:BT=B800)),0)
  )=0,
  ""NO"",
  IF(
    MAX(
      IFERROR(MAX(FILTER('REGISTRO PROD. v1'!F"&amp;":F,'REGISTRO PROD. v1'!D:D=B800)),0),
      IFERROR(MAX(FILTER('REGISTRO PROD. v1'!W:W,'REGISTRO PROD. v1'!U:U=B800)),0),
      IFERROR(MAX(FILTER('REGISTRO PROD. v1'!AN:AN,'REGISTRO PROD. v1'!AL:AL=B800)),0),
      IFERROR(MAX(FILTER('REGISTRO PROD. v1'!"&amp;"BE:BE,'REGISTRO PROD. v1'!BC:BC=B800)),0),
      IFERROR(MAX(FILTER('REGISTRO PROD. v1'!BV:BV,'REGISTRO PROD. v1'!BT:BT=B800)),0)
    )&gt;=F800,
    ""SI"",
    ""EN PROCESO""
  )
)
"),"NO")</f>
        <v>NO</v>
      </c>
      <c r="F800" s="132" t="s">
        <v>65</v>
      </c>
    </row>
    <row r="801" spans="2:6" ht="15" x14ac:dyDescent="0.25">
      <c r="B801" s="131">
        <v>798</v>
      </c>
      <c r="C801" s="131">
        <v>2022</v>
      </c>
      <c r="D801" s="131" t="s">
        <v>117</v>
      </c>
      <c r="E801" s="131" t="str">
        <f ca="1">IFERROR(__xludf.DUMMYFUNCTION("IF(
  MAX(
    IFERROR(MAX(FILTER('REGISTRO PROD. v1'!F:F,'REGISTRO PROD. v1'!D:D=B801)),0),
    IFERROR(MAX(FILTER('REGISTRO PROD. v1'!W:W,'REGISTRO PROD. v1'!U:U=B801)),0),
    IFERROR(MAX(FILTER('REGISTRO PROD. v1'!AN:AN,'REGISTRO PROD. v1'!AL:AL=B801)"&amp;"),0),
    IFERROR(MAX(FILTER('REGISTRO PROD. v1'!BE:BE,'REGISTRO PROD. v1'!BC:BC=B801)),0),
    IFERROR(MAX(FILTER('REGISTRO PROD. v1'!BV:BV,'REGISTRO PROD. v1'!BT:BT=B801)),0)
  )=0,
  ""NO"",
  IF(
    MAX(
      IFERROR(MAX(FILTER('REGISTRO PROD. v1'!F"&amp;":F,'REGISTRO PROD. v1'!D:D=B801)),0),
      IFERROR(MAX(FILTER('REGISTRO PROD. v1'!W:W,'REGISTRO PROD. v1'!U:U=B801)),0),
      IFERROR(MAX(FILTER('REGISTRO PROD. v1'!AN:AN,'REGISTRO PROD. v1'!AL:AL=B801)),0),
      IFERROR(MAX(FILTER('REGISTRO PROD. v1'!"&amp;"BE:BE,'REGISTRO PROD. v1'!BC:BC=B801)),0),
      IFERROR(MAX(FILTER('REGISTRO PROD. v1'!BV:BV,'REGISTRO PROD. v1'!BT:BT=B801)),0)
    )&gt;=F801,
    ""SI"",
    ""EN PROCESO""
  )
)
"),"NO")</f>
        <v>NO</v>
      </c>
      <c r="F801" s="132" t="s">
        <v>65</v>
      </c>
    </row>
    <row r="802" spans="2:6" ht="15" x14ac:dyDescent="0.25">
      <c r="B802" s="131">
        <v>799</v>
      </c>
      <c r="C802" s="131">
        <v>2022</v>
      </c>
      <c r="D802" s="131" t="s">
        <v>118</v>
      </c>
      <c r="E802" s="131" t="str">
        <f ca="1">IFERROR(__xludf.DUMMYFUNCTION("IF(
  MAX(
    IFERROR(MAX(FILTER('REGISTRO PROD. v1'!F:F,'REGISTRO PROD. v1'!D:D=B802)),0),
    IFERROR(MAX(FILTER('REGISTRO PROD. v1'!W:W,'REGISTRO PROD. v1'!U:U=B802)),0),
    IFERROR(MAX(FILTER('REGISTRO PROD. v1'!AN:AN,'REGISTRO PROD. v1'!AL:AL=B802)"&amp;"),0),
    IFERROR(MAX(FILTER('REGISTRO PROD. v1'!BE:BE,'REGISTRO PROD. v1'!BC:BC=B802)),0),
    IFERROR(MAX(FILTER('REGISTRO PROD. v1'!BV:BV,'REGISTRO PROD. v1'!BT:BT=B802)),0)
  )=0,
  ""NO"",
  IF(
    MAX(
      IFERROR(MAX(FILTER('REGISTRO PROD. v1'!F"&amp;":F,'REGISTRO PROD. v1'!D:D=B802)),0),
      IFERROR(MAX(FILTER('REGISTRO PROD. v1'!W:W,'REGISTRO PROD. v1'!U:U=B802)),0),
      IFERROR(MAX(FILTER('REGISTRO PROD. v1'!AN:AN,'REGISTRO PROD. v1'!AL:AL=B802)),0),
      IFERROR(MAX(FILTER('REGISTRO PROD. v1'!"&amp;"BE:BE,'REGISTRO PROD. v1'!BC:BC=B802)),0),
      IFERROR(MAX(FILTER('REGISTRO PROD. v1'!BV:BV,'REGISTRO PROD. v1'!BT:BT=B802)),0)
    )&gt;=F802,
    ""SI"",
    ""EN PROCESO""
  )
)
"),"NO")</f>
        <v>NO</v>
      </c>
      <c r="F802" s="132" t="s">
        <v>65</v>
      </c>
    </row>
    <row r="803" spans="2:6" ht="15" x14ac:dyDescent="0.25">
      <c r="B803" s="131">
        <v>800</v>
      </c>
      <c r="C803" s="131">
        <v>2022</v>
      </c>
      <c r="D803" s="131" t="s">
        <v>119</v>
      </c>
      <c r="E803" s="131" t="str">
        <f ca="1">IFERROR(__xludf.DUMMYFUNCTION("IF(
  MAX(
    IFERROR(MAX(FILTER('REGISTRO PROD. v1'!F:F,'REGISTRO PROD. v1'!D:D=B803)),0),
    IFERROR(MAX(FILTER('REGISTRO PROD. v1'!W:W,'REGISTRO PROD. v1'!U:U=B803)),0),
    IFERROR(MAX(FILTER('REGISTRO PROD. v1'!AN:AN,'REGISTRO PROD. v1'!AL:AL=B803)"&amp;"),0),
    IFERROR(MAX(FILTER('REGISTRO PROD. v1'!BE:BE,'REGISTRO PROD. v1'!BC:BC=B803)),0),
    IFERROR(MAX(FILTER('REGISTRO PROD. v1'!BV:BV,'REGISTRO PROD. v1'!BT:BT=B803)),0)
  )=0,
  ""NO"",
  IF(
    MAX(
      IFERROR(MAX(FILTER('REGISTRO PROD. v1'!F"&amp;":F,'REGISTRO PROD. v1'!D:D=B803)),0),
      IFERROR(MAX(FILTER('REGISTRO PROD. v1'!W:W,'REGISTRO PROD. v1'!U:U=B803)),0),
      IFERROR(MAX(FILTER('REGISTRO PROD. v1'!AN:AN,'REGISTRO PROD. v1'!AL:AL=B803)),0),
      IFERROR(MAX(FILTER('REGISTRO PROD. v1'!"&amp;"BE:BE,'REGISTRO PROD. v1'!BC:BC=B803)),0),
      IFERROR(MAX(FILTER('REGISTRO PROD. v1'!BV:BV,'REGISTRO PROD. v1'!BT:BT=B803)),0)
    )&gt;=F803,
    ""SI"",
    ""EN PROCESO""
  )
)
"),"NO")</f>
        <v>NO</v>
      </c>
      <c r="F803" s="132" t="s">
        <v>65</v>
      </c>
    </row>
    <row r="804" spans="2:6" ht="15" x14ac:dyDescent="0.25">
      <c r="B804" s="131">
        <v>801</v>
      </c>
      <c r="C804" s="131">
        <v>2022</v>
      </c>
      <c r="D804" s="131" t="s">
        <v>121</v>
      </c>
      <c r="E804" s="131" t="str">
        <f ca="1">IFERROR(__xludf.DUMMYFUNCTION("IF(
  MAX(
    IFERROR(MAX(FILTER('REGISTRO PROD. v1'!F:F,'REGISTRO PROD. v1'!D:D=B804)),0),
    IFERROR(MAX(FILTER('REGISTRO PROD. v1'!W:W,'REGISTRO PROD. v1'!U:U=B804)),0),
    IFERROR(MAX(FILTER('REGISTRO PROD. v1'!AN:AN,'REGISTRO PROD. v1'!AL:AL=B804)"&amp;"),0),
    IFERROR(MAX(FILTER('REGISTRO PROD. v1'!BE:BE,'REGISTRO PROD. v1'!BC:BC=B804)),0),
    IFERROR(MAX(FILTER('REGISTRO PROD. v1'!BV:BV,'REGISTRO PROD. v1'!BT:BT=B804)),0)
  )=0,
  ""NO"",
  IF(
    MAX(
      IFERROR(MAX(FILTER('REGISTRO PROD. v1'!F"&amp;":F,'REGISTRO PROD. v1'!D:D=B804)),0),
      IFERROR(MAX(FILTER('REGISTRO PROD. v1'!W:W,'REGISTRO PROD. v1'!U:U=B804)),0),
      IFERROR(MAX(FILTER('REGISTRO PROD. v1'!AN:AN,'REGISTRO PROD. v1'!AL:AL=B804)),0),
      IFERROR(MAX(FILTER('REGISTRO PROD. v1'!"&amp;"BE:BE,'REGISTRO PROD. v1'!BC:BC=B804)),0),
      IFERROR(MAX(FILTER('REGISTRO PROD. v1'!BV:BV,'REGISTRO PROD. v1'!BT:BT=B804)),0)
    )&gt;=F804,
    ""SI"",
    ""EN PROCESO""
  )
)
"),"NO")</f>
        <v>NO</v>
      </c>
      <c r="F804" s="132" t="s">
        <v>65</v>
      </c>
    </row>
    <row r="805" spans="2:6" ht="15" x14ac:dyDescent="0.25">
      <c r="B805" s="131">
        <v>802</v>
      </c>
      <c r="C805" s="131">
        <v>2022</v>
      </c>
      <c r="D805" s="131" t="s">
        <v>122</v>
      </c>
      <c r="E805" s="131" t="str">
        <f ca="1">IFERROR(__xludf.DUMMYFUNCTION("IF(
  MAX(
    IFERROR(MAX(FILTER('REGISTRO PROD. v1'!F:F,'REGISTRO PROD. v1'!D:D=B805)),0),
    IFERROR(MAX(FILTER('REGISTRO PROD. v1'!W:W,'REGISTRO PROD. v1'!U:U=B805)),0),
    IFERROR(MAX(FILTER('REGISTRO PROD. v1'!AN:AN,'REGISTRO PROD. v1'!AL:AL=B805)"&amp;"),0),
    IFERROR(MAX(FILTER('REGISTRO PROD. v1'!BE:BE,'REGISTRO PROD. v1'!BC:BC=B805)),0),
    IFERROR(MAX(FILTER('REGISTRO PROD. v1'!BV:BV,'REGISTRO PROD. v1'!BT:BT=B805)),0)
  )=0,
  ""NO"",
  IF(
    MAX(
      IFERROR(MAX(FILTER('REGISTRO PROD. v1'!F"&amp;":F,'REGISTRO PROD. v1'!D:D=B805)),0),
      IFERROR(MAX(FILTER('REGISTRO PROD. v1'!W:W,'REGISTRO PROD. v1'!U:U=B805)),0),
      IFERROR(MAX(FILTER('REGISTRO PROD. v1'!AN:AN,'REGISTRO PROD. v1'!AL:AL=B805)),0),
      IFERROR(MAX(FILTER('REGISTRO PROD. v1'!"&amp;"BE:BE,'REGISTRO PROD. v1'!BC:BC=B805)),0),
      IFERROR(MAX(FILTER('REGISTRO PROD. v1'!BV:BV,'REGISTRO PROD. v1'!BT:BT=B805)),0)
    )&gt;=F805,
    ""SI"",
    ""EN PROCESO""
  )
)
"),"NO")</f>
        <v>NO</v>
      </c>
      <c r="F805" s="132" t="s">
        <v>65</v>
      </c>
    </row>
    <row r="806" spans="2:6" ht="15" x14ac:dyDescent="0.25">
      <c r="B806" s="131">
        <v>803</v>
      </c>
      <c r="C806" s="131">
        <v>2022</v>
      </c>
      <c r="D806" s="131" t="s">
        <v>123</v>
      </c>
      <c r="E806" s="131" t="str">
        <f ca="1">IFERROR(__xludf.DUMMYFUNCTION("IF(
  MAX(
    IFERROR(MAX(FILTER('REGISTRO PROD. v1'!F:F,'REGISTRO PROD. v1'!D:D=B806)),0),
    IFERROR(MAX(FILTER('REGISTRO PROD. v1'!W:W,'REGISTRO PROD. v1'!U:U=B806)),0),
    IFERROR(MAX(FILTER('REGISTRO PROD. v1'!AN:AN,'REGISTRO PROD. v1'!AL:AL=B806)"&amp;"),0),
    IFERROR(MAX(FILTER('REGISTRO PROD. v1'!BE:BE,'REGISTRO PROD. v1'!BC:BC=B806)),0),
    IFERROR(MAX(FILTER('REGISTRO PROD. v1'!BV:BV,'REGISTRO PROD. v1'!BT:BT=B806)),0)
  )=0,
  ""NO"",
  IF(
    MAX(
      IFERROR(MAX(FILTER('REGISTRO PROD. v1'!F"&amp;":F,'REGISTRO PROD. v1'!D:D=B806)),0),
      IFERROR(MAX(FILTER('REGISTRO PROD. v1'!W:W,'REGISTRO PROD. v1'!U:U=B806)),0),
      IFERROR(MAX(FILTER('REGISTRO PROD. v1'!AN:AN,'REGISTRO PROD. v1'!AL:AL=B806)),0),
      IFERROR(MAX(FILTER('REGISTRO PROD. v1'!"&amp;"BE:BE,'REGISTRO PROD. v1'!BC:BC=B806)),0),
      IFERROR(MAX(FILTER('REGISTRO PROD. v1'!BV:BV,'REGISTRO PROD. v1'!BT:BT=B806)),0)
    )&gt;=F806,
    ""SI"",
    ""EN PROCESO""
  )
)
"),"NO")</f>
        <v>NO</v>
      </c>
      <c r="F806" s="132" t="s">
        <v>65</v>
      </c>
    </row>
    <row r="807" spans="2:6" ht="15" x14ac:dyDescent="0.25">
      <c r="B807" s="131">
        <v>804</v>
      </c>
      <c r="C807" s="131">
        <v>2022</v>
      </c>
      <c r="D807" s="131" t="s">
        <v>186</v>
      </c>
      <c r="E807" s="131" t="str">
        <f ca="1">IFERROR(__xludf.DUMMYFUNCTION("IF(
  MAX(
    IFERROR(MAX(FILTER('REGISTRO PROD. v1'!F:F,'REGISTRO PROD. v1'!D:D=B807)),0),
    IFERROR(MAX(FILTER('REGISTRO PROD. v1'!W:W,'REGISTRO PROD. v1'!U:U=B807)),0),
    IFERROR(MAX(FILTER('REGISTRO PROD. v1'!AN:AN,'REGISTRO PROD. v1'!AL:AL=B807)"&amp;"),0),
    IFERROR(MAX(FILTER('REGISTRO PROD. v1'!BE:BE,'REGISTRO PROD. v1'!BC:BC=B807)),0),
    IFERROR(MAX(FILTER('REGISTRO PROD. v1'!BV:BV,'REGISTRO PROD. v1'!BT:BT=B807)),0)
  )=0,
  ""NO"",
  IF(
    MAX(
      IFERROR(MAX(FILTER('REGISTRO PROD. v1'!F"&amp;":F,'REGISTRO PROD. v1'!D:D=B807)),0),
      IFERROR(MAX(FILTER('REGISTRO PROD. v1'!W:W,'REGISTRO PROD. v1'!U:U=B807)),0),
      IFERROR(MAX(FILTER('REGISTRO PROD. v1'!AN:AN,'REGISTRO PROD. v1'!AL:AL=B807)),0),
      IFERROR(MAX(FILTER('REGISTRO PROD. v1'!"&amp;"BE:BE,'REGISTRO PROD. v1'!BC:BC=B807)),0),
      IFERROR(MAX(FILTER('REGISTRO PROD. v1'!BV:BV,'REGISTRO PROD. v1'!BT:BT=B807)),0)
    )&gt;=F807,
    ""SI"",
    ""EN PROCESO""
  )
)
"),"NO")</f>
        <v>NO</v>
      </c>
      <c r="F807" s="132" t="s">
        <v>65</v>
      </c>
    </row>
    <row r="808" spans="2:6" ht="15" x14ac:dyDescent="0.25">
      <c r="B808" s="131">
        <v>805</v>
      </c>
      <c r="C808" s="131">
        <v>2023</v>
      </c>
      <c r="D808" s="131" t="s">
        <v>64</v>
      </c>
      <c r="E808" s="131" t="str">
        <f ca="1">IFERROR(__xludf.DUMMYFUNCTION("IF(
  MAX(
    IFERROR(MAX(FILTER('REGISTRO PROD. v1'!F:F,'REGISTRO PROD. v1'!D:D=B808)),0),
    IFERROR(MAX(FILTER('REGISTRO PROD. v1'!W:W,'REGISTRO PROD. v1'!U:U=B808)),0),
    IFERROR(MAX(FILTER('REGISTRO PROD. v1'!AN:AN,'REGISTRO PROD. v1'!AL:AL=B808)"&amp;"),0),
    IFERROR(MAX(FILTER('REGISTRO PROD. v1'!BE:BE,'REGISTRO PROD. v1'!BC:BC=B808)),0),
    IFERROR(MAX(FILTER('REGISTRO PROD. v1'!BV:BV,'REGISTRO PROD. v1'!BT:BT=B808)),0)
  )=0,
  ""NO"",
  IF(
    MAX(
      IFERROR(MAX(FILTER('REGISTRO PROD. v1'!F"&amp;":F,'REGISTRO PROD. v1'!D:D=B808)),0),
      IFERROR(MAX(FILTER('REGISTRO PROD. v1'!W:W,'REGISTRO PROD. v1'!U:U=B808)),0),
      IFERROR(MAX(FILTER('REGISTRO PROD. v1'!AN:AN,'REGISTRO PROD. v1'!AL:AL=B808)),0),
      IFERROR(MAX(FILTER('REGISTRO PROD. v1'!"&amp;"BE:BE,'REGISTRO PROD. v1'!BC:BC=B808)),0),
      IFERROR(MAX(FILTER('REGISTRO PROD. v1'!BV:BV,'REGISTRO PROD. v1'!BT:BT=B808)),0)
    )&gt;=F808,
    ""SI"",
    ""EN PROCESO""
  )
)
"),"SI")</f>
        <v>SI</v>
      </c>
      <c r="F808" s="132" t="s">
        <v>65</v>
      </c>
    </row>
    <row r="809" spans="2:6" ht="15" x14ac:dyDescent="0.25">
      <c r="B809" s="131">
        <v>806</v>
      </c>
      <c r="C809" s="131">
        <v>2023</v>
      </c>
      <c r="D809" s="131" t="s">
        <v>66</v>
      </c>
      <c r="E809" s="131" t="str">
        <f ca="1">IFERROR(__xludf.DUMMYFUNCTION("IF(
  MAX(
    IFERROR(MAX(FILTER('REGISTRO PROD. v1'!F:F,'REGISTRO PROD. v1'!D:D=B809)),0),
    IFERROR(MAX(FILTER('REGISTRO PROD. v1'!W:W,'REGISTRO PROD. v1'!U:U=B809)),0),
    IFERROR(MAX(FILTER('REGISTRO PROD. v1'!AN:AN,'REGISTRO PROD. v1'!AL:AL=B809)"&amp;"),0),
    IFERROR(MAX(FILTER('REGISTRO PROD. v1'!BE:BE,'REGISTRO PROD. v1'!BC:BC=B809)),0),
    IFERROR(MAX(FILTER('REGISTRO PROD. v1'!BV:BV,'REGISTRO PROD. v1'!BT:BT=B809)),0)
  )=0,
  ""NO"",
  IF(
    MAX(
      IFERROR(MAX(FILTER('REGISTRO PROD. v1'!F"&amp;":F,'REGISTRO PROD. v1'!D:D=B809)),0),
      IFERROR(MAX(FILTER('REGISTRO PROD. v1'!W:W,'REGISTRO PROD. v1'!U:U=B809)),0),
      IFERROR(MAX(FILTER('REGISTRO PROD. v1'!AN:AN,'REGISTRO PROD. v1'!AL:AL=B809)),0),
      IFERROR(MAX(FILTER('REGISTRO PROD. v1'!"&amp;"BE:BE,'REGISTRO PROD. v1'!BC:BC=B809)),0),
      IFERROR(MAX(FILTER('REGISTRO PROD. v1'!BV:BV,'REGISTRO PROD. v1'!BT:BT=B809)),0)
    )&gt;=F809,
    ""SI"",
    ""EN PROCESO""
  )
)
"),"SI")</f>
        <v>SI</v>
      </c>
      <c r="F809" s="132" t="s">
        <v>65</v>
      </c>
    </row>
    <row r="810" spans="2:6" ht="15" x14ac:dyDescent="0.25">
      <c r="B810" s="131">
        <v>807</v>
      </c>
      <c r="C810" s="131">
        <v>2023</v>
      </c>
      <c r="D810" s="131" t="s">
        <v>67</v>
      </c>
      <c r="E810" s="131" t="s">
        <v>54</v>
      </c>
      <c r="F810" s="132" t="s">
        <v>65</v>
      </c>
    </row>
    <row r="811" spans="2:6" ht="15" x14ac:dyDescent="0.25">
      <c r="B811" s="131">
        <v>808</v>
      </c>
      <c r="C811" s="131">
        <v>2023</v>
      </c>
      <c r="D811" s="131" t="s">
        <v>68</v>
      </c>
      <c r="E811" s="131" t="str">
        <f ca="1">IFERROR(__xludf.DUMMYFUNCTION("IF(
  MAX(
    IFERROR(MAX(FILTER('REGISTRO PROD. v1'!F:F,'REGISTRO PROD. v1'!D:D=B811)),0),
    IFERROR(MAX(FILTER('REGISTRO PROD. v1'!W:W,'REGISTRO PROD. v1'!U:U=B811)),0),
    IFERROR(MAX(FILTER('REGISTRO PROD. v1'!AN:AN,'REGISTRO PROD. v1'!AL:AL=B811)"&amp;"),0),
    IFERROR(MAX(FILTER('REGISTRO PROD. v1'!BE:BE,'REGISTRO PROD. v1'!BC:BC=B811)),0),
    IFERROR(MAX(FILTER('REGISTRO PROD. v1'!BV:BV,'REGISTRO PROD. v1'!BT:BT=B811)),0)
  )=0,
  ""NO"",
  IF(
    MAX(
      IFERROR(MAX(FILTER('REGISTRO PROD. v1'!F"&amp;":F,'REGISTRO PROD. v1'!D:D=B811)),0),
      IFERROR(MAX(FILTER('REGISTRO PROD. v1'!W:W,'REGISTRO PROD. v1'!U:U=B811)),0),
      IFERROR(MAX(FILTER('REGISTRO PROD. v1'!AN:AN,'REGISTRO PROD. v1'!AL:AL=B811)),0),
      IFERROR(MAX(FILTER('REGISTRO PROD. v1'!"&amp;"BE:BE,'REGISTRO PROD. v1'!BC:BC=B811)),0),
      IFERROR(MAX(FILTER('REGISTRO PROD. v1'!BV:BV,'REGISTRO PROD. v1'!BT:BT=B811)),0)
    )&gt;=F811,
    ""SI"",
    ""EN PROCESO""
  )
)
"),"SI")</f>
        <v>SI</v>
      </c>
      <c r="F811" s="132" t="s">
        <v>65</v>
      </c>
    </row>
    <row r="812" spans="2:6" ht="15" x14ac:dyDescent="0.25">
      <c r="B812" s="131">
        <v>809</v>
      </c>
      <c r="C812" s="131">
        <v>2023</v>
      </c>
      <c r="D812" s="131" t="s">
        <v>69</v>
      </c>
      <c r="E812" s="131" t="str">
        <f ca="1">IFERROR(__xludf.DUMMYFUNCTION("IF(
  MAX(
    IFERROR(MAX(FILTER('REGISTRO PROD. v1'!F:F,'REGISTRO PROD. v1'!D:D=B812)),0),
    IFERROR(MAX(FILTER('REGISTRO PROD. v1'!W:W,'REGISTRO PROD. v1'!U:U=B812)),0),
    IFERROR(MAX(FILTER('REGISTRO PROD. v1'!AN:AN,'REGISTRO PROD. v1'!AL:AL=B812)"&amp;"),0),
    IFERROR(MAX(FILTER('REGISTRO PROD. v1'!BE:BE,'REGISTRO PROD. v1'!BC:BC=B812)),0),
    IFERROR(MAX(FILTER('REGISTRO PROD. v1'!BV:BV,'REGISTRO PROD. v1'!BT:BT=B812)),0)
  )=0,
  ""NO"",
  IF(
    MAX(
      IFERROR(MAX(FILTER('REGISTRO PROD. v1'!F"&amp;":F,'REGISTRO PROD. v1'!D:D=B812)),0),
      IFERROR(MAX(FILTER('REGISTRO PROD. v1'!W:W,'REGISTRO PROD. v1'!U:U=B812)),0),
      IFERROR(MAX(FILTER('REGISTRO PROD. v1'!AN:AN,'REGISTRO PROD. v1'!AL:AL=B812)),0),
      IFERROR(MAX(FILTER('REGISTRO PROD. v1'!"&amp;"BE:BE,'REGISTRO PROD. v1'!BC:BC=B812)),0),
      IFERROR(MAX(FILTER('REGISTRO PROD. v1'!BV:BV,'REGISTRO PROD. v1'!BT:BT=B812)),0)
    )&gt;=F812,
    ""SI"",
    ""EN PROCESO""
  )
)
"),"SI")</f>
        <v>SI</v>
      </c>
      <c r="F812" s="132" t="s">
        <v>65</v>
      </c>
    </row>
    <row r="813" spans="2:6" ht="15" x14ac:dyDescent="0.25">
      <c r="B813" s="131">
        <v>810</v>
      </c>
      <c r="C813" s="131">
        <v>2023</v>
      </c>
      <c r="D813" s="131" t="s">
        <v>70</v>
      </c>
      <c r="E813" s="131" t="str">
        <f ca="1">IFERROR(__xludf.DUMMYFUNCTION("IF(
  MAX(
    IFERROR(MAX(FILTER('REGISTRO PROD. v1'!F:F,'REGISTRO PROD. v1'!D:D=B813)),0),
    IFERROR(MAX(FILTER('REGISTRO PROD. v1'!W:W,'REGISTRO PROD. v1'!U:U=B813)),0),
    IFERROR(MAX(FILTER('REGISTRO PROD. v1'!AN:AN,'REGISTRO PROD. v1'!AL:AL=B813)"&amp;"),0),
    IFERROR(MAX(FILTER('REGISTRO PROD. v1'!BE:BE,'REGISTRO PROD. v1'!BC:BC=B813)),0),
    IFERROR(MAX(FILTER('REGISTRO PROD. v1'!BV:BV,'REGISTRO PROD. v1'!BT:BT=B813)),0)
  )=0,
  ""NO"",
  IF(
    MAX(
      IFERROR(MAX(FILTER('REGISTRO PROD. v1'!F"&amp;":F,'REGISTRO PROD. v1'!D:D=B813)),0),
      IFERROR(MAX(FILTER('REGISTRO PROD. v1'!W:W,'REGISTRO PROD. v1'!U:U=B813)),0),
      IFERROR(MAX(FILTER('REGISTRO PROD. v1'!AN:AN,'REGISTRO PROD. v1'!AL:AL=B813)),0),
      IFERROR(MAX(FILTER('REGISTRO PROD. v1'!"&amp;"BE:BE,'REGISTRO PROD. v1'!BC:BC=B813)),0),
      IFERROR(MAX(FILTER('REGISTRO PROD. v1'!BV:BV,'REGISTRO PROD. v1'!BT:BT=B813)),0)
    )&gt;=F813,
    ""SI"",
    ""EN PROCESO""
  )
)
"),"SI")</f>
        <v>SI</v>
      </c>
      <c r="F813" s="132" t="s">
        <v>65</v>
      </c>
    </row>
    <row r="814" spans="2:6" ht="15" x14ac:dyDescent="0.25">
      <c r="B814" s="131">
        <v>811</v>
      </c>
      <c r="C814" s="131">
        <v>2023</v>
      </c>
      <c r="D814" s="131" t="s">
        <v>97</v>
      </c>
      <c r="E814" s="131" t="str">
        <f ca="1">IFERROR(__xludf.DUMMYFUNCTION("IF(
  MAX(
    IFERROR(MAX(FILTER('REGISTRO PROD. v1'!F:F,'REGISTRO PROD. v1'!D:D=B814)),0),
    IFERROR(MAX(FILTER('REGISTRO PROD. v1'!W:W,'REGISTRO PROD. v1'!U:U=B814)),0),
    IFERROR(MAX(FILTER('REGISTRO PROD. v1'!AN:AN,'REGISTRO PROD. v1'!AL:AL=B814)"&amp;"),0),
    IFERROR(MAX(FILTER('REGISTRO PROD. v1'!BE:BE,'REGISTRO PROD. v1'!BC:BC=B814)),0),
    IFERROR(MAX(FILTER('REGISTRO PROD. v1'!BV:BV,'REGISTRO PROD. v1'!BT:BT=B814)),0)
  )=0,
  ""NO"",
  IF(
    MAX(
      IFERROR(MAX(FILTER('REGISTRO PROD. v1'!F"&amp;":F,'REGISTRO PROD. v1'!D:D=B814)),0),
      IFERROR(MAX(FILTER('REGISTRO PROD. v1'!W:W,'REGISTRO PROD. v1'!U:U=B814)),0),
      IFERROR(MAX(FILTER('REGISTRO PROD. v1'!AN:AN,'REGISTRO PROD. v1'!AL:AL=B814)),0),
      IFERROR(MAX(FILTER('REGISTRO PROD. v1'!"&amp;"BE:BE,'REGISTRO PROD. v1'!BC:BC=B814)),0),
      IFERROR(MAX(FILTER('REGISTRO PROD. v1'!BV:BV,'REGISTRO PROD. v1'!BT:BT=B814)),0)
    )&gt;=F814,
    ""SI"",
    ""EN PROCESO""
  )
)
"),"SI")</f>
        <v>SI</v>
      </c>
      <c r="F814" s="132" t="s">
        <v>65</v>
      </c>
    </row>
    <row r="815" spans="2:6" ht="15" x14ac:dyDescent="0.25">
      <c r="B815" s="131">
        <v>812</v>
      </c>
      <c r="C815" s="180">
        <v>2023</v>
      </c>
      <c r="D815" s="180" t="s">
        <v>98</v>
      </c>
      <c r="E815" s="131" t="str">
        <f ca="1">IFERROR(__xludf.DUMMYFUNCTION("IF(
  MAX(
    IFERROR(MAX(FILTER('REGISTRO PROD. v1'!F:F,'REGISTRO PROD. v1'!D:D=B815)),0),
    IFERROR(MAX(FILTER('REGISTRO PROD. v1'!W:W,'REGISTRO PROD. v1'!U:U=B815)),0),
    IFERROR(MAX(FILTER('REGISTRO PROD. v1'!AN:AN,'REGISTRO PROD. v1'!AL:AL=B815)"&amp;"),0),
    IFERROR(MAX(FILTER('REGISTRO PROD. v1'!BE:BE,'REGISTRO PROD. v1'!BC:BC=B815)),0),
    IFERROR(MAX(FILTER('REGISTRO PROD. v1'!BV:BV,'REGISTRO PROD. v1'!BT:BT=B815)),0)
  )=0,
  ""NO"",
  IF(
    MAX(
      IFERROR(MAX(FILTER('REGISTRO PROD. v1'!F"&amp;":F,'REGISTRO PROD. v1'!D:D=B815)),0),
      IFERROR(MAX(FILTER('REGISTRO PROD. v1'!W:W,'REGISTRO PROD. v1'!U:U=B815)),0),
      IFERROR(MAX(FILTER('REGISTRO PROD. v1'!AN:AN,'REGISTRO PROD. v1'!AL:AL=B815)),0),
      IFERROR(MAX(FILTER('REGISTRO PROD. v1'!"&amp;"BE:BE,'REGISTRO PROD. v1'!BC:BC=B815)),0),
      IFERROR(MAX(FILTER('REGISTRO PROD. v1'!BV:BV,'REGISTRO PROD. v1'!BT:BT=B815)),0)
    )&gt;=F815,
    ""SI"",
    ""EN PROCESO""
  )
)
"),"SI")</f>
        <v>SI</v>
      </c>
      <c r="F815" s="132" t="s">
        <v>65</v>
      </c>
    </row>
    <row r="816" spans="2:6" ht="15" x14ac:dyDescent="0.25">
      <c r="B816" s="131">
        <v>813</v>
      </c>
      <c r="C816" s="131">
        <v>2023</v>
      </c>
      <c r="D816" s="131" t="s">
        <v>99</v>
      </c>
      <c r="E816" s="131" t="str">
        <f ca="1">IFERROR(__xludf.DUMMYFUNCTION("IF(
  MAX(
    IFERROR(MAX(FILTER('REGISTRO PROD. v1'!F:F,'REGISTRO PROD. v1'!D:D=B816)),0),
    IFERROR(MAX(FILTER('REGISTRO PROD. v1'!W:W,'REGISTRO PROD. v1'!U:U=B816)),0),
    IFERROR(MAX(FILTER('REGISTRO PROD. v1'!AN:AN,'REGISTRO PROD. v1'!AL:AL=B816)"&amp;"),0),
    IFERROR(MAX(FILTER('REGISTRO PROD. v1'!BE:BE,'REGISTRO PROD. v1'!BC:BC=B816)),0),
    IFERROR(MAX(FILTER('REGISTRO PROD. v1'!BV:BV,'REGISTRO PROD. v1'!BT:BT=B816)),0)
  )=0,
  ""NO"",
  IF(
    MAX(
      IFERROR(MAX(FILTER('REGISTRO PROD. v1'!F"&amp;":F,'REGISTRO PROD. v1'!D:D=B816)),0),
      IFERROR(MAX(FILTER('REGISTRO PROD. v1'!W:W,'REGISTRO PROD. v1'!U:U=B816)),0),
      IFERROR(MAX(FILTER('REGISTRO PROD. v1'!AN:AN,'REGISTRO PROD. v1'!AL:AL=B816)),0),
      IFERROR(MAX(FILTER('REGISTRO PROD. v1'!"&amp;"BE:BE,'REGISTRO PROD. v1'!BC:BC=B816)),0),
      IFERROR(MAX(FILTER('REGISTRO PROD. v1'!BV:BV,'REGISTRO PROD. v1'!BT:BT=B816)),0)
    )&gt;=F816,
    ""SI"",
    ""EN PROCESO""
  )
)
"),"SI")</f>
        <v>SI</v>
      </c>
      <c r="F816" s="132" t="s">
        <v>65</v>
      </c>
    </row>
    <row r="817" spans="2:6" ht="15" x14ac:dyDescent="0.25">
      <c r="B817" s="131">
        <v>814</v>
      </c>
      <c r="C817" s="131">
        <v>2023</v>
      </c>
      <c r="D817" s="131" t="s">
        <v>100</v>
      </c>
      <c r="E817" s="131" t="str">
        <f ca="1">IFERROR(__xludf.DUMMYFUNCTION("IF(
  MAX(
    IFERROR(MAX(FILTER('REGISTRO PROD. v1'!F:F,'REGISTRO PROD. v1'!D:D=B817)),0),
    IFERROR(MAX(FILTER('REGISTRO PROD. v1'!W:W,'REGISTRO PROD. v1'!U:U=B817)),0),
    IFERROR(MAX(FILTER('REGISTRO PROD. v1'!AN:AN,'REGISTRO PROD. v1'!AL:AL=B817)"&amp;"),0),
    IFERROR(MAX(FILTER('REGISTRO PROD. v1'!BE:BE,'REGISTRO PROD. v1'!BC:BC=B817)),0),
    IFERROR(MAX(FILTER('REGISTRO PROD. v1'!BV:BV,'REGISTRO PROD. v1'!BT:BT=B817)),0)
  )=0,
  ""NO"",
  IF(
    MAX(
      IFERROR(MAX(FILTER('REGISTRO PROD. v1'!F"&amp;":F,'REGISTRO PROD. v1'!D:D=B817)),0),
      IFERROR(MAX(FILTER('REGISTRO PROD. v1'!W:W,'REGISTRO PROD. v1'!U:U=B817)),0),
      IFERROR(MAX(FILTER('REGISTRO PROD. v1'!AN:AN,'REGISTRO PROD. v1'!AL:AL=B817)),0),
      IFERROR(MAX(FILTER('REGISTRO PROD. v1'!"&amp;"BE:BE,'REGISTRO PROD. v1'!BC:BC=B817)),0),
      IFERROR(MAX(FILTER('REGISTRO PROD. v1'!BV:BV,'REGISTRO PROD. v1'!BT:BT=B817)),0)
    )&gt;=F817,
    ""SI"",
    ""EN PROCESO""
  )
)
"),"SI")</f>
        <v>SI</v>
      </c>
      <c r="F817" s="132" t="s">
        <v>65</v>
      </c>
    </row>
    <row r="818" spans="2:6" ht="15" x14ac:dyDescent="0.25">
      <c r="B818" s="131">
        <v>815</v>
      </c>
      <c r="C818" s="131">
        <v>2023</v>
      </c>
      <c r="D818" s="131" t="s">
        <v>101</v>
      </c>
      <c r="E818" s="131" t="str">
        <f ca="1">IFERROR(__xludf.DUMMYFUNCTION("IF(
  MAX(
    IFERROR(MAX(FILTER('REGISTRO PROD. v1'!F:F,'REGISTRO PROD. v1'!D:D=B818)),0),
    IFERROR(MAX(FILTER('REGISTRO PROD. v1'!W:W,'REGISTRO PROD. v1'!U:U=B818)),0),
    IFERROR(MAX(FILTER('REGISTRO PROD. v1'!AN:AN,'REGISTRO PROD. v1'!AL:AL=B818)"&amp;"),0),
    IFERROR(MAX(FILTER('REGISTRO PROD. v1'!BE:BE,'REGISTRO PROD. v1'!BC:BC=B818)),0),
    IFERROR(MAX(FILTER('REGISTRO PROD. v1'!BV:BV,'REGISTRO PROD. v1'!BT:BT=B818)),0)
  )=0,
  ""NO"",
  IF(
    MAX(
      IFERROR(MAX(FILTER('REGISTRO PROD. v1'!F"&amp;":F,'REGISTRO PROD. v1'!D:D=B818)),0),
      IFERROR(MAX(FILTER('REGISTRO PROD. v1'!W:W,'REGISTRO PROD. v1'!U:U=B818)),0),
      IFERROR(MAX(FILTER('REGISTRO PROD. v1'!AN:AN,'REGISTRO PROD. v1'!AL:AL=B818)),0),
      IFERROR(MAX(FILTER('REGISTRO PROD. v1'!"&amp;"BE:BE,'REGISTRO PROD. v1'!BC:BC=B818)),0),
      IFERROR(MAX(FILTER('REGISTRO PROD. v1'!BV:BV,'REGISTRO PROD. v1'!BT:BT=B818)),0)
    )&gt;=F818,
    ""SI"",
    ""EN PROCESO""
  )
)
"),"EN PROCESO")</f>
        <v>EN PROCESO</v>
      </c>
      <c r="F818" s="132" t="s">
        <v>65</v>
      </c>
    </row>
    <row r="819" spans="2:6" ht="15" x14ac:dyDescent="0.25">
      <c r="B819" s="131">
        <v>816</v>
      </c>
      <c r="C819" s="131">
        <v>2023</v>
      </c>
      <c r="D819" s="131" t="s">
        <v>102</v>
      </c>
      <c r="E819" s="131" t="str">
        <f ca="1">IFERROR(__xludf.DUMMYFUNCTION("IF(
  MAX(
    IFERROR(MAX(FILTER('REGISTRO PROD. v1'!F:F,'REGISTRO PROD. v1'!D:D=B819)),0),
    IFERROR(MAX(FILTER('REGISTRO PROD. v1'!W:W,'REGISTRO PROD. v1'!U:U=B819)),0),
    IFERROR(MAX(FILTER('REGISTRO PROD. v1'!AN:AN,'REGISTRO PROD. v1'!AL:AL=B819)"&amp;"),0),
    IFERROR(MAX(FILTER('REGISTRO PROD. v1'!BE:BE,'REGISTRO PROD. v1'!BC:BC=B819)),0),
    IFERROR(MAX(FILTER('REGISTRO PROD. v1'!BV:BV,'REGISTRO PROD. v1'!BT:BT=B819)),0)
  )=0,
  ""NO"",
  IF(
    MAX(
      IFERROR(MAX(FILTER('REGISTRO PROD. v1'!F"&amp;":F,'REGISTRO PROD. v1'!D:D=B819)),0),
      IFERROR(MAX(FILTER('REGISTRO PROD. v1'!W:W,'REGISTRO PROD. v1'!U:U=B819)),0),
      IFERROR(MAX(FILTER('REGISTRO PROD. v1'!AN:AN,'REGISTRO PROD. v1'!AL:AL=B819)),0),
      IFERROR(MAX(FILTER('REGISTRO PROD. v1'!"&amp;"BE:BE,'REGISTRO PROD. v1'!BC:BC=B819)),0),
      IFERROR(MAX(FILTER('REGISTRO PROD. v1'!BV:BV,'REGISTRO PROD. v1'!BT:BT=B819)),0)
    )&gt;=F819,
    ""SI"",
    ""EN PROCESO""
  )
)
"),"EN PROCESO")</f>
        <v>EN PROCESO</v>
      </c>
      <c r="F819" s="132" t="s">
        <v>65</v>
      </c>
    </row>
    <row r="820" spans="2:6" ht="15" x14ac:dyDescent="0.25">
      <c r="B820" s="131">
        <v>817</v>
      </c>
      <c r="C820" s="131">
        <v>2023</v>
      </c>
      <c r="D820" s="131" t="s">
        <v>103</v>
      </c>
      <c r="E820" s="131" t="str">
        <f ca="1">IFERROR(__xludf.DUMMYFUNCTION("IF(
  MAX(
    IFERROR(MAX(FILTER('REGISTRO PROD. v1'!F:F,'REGISTRO PROD. v1'!D:D=B820)),0),
    IFERROR(MAX(FILTER('REGISTRO PROD. v1'!W:W,'REGISTRO PROD. v1'!U:U=B820)),0),
    IFERROR(MAX(FILTER('REGISTRO PROD. v1'!AN:AN,'REGISTRO PROD. v1'!AL:AL=B820)"&amp;"),0),
    IFERROR(MAX(FILTER('REGISTRO PROD. v1'!BE:BE,'REGISTRO PROD. v1'!BC:BC=B820)),0),
    IFERROR(MAX(FILTER('REGISTRO PROD. v1'!BV:BV,'REGISTRO PROD. v1'!BT:BT=B820)),0)
  )=0,
  ""NO"",
  IF(
    MAX(
      IFERROR(MAX(FILTER('REGISTRO PROD. v1'!F"&amp;":F,'REGISTRO PROD. v1'!D:D=B820)),0),
      IFERROR(MAX(FILTER('REGISTRO PROD. v1'!W:W,'REGISTRO PROD. v1'!U:U=B820)),0),
      IFERROR(MAX(FILTER('REGISTRO PROD. v1'!AN:AN,'REGISTRO PROD. v1'!AL:AL=B820)),0),
      IFERROR(MAX(FILTER('REGISTRO PROD. v1'!"&amp;"BE:BE,'REGISTRO PROD. v1'!BC:BC=B820)),0),
      IFERROR(MAX(FILTER('REGISTRO PROD. v1'!BV:BV,'REGISTRO PROD. v1'!BT:BT=B820)),0)
    )&gt;=F820,
    ""SI"",
    ""EN PROCESO""
  )
)
"),"NO")</f>
        <v>NO</v>
      </c>
      <c r="F820" s="132" t="s">
        <v>65</v>
      </c>
    </row>
    <row r="821" spans="2:6" ht="15" x14ac:dyDescent="0.25">
      <c r="B821" s="131">
        <v>818</v>
      </c>
      <c r="C821" s="131">
        <v>2023</v>
      </c>
      <c r="D821" s="131" t="s">
        <v>104</v>
      </c>
      <c r="E821" s="131" t="str">
        <f ca="1">IFERROR(__xludf.DUMMYFUNCTION("IF(
  MAX(
    IFERROR(MAX(FILTER('REGISTRO PROD. v1'!F:F,'REGISTRO PROD. v1'!D:D=B821)),0),
    IFERROR(MAX(FILTER('REGISTRO PROD. v1'!W:W,'REGISTRO PROD. v1'!U:U=B821)),0),
    IFERROR(MAX(FILTER('REGISTRO PROD. v1'!AN:AN,'REGISTRO PROD. v1'!AL:AL=B821)"&amp;"),0),
    IFERROR(MAX(FILTER('REGISTRO PROD. v1'!BE:BE,'REGISTRO PROD. v1'!BC:BC=B821)),0),
    IFERROR(MAX(FILTER('REGISTRO PROD. v1'!BV:BV,'REGISTRO PROD. v1'!BT:BT=B821)),0)
  )=0,
  ""NO"",
  IF(
    MAX(
      IFERROR(MAX(FILTER('REGISTRO PROD. v1'!F"&amp;":F,'REGISTRO PROD. v1'!D:D=B821)),0),
      IFERROR(MAX(FILTER('REGISTRO PROD. v1'!W:W,'REGISTRO PROD. v1'!U:U=B821)),0),
      IFERROR(MAX(FILTER('REGISTRO PROD. v1'!AN:AN,'REGISTRO PROD. v1'!AL:AL=B821)),0),
      IFERROR(MAX(FILTER('REGISTRO PROD. v1'!"&amp;"BE:BE,'REGISTRO PROD. v1'!BC:BC=B821)),0),
      IFERROR(MAX(FILTER('REGISTRO PROD. v1'!BV:BV,'REGISTRO PROD. v1'!BT:BT=B821)),0)
    )&gt;=F821,
    ""SI"",
    ""EN PROCESO""
  )
)
"),"NO")</f>
        <v>NO</v>
      </c>
      <c r="F821" s="132" t="s">
        <v>65</v>
      </c>
    </row>
    <row r="822" spans="2:6" ht="15" x14ac:dyDescent="0.25">
      <c r="B822" s="131">
        <v>819</v>
      </c>
      <c r="C822" s="131">
        <v>2023</v>
      </c>
      <c r="D822" s="131" t="s">
        <v>105</v>
      </c>
      <c r="E822" s="131" t="str">
        <f ca="1">IFERROR(__xludf.DUMMYFUNCTION("IF(
  MAX(
    IFERROR(MAX(FILTER('REGISTRO PROD. v1'!F:F,'REGISTRO PROD. v1'!D:D=B822)),0),
    IFERROR(MAX(FILTER('REGISTRO PROD. v1'!W:W,'REGISTRO PROD. v1'!U:U=B822)),0),
    IFERROR(MAX(FILTER('REGISTRO PROD. v1'!AN:AN,'REGISTRO PROD. v1'!AL:AL=B822)"&amp;"),0),
    IFERROR(MAX(FILTER('REGISTRO PROD. v1'!BE:BE,'REGISTRO PROD. v1'!BC:BC=B822)),0),
    IFERROR(MAX(FILTER('REGISTRO PROD. v1'!BV:BV,'REGISTRO PROD. v1'!BT:BT=B822)),0)
  )=0,
  ""NO"",
  IF(
    MAX(
      IFERROR(MAX(FILTER('REGISTRO PROD. v1'!F"&amp;":F,'REGISTRO PROD. v1'!D:D=B822)),0),
      IFERROR(MAX(FILTER('REGISTRO PROD. v1'!W:W,'REGISTRO PROD. v1'!U:U=B822)),0),
      IFERROR(MAX(FILTER('REGISTRO PROD. v1'!AN:AN,'REGISTRO PROD. v1'!AL:AL=B822)),0),
      IFERROR(MAX(FILTER('REGISTRO PROD. v1'!"&amp;"BE:BE,'REGISTRO PROD. v1'!BC:BC=B822)),0),
      IFERROR(MAX(FILTER('REGISTRO PROD. v1'!BV:BV,'REGISTRO PROD. v1'!BT:BT=B822)),0)
    )&gt;=F822,
    ""SI"",
    ""EN PROCESO""
  )
)
"),"NO")</f>
        <v>NO</v>
      </c>
      <c r="F822" s="132" t="s">
        <v>65</v>
      </c>
    </row>
    <row r="823" spans="2:6" ht="15" x14ac:dyDescent="0.25">
      <c r="B823" s="131">
        <v>820</v>
      </c>
      <c r="C823" s="131">
        <v>2023</v>
      </c>
      <c r="D823" s="131" t="s">
        <v>106</v>
      </c>
      <c r="E823" s="131" t="str">
        <f ca="1">IFERROR(__xludf.DUMMYFUNCTION("IF(
  MAX(
    IFERROR(MAX(FILTER('REGISTRO PROD. v1'!F:F,'REGISTRO PROD. v1'!D:D=B823)),0),
    IFERROR(MAX(FILTER('REGISTRO PROD. v1'!W:W,'REGISTRO PROD. v1'!U:U=B823)),0),
    IFERROR(MAX(FILTER('REGISTRO PROD. v1'!AN:AN,'REGISTRO PROD. v1'!AL:AL=B823)"&amp;"),0),
    IFERROR(MAX(FILTER('REGISTRO PROD. v1'!BE:BE,'REGISTRO PROD. v1'!BC:BC=B823)),0),
    IFERROR(MAX(FILTER('REGISTRO PROD. v1'!BV:BV,'REGISTRO PROD. v1'!BT:BT=B823)),0)
  )=0,
  ""NO"",
  IF(
    MAX(
      IFERROR(MAX(FILTER('REGISTRO PROD. v1'!F"&amp;":F,'REGISTRO PROD. v1'!D:D=B823)),0),
      IFERROR(MAX(FILTER('REGISTRO PROD. v1'!W:W,'REGISTRO PROD. v1'!U:U=B823)),0),
      IFERROR(MAX(FILTER('REGISTRO PROD. v1'!AN:AN,'REGISTRO PROD. v1'!AL:AL=B823)),0),
      IFERROR(MAX(FILTER('REGISTRO PROD. v1'!"&amp;"BE:BE,'REGISTRO PROD. v1'!BC:BC=B823)),0),
      IFERROR(MAX(FILTER('REGISTRO PROD. v1'!BV:BV,'REGISTRO PROD. v1'!BT:BT=B823)),0)
    )&gt;=F823,
    ""SI"",
    ""EN PROCESO""
  )
)
"),"NO")</f>
        <v>NO</v>
      </c>
      <c r="F823" s="132" t="s">
        <v>65</v>
      </c>
    </row>
    <row r="824" spans="2:6" ht="15" x14ac:dyDescent="0.25">
      <c r="B824" s="131">
        <v>821</v>
      </c>
      <c r="C824" s="131">
        <v>2023</v>
      </c>
      <c r="D824" s="131" t="s">
        <v>107</v>
      </c>
      <c r="E824" s="131" t="str">
        <f ca="1">IFERROR(__xludf.DUMMYFUNCTION("IF(
  MAX(
    IFERROR(MAX(FILTER('REGISTRO PROD. v1'!F:F,'REGISTRO PROD. v1'!D:D=B824)),0),
    IFERROR(MAX(FILTER('REGISTRO PROD. v1'!W:W,'REGISTRO PROD. v1'!U:U=B824)),0),
    IFERROR(MAX(FILTER('REGISTRO PROD. v1'!AN:AN,'REGISTRO PROD. v1'!AL:AL=B824)"&amp;"),0),
    IFERROR(MAX(FILTER('REGISTRO PROD. v1'!BE:BE,'REGISTRO PROD. v1'!BC:BC=B824)),0),
    IFERROR(MAX(FILTER('REGISTRO PROD. v1'!BV:BV,'REGISTRO PROD. v1'!BT:BT=B824)),0)
  )=0,
  ""NO"",
  IF(
    MAX(
      IFERROR(MAX(FILTER('REGISTRO PROD. v1'!F"&amp;":F,'REGISTRO PROD. v1'!D:D=B824)),0),
      IFERROR(MAX(FILTER('REGISTRO PROD. v1'!W:W,'REGISTRO PROD. v1'!U:U=B824)),0),
      IFERROR(MAX(FILTER('REGISTRO PROD. v1'!AN:AN,'REGISTRO PROD. v1'!AL:AL=B824)),0),
      IFERROR(MAX(FILTER('REGISTRO PROD. v1'!"&amp;"BE:BE,'REGISTRO PROD. v1'!BC:BC=B824)),0),
      IFERROR(MAX(FILTER('REGISTRO PROD. v1'!BV:BV,'REGISTRO PROD. v1'!BT:BT=B824)),0)
    )&gt;=F824,
    ""SI"",
    ""EN PROCESO""
  )
)
"),"NO")</f>
        <v>NO</v>
      </c>
      <c r="F824" s="132" t="s">
        <v>65</v>
      </c>
    </row>
    <row r="825" spans="2:6" ht="15" x14ac:dyDescent="0.25">
      <c r="B825" s="131">
        <v>822</v>
      </c>
      <c r="C825" s="131">
        <v>2023</v>
      </c>
      <c r="D825" s="131" t="s">
        <v>108</v>
      </c>
      <c r="E825" s="131" t="str">
        <f ca="1">IFERROR(__xludf.DUMMYFUNCTION("IF(
  MAX(
    IFERROR(MAX(FILTER('REGISTRO PROD. v1'!F:F,'REGISTRO PROD. v1'!D:D=B825)),0),
    IFERROR(MAX(FILTER('REGISTRO PROD. v1'!W:W,'REGISTRO PROD. v1'!U:U=B825)),0),
    IFERROR(MAX(FILTER('REGISTRO PROD. v1'!AN:AN,'REGISTRO PROD. v1'!AL:AL=B825)"&amp;"),0),
    IFERROR(MAX(FILTER('REGISTRO PROD. v1'!BE:BE,'REGISTRO PROD. v1'!BC:BC=B825)),0),
    IFERROR(MAX(FILTER('REGISTRO PROD. v1'!BV:BV,'REGISTRO PROD. v1'!BT:BT=B825)),0)
  )=0,
  ""NO"",
  IF(
    MAX(
      IFERROR(MAX(FILTER('REGISTRO PROD. v1'!F"&amp;":F,'REGISTRO PROD. v1'!D:D=B825)),0),
      IFERROR(MAX(FILTER('REGISTRO PROD. v1'!W:W,'REGISTRO PROD. v1'!U:U=B825)),0),
      IFERROR(MAX(FILTER('REGISTRO PROD. v1'!AN:AN,'REGISTRO PROD. v1'!AL:AL=B825)),0),
      IFERROR(MAX(FILTER('REGISTRO PROD. v1'!"&amp;"BE:BE,'REGISTRO PROD. v1'!BC:BC=B825)),0),
      IFERROR(MAX(FILTER('REGISTRO PROD. v1'!BV:BV,'REGISTRO PROD. v1'!BT:BT=B825)),0)
    )&gt;=F825,
    ""SI"",
    ""EN PROCESO""
  )
)
"),"NO")</f>
        <v>NO</v>
      </c>
      <c r="F825" s="132" t="s">
        <v>65</v>
      </c>
    </row>
    <row r="826" spans="2:6" ht="15" x14ac:dyDescent="0.25">
      <c r="B826" s="131">
        <v>823</v>
      </c>
      <c r="C826" s="131">
        <v>2023</v>
      </c>
      <c r="D826" s="131" t="s">
        <v>109</v>
      </c>
      <c r="E826" s="131" t="str">
        <f ca="1">IFERROR(__xludf.DUMMYFUNCTION("IF(
  MAX(
    IFERROR(MAX(FILTER('REGISTRO PROD. v1'!F:F,'REGISTRO PROD. v1'!D:D=B826)),0),
    IFERROR(MAX(FILTER('REGISTRO PROD. v1'!W:W,'REGISTRO PROD. v1'!U:U=B826)),0),
    IFERROR(MAX(FILTER('REGISTRO PROD. v1'!AN:AN,'REGISTRO PROD. v1'!AL:AL=B826)"&amp;"),0),
    IFERROR(MAX(FILTER('REGISTRO PROD. v1'!BE:BE,'REGISTRO PROD. v1'!BC:BC=B826)),0),
    IFERROR(MAX(FILTER('REGISTRO PROD. v1'!BV:BV,'REGISTRO PROD. v1'!BT:BT=B826)),0)
  )=0,
  ""NO"",
  IF(
    MAX(
      IFERROR(MAX(FILTER('REGISTRO PROD. v1'!F"&amp;":F,'REGISTRO PROD. v1'!D:D=B826)),0),
      IFERROR(MAX(FILTER('REGISTRO PROD. v1'!W:W,'REGISTRO PROD. v1'!U:U=B826)),0),
      IFERROR(MAX(FILTER('REGISTRO PROD. v1'!AN:AN,'REGISTRO PROD. v1'!AL:AL=B826)),0),
      IFERROR(MAX(FILTER('REGISTRO PROD. v1'!"&amp;"BE:BE,'REGISTRO PROD. v1'!BC:BC=B826)),0),
      IFERROR(MAX(FILTER('REGISTRO PROD. v1'!BV:BV,'REGISTRO PROD. v1'!BT:BT=B826)),0)
    )&gt;=F826,
    ""SI"",
    ""EN PROCESO""
  )
)
"),"NO")</f>
        <v>NO</v>
      </c>
      <c r="F826" s="132" t="s">
        <v>65</v>
      </c>
    </row>
    <row r="827" spans="2:6" ht="15" x14ac:dyDescent="0.25">
      <c r="B827" s="131">
        <v>824</v>
      </c>
      <c r="C827" s="131">
        <v>2023</v>
      </c>
      <c r="D827" s="131" t="s">
        <v>110</v>
      </c>
      <c r="E827" s="131" t="str">
        <f ca="1">IFERROR(__xludf.DUMMYFUNCTION("IF(
  MAX(
    IFERROR(MAX(FILTER('REGISTRO PROD. v1'!F:F,'REGISTRO PROD. v1'!D:D=B827)),0),
    IFERROR(MAX(FILTER('REGISTRO PROD. v1'!W:W,'REGISTRO PROD. v1'!U:U=B827)),0),
    IFERROR(MAX(FILTER('REGISTRO PROD. v1'!AN:AN,'REGISTRO PROD. v1'!AL:AL=B827)"&amp;"),0),
    IFERROR(MAX(FILTER('REGISTRO PROD. v1'!BE:BE,'REGISTRO PROD. v1'!BC:BC=B827)),0),
    IFERROR(MAX(FILTER('REGISTRO PROD. v1'!BV:BV,'REGISTRO PROD. v1'!BT:BT=B827)),0)
  )=0,
  ""NO"",
  IF(
    MAX(
      IFERROR(MAX(FILTER('REGISTRO PROD. v1'!F"&amp;":F,'REGISTRO PROD. v1'!D:D=B827)),0),
      IFERROR(MAX(FILTER('REGISTRO PROD. v1'!W:W,'REGISTRO PROD. v1'!U:U=B827)),0),
      IFERROR(MAX(FILTER('REGISTRO PROD. v1'!AN:AN,'REGISTRO PROD. v1'!AL:AL=B827)),0),
      IFERROR(MAX(FILTER('REGISTRO PROD. v1'!"&amp;"BE:BE,'REGISTRO PROD. v1'!BC:BC=B827)),0),
      IFERROR(MAX(FILTER('REGISTRO PROD. v1'!BV:BV,'REGISTRO PROD. v1'!BT:BT=B827)),0)
    )&gt;=F827,
    ""SI"",
    ""EN PROCESO""
  )
)
"),"NO")</f>
        <v>NO</v>
      </c>
      <c r="F827" s="132" t="s">
        <v>65</v>
      </c>
    </row>
    <row r="828" spans="2:6" ht="15" x14ac:dyDescent="0.25">
      <c r="B828" s="131">
        <v>825</v>
      </c>
      <c r="C828" s="131">
        <v>2023</v>
      </c>
      <c r="D828" s="131" t="s">
        <v>111</v>
      </c>
      <c r="E828" s="131" t="str">
        <f ca="1">IFERROR(__xludf.DUMMYFUNCTION("IF(
  MAX(
    IFERROR(MAX(FILTER('REGISTRO PROD. v1'!F:F,'REGISTRO PROD. v1'!D:D=B828)),0),
    IFERROR(MAX(FILTER('REGISTRO PROD. v1'!W:W,'REGISTRO PROD. v1'!U:U=B828)),0),
    IFERROR(MAX(FILTER('REGISTRO PROD. v1'!AN:AN,'REGISTRO PROD. v1'!AL:AL=B828)"&amp;"),0),
    IFERROR(MAX(FILTER('REGISTRO PROD. v1'!BE:BE,'REGISTRO PROD. v1'!BC:BC=B828)),0),
    IFERROR(MAX(FILTER('REGISTRO PROD. v1'!BV:BV,'REGISTRO PROD. v1'!BT:BT=B828)),0)
  )=0,
  ""NO"",
  IF(
    MAX(
      IFERROR(MAX(FILTER('REGISTRO PROD. v1'!F"&amp;":F,'REGISTRO PROD. v1'!D:D=B828)),0),
      IFERROR(MAX(FILTER('REGISTRO PROD. v1'!W:W,'REGISTRO PROD. v1'!U:U=B828)),0),
      IFERROR(MAX(FILTER('REGISTRO PROD. v1'!AN:AN,'REGISTRO PROD. v1'!AL:AL=B828)),0),
      IFERROR(MAX(FILTER('REGISTRO PROD. v1'!"&amp;"BE:BE,'REGISTRO PROD. v1'!BC:BC=B828)),0),
      IFERROR(MAX(FILTER('REGISTRO PROD. v1'!BV:BV,'REGISTRO PROD. v1'!BT:BT=B828)),0)
    )&gt;=F828,
    ""SI"",
    ""EN PROCESO""
  )
)
"),"NO")</f>
        <v>NO</v>
      </c>
      <c r="F828" s="132" t="s">
        <v>65</v>
      </c>
    </row>
    <row r="829" spans="2:6" ht="15" x14ac:dyDescent="0.25">
      <c r="B829" s="131">
        <v>826</v>
      </c>
      <c r="C829" s="131">
        <v>2023</v>
      </c>
      <c r="D829" s="131" t="s">
        <v>112</v>
      </c>
      <c r="E829" s="131" t="str">
        <f ca="1">IFERROR(__xludf.DUMMYFUNCTION("IF(
  MAX(
    IFERROR(MAX(FILTER('REGISTRO PROD. v1'!F:F,'REGISTRO PROD. v1'!D:D=B829)),0),
    IFERROR(MAX(FILTER('REGISTRO PROD. v1'!W:W,'REGISTRO PROD. v1'!U:U=B829)),0),
    IFERROR(MAX(FILTER('REGISTRO PROD. v1'!AN:AN,'REGISTRO PROD. v1'!AL:AL=B829)"&amp;"),0),
    IFERROR(MAX(FILTER('REGISTRO PROD. v1'!BE:BE,'REGISTRO PROD. v1'!BC:BC=B829)),0),
    IFERROR(MAX(FILTER('REGISTRO PROD. v1'!BV:BV,'REGISTRO PROD. v1'!BT:BT=B829)),0)
  )=0,
  ""NO"",
  IF(
    MAX(
      IFERROR(MAX(FILTER('REGISTRO PROD. v1'!F"&amp;":F,'REGISTRO PROD. v1'!D:D=B829)),0),
      IFERROR(MAX(FILTER('REGISTRO PROD. v1'!W:W,'REGISTRO PROD. v1'!U:U=B829)),0),
      IFERROR(MAX(FILTER('REGISTRO PROD. v1'!AN:AN,'REGISTRO PROD. v1'!AL:AL=B829)),0),
      IFERROR(MAX(FILTER('REGISTRO PROD. v1'!"&amp;"BE:BE,'REGISTRO PROD. v1'!BC:BC=B829)),0),
      IFERROR(MAX(FILTER('REGISTRO PROD. v1'!BV:BV,'REGISTRO PROD. v1'!BT:BT=B829)),0)
    )&gt;=F829,
    ""SI"",
    ""EN PROCESO""
  )
)
"),"NO")</f>
        <v>NO</v>
      </c>
      <c r="F829" s="132" t="s">
        <v>65</v>
      </c>
    </row>
    <row r="830" spans="2:6" ht="15" x14ac:dyDescent="0.25">
      <c r="B830" s="131">
        <v>827</v>
      </c>
      <c r="C830" s="131">
        <v>2023</v>
      </c>
      <c r="D830" s="131" t="s">
        <v>113</v>
      </c>
      <c r="E830" s="131" t="str">
        <f ca="1">IFERROR(__xludf.DUMMYFUNCTION("IF(
  MAX(
    IFERROR(MAX(FILTER('REGISTRO PROD. v1'!F:F,'REGISTRO PROD. v1'!D:D=B830)),0),
    IFERROR(MAX(FILTER('REGISTRO PROD. v1'!W:W,'REGISTRO PROD. v1'!U:U=B830)),0),
    IFERROR(MAX(FILTER('REGISTRO PROD. v1'!AN:AN,'REGISTRO PROD. v1'!AL:AL=B830)"&amp;"),0),
    IFERROR(MAX(FILTER('REGISTRO PROD. v1'!BE:BE,'REGISTRO PROD. v1'!BC:BC=B830)),0),
    IFERROR(MAX(FILTER('REGISTRO PROD. v1'!BV:BV,'REGISTRO PROD. v1'!BT:BT=B830)),0)
  )=0,
  ""NO"",
  IF(
    MAX(
      IFERROR(MAX(FILTER('REGISTRO PROD. v1'!F"&amp;":F,'REGISTRO PROD. v1'!D:D=B830)),0),
      IFERROR(MAX(FILTER('REGISTRO PROD. v1'!W:W,'REGISTRO PROD. v1'!U:U=B830)),0),
      IFERROR(MAX(FILTER('REGISTRO PROD. v1'!AN:AN,'REGISTRO PROD. v1'!AL:AL=B830)),0),
      IFERROR(MAX(FILTER('REGISTRO PROD. v1'!"&amp;"BE:BE,'REGISTRO PROD. v1'!BC:BC=B830)),0),
      IFERROR(MAX(FILTER('REGISTRO PROD. v1'!BV:BV,'REGISTRO PROD. v1'!BT:BT=B830)),0)
    )&gt;=F830,
    ""SI"",
    ""EN PROCESO""
  )
)
"),"NO")</f>
        <v>NO</v>
      </c>
      <c r="F830" s="132" t="s">
        <v>65</v>
      </c>
    </row>
    <row r="831" spans="2:6" ht="15" x14ac:dyDescent="0.25">
      <c r="B831" s="131">
        <v>828</v>
      </c>
      <c r="C831" s="131">
        <v>2023</v>
      </c>
      <c r="D831" s="131" t="s">
        <v>114</v>
      </c>
      <c r="E831" s="131" t="str">
        <f ca="1">IFERROR(__xludf.DUMMYFUNCTION("IF(
  MAX(
    IFERROR(MAX(FILTER('REGISTRO PROD. v1'!F:F,'REGISTRO PROD. v1'!D:D=B831)),0),
    IFERROR(MAX(FILTER('REGISTRO PROD. v1'!W:W,'REGISTRO PROD. v1'!U:U=B831)),0),
    IFERROR(MAX(FILTER('REGISTRO PROD. v1'!AN:AN,'REGISTRO PROD. v1'!AL:AL=B831)"&amp;"),0),
    IFERROR(MAX(FILTER('REGISTRO PROD. v1'!BE:BE,'REGISTRO PROD. v1'!BC:BC=B831)),0),
    IFERROR(MAX(FILTER('REGISTRO PROD. v1'!BV:BV,'REGISTRO PROD. v1'!BT:BT=B831)),0)
  )=0,
  ""NO"",
  IF(
    MAX(
      IFERROR(MAX(FILTER('REGISTRO PROD. v1'!F"&amp;":F,'REGISTRO PROD. v1'!D:D=B831)),0),
      IFERROR(MAX(FILTER('REGISTRO PROD. v1'!W:W,'REGISTRO PROD. v1'!U:U=B831)),0),
      IFERROR(MAX(FILTER('REGISTRO PROD. v1'!AN:AN,'REGISTRO PROD. v1'!AL:AL=B831)),0),
      IFERROR(MAX(FILTER('REGISTRO PROD. v1'!"&amp;"BE:BE,'REGISTRO PROD. v1'!BC:BC=B831)),0),
      IFERROR(MAX(FILTER('REGISTRO PROD. v1'!BV:BV,'REGISTRO PROD. v1'!BT:BT=B831)),0)
    )&gt;=F831,
    ""SI"",
    ""EN PROCESO""
  )
)
"),"NO")</f>
        <v>NO</v>
      </c>
      <c r="F831" s="132" t="s">
        <v>65</v>
      </c>
    </row>
    <row r="832" spans="2:6" ht="15" x14ac:dyDescent="0.25">
      <c r="B832" s="131">
        <v>829</v>
      </c>
      <c r="C832" s="131">
        <v>2023</v>
      </c>
      <c r="D832" s="131" t="s">
        <v>115</v>
      </c>
      <c r="E832" s="131" t="str">
        <f ca="1">IFERROR(__xludf.DUMMYFUNCTION("IF(
  MAX(
    IFERROR(MAX(FILTER('REGISTRO PROD. v1'!F:F,'REGISTRO PROD. v1'!D:D=B832)),0),
    IFERROR(MAX(FILTER('REGISTRO PROD. v1'!W:W,'REGISTRO PROD. v1'!U:U=B832)),0),
    IFERROR(MAX(FILTER('REGISTRO PROD. v1'!AN:AN,'REGISTRO PROD. v1'!AL:AL=B832)"&amp;"),0),
    IFERROR(MAX(FILTER('REGISTRO PROD. v1'!BE:BE,'REGISTRO PROD. v1'!BC:BC=B832)),0),
    IFERROR(MAX(FILTER('REGISTRO PROD. v1'!BV:BV,'REGISTRO PROD. v1'!BT:BT=B832)),0)
  )=0,
  ""NO"",
  IF(
    MAX(
      IFERROR(MAX(FILTER('REGISTRO PROD. v1'!F"&amp;":F,'REGISTRO PROD. v1'!D:D=B832)),0),
      IFERROR(MAX(FILTER('REGISTRO PROD. v1'!W:W,'REGISTRO PROD. v1'!U:U=B832)),0),
      IFERROR(MAX(FILTER('REGISTRO PROD. v1'!AN:AN,'REGISTRO PROD. v1'!AL:AL=B832)),0),
      IFERROR(MAX(FILTER('REGISTRO PROD. v1'!"&amp;"BE:BE,'REGISTRO PROD. v1'!BC:BC=B832)),0),
      IFERROR(MAX(FILTER('REGISTRO PROD. v1'!BV:BV,'REGISTRO PROD. v1'!BT:BT=B832)),0)
    )&gt;=F832,
    ""SI"",
    ""EN PROCESO""
  )
)
"),"NO")</f>
        <v>NO</v>
      </c>
      <c r="F832" s="132" t="s">
        <v>65</v>
      </c>
    </row>
    <row r="833" spans="2:6" ht="15" x14ac:dyDescent="0.25">
      <c r="B833" s="131">
        <v>830</v>
      </c>
      <c r="C833" s="131">
        <v>2023</v>
      </c>
      <c r="D833" s="131" t="s">
        <v>116</v>
      </c>
      <c r="E833" s="131" t="str">
        <f ca="1">IFERROR(__xludf.DUMMYFUNCTION("IF(
  MAX(
    IFERROR(MAX(FILTER('REGISTRO PROD. v1'!F:F,'REGISTRO PROD. v1'!D:D=B833)),0),
    IFERROR(MAX(FILTER('REGISTRO PROD. v1'!W:W,'REGISTRO PROD. v1'!U:U=B833)),0),
    IFERROR(MAX(FILTER('REGISTRO PROD. v1'!AN:AN,'REGISTRO PROD. v1'!AL:AL=B833)"&amp;"),0),
    IFERROR(MAX(FILTER('REGISTRO PROD. v1'!BE:BE,'REGISTRO PROD. v1'!BC:BC=B833)),0),
    IFERROR(MAX(FILTER('REGISTRO PROD. v1'!BV:BV,'REGISTRO PROD. v1'!BT:BT=B833)),0)
  )=0,
  ""NO"",
  IF(
    MAX(
      IFERROR(MAX(FILTER('REGISTRO PROD. v1'!F"&amp;":F,'REGISTRO PROD. v1'!D:D=B833)),0),
      IFERROR(MAX(FILTER('REGISTRO PROD. v1'!W:W,'REGISTRO PROD. v1'!U:U=B833)),0),
      IFERROR(MAX(FILTER('REGISTRO PROD. v1'!AN:AN,'REGISTRO PROD. v1'!AL:AL=B833)),0),
      IFERROR(MAX(FILTER('REGISTRO PROD. v1'!"&amp;"BE:BE,'REGISTRO PROD. v1'!BC:BC=B833)),0),
      IFERROR(MAX(FILTER('REGISTRO PROD. v1'!BV:BV,'REGISTRO PROD. v1'!BT:BT=B833)),0)
    )&gt;=F833,
    ""SI"",
    ""EN PROCESO""
  )
)
"),"NO")</f>
        <v>NO</v>
      </c>
      <c r="F833" s="132" t="s">
        <v>65</v>
      </c>
    </row>
    <row r="834" spans="2:6" ht="15" x14ac:dyDescent="0.25">
      <c r="B834" s="131">
        <v>831</v>
      </c>
      <c r="C834" s="131">
        <v>2023</v>
      </c>
      <c r="D834" s="131" t="s">
        <v>117</v>
      </c>
      <c r="E834" s="131" t="str">
        <f ca="1">IFERROR(__xludf.DUMMYFUNCTION("IF(
  MAX(
    IFERROR(MAX(FILTER('REGISTRO PROD. v1'!F:F,'REGISTRO PROD. v1'!D:D=B834)),0),
    IFERROR(MAX(FILTER('REGISTRO PROD. v1'!W:W,'REGISTRO PROD. v1'!U:U=B834)),0),
    IFERROR(MAX(FILTER('REGISTRO PROD. v1'!AN:AN,'REGISTRO PROD. v1'!AL:AL=B834)"&amp;"),0),
    IFERROR(MAX(FILTER('REGISTRO PROD. v1'!BE:BE,'REGISTRO PROD. v1'!BC:BC=B834)),0),
    IFERROR(MAX(FILTER('REGISTRO PROD. v1'!BV:BV,'REGISTRO PROD. v1'!BT:BT=B834)),0)
  )=0,
  ""NO"",
  IF(
    MAX(
      IFERROR(MAX(FILTER('REGISTRO PROD. v1'!F"&amp;":F,'REGISTRO PROD. v1'!D:D=B834)),0),
      IFERROR(MAX(FILTER('REGISTRO PROD. v1'!W:W,'REGISTRO PROD. v1'!U:U=B834)),0),
      IFERROR(MAX(FILTER('REGISTRO PROD. v1'!AN:AN,'REGISTRO PROD. v1'!AL:AL=B834)),0),
      IFERROR(MAX(FILTER('REGISTRO PROD. v1'!"&amp;"BE:BE,'REGISTRO PROD. v1'!BC:BC=B834)),0),
      IFERROR(MAX(FILTER('REGISTRO PROD. v1'!BV:BV,'REGISTRO PROD. v1'!BT:BT=B834)),0)
    )&gt;=F834,
    ""SI"",
    ""EN PROCESO""
  )
)
"),"NO")</f>
        <v>NO</v>
      </c>
      <c r="F834" s="132" t="s">
        <v>65</v>
      </c>
    </row>
    <row r="835" spans="2:6" ht="15" x14ac:dyDescent="0.25">
      <c r="B835" s="131">
        <v>832</v>
      </c>
      <c r="C835" s="131">
        <v>2023</v>
      </c>
      <c r="D835" s="131" t="s">
        <v>118</v>
      </c>
      <c r="E835" s="131" t="str">
        <f ca="1">IFERROR(__xludf.DUMMYFUNCTION("IF(
  MAX(
    IFERROR(MAX(FILTER('REGISTRO PROD. v1'!F:F,'REGISTRO PROD. v1'!D:D=B835)),0),
    IFERROR(MAX(FILTER('REGISTRO PROD. v1'!W:W,'REGISTRO PROD. v1'!U:U=B835)),0),
    IFERROR(MAX(FILTER('REGISTRO PROD. v1'!AN:AN,'REGISTRO PROD. v1'!AL:AL=B835)"&amp;"),0),
    IFERROR(MAX(FILTER('REGISTRO PROD. v1'!BE:BE,'REGISTRO PROD. v1'!BC:BC=B835)),0),
    IFERROR(MAX(FILTER('REGISTRO PROD. v1'!BV:BV,'REGISTRO PROD. v1'!BT:BT=B835)),0)
  )=0,
  ""NO"",
  IF(
    MAX(
      IFERROR(MAX(FILTER('REGISTRO PROD. v1'!F"&amp;":F,'REGISTRO PROD. v1'!D:D=B835)),0),
      IFERROR(MAX(FILTER('REGISTRO PROD. v1'!W:W,'REGISTRO PROD. v1'!U:U=B835)),0),
      IFERROR(MAX(FILTER('REGISTRO PROD. v1'!AN:AN,'REGISTRO PROD. v1'!AL:AL=B835)),0),
      IFERROR(MAX(FILTER('REGISTRO PROD. v1'!"&amp;"BE:BE,'REGISTRO PROD. v1'!BC:BC=B835)),0),
      IFERROR(MAX(FILTER('REGISTRO PROD. v1'!BV:BV,'REGISTRO PROD. v1'!BT:BT=B835)),0)
    )&gt;=F835,
    ""SI"",
    ""EN PROCESO""
  )
)
"),"NO")</f>
        <v>NO</v>
      </c>
      <c r="F835" s="132" t="s">
        <v>65</v>
      </c>
    </row>
    <row r="836" spans="2:6" ht="15" x14ac:dyDescent="0.25">
      <c r="B836" s="131">
        <v>833</v>
      </c>
      <c r="C836" s="131">
        <v>2023</v>
      </c>
      <c r="D836" s="131" t="s">
        <v>119</v>
      </c>
      <c r="E836" s="131" t="str">
        <f ca="1">IFERROR(__xludf.DUMMYFUNCTION("IF(
  MAX(
    IFERROR(MAX(FILTER('REGISTRO PROD. v1'!F:F,'REGISTRO PROD. v1'!D:D=B836)),0),
    IFERROR(MAX(FILTER('REGISTRO PROD. v1'!W:W,'REGISTRO PROD. v1'!U:U=B836)),0),
    IFERROR(MAX(FILTER('REGISTRO PROD. v1'!AN:AN,'REGISTRO PROD. v1'!AL:AL=B836)"&amp;"),0),
    IFERROR(MAX(FILTER('REGISTRO PROD. v1'!BE:BE,'REGISTRO PROD. v1'!BC:BC=B836)),0),
    IFERROR(MAX(FILTER('REGISTRO PROD. v1'!BV:BV,'REGISTRO PROD. v1'!BT:BT=B836)),0)
  )=0,
  ""NO"",
  IF(
    MAX(
      IFERROR(MAX(FILTER('REGISTRO PROD. v1'!F"&amp;":F,'REGISTRO PROD. v1'!D:D=B836)),0),
      IFERROR(MAX(FILTER('REGISTRO PROD. v1'!W:W,'REGISTRO PROD. v1'!U:U=B836)),0),
      IFERROR(MAX(FILTER('REGISTRO PROD. v1'!AN:AN,'REGISTRO PROD. v1'!AL:AL=B836)),0),
      IFERROR(MAX(FILTER('REGISTRO PROD. v1'!"&amp;"BE:BE,'REGISTRO PROD. v1'!BC:BC=B836)),0),
      IFERROR(MAX(FILTER('REGISTRO PROD. v1'!BV:BV,'REGISTRO PROD. v1'!BT:BT=B836)),0)
    )&gt;=F836,
    ""SI"",
    ""EN PROCESO""
  )
)
"),"NO")</f>
        <v>NO</v>
      </c>
      <c r="F836" s="132" t="s">
        <v>65</v>
      </c>
    </row>
    <row r="837" spans="2:6" ht="15" x14ac:dyDescent="0.25">
      <c r="B837" s="131">
        <v>834</v>
      </c>
      <c r="C837" s="131">
        <v>2023</v>
      </c>
      <c r="D837" s="131" t="s">
        <v>121</v>
      </c>
      <c r="E837" s="131" t="str">
        <f ca="1">IFERROR(__xludf.DUMMYFUNCTION("IF(
  MAX(
    IFERROR(MAX(FILTER('REGISTRO PROD. v1'!F:F,'REGISTRO PROD. v1'!D:D=B837)),0),
    IFERROR(MAX(FILTER('REGISTRO PROD. v1'!W:W,'REGISTRO PROD. v1'!U:U=B837)),0),
    IFERROR(MAX(FILTER('REGISTRO PROD. v1'!AN:AN,'REGISTRO PROD. v1'!AL:AL=B837)"&amp;"),0),
    IFERROR(MAX(FILTER('REGISTRO PROD. v1'!BE:BE,'REGISTRO PROD. v1'!BC:BC=B837)),0),
    IFERROR(MAX(FILTER('REGISTRO PROD. v1'!BV:BV,'REGISTRO PROD. v1'!BT:BT=B837)),0)
  )=0,
  ""NO"",
  IF(
    MAX(
      IFERROR(MAX(FILTER('REGISTRO PROD. v1'!F"&amp;":F,'REGISTRO PROD. v1'!D:D=B837)),0),
      IFERROR(MAX(FILTER('REGISTRO PROD. v1'!W:W,'REGISTRO PROD. v1'!U:U=B837)),0),
      IFERROR(MAX(FILTER('REGISTRO PROD. v1'!AN:AN,'REGISTRO PROD. v1'!AL:AL=B837)),0),
      IFERROR(MAX(FILTER('REGISTRO PROD. v1'!"&amp;"BE:BE,'REGISTRO PROD. v1'!BC:BC=B837)),0),
      IFERROR(MAX(FILTER('REGISTRO PROD. v1'!BV:BV,'REGISTRO PROD. v1'!BT:BT=B837)),0)
    )&gt;=F837,
    ""SI"",
    ""EN PROCESO""
  )
)
"),"NO")</f>
        <v>NO</v>
      </c>
      <c r="F837" s="132" t="s">
        <v>65</v>
      </c>
    </row>
    <row r="838" spans="2:6" ht="15" x14ac:dyDescent="0.25">
      <c r="B838" s="131">
        <v>835</v>
      </c>
      <c r="C838" s="131">
        <v>2023</v>
      </c>
      <c r="D838" s="131" t="s">
        <v>122</v>
      </c>
      <c r="E838" s="131" t="str">
        <f ca="1">IFERROR(__xludf.DUMMYFUNCTION("IF(
  MAX(
    IFERROR(MAX(FILTER('REGISTRO PROD. v1'!F:F,'REGISTRO PROD. v1'!D:D=B838)),0),
    IFERROR(MAX(FILTER('REGISTRO PROD. v1'!W:W,'REGISTRO PROD. v1'!U:U=B838)),0),
    IFERROR(MAX(FILTER('REGISTRO PROD. v1'!AN:AN,'REGISTRO PROD. v1'!AL:AL=B838)"&amp;"),0),
    IFERROR(MAX(FILTER('REGISTRO PROD. v1'!BE:BE,'REGISTRO PROD. v1'!BC:BC=B838)),0),
    IFERROR(MAX(FILTER('REGISTRO PROD. v1'!BV:BV,'REGISTRO PROD. v1'!BT:BT=B838)),0)
  )=0,
  ""NO"",
  IF(
    MAX(
      IFERROR(MAX(FILTER('REGISTRO PROD. v1'!F"&amp;":F,'REGISTRO PROD. v1'!D:D=B838)),0),
      IFERROR(MAX(FILTER('REGISTRO PROD. v1'!W:W,'REGISTRO PROD. v1'!U:U=B838)),0),
      IFERROR(MAX(FILTER('REGISTRO PROD. v1'!AN:AN,'REGISTRO PROD. v1'!AL:AL=B838)),0),
      IFERROR(MAX(FILTER('REGISTRO PROD. v1'!"&amp;"BE:BE,'REGISTRO PROD. v1'!BC:BC=B838)),0),
      IFERROR(MAX(FILTER('REGISTRO PROD. v1'!BV:BV,'REGISTRO PROD. v1'!BT:BT=B838)),0)
    )&gt;=F838,
    ""SI"",
    ""EN PROCESO""
  )
)
"),"NO")</f>
        <v>NO</v>
      </c>
      <c r="F838" s="132" t="s">
        <v>65</v>
      </c>
    </row>
    <row r="839" spans="2:6" ht="15" x14ac:dyDescent="0.25">
      <c r="B839" s="131">
        <v>836</v>
      </c>
      <c r="C839" s="131">
        <v>2023</v>
      </c>
      <c r="D839" s="131" t="s">
        <v>123</v>
      </c>
      <c r="E839" s="131" t="str">
        <f ca="1">IFERROR(__xludf.DUMMYFUNCTION("IF(
  MAX(
    IFERROR(MAX(FILTER('REGISTRO PROD. v1'!F:F,'REGISTRO PROD. v1'!D:D=B839)),0),
    IFERROR(MAX(FILTER('REGISTRO PROD. v1'!W:W,'REGISTRO PROD. v1'!U:U=B839)),0),
    IFERROR(MAX(FILTER('REGISTRO PROD. v1'!AN:AN,'REGISTRO PROD. v1'!AL:AL=B839)"&amp;"),0),
    IFERROR(MAX(FILTER('REGISTRO PROD. v1'!BE:BE,'REGISTRO PROD. v1'!BC:BC=B839)),0),
    IFERROR(MAX(FILTER('REGISTRO PROD. v1'!BV:BV,'REGISTRO PROD. v1'!BT:BT=B839)),0)
  )=0,
  ""NO"",
  IF(
    MAX(
      IFERROR(MAX(FILTER('REGISTRO PROD. v1'!F"&amp;":F,'REGISTRO PROD. v1'!D:D=B839)),0),
      IFERROR(MAX(FILTER('REGISTRO PROD. v1'!W:W,'REGISTRO PROD. v1'!U:U=B839)),0),
      IFERROR(MAX(FILTER('REGISTRO PROD. v1'!AN:AN,'REGISTRO PROD. v1'!AL:AL=B839)),0),
      IFERROR(MAX(FILTER('REGISTRO PROD. v1'!"&amp;"BE:BE,'REGISTRO PROD. v1'!BC:BC=B839)),0),
      IFERROR(MAX(FILTER('REGISTRO PROD. v1'!BV:BV,'REGISTRO PROD. v1'!BT:BT=B839)),0)
    )&gt;=F839,
    ""SI"",
    ""EN PROCESO""
  )
)
"),"NO")</f>
        <v>NO</v>
      </c>
      <c r="F839" s="132" t="s">
        <v>187</v>
      </c>
    </row>
    <row r="840" spans="2:6" ht="15" x14ac:dyDescent="0.25">
      <c r="B840" s="131">
        <v>837</v>
      </c>
      <c r="C840" s="131">
        <v>2023</v>
      </c>
      <c r="D840" s="131" t="s">
        <v>124</v>
      </c>
      <c r="E840" s="131" t="str">
        <f ca="1">IFERROR(__xludf.DUMMYFUNCTION("IF(
  MAX(
    IFERROR(MAX(FILTER('REGISTRO PROD. v1'!F:F,'REGISTRO PROD. v1'!D:D=B840)),0),
    IFERROR(MAX(FILTER('REGISTRO PROD. v1'!W:W,'REGISTRO PROD. v1'!U:U=B840)),0),
    IFERROR(MAX(FILTER('REGISTRO PROD. v1'!AN:AN,'REGISTRO PROD. v1'!AL:AL=B840)"&amp;"),0),
    IFERROR(MAX(FILTER('REGISTRO PROD. v1'!BE:BE,'REGISTRO PROD. v1'!BC:BC=B840)),0),
    IFERROR(MAX(FILTER('REGISTRO PROD. v1'!BV:BV,'REGISTRO PROD. v1'!BT:BT=B840)),0)
  )=0,
  ""NO"",
  IF(
    MAX(
      IFERROR(MAX(FILTER('REGISTRO PROD. v1'!F"&amp;":F,'REGISTRO PROD. v1'!D:D=B840)),0),
      IFERROR(MAX(FILTER('REGISTRO PROD. v1'!W:W,'REGISTRO PROD. v1'!U:U=B840)),0),
      IFERROR(MAX(FILTER('REGISTRO PROD. v1'!AN:AN,'REGISTRO PROD. v1'!AL:AL=B840)),0),
      IFERROR(MAX(FILTER('REGISTRO PROD. v1'!"&amp;"BE:BE,'REGISTRO PROD. v1'!BC:BC=B840)),0),
      IFERROR(MAX(FILTER('REGISTRO PROD. v1'!BV:BV,'REGISTRO PROD. v1'!BT:BT=B840)),0)
    )&gt;=F840,
    ""SI"",
    ""EN PROCESO""
  )
)
"),"NO")</f>
        <v>NO</v>
      </c>
      <c r="F840" s="132" t="s">
        <v>65</v>
      </c>
    </row>
    <row r="841" spans="2:6" ht="15" x14ac:dyDescent="0.25">
      <c r="B841" s="131">
        <v>838</v>
      </c>
      <c r="C841" s="131">
        <v>2023</v>
      </c>
      <c r="D841" s="131" t="s">
        <v>125</v>
      </c>
      <c r="E841" s="131" t="str">
        <f ca="1">IFERROR(__xludf.DUMMYFUNCTION("IF(
  MAX(
    IFERROR(MAX(FILTER('REGISTRO PROD. v1'!F:F,'REGISTRO PROD. v1'!D:D=B841)),0),
    IFERROR(MAX(FILTER('REGISTRO PROD. v1'!W:W,'REGISTRO PROD. v1'!U:U=B841)),0),
    IFERROR(MAX(FILTER('REGISTRO PROD. v1'!AN:AN,'REGISTRO PROD. v1'!AL:AL=B841)"&amp;"),0),
    IFERROR(MAX(FILTER('REGISTRO PROD. v1'!BE:BE,'REGISTRO PROD. v1'!BC:BC=B841)),0),
    IFERROR(MAX(FILTER('REGISTRO PROD. v1'!BV:BV,'REGISTRO PROD. v1'!BT:BT=B841)),0)
  )=0,
  ""NO"",
  IF(
    MAX(
      IFERROR(MAX(FILTER('REGISTRO PROD. v1'!F"&amp;":F,'REGISTRO PROD. v1'!D:D=B841)),0),
      IFERROR(MAX(FILTER('REGISTRO PROD. v1'!W:W,'REGISTRO PROD. v1'!U:U=B841)),0),
      IFERROR(MAX(FILTER('REGISTRO PROD. v1'!AN:AN,'REGISTRO PROD. v1'!AL:AL=B841)),0),
      IFERROR(MAX(FILTER('REGISTRO PROD. v1'!"&amp;"BE:BE,'REGISTRO PROD. v1'!BC:BC=B841)),0),
      IFERROR(MAX(FILTER('REGISTRO PROD. v1'!BV:BV,'REGISTRO PROD. v1'!BT:BT=B841)),0)
    )&gt;=F841,
    ""SI"",
    ""EN PROCESO""
  )
)
"),"NO")</f>
        <v>NO</v>
      </c>
      <c r="F841" s="132" t="s">
        <v>65</v>
      </c>
    </row>
    <row r="842" spans="2:6" ht="15" x14ac:dyDescent="0.25">
      <c r="B842" s="131">
        <v>839</v>
      </c>
      <c r="C842" s="131">
        <v>2023</v>
      </c>
      <c r="D842" s="131" t="s">
        <v>126</v>
      </c>
      <c r="E842" s="131" t="str">
        <f ca="1">IFERROR(__xludf.DUMMYFUNCTION("IF(
  MAX(
    IFERROR(MAX(FILTER('REGISTRO PROD. v1'!F:F,'REGISTRO PROD. v1'!D:D=B842)),0),
    IFERROR(MAX(FILTER('REGISTRO PROD. v1'!W:W,'REGISTRO PROD. v1'!U:U=B842)),0),
    IFERROR(MAX(FILTER('REGISTRO PROD. v1'!AN:AN,'REGISTRO PROD. v1'!AL:AL=B842)"&amp;"),0),
    IFERROR(MAX(FILTER('REGISTRO PROD. v1'!BE:BE,'REGISTRO PROD. v1'!BC:BC=B842)),0),
    IFERROR(MAX(FILTER('REGISTRO PROD. v1'!BV:BV,'REGISTRO PROD. v1'!BT:BT=B842)),0)
  )=0,
  ""NO"",
  IF(
    MAX(
      IFERROR(MAX(FILTER('REGISTRO PROD. v1'!F"&amp;":F,'REGISTRO PROD. v1'!D:D=B842)),0),
      IFERROR(MAX(FILTER('REGISTRO PROD. v1'!W:W,'REGISTRO PROD. v1'!U:U=B842)),0),
      IFERROR(MAX(FILTER('REGISTRO PROD. v1'!AN:AN,'REGISTRO PROD. v1'!AL:AL=B842)),0),
      IFERROR(MAX(FILTER('REGISTRO PROD. v1'!"&amp;"BE:BE,'REGISTRO PROD. v1'!BC:BC=B842)),0),
      IFERROR(MAX(FILTER('REGISTRO PROD. v1'!BV:BV,'REGISTRO PROD. v1'!BT:BT=B842)),0)
    )&gt;=F842,
    ""SI"",
    ""EN PROCESO""
  )
)
"),"NO")</f>
        <v>NO</v>
      </c>
      <c r="F842" s="132" t="s">
        <v>65</v>
      </c>
    </row>
    <row r="843" spans="2:6" ht="15" x14ac:dyDescent="0.25">
      <c r="B843" s="131">
        <v>840</v>
      </c>
      <c r="C843" s="131">
        <v>2023</v>
      </c>
      <c r="D843" s="131" t="s">
        <v>188</v>
      </c>
      <c r="E843" s="131" t="str">
        <f ca="1">IFERROR(__xludf.DUMMYFUNCTION("IF(
  MAX(
    IFERROR(MAX(FILTER('REGISTRO PROD. v1'!F:F,'REGISTRO PROD. v1'!D:D=B843)),0),
    IFERROR(MAX(FILTER('REGISTRO PROD. v1'!W:W,'REGISTRO PROD. v1'!U:U=B843)),0),
    IFERROR(MAX(FILTER('REGISTRO PROD. v1'!AN:AN,'REGISTRO PROD. v1'!AL:AL=B843)"&amp;"),0),
    IFERROR(MAX(FILTER('REGISTRO PROD. v1'!BE:BE,'REGISTRO PROD. v1'!BC:BC=B843)),0),
    IFERROR(MAX(FILTER('REGISTRO PROD. v1'!BV:BV,'REGISTRO PROD. v1'!BT:BT=B843)),0)
  )=0,
  ""NO"",
  IF(
    MAX(
      IFERROR(MAX(FILTER('REGISTRO PROD. v1'!F"&amp;":F,'REGISTRO PROD. v1'!D:D=B843)),0),
      IFERROR(MAX(FILTER('REGISTRO PROD. v1'!W:W,'REGISTRO PROD. v1'!U:U=B843)),0),
      IFERROR(MAX(FILTER('REGISTRO PROD. v1'!AN:AN,'REGISTRO PROD. v1'!AL:AL=B843)),0),
      IFERROR(MAX(FILTER('REGISTRO PROD. v1'!"&amp;"BE:BE,'REGISTRO PROD. v1'!BC:BC=B843)),0),
      IFERROR(MAX(FILTER('REGISTRO PROD. v1'!BV:BV,'REGISTRO PROD. v1'!BT:BT=B843)),0)
    )&gt;=F843,
    ""SI"",
    ""EN PROCESO""
  )
)
"),"NO")</f>
        <v>NO</v>
      </c>
      <c r="F843" s="132" t="s">
        <v>65</v>
      </c>
    </row>
    <row r="844" spans="2:6" ht="15" x14ac:dyDescent="0.25">
      <c r="B844" s="183">
        <v>841</v>
      </c>
      <c r="C844" s="131">
        <v>2024</v>
      </c>
      <c r="D844" s="131" t="s">
        <v>189</v>
      </c>
      <c r="E844" s="131" t="str">
        <f ca="1">IFERROR(__xludf.DUMMYFUNCTION("IF(
  MAX(
    IFERROR(MAX(FILTER('REGISTRO PROD. v1'!F:F,'REGISTRO PROD. v1'!D:D=B844)),0),
    IFERROR(MAX(FILTER('REGISTRO PROD. v1'!W:W,'REGISTRO PROD. v1'!U:U=B844)),0),
    IFERROR(MAX(FILTER('REGISTRO PROD. v1'!AN:AN,'REGISTRO PROD. v1'!AL:AL=B844)"&amp;"),0),
    IFERROR(MAX(FILTER('REGISTRO PROD. v1'!BE:BE,'REGISTRO PROD. v1'!BC:BC=B844)),0),
    IFERROR(MAX(FILTER('REGISTRO PROD. v1'!BV:BV,'REGISTRO PROD. v1'!BT:BT=B844)),0)
  )=0,
  ""NO"",
  IF(
    MAX(
      IFERROR(MAX(FILTER('REGISTRO PROD. v1'!F"&amp;":F,'REGISTRO PROD. v1'!D:D=B844)),0),
      IFERROR(MAX(FILTER('REGISTRO PROD. v1'!W:W,'REGISTRO PROD. v1'!U:U=B844)),0),
      IFERROR(MAX(FILTER('REGISTRO PROD. v1'!AN:AN,'REGISTRO PROD. v1'!AL:AL=B844)),0),
      IFERROR(MAX(FILTER('REGISTRO PROD. v1'!"&amp;"BE:BE,'REGISTRO PROD. v1'!BC:BC=B844)),0),
      IFERROR(MAX(FILTER('REGISTRO PROD. v1'!BV:BV,'REGISTRO PROD. v1'!BT:BT=B844)),0)
    )&gt;=F844,
    ""SI"",
    ""EN PROCESO""
  )
)
"),"SI")</f>
        <v>SI</v>
      </c>
      <c r="F844" s="132" t="s">
        <v>187</v>
      </c>
    </row>
    <row r="845" spans="2:6" ht="15" x14ac:dyDescent="0.25">
      <c r="B845" s="183">
        <v>842</v>
      </c>
      <c r="C845" s="131">
        <v>2024</v>
      </c>
      <c r="D845" s="131" t="s">
        <v>66</v>
      </c>
      <c r="E845" s="131" t="str">
        <f ca="1">IFERROR(__xludf.DUMMYFUNCTION("IF(
  MAX(
    IFERROR(MAX(FILTER('REGISTRO PROD. v1'!F:F,'REGISTRO PROD. v1'!D:D=B845)),0),
    IFERROR(MAX(FILTER('REGISTRO PROD. v1'!W:W,'REGISTRO PROD. v1'!U:U=B845)),0),
    IFERROR(MAX(FILTER('REGISTRO PROD. v1'!AN:AN,'REGISTRO PROD. v1'!AL:AL=B845)"&amp;"),0),
    IFERROR(MAX(FILTER('REGISTRO PROD. v1'!BE:BE,'REGISTRO PROD. v1'!BC:BC=B845)),0),
    IFERROR(MAX(FILTER('REGISTRO PROD. v1'!BV:BV,'REGISTRO PROD. v1'!BT:BT=B845)),0)
  )=0,
  ""NO"",
  IF(
    MAX(
      IFERROR(MAX(FILTER('REGISTRO PROD. v1'!F"&amp;":F,'REGISTRO PROD. v1'!D:D=B845)),0),
      IFERROR(MAX(FILTER('REGISTRO PROD. v1'!W:W,'REGISTRO PROD. v1'!U:U=B845)),0),
      IFERROR(MAX(FILTER('REGISTRO PROD. v1'!AN:AN,'REGISTRO PROD. v1'!AL:AL=B845)),0),
      IFERROR(MAX(FILTER('REGISTRO PROD. v1'!"&amp;"BE:BE,'REGISTRO PROD. v1'!BC:BC=B845)),0),
      IFERROR(MAX(FILTER('REGISTRO PROD. v1'!BV:BV,'REGISTRO PROD. v1'!BT:BT=B845)),0)
    )&gt;=F845,
    ""SI"",
    ""EN PROCESO""
  )
)
"),"SI")</f>
        <v>SI</v>
      </c>
      <c r="F845" s="132" t="s">
        <v>65</v>
      </c>
    </row>
    <row r="846" spans="2:6" ht="15" x14ac:dyDescent="0.25">
      <c r="B846" s="183">
        <v>843</v>
      </c>
      <c r="C846" s="131">
        <v>2024</v>
      </c>
      <c r="D846" s="131" t="s">
        <v>67</v>
      </c>
      <c r="E846" s="131" t="str">
        <f ca="1">IFERROR(__xludf.DUMMYFUNCTION("IF(
  MAX(
    IFERROR(MAX(FILTER('REGISTRO PROD. v1'!F:F,'REGISTRO PROD. v1'!D:D=B846)),0),
    IFERROR(MAX(FILTER('REGISTRO PROD. v1'!W:W,'REGISTRO PROD. v1'!U:U=B846)),0),
    IFERROR(MAX(FILTER('REGISTRO PROD. v1'!AN:AN,'REGISTRO PROD. v1'!AL:AL=B846)"&amp;"),0),
    IFERROR(MAX(FILTER('REGISTRO PROD. v1'!BE:BE,'REGISTRO PROD. v1'!BC:BC=B846)),0),
    IFERROR(MAX(FILTER('REGISTRO PROD. v1'!BV:BV,'REGISTRO PROD. v1'!BT:BT=B846)),0)
  )=0,
  ""NO"",
  IF(
    MAX(
      IFERROR(MAX(FILTER('REGISTRO PROD. v1'!F"&amp;":F,'REGISTRO PROD. v1'!D:D=B846)),0),
      IFERROR(MAX(FILTER('REGISTRO PROD. v1'!W:W,'REGISTRO PROD. v1'!U:U=B846)),0),
      IFERROR(MAX(FILTER('REGISTRO PROD. v1'!AN:AN,'REGISTRO PROD. v1'!AL:AL=B846)),0),
      IFERROR(MAX(FILTER('REGISTRO PROD. v1'!"&amp;"BE:BE,'REGISTRO PROD. v1'!BC:BC=B846)),0),
      IFERROR(MAX(FILTER('REGISTRO PROD. v1'!BV:BV,'REGISTRO PROD. v1'!BT:BT=B846)),0)
    )&gt;=F846,
    ""SI"",
    ""EN PROCESO""
  )
)
"),"SI")</f>
        <v>SI</v>
      </c>
      <c r="F846" s="132" t="s">
        <v>65</v>
      </c>
    </row>
    <row r="847" spans="2:6" ht="15" x14ac:dyDescent="0.25">
      <c r="B847" s="183">
        <v>844</v>
      </c>
      <c r="C847" s="131">
        <v>2024</v>
      </c>
      <c r="D847" s="131" t="s">
        <v>68</v>
      </c>
      <c r="E847" s="131" t="str">
        <f ca="1">IFERROR(__xludf.DUMMYFUNCTION("IF(
  MAX(
    IFERROR(MAX(FILTER('REGISTRO PROD. v1'!F:F,'REGISTRO PROD. v1'!D:D=B847)),0),
    IFERROR(MAX(FILTER('REGISTRO PROD. v1'!W:W,'REGISTRO PROD. v1'!U:U=B847)),0),
    IFERROR(MAX(FILTER('REGISTRO PROD. v1'!AN:AN,'REGISTRO PROD. v1'!AL:AL=B847)"&amp;"),0),
    IFERROR(MAX(FILTER('REGISTRO PROD. v1'!BE:BE,'REGISTRO PROD. v1'!BC:BC=B847)),0),
    IFERROR(MAX(FILTER('REGISTRO PROD. v1'!BV:BV,'REGISTRO PROD. v1'!BT:BT=B847)),0)
  )=0,
  ""NO"",
  IF(
    MAX(
      IFERROR(MAX(FILTER('REGISTRO PROD. v1'!F"&amp;":F,'REGISTRO PROD. v1'!D:D=B847)),0),
      IFERROR(MAX(FILTER('REGISTRO PROD. v1'!W:W,'REGISTRO PROD. v1'!U:U=B847)),0),
      IFERROR(MAX(FILTER('REGISTRO PROD. v1'!AN:AN,'REGISTRO PROD. v1'!AL:AL=B847)),0),
      IFERROR(MAX(FILTER('REGISTRO PROD. v1'!"&amp;"BE:BE,'REGISTRO PROD. v1'!BC:BC=B847)),0),
      IFERROR(MAX(FILTER('REGISTRO PROD. v1'!BV:BV,'REGISTRO PROD. v1'!BT:BT=B847)),0)
    )&gt;=F847,
    ""SI"",
    ""EN PROCESO""
  )
)
"),"SI")</f>
        <v>SI</v>
      </c>
      <c r="F847" s="132" t="s">
        <v>65</v>
      </c>
    </row>
    <row r="848" spans="2:6" ht="15" x14ac:dyDescent="0.25">
      <c r="B848" s="183">
        <v>845</v>
      </c>
      <c r="C848" s="131">
        <v>2024</v>
      </c>
      <c r="D848" s="131" t="s">
        <v>69</v>
      </c>
      <c r="E848" s="131" t="str">
        <f ca="1">IFERROR(__xludf.DUMMYFUNCTION("IF(
  MAX(
    IFERROR(MAX(FILTER('REGISTRO PROD. v1'!F:F,'REGISTRO PROD. v1'!D:D=B848)),0),
    IFERROR(MAX(FILTER('REGISTRO PROD. v1'!W:W,'REGISTRO PROD. v1'!U:U=B848)),0),
    IFERROR(MAX(FILTER('REGISTRO PROD. v1'!AN:AN,'REGISTRO PROD. v1'!AL:AL=B848)"&amp;"),0),
    IFERROR(MAX(FILTER('REGISTRO PROD. v1'!BE:BE,'REGISTRO PROD. v1'!BC:BC=B848)),0),
    IFERROR(MAX(FILTER('REGISTRO PROD. v1'!BV:BV,'REGISTRO PROD. v1'!BT:BT=B848)),0)
  )=0,
  ""NO"",
  IF(
    MAX(
      IFERROR(MAX(FILTER('REGISTRO PROD. v1'!F"&amp;":F,'REGISTRO PROD. v1'!D:D=B848)),0),
      IFERROR(MAX(FILTER('REGISTRO PROD. v1'!W:W,'REGISTRO PROD. v1'!U:U=B848)),0),
      IFERROR(MAX(FILTER('REGISTRO PROD. v1'!AN:AN,'REGISTRO PROD. v1'!AL:AL=B848)),0),
      IFERROR(MAX(FILTER('REGISTRO PROD. v1'!"&amp;"BE:BE,'REGISTRO PROD. v1'!BC:BC=B848)),0),
      IFERROR(MAX(FILTER('REGISTRO PROD. v1'!BV:BV,'REGISTRO PROD. v1'!BT:BT=B848)),0)
    )&gt;=F848,
    ""SI"",
    ""EN PROCESO""
  )
)
"),"SI")</f>
        <v>SI</v>
      </c>
      <c r="F848" s="132" t="s">
        <v>65</v>
      </c>
    </row>
    <row r="849" spans="2:6" ht="15" x14ac:dyDescent="0.25">
      <c r="B849" s="183">
        <v>846</v>
      </c>
      <c r="C849" s="131">
        <v>2024</v>
      </c>
      <c r="D849" s="131" t="s">
        <v>70</v>
      </c>
      <c r="E849" s="131" t="str">
        <f ca="1">IFERROR(__xludf.DUMMYFUNCTION("IF(
  MAX(
    IFERROR(MAX(FILTER('REGISTRO PROD. v1'!F:F,'REGISTRO PROD. v1'!D:D=B849)),0),
    IFERROR(MAX(FILTER('REGISTRO PROD. v1'!W:W,'REGISTRO PROD. v1'!U:U=B849)),0),
    IFERROR(MAX(FILTER('REGISTRO PROD. v1'!AN:AN,'REGISTRO PROD. v1'!AL:AL=B849)"&amp;"),0),
    IFERROR(MAX(FILTER('REGISTRO PROD. v1'!BE:BE,'REGISTRO PROD. v1'!BC:BC=B849)),0),
    IFERROR(MAX(FILTER('REGISTRO PROD. v1'!BV:BV,'REGISTRO PROD. v1'!BT:BT=B849)),0)
  )=0,
  ""NO"",
  IF(
    MAX(
      IFERROR(MAX(FILTER('REGISTRO PROD. v1'!F"&amp;":F,'REGISTRO PROD. v1'!D:D=B849)),0),
      IFERROR(MAX(FILTER('REGISTRO PROD. v1'!W:W,'REGISTRO PROD. v1'!U:U=B849)),0),
      IFERROR(MAX(FILTER('REGISTRO PROD. v1'!AN:AN,'REGISTRO PROD. v1'!AL:AL=B849)),0),
      IFERROR(MAX(FILTER('REGISTRO PROD. v1'!"&amp;"BE:BE,'REGISTRO PROD. v1'!BC:BC=B849)),0),
      IFERROR(MAX(FILTER('REGISTRO PROD. v1'!BV:BV,'REGISTRO PROD. v1'!BT:BT=B849)),0)
    )&gt;=F849,
    ""SI"",
    ""EN PROCESO""
  )
)
"),"SI")</f>
        <v>SI</v>
      </c>
      <c r="F849" s="132" t="s">
        <v>65</v>
      </c>
    </row>
    <row r="850" spans="2:6" ht="15" x14ac:dyDescent="0.25">
      <c r="B850" s="183">
        <v>847</v>
      </c>
      <c r="C850" s="131">
        <v>2024</v>
      </c>
      <c r="D850" s="131" t="s">
        <v>97</v>
      </c>
      <c r="E850" s="131" t="str">
        <f ca="1">IFERROR(__xludf.DUMMYFUNCTION("IF(
  MAX(
    IFERROR(MAX(FILTER('REGISTRO PROD. v1'!F:F,'REGISTRO PROD. v1'!D:D=B850)),0),
    IFERROR(MAX(FILTER('REGISTRO PROD. v1'!W:W,'REGISTRO PROD. v1'!U:U=B850)),0),
    IFERROR(MAX(FILTER('REGISTRO PROD. v1'!AN:AN,'REGISTRO PROD. v1'!AL:AL=B850)"&amp;"),0),
    IFERROR(MAX(FILTER('REGISTRO PROD. v1'!BE:BE,'REGISTRO PROD. v1'!BC:BC=B850)),0),
    IFERROR(MAX(FILTER('REGISTRO PROD. v1'!BV:BV,'REGISTRO PROD. v1'!BT:BT=B850)),0)
  )=0,
  ""NO"",
  IF(
    MAX(
      IFERROR(MAX(FILTER('REGISTRO PROD. v1'!F"&amp;":F,'REGISTRO PROD. v1'!D:D=B850)),0),
      IFERROR(MAX(FILTER('REGISTRO PROD. v1'!W:W,'REGISTRO PROD. v1'!U:U=B850)),0),
      IFERROR(MAX(FILTER('REGISTRO PROD. v1'!AN:AN,'REGISTRO PROD. v1'!AL:AL=B850)),0),
      IFERROR(MAX(FILTER('REGISTRO PROD. v1'!"&amp;"BE:BE,'REGISTRO PROD. v1'!BC:BC=B850)),0),
      IFERROR(MAX(FILTER('REGISTRO PROD. v1'!BV:BV,'REGISTRO PROD. v1'!BT:BT=B850)),0)
    )&gt;=F850,
    ""SI"",
    ""EN PROCESO""
  )
)
"),"SI")</f>
        <v>SI</v>
      </c>
      <c r="F850" s="132" t="s">
        <v>65</v>
      </c>
    </row>
    <row r="851" spans="2:6" ht="15" x14ac:dyDescent="0.25">
      <c r="B851" s="183">
        <v>848</v>
      </c>
      <c r="C851" s="131">
        <v>2024</v>
      </c>
      <c r="D851" s="131" t="s">
        <v>98</v>
      </c>
      <c r="E851" s="131" t="str">
        <f ca="1">IFERROR(__xludf.DUMMYFUNCTION("IF(
  MAX(
    IFERROR(MAX(FILTER('REGISTRO PROD. v1'!F:F,'REGISTRO PROD. v1'!D:D=B851)),0),
    IFERROR(MAX(FILTER('REGISTRO PROD. v1'!W:W,'REGISTRO PROD. v1'!U:U=B851)),0),
    IFERROR(MAX(FILTER('REGISTRO PROD. v1'!AN:AN,'REGISTRO PROD. v1'!AL:AL=B851)"&amp;"),0),
    IFERROR(MAX(FILTER('REGISTRO PROD. v1'!BE:BE,'REGISTRO PROD. v1'!BC:BC=B851)),0),
    IFERROR(MAX(FILTER('REGISTRO PROD. v1'!BV:BV,'REGISTRO PROD. v1'!BT:BT=B851)),0)
  )=0,
  ""NO"",
  IF(
    MAX(
      IFERROR(MAX(FILTER('REGISTRO PROD. v1'!F"&amp;":F,'REGISTRO PROD. v1'!D:D=B851)),0),
      IFERROR(MAX(FILTER('REGISTRO PROD. v1'!W:W,'REGISTRO PROD. v1'!U:U=B851)),0),
      IFERROR(MAX(FILTER('REGISTRO PROD. v1'!AN:AN,'REGISTRO PROD. v1'!AL:AL=B851)),0),
      IFERROR(MAX(FILTER('REGISTRO PROD. v1'!"&amp;"BE:BE,'REGISTRO PROD. v1'!BC:BC=B851)),0),
      IFERROR(MAX(FILTER('REGISTRO PROD. v1'!BV:BV,'REGISTRO PROD. v1'!BT:BT=B851)),0)
    )&gt;=F851,
    ""SI"",
    ""EN PROCESO""
  )
)
"),"SI")</f>
        <v>SI</v>
      </c>
      <c r="F851" s="132" t="s">
        <v>65</v>
      </c>
    </row>
    <row r="852" spans="2:6" ht="15" x14ac:dyDescent="0.25">
      <c r="B852" s="183">
        <v>849</v>
      </c>
      <c r="C852" s="131">
        <v>2024</v>
      </c>
      <c r="D852" s="131" t="s">
        <v>99</v>
      </c>
      <c r="E852" s="131" t="str">
        <f ca="1">IFERROR(__xludf.DUMMYFUNCTION("IF(
  MAX(
    IFERROR(MAX(FILTER('REGISTRO PROD. v1'!F:F,'REGISTRO PROD. v1'!D:D=B852)),0),
    IFERROR(MAX(FILTER('REGISTRO PROD. v1'!W:W,'REGISTRO PROD. v1'!U:U=B852)),0),
    IFERROR(MAX(FILTER('REGISTRO PROD. v1'!AN:AN,'REGISTRO PROD. v1'!AL:AL=B852)"&amp;"),0),
    IFERROR(MAX(FILTER('REGISTRO PROD. v1'!BE:BE,'REGISTRO PROD. v1'!BC:BC=B852)),0),
    IFERROR(MAX(FILTER('REGISTRO PROD. v1'!BV:BV,'REGISTRO PROD. v1'!BT:BT=B852)),0)
  )=0,
  ""NO"",
  IF(
    MAX(
      IFERROR(MAX(FILTER('REGISTRO PROD. v1'!F"&amp;":F,'REGISTRO PROD. v1'!D:D=B852)),0),
      IFERROR(MAX(FILTER('REGISTRO PROD. v1'!W:W,'REGISTRO PROD. v1'!U:U=B852)),0),
      IFERROR(MAX(FILTER('REGISTRO PROD. v1'!AN:AN,'REGISTRO PROD. v1'!AL:AL=B852)),0),
      IFERROR(MAX(FILTER('REGISTRO PROD. v1'!"&amp;"BE:BE,'REGISTRO PROD. v1'!BC:BC=B852)),0),
      IFERROR(MAX(FILTER('REGISTRO PROD. v1'!BV:BV,'REGISTRO PROD. v1'!BT:BT=B852)),0)
    )&gt;=F852,
    ""SI"",
    ""EN PROCESO""
  )
)
"),"SI")</f>
        <v>SI</v>
      </c>
      <c r="F852" s="132" t="s">
        <v>65</v>
      </c>
    </row>
    <row r="853" spans="2:6" ht="15" x14ac:dyDescent="0.25">
      <c r="B853" s="183">
        <v>850</v>
      </c>
      <c r="C853" s="131">
        <v>2024</v>
      </c>
      <c r="D853" s="131" t="s">
        <v>100</v>
      </c>
      <c r="E853" s="131" t="str">
        <f ca="1">IFERROR(__xludf.DUMMYFUNCTION("IF(
  MAX(
    IFERROR(MAX(FILTER('REGISTRO PROD. v1'!F:F,'REGISTRO PROD. v1'!D:D=B853)),0),
    IFERROR(MAX(FILTER('REGISTRO PROD. v1'!W:W,'REGISTRO PROD. v1'!U:U=B853)),0),
    IFERROR(MAX(FILTER('REGISTRO PROD. v1'!AN:AN,'REGISTRO PROD. v1'!AL:AL=B853)"&amp;"),0),
    IFERROR(MAX(FILTER('REGISTRO PROD. v1'!BE:BE,'REGISTRO PROD. v1'!BC:BC=B853)),0),
    IFERROR(MAX(FILTER('REGISTRO PROD. v1'!BV:BV,'REGISTRO PROD. v1'!BT:BT=B853)),0)
  )=0,
  ""NO"",
  IF(
    MAX(
      IFERROR(MAX(FILTER('REGISTRO PROD. v1'!F"&amp;":F,'REGISTRO PROD. v1'!D:D=B853)),0),
      IFERROR(MAX(FILTER('REGISTRO PROD. v1'!W:W,'REGISTRO PROD. v1'!U:U=B853)),0),
      IFERROR(MAX(FILTER('REGISTRO PROD. v1'!AN:AN,'REGISTRO PROD. v1'!AL:AL=B853)),0),
      IFERROR(MAX(FILTER('REGISTRO PROD. v1'!"&amp;"BE:BE,'REGISTRO PROD. v1'!BC:BC=B853)),0),
      IFERROR(MAX(FILTER('REGISTRO PROD. v1'!BV:BV,'REGISTRO PROD. v1'!BT:BT=B853)),0)
    )&gt;=F853,
    ""SI"",
    ""EN PROCESO""
  )
)
"),"SI")</f>
        <v>SI</v>
      </c>
      <c r="F853" s="132" t="s">
        <v>65</v>
      </c>
    </row>
    <row r="854" spans="2:6" ht="15" x14ac:dyDescent="0.25">
      <c r="B854" s="183">
        <v>851</v>
      </c>
      <c r="C854" s="131">
        <v>2024</v>
      </c>
      <c r="D854" s="131" t="s">
        <v>101</v>
      </c>
      <c r="E854" s="131" t="str">
        <f ca="1">IFERROR(__xludf.DUMMYFUNCTION("IF(
  MAX(
    IFERROR(MAX(FILTER('REGISTRO PROD. v1'!F:F,'REGISTRO PROD. v1'!D:D=B854)),0),
    IFERROR(MAX(FILTER('REGISTRO PROD. v1'!W:W,'REGISTRO PROD. v1'!U:U=B854)),0),
    IFERROR(MAX(FILTER('REGISTRO PROD. v1'!AN:AN,'REGISTRO PROD. v1'!AL:AL=B854)"&amp;"),0),
    IFERROR(MAX(FILTER('REGISTRO PROD. v1'!BE:BE,'REGISTRO PROD. v1'!BC:BC=B854)),0),
    IFERROR(MAX(FILTER('REGISTRO PROD. v1'!BV:BV,'REGISTRO PROD. v1'!BT:BT=B854)),0)
  )=0,
  ""NO"",
  IF(
    MAX(
      IFERROR(MAX(FILTER('REGISTRO PROD. v1'!F"&amp;":F,'REGISTRO PROD. v1'!D:D=B854)),0),
      IFERROR(MAX(FILTER('REGISTRO PROD. v1'!W:W,'REGISTRO PROD. v1'!U:U=B854)),0),
      IFERROR(MAX(FILTER('REGISTRO PROD. v1'!AN:AN,'REGISTRO PROD. v1'!AL:AL=B854)),0),
      IFERROR(MAX(FILTER('REGISTRO PROD. v1'!"&amp;"BE:BE,'REGISTRO PROD. v1'!BC:BC=B854)),0),
      IFERROR(MAX(FILTER('REGISTRO PROD. v1'!BV:BV,'REGISTRO PROD. v1'!BT:BT=B854)),0)
    )&gt;=F854,
    ""SI"",
    ""EN PROCESO""
  )
)
"),"SI")</f>
        <v>SI</v>
      </c>
      <c r="F854" s="132" t="s">
        <v>65</v>
      </c>
    </row>
    <row r="855" spans="2:6" ht="15" x14ac:dyDescent="0.25">
      <c r="B855" s="183">
        <v>852</v>
      </c>
      <c r="C855" s="131">
        <v>2024</v>
      </c>
      <c r="D855" s="131" t="s">
        <v>102</v>
      </c>
      <c r="E855" s="131" t="str">
        <f ca="1">IFERROR(__xludf.DUMMYFUNCTION("IF(
  MAX(
    IFERROR(MAX(FILTER('REGISTRO PROD. v1'!F:F,'REGISTRO PROD. v1'!D:D=B855)),0),
    IFERROR(MAX(FILTER('REGISTRO PROD. v1'!W:W,'REGISTRO PROD. v1'!U:U=B855)),0),
    IFERROR(MAX(FILTER('REGISTRO PROD. v1'!AN:AN,'REGISTRO PROD. v1'!AL:AL=B855)"&amp;"),0),
    IFERROR(MAX(FILTER('REGISTRO PROD. v1'!BE:BE,'REGISTRO PROD. v1'!BC:BC=B855)),0),
    IFERROR(MAX(FILTER('REGISTRO PROD. v1'!BV:BV,'REGISTRO PROD. v1'!BT:BT=B855)),0)
  )=0,
  ""NO"",
  IF(
    MAX(
      IFERROR(MAX(FILTER('REGISTRO PROD. v1'!F"&amp;":F,'REGISTRO PROD. v1'!D:D=B855)),0),
      IFERROR(MAX(FILTER('REGISTRO PROD. v1'!W:W,'REGISTRO PROD. v1'!U:U=B855)),0),
      IFERROR(MAX(FILTER('REGISTRO PROD. v1'!AN:AN,'REGISTRO PROD. v1'!AL:AL=B855)),0),
      IFERROR(MAX(FILTER('REGISTRO PROD. v1'!"&amp;"BE:BE,'REGISTRO PROD. v1'!BC:BC=B855)),0),
      IFERROR(MAX(FILTER('REGISTRO PROD. v1'!BV:BV,'REGISTRO PROD. v1'!BT:BT=B855)),0)
    )&gt;=F855,
    ""SI"",
    ""EN PROCESO""
  )
)
"),"SI")</f>
        <v>SI</v>
      </c>
      <c r="F855" s="184" t="s">
        <v>65</v>
      </c>
    </row>
    <row r="856" spans="2:6" ht="15" x14ac:dyDescent="0.25">
      <c r="B856" s="183">
        <v>853</v>
      </c>
      <c r="C856" s="131">
        <v>2024</v>
      </c>
      <c r="D856" s="131" t="s">
        <v>103</v>
      </c>
      <c r="E856" s="131" t="str">
        <f ca="1">IFERROR(__xludf.DUMMYFUNCTION("IF(
  MAX(
    IFERROR(MAX(FILTER('REGISTRO PROD. v1'!F:F,'REGISTRO PROD. v1'!D:D=B856)),0),
    IFERROR(MAX(FILTER('REGISTRO PROD. v1'!W:W,'REGISTRO PROD. v1'!U:U=B856)),0),
    IFERROR(MAX(FILTER('REGISTRO PROD. v1'!AN:AN,'REGISTRO PROD. v1'!AL:AL=B856)"&amp;"),0),
    IFERROR(MAX(FILTER('REGISTRO PROD. v1'!BE:BE,'REGISTRO PROD. v1'!BC:BC=B856)),0),
    IFERROR(MAX(FILTER('REGISTRO PROD. v1'!BV:BV,'REGISTRO PROD. v1'!BT:BT=B856)),0)
  )=0,
  ""NO"",
  IF(
    MAX(
      IFERROR(MAX(FILTER('REGISTRO PROD. v1'!F"&amp;":F,'REGISTRO PROD. v1'!D:D=B856)),0),
      IFERROR(MAX(FILTER('REGISTRO PROD. v1'!W:W,'REGISTRO PROD. v1'!U:U=B856)),0),
      IFERROR(MAX(FILTER('REGISTRO PROD. v1'!AN:AN,'REGISTRO PROD. v1'!AL:AL=B856)),0),
      IFERROR(MAX(FILTER('REGISTRO PROD. v1'!"&amp;"BE:BE,'REGISTRO PROD. v1'!BC:BC=B856)),0),
      IFERROR(MAX(FILTER('REGISTRO PROD. v1'!BV:BV,'REGISTRO PROD. v1'!BT:BT=B856)),0)
    )&gt;=F856,
    ""SI"",
    ""EN PROCESO""
  )
)
"),"SI")</f>
        <v>SI</v>
      </c>
      <c r="F856" s="184" t="s">
        <v>65</v>
      </c>
    </row>
    <row r="857" spans="2:6" ht="15" x14ac:dyDescent="0.25">
      <c r="B857" s="183">
        <v>854</v>
      </c>
      <c r="C857" s="131">
        <v>2024</v>
      </c>
      <c r="D857" s="131" t="s">
        <v>104</v>
      </c>
      <c r="E857" s="131" t="str">
        <f ca="1">IFERROR(__xludf.DUMMYFUNCTION("IF(
  MAX(
    IFERROR(MAX(FILTER('REGISTRO PROD. v1'!F:F,'REGISTRO PROD. v1'!D:D=B857)),0),
    IFERROR(MAX(FILTER('REGISTRO PROD. v1'!W:W,'REGISTRO PROD. v1'!U:U=B857)),0),
    IFERROR(MAX(FILTER('REGISTRO PROD. v1'!AN:AN,'REGISTRO PROD. v1'!AL:AL=B857)"&amp;"),0),
    IFERROR(MAX(FILTER('REGISTRO PROD. v1'!BE:BE,'REGISTRO PROD. v1'!BC:BC=B857)),0),
    IFERROR(MAX(FILTER('REGISTRO PROD. v1'!BV:BV,'REGISTRO PROD. v1'!BT:BT=B857)),0)
  )=0,
  ""NO"",
  IF(
    MAX(
      IFERROR(MAX(FILTER('REGISTRO PROD. v1'!F"&amp;":F,'REGISTRO PROD. v1'!D:D=B857)),0),
      IFERROR(MAX(FILTER('REGISTRO PROD. v1'!W:W,'REGISTRO PROD. v1'!U:U=B857)),0),
      IFERROR(MAX(FILTER('REGISTRO PROD. v1'!AN:AN,'REGISTRO PROD. v1'!AL:AL=B857)),0),
      IFERROR(MAX(FILTER('REGISTRO PROD. v1'!"&amp;"BE:BE,'REGISTRO PROD. v1'!BC:BC=B857)),0),
      IFERROR(MAX(FILTER('REGISTRO PROD. v1'!BV:BV,'REGISTRO PROD. v1'!BT:BT=B857)),0)
    )&gt;=F857,
    ""SI"",
    ""EN PROCESO""
  )
)
"),"SI")</f>
        <v>SI</v>
      </c>
      <c r="F857" s="184" t="s">
        <v>65</v>
      </c>
    </row>
    <row r="858" spans="2:6" ht="15" x14ac:dyDescent="0.25">
      <c r="B858" s="183">
        <v>855</v>
      </c>
      <c r="C858" s="131">
        <v>2024</v>
      </c>
      <c r="D858" s="131" t="s">
        <v>105</v>
      </c>
      <c r="E858" s="131" t="str">
        <f ca="1">IFERROR(__xludf.DUMMYFUNCTION("IF(
  MAX(
    IFERROR(MAX(FILTER('REGISTRO PROD. v1'!F:F,'REGISTRO PROD. v1'!D:D=B858)),0),
    IFERROR(MAX(FILTER('REGISTRO PROD. v1'!W:W,'REGISTRO PROD. v1'!U:U=B858)),0),
    IFERROR(MAX(FILTER('REGISTRO PROD. v1'!AN:AN,'REGISTRO PROD. v1'!AL:AL=B858)"&amp;"),0),
    IFERROR(MAX(FILTER('REGISTRO PROD. v1'!BE:BE,'REGISTRO PROD. v1'!BC:BC=B858)),0),
    IFERROR(MAX(FILTER('REGISTRO PROD. v1'!BV:BV,'REGISTRO PROD. v1'!BT:BT=B858)),0)
  )=0,
  ""NO"",
  IF(
    MAX(
      IFERROR(MAX(FILTER('REGISTRO PROD. v1'!F"&amp;":F,'REGISTRO PROD. v1'!D:D=B858)),0),
      IFERROR(MAX(FILTER('REGISTRO PROD. v1'!W:W,'REGISTRO PROD. v1'!U:U=B858)),0),
      IFERROR(MAX(FILTER('REGISTRO PROD. v1'!AN:AN,'REGISTRO PROD. v1'!AL:AL=B858)),0),
      IFERROR(MAX(FILTER('REGISTRO PROD. v1'!"&amp;"BE:BE,'REGISTRO PROD. v1'!BC:BC=B858)),0),
      IFERROR(MAX(FILTER('REGISTRO PROD. v1'!BV:BV,'REGISTRO PROD. v1'!BT:BT=B858)),0)
    )&gt;=F858,
    ""SI"",
    ""EN PROCESO""
  )
)
"),"SI")</f>
        <v>SI</v>
      </c>
      <c r="F858" s="185" t="s">
        <v>65</v>
      </c>
    </row>
    <row r="859" spans="2:6" ht="15" x14ac:dyDescent="0.25">
      <c r="B859" s="183">
        <v>856</v>
      </c>
      <c r="C859" s="131">
        <v>2024</v>
      </c>
      <c r="D859" s="131" t="s">
        <v>106</v>
      </c>
      <c r="E859" s="131" t="str">
        <f ca="1">IFERROR(__xludf.DUMMYFUNCTION("IF(
  MAX(
    IFERROR(MAX(FILTER('REGISTRO PROD. v1'!F:F,'REGISTRO PROD. v1'!D:D=B859)),0),
    IFERROR(MAX(FILTER('REGISTRO PROD. v1'!W:W,'REGISTRO PROD. v1'!U:U=B859)),0),
    IFERROR(MAX(FILTER('REGISTRO PROD. v1'!AN:AN,'REGISTRO PROD. v1'!AL:AL=B859)"&amp;"),0),
    IFERROR(MAX(FILTER('REGISTRO PROD. v1'!BE:BE,'REGISTRO PROD. v1'!BC:BC=B859)),0),
    IFERROR(MAX(FILTER('REGISTRO PROD. v1'!BV:BV,'REGISTRO PROD. v1'!BT:BT=B859)),0)
  )=0,
  ""NO"",
  IF(
    MAX(
      IFERROR(MAX(FILTER('REGISTRO PROD. v1'!F"&amp;":F,'REGISTRO PROD. v1'!D:D=B859)),0),
      IFERROR(MAX(FILTER('REGISTRO PROD. v1'!W:W,'REGISTRO PROD. v1'!U:U=B859)),0),
      IFERROR(MAX(FILTER('REGISTRO PROD. v1'!AN:AN,'REGISTRO PROD. v1'!AL:AL=B859)),0),
      IFERROR(MAX(FILTER('REGISTRO PROD. v1'!"&amp;"BE:BE,'REGISTRO PROD. v1'!BC:BC=B859)),0),
      IFERROR(MAX(FILTER('REGISTRO PROD. v1'!BV:BV,'REGISTRO PROD. v1'!BT:BT=B859)),0)
    )&gt;=F859,
    ""SI"",
    ""EN PROCESO""
  )
)
"),"SI")</f>
        <v>SI</v>
      </c>
      <c r="F859" s="184" t="s">
        <v>65</v>
      </c>
    </row>
    <row r="860" spans="2:6" ht="15" x14ac:dyDescent="0.25">
      <c r="B860" s="183">
        <v>857</v>
      </c>
      <c r="C860" s="131">
        <v>2024</v>
      </c>
      <c r="D860" s="131" t="s">
        <v>107</v>
      </c>
      <c r="E860" s="131" t="str">
        <f ca="1">IFERROR(__xludf.DUMMYFUNCTION("IF(
  MAX(
    IFERROR(MAX(FILTER('REGISTRO PROD. v1'!F:F,'REGISTRO PROD. v1'!D:D=B860)),0),
    IFERROR(MAX(FILTER('REGISTRO PROD. v1'!W:W,'REGISTRO PROD. v1'!U:U=B860)),0),
    IFERROR(MAX(FILTER('REGISTRO PROD. v1'!AN:AN,'REGISTRO PROD. v1'!AL:AL=B860)"&amp;"),0),
    IFERROR(MAX(FILTER('REGISTRO PROD. v1'!BE:BE,'REGISTRO PROD. v1'!BC:BC=B860)),0),
    IFERROR(MAX(FILTER('REGISTRO PROD. v1'!BV:BV,'REGISTRO PROD. v1'!BT:BT=B860)),0)
  )=0,
  ""NO"",
  IF(
    MAX(
      IFERROR(MAX(FILTER('REGISTRO PROD. v1'!F"&amp;":F,'REGISTRO PROD. v1'!D:D=B860)),0),
      IFERROR(MAX(FILTER('REGISTRO PROD. v1'!W:W,'REGISTRO PROD. v1'!U:U=B860)),0),
      IFERROR(MAX(FILTER('REGISTRO PROD. v1'!AN:AN,'REGISTRO PROD. v1'!AL:AL=B860)),0),
      IFERROR(MAX(FILTER('REGISTRO PROD. v1'!"&amp;"BE:BE,'REGISTRO PROD. v1'!BC:BC=B860)),0),
      IFERROR(MAX(FILTER('REGISTRO PROD. v1'!BV:BV,'REGISTRO PROD. v1'!BT:BT=B860)),0)
    )&gt;=F860,
    ""SI"",
    ""EN PROCESO""
  )
)
"),"SI")</f>
        <v>SI</v>
      </c>
      <c r="F860" s="184" t="s">
        <v>65</v>
      </c>
    </row>
    <row r="861" spans="2:6" ht="15" x14ac:dyDescent="0.25">
      <c r="B861" s="183">
        <v>858</v>
      </c>
      <c r="C861" s="131">
        <v>2024</v>
      </c>
      <c r="D861" s="131" t="s">
        <v>108</v>
      </c>
      <c r="E861" s="131" t="str">
        <f ca="1">IFERROR(__xludf.DUMMYFUNCTION("IF(
  MAX(
    IFERROR(MAX(FILTER('REGISTRO PROD. v1'!F:F,'REGISTRO PROD. v1'!D:D=B861)),0),
    IFERROR(MAX(FILTER('REGISTRO PROD. v1'!W:W,'REGISTRO PROD. v1'!U:U=B861)),0),
    IFERROR(MAX(FILTER('REGISTRO PROD. v1'!AN:AN,'REGISTRO PROD. v1'!AL:AL=B861)"&amp;"),0),
    IFERROR(MAX(FILTER('REGISTRO PROD. v1'!BE:BE,'REGISTRO PROD. v1'!BC:BC=B861)),0),
    IFERROR(MAX(FILTER('REGISTRO PROD. v1'!BV:BV,'REGISTRO PROD. v1'!BT:BT=B861)),0)
  )=0,
  ""NO"",
  IF(
    MAX(
      IFERROR(MAX(FILTER('REGISTRO PROD. v1'!F"&amp;":F,'REGISTRO PROD. v1'!D:D=B861)),0),
      IFERROR(MAX(FILTER('REGISTRO PROD. v1'!W:W,'REGISTRO PROD. v1'!U:U=B861)),0),
      IFERROR(MAX(FILTER('REGISTRO PROD. v1'!AN:AN,'REGISTRO PROD. v1'!AL:AL=B861)),0),
      IFERROR(MAX(FILTER('REGISTRO PROD. v1'!"&amp;"BE:BE,'REGISTRO PROD. v1'!BC:BC=B861)),0),
      IFERROR(MAX(FILTER('REGISTRO PROD. v1'!BV:BV,'REGISTRO PROD. v1'!BT:BT=B861)),0)
    )&gt;=F861,
    ""SI"",
    ""EN PROCESO""
  )
)
"),"SI")</f>
        <v>SI</v>
      </c>
      <c r="F861" s="184" t="s">
        <v>65</v>
      </c>
    </row>
    <row r="862" spans="2:6" ht="15" x14ac:dyDescent="0.25">
      <c r="B862" s="183">
        <v>859</v>
      </c>
      <c r="C862" s="131">
        <v>2024</v>
      </c>
      <c r="D862" s="131" t="s">
        <v>109</v>
      </c>
      <c r="E862" s="131"/>
      <c r="F862" s="185" t="s">
        <v>65</v>
      </c>
    </row>
    <row r="863" spans="2:6" ht="15" x14ac:dyDescent="0.25">
      <c r="B863" s="183">
        <v>860</v>
      </c>
      <c r="C863" s="131">
        <v>2024</v>
      </c>
      <c r="D863" s="131" t="s">
        <v>110</v>
      </c>
      <c r="E863" s="131" t="str">
        <f ca="1">IFERROR(__xludf.DUMMYFUNCTION("IF(
  MAX(
    IFERROR(MAX(FILTER('REGISTRO PROD. v1'!F:F,'REGISTRO PROD. v1'!D:D=B863)),0),
    IFERROR(MAX(FILTER('REGISTRO PROD. v1'!W:W,'REGISTRO PROD. v1'!U:U=B863)),0),
    IFERROR(MAX(FILTER('REGISTRO PROD. v1'!AN:AN,'REGISTRO PROD. v1'!AL:AL=B863)"&amp;"),0),
    IFERROR(MAX(FILTER('REGISTRO PROD. v1'!BE:BE,'REGISTRO PROD. v1'!BC:BC=B863)),0),
    IFERROR(MAX(FILTER('REGISTRO PROD. v1'!BV:BV,'REGISTRO PROD. v1'!BT:BT=B863)),0)
  )=0,
  ""NO"",
  IF(
    MAX(
      IFERROR(MAX(FILTER('REGISTRO PROD. v1'!F"&amp;":F,'REGISTRO PROD. v1'!D:D=B863)),0),
      IFERROR(MAX(FILTER('REGISTRO PROD. v1'!W:W,'REGISTRO PROD. v1'!U:U=B863)),0),
      IFERROR(MAX(FILTER('REGISTRO PROD. v1'!AN:AN,'REGISTRO PROD. v1'!AL:AL=B863)),0),
      IFERROR(MAX(FILTER('REGISTRO PROD. v1'!"&amp;"BE:BE,'REGISTRO PROD. v1'!BC:BC=B863)),0),
      IFERROR(MAX(FILTER('REGISTRO PROD. v1'!BV:BV,'REGISTRO PROD. v1'!BT:BT=B863)),0)
    )&gt;=F863,
    ""SI"",
    ""EN PROCESO""
  )
)
"),"EN PROCESO")</f>
        <v>EN PROCESO</v>
      </c>
      <c r="F863" s="184" t="s">
        <v>65</v>
      </c>
    </row>
    <row r="864" spans="2:6" ht="15" x14ac:dyDescent="0.25">
      <c r="B864" s="183">
        <v>861</v>
      </c>
      <c r="C864" s="131">
        <v>2024</v>
      </c>
      <c r="D864" s="131" t="s">
        <v>111</v>
      </c>
      <c r="E864" s="131" t="str">
        <f ca="1">IFERROR(__xludf.DUMMYFUNCTION("IF(
  MAX(
    IFERROR(MAX(FILTER('REGISTRO PROD. v1'!F:F,'REGISTRO PROD. v1'!D:D=B864)),0),
    IFERROR(MAX(FILTER('REGISTRO PROD. v1'!W:W,'REGISTRO PROD. v1'!U:U=B864)),0),
    IFERROR(MAX(FILTER('REGISTRO PROD. v1'!AN:AN,'REGISTRO PROD. v1'!AL:AL=B864)"&amp;"),0),
    IFERROR(MAX(FILTER('REGISTRO PROD. v1'!BE:BE,'REGISTRO PROD. v1'!BC:BC=B864)),0),
    IFERROR(MAX(FILTER('REGISTRO PROD. v1'!BV:BV,'REGISTRO PROD. v1'!BT:BT=B864)),0)
  )=0,
  ""NO"",
  IF(
    MAX(
      IFERROR(MAX(FILTER('REGISTRO PROD. v1'!F"&amp;":F,'REGISTRO PROD. v1'!D:D=B864)),0),
      IFERROR(MAX(FILTER('REGISTRO PROD. v1'!W:W,'REGISTRO PROD. v1'!U:U=B864)),0),
      IFERROR(MAX(FILTER('REGISTRO PROD. v1'!AN:AN,'REGISTRO PROD. v1'!AL:AL=B864)),0),
      IFERROR(MAX(FILTER('REGISTRO PROD. v1'!"&amp;"BE:BE,'REGISTRO PROD. v1'!BC:BC=B864)),0),
      IFERROR(MAX(FILTER('REGISTRO PROD. v1'!BV:BV,'REGISTRO PROD. v1'!BT:BT=B864)),0)
    )&gt;=F864,
    ""SI"",
    ""EN PROCESO""
  )
)
"),"EN PROCESO")</f>
        <v>EN PROCESO</v>
      </c>
      <c r="F864" s="184" t="s">
        <v>65</v>
      </c>
    </row>
    <row r="865" spans="2:6" ht="15" x14ac:dyDescent="0.25">
      <c r="B865" s="183">
        <v>862</v>
      </c>
      <c r="C865" s="131">
        <v>2024</v>
      </c>
      <c r="D865" s="131" t="s">
        <v>112</v>
      </c>
      <c r="E865" s="131" t="str">
        <f ca="1">IFERROR(__xludf.DUMMYFUNCTION("IF(
  MAX(
    IFERROR(MAX(FILTER('REGISTRO PROD. v1'!F:F,'REGISTRO PROD. v1'!D:D=B865)),0),
    IFERROR(MAX(FILTER('REGISTRO PROD. v1'!W:W,'REGISTRO PROD. v1'!U:U=B865)),0),
    IFERROR(MAX(FILTER('REGISTRO PROD. v1'!AN:AN,'REGISTRO PROD. v1'!AL:AL=B865)"&amp;"),0),
    IFERROR(MAX(FILTER('REGISTRO PROD. v1'!BE:BE,'REGISTRO PROD. v1'!BC:BC=B865)),0),
    IFERROR(MAX(FILTER('REGISTRO PROD. v1'!BV:BV,'REGISTRO PROD. v1'!BT:BT=B865)),0)
  )=0,
  ""NO"",
  IF(
    MAX(
      IFERROR(MAX(FILTER('REGISTRO PROD. v1'!F"&amp;":F,'REGISTRO PROD. v1'!D:D=B865)),0),
      IFERROR(MAX(FILTER('REGISTRO PROD. v1'!W:W,'REGISTRO PROD. v1'!U:U=B865)),0),
      IFERROR(MAX(FILTER('REGISTRO PROD. v1'!AN:AN,'REGISTRO PROD. v1'!AL:AL=B865)),0),
      IFERROR(MAX(FILTER('REGISTRO PROD. v1'!"&amp;"BE:BE,'REGISTRO PROD. v1'!BC:BC=B865)),0),
      IFERROR(MAX(FILTER('REGISTRO PROD. v1'!BV:BV,'REGISTRO PROD. v1'!BT:BT=B865)),0)
    )&gt;=F865,
    ""SI"",
    ""EN PROCESO""
  )
)
"),"SI")</f>
        <v>SI</v>
      </c>
      <c r="F865" s="184" t="s">
        <v>65</v>
      </c>
    </row>
    <row r="866" spans="2:6" ht="15" x14ac:dyDescent="0.25">
      <c r="B866" s="183">
        <v>863</v>
      </c>
      <c r="C866" s="131">
        <v>2024</v>
      </c>
      <c r="D866" s="131" t="s">
        <v>113</v>
      </c>
      <c r="E866" s="131" t="str">
        <f ca="1">IFERROR(__xludf.DUMMYFUNCTION("IF(
  MAX(
    IFERROR(MAX(FILTER('REGISTRO PROD. v1'!F:F,'REGISTRO PROD. v1'!D:D=B866)),0),
    IFERROR(MAX(FILTER('REGISTRO PROD. v1'!W:W,'REGISTRO PROD. v1'!U:U=B866)),0),
    IFERROR(MAX(FILTER('REGISTRO PROD. v1'!AN:AN,'REGISTRO PROD. v1'!AL:AL=B866)"&amp;"),0),
    IFERROR(MAX(FILTER('REGISTRO PROD. v1'!BE:BE,'REGISTRO PROD. v1'!BC:BC=B866)),0),
    IFERROR(MAX(FILTER('REGISTRO PROD. v1'!BV:BV,'REGISTRO PROD. v1'!BT:BT=B866)),0)
  )=0,
  ""NO"",
  IF(
    MAX(
      IFERROR(MAX(FILTER('REGISTRO PROD. v1'!F"&amp;":F,'REGISTRO PROD. v1'!D:D=B866)),0),
      IFERROR(MAX(FILTER('REGISTRO PROD. v1'!W:W,'REGISTRO PROD. v1'!U:U=B866)),0),
      IFERROR(MAX(FILTER('REGISTRO PROD. v1'!AN:AN,'REGISTRO PROD. v1'!AL:AL=B866)),0),
      IFERROR(MAX(FILTER('REGISTRO PROD. v1'!"&amp;"BE:BE,'REGISTRO PROD. v1'!BC:BC=B866)),0),
      IFERROR(MAX(FILTER('REGISTRO PROD. v1'!BV:BV,'REGISTRO PROD. v1'!BT:BT=B866)),0)
    )&gt;=F866,
    ""SI"",
    ""EN PROCESO""
  )
)
"),"EN PROCESO")</f>
        <v>EN PROCESO</v>
      </c>
      <c r="F866" s="184" t="s">
        <v>65</v>
      </c>
    </row>
    <row r="867" spans="2:6" ht="15" x14ac:dyDescent="0.25">
      <c r="B867" s="183">
        <v>864</v>
      </c>
      <c r="C867" s="131">
        <v>2024</v>
      </c>
      <c r="D867" s="131" t="s">
        <v>114</v>
      </c>
      <c r="E867" s="131" t="str">
        <f ca="1">IFERROR(__xludf.DUMMYFUNCTION("IF(
  MAX(
    IFERROR(MAX(FILTER('REGISTRO PROD. v1'!F:F,'REGISTRO PROD. v1'!D:D=B867)),0),
    IFERROR(MAX(FILTER('REGISTRO PROD. v1'!W:W,'REGISTRO PROD. v1'!U:U=B867)),0),
    IFERROR(MAX(FILTER('REGISTRO PROD. v1'!AN:AN,'REGISTRO PROD. v1'!AL:AL=B867)"&amp;"),0),
    IFERROR(MAX(FILTER('REGISTRO PROD. v1'!BE:BE,'REGISTRO PROD. v1'!BC:BC=B867)),0),
    IFERROR(MAX(FILTER('REGISTRO PROD. v1'!BV:BV,'REGISTRO PROD. v1'!BT:BT=B867)),0)
  )=0,
  ""NO"",
  IF(
    MAX(
      IFERROR(MAX(FILTER('REGISTRO PROD. v1'!F"&amp;":F,'REGISTRO PROD. v1'!D:D=B867)),0),
      IFERROR(MAX(FILTER('REGISTRO PROD. v1'!W:W,'REGISTRO PROD. v1'!U:U=B867)),0),
      IFERROR(MAX(FILTER('REGISTRO PROD. v1'!AN:AN,'REGISTRO PROD. v1'!AL:AL=B867)),0),
      IFERROR(MAX(FILTER('REGISTRO PROD. v1'!"&amp;"BE:BE,'REGISTRO PROD. v1'!BC:BC=B867)),0),
      IFERROR(MAX(FILTER('REGISTRO PROD. v1'!BV:BV,'REGISTRO PROD. v1'!BT:BT=B867)),0)
    )&gt;=F867,
    ""SI"",
    ""EN PROCESO""
  )
)
"),"SI")</f>
        <v>SI</v>
      </c>
      <c r="F867" s="184" t="s">
        <v>65</v>
      </c>
    </row>
    <row r="868" spans="2:6" ht="15" x14ac:dyDescent="0.25">
      <c r="B868" s="183">
        <v>865</v>
      </c>
      <c r="C868" s="131">
        <v>2024</v>
      </c>
      <c r="D868" s="131" t="s">
        <v>115</v>
      </c>
      <c r="E868" s="131" t="str">
        <f ca="1">IFERROR(__xludf.DUMMYFUNCTION("IF(
  MAX(
    IFERROR(MAX(FILTER('REGISTRO PROD. v1'!F:F,'REGISTRO PROD. v1'!D:D=B868)),0),
    IFERROR(MAX(FILTER('REGISTRO PROD. v1'!W:W,'REGISTRO PROD. v1'!U:U=B868)),0),
    IFERROR(MAX(FILTER('REGISTRO PROD. v1'!AN:AN,'REGISTRO PROD. v1'!AL:AL=B868)"&amp;"),0),
    IFERROR(MAX(FILTER('REGISTRO PROD. v1'!BE:BE,'REGISTRO PROD. v1'!BC:BC=B868)),0),
    IFERROR(MAX(FILTER('REGISTRO PROD. v1'!BV:BV,'REGISTRO PROD. v1'!BT:BT=B868)),0)
  )=0,
  ""NO"",
  IF(
    MAX(
      IFERROR(MAX(FILTER('REGISTRO PROD. v1'!F"&amp;":F,'REGISTRO PROD. v1'!D:D=B868)),0),
      IFERROR(MAX(FILTER('REGISTRO PROD. v1'!W:W,'REGISTRO PROD. v1'!U:U=B868)),0),
      IFERROR(MAX(FILTER('REGISTRO PROD. v1'!AN:AN,'REGISTRO PROD. v1'!AL:AL=B868)),0),
      IFERROR(MAX(FILTER('REGISTRO PROD. v1'!"&amp;"BE:BE,'REGISTRO PROD. v1'!BC:BC=B868)),0),
      IFERROR(MAX(FILTER('REGISTRO PROD. v1'!BV:BV,'REGISTRO PROD. v1'!BT:BT=B868)),0)
    )&gt;=F868,
    ""SI"",
    ""EN PROCESO""
  )
)
"),"SI")</f>
        <v>SI</v>
      </c>
      <c r="F868" s="184" t="s">
        <v>65</v>
      </c>
    </row>
    <row r="869" spans="2:6" ht="15" x14ac:dyDescent="0.25">
      <c r="B869" s="183">
        <v>866</v>
      </c>
      <c r="C869" s="131">
        <v>2024</v>
      </c>
      <c r="D869" s="131" t="s">
        <v>116</v>
      </c>
      <c r="E869" s="131" t="str">
        <f ca="1">IFERROR(__xludf.DUMMYFUNCTION("IF(
  MAX(
    IFERROR(MAX(FILTER('REGISTRO PROD. v1'!F:F,'REGISTRO PROD. v1'!D:D=B869)),0),
    IFERROR(MAX(FILTER('REGISTRO PROD. v1'!W:W,'REGISTRO PROD. v1'!U:U=B869)),0),
    IFERROR(MAX(FILTER('REGISTRO PROD. v1'!AN:AN,'REGISTRO PROD. v1'!AL:AL=B869)"&amp;"),0),
    IFERROR(MAX(FILTER('REGISTRO PROD. v1'!BE:BE,'REGISTRO PROD. v1'!BC:BC=B869)),0),
    IFERROR(MAX(FILTER('REGISTRO PROD. v1'!BV:BV,'REGISTRO PROD. v1'!BT:BT=B869)),0)
  )=0,
  ""NO"",
  IF(
    MAX(
      IFERROR(MAX(FILTER('REGISTRO PROD. v1'!F"&amp;":F,'REGISTRO PROD. v1'!D:D=B869)),0),
      IFERROR(MAX(FILTER('REGISTRO PROD. v1'!W:W,'REGISTRO PROD. v1'!U:U=B869)),0),
      IFERROR(MAX(FILTER('REGISTRO PROD. v1'!AN:AN,'REGISTRO PROD. v1'!AL:AL=B869)),0),
      IFERROR(MAX(FILTER('REGISTRO PROD. v1'!"&amp;"BE:BE,'REGISTRO PROD. v1'!BC:BC=B869)),0),
      IFERROR(MAX(FILTER('REGISTRO PROD. v1'!BV:BV,'REGISTRO PROD. v1'!BT:BT=B869)),0)
    )&gt;=F869,
    ""SI"",
    ""EN PROCESO""
  )
)
"),"SI")</f>
        <v>SI</v>
      </c>
      <c r="F869" s="184" t="s">
        <v>65</v>
      </c>
    </row>
    <row r="870" spans="2:6" ht="15" x14ac:dyDescent="0.25">
      <c r="B870" s="183">
        <v>867</v>
      </c>
      <c r="C870" s="131">
        <v>2024</v>
      </c>
      <c r="D870" s="131" t="s">
        <v>117</v>
      </c>
      <c r="E870" s="131" t="str">
        <f ca="1">IFERROR(__xludf.DUMMYFUNCTION("IF(
  MAX(
    IFERROR(MAX(FILTER('REGISTRO PROD. v1'!F:F,'REGISTRO PROD. v1'!D:D=B870)),0),
    IFERROR(MAX(FILTER('REGISTRO PROD. v1'!W:W,'REGISTRO PROD. v1'!U:U=B870)),0),
    IFERROR(MAX(FILTER('REGISTRO PROD. v1'!AN:AN,'REGISTRO PROD. v1'!AL:AL=B870)"&amp;"),0),
    IFERROR(MAX(FILTER('REGISTRO PROD. v1'!BE:BE,'REGISTRO PROD. v1'!BC:BC=B870)),0),
    IFERROR(MAX(FILTER('REGISTRO PROD. v1'!BV:BV,'REGISTRO PROD. v1'!BT:BT=B870)),0)
  )=0,
  ""NO"",
  IF(
    MAX(
      IFERROR(MAX(FILTER('REGISTRO PROD. v1'!F"&amp;":F,'REGISTRO PROD. v1'!D:D=B870)),0),
      IFERROR(MAX(FILTER('REGISTRO PROD. v1'!W:W,'REGISTRO PROD. v1'!U:U=B870)),0),
      IFERROR(MAX(FILTER('REGISTRO PROD. v1'!AN:AN,'REGISTRO PROD. v1'!AL:AL=B870)),0),
      IFERROR(MAX(FILTER('REGISTRO PROD. v1'!"&amp;"BE:BE,'REGISTRO PROD. v1'!BC:BC=B870)),0),
      IFERROR(MAX(FILTER('REGISTRO PROD. v1'!BV:BV,'REGISTRO PROD. v1'!BT:BT=B870)),0)
    )&gt;=F870,
    ""SI"",
    ""EN PROCESO""
  )
)
"),"SI")</f>
        <v>SI</v>
      </c>
      <c r="F870" s="184" t="s">
        <v>65</v>
      </c>
    </row>
    <row r="871" spans="2:6" ht="15" x14ac:dyDescent="0.25">
      <c r="B871" s="183">
        <v>868</v>
      </c>
      <c r="C871" s="131">
        <v>2024</v>
      </c>
      <c r="D871" s="131" t="s">
        <v>118</v>
      </c>
      <c r="E871" s="131" t="str">
        <f ca="1">IFERROR(__xludf.DUMMYFUNCTION("IF(
  MAX(
    IFERROR(MAX(FILTER('REGISTRO PROD. v1'!F:F,'REGISTRO PROD. v1'!D:D=B871)),0),
    IFERROR(MAX(FILTER('REGISTRO PROD. v1'!W:W,'REGISTRO PROD. v1'!U:U=B871)),0),
    IFERROR(MAX(FILTER('REGISTRO PROD. v1'!AN:AN,'REGISTRO PROD. v1'!AL:AL=B871)"&amp;"),0),
    IFERROR(MAX(FILTER('REGISTRO PROD. v1'!BE:BE,'REGISTRO PROD. v1'!BC:BC=B871)),0),
    IFERROR(MAX(FILTER('REGISTRO PROD. v1'!BV:BV,'REGISTRO PROD. v1'!BT:BT=B871)),0)
  )=0,
  ""NO"",
  IF(
    MAX(
      IFERROR(MAX(FILTER('REGISTRO PROD. v1'!F"&amp;":F,'REGISTRO PROD. v1'!D:D=B871)),0),
      IFERROR(MAX(FILTER('REGISTRO PROD. v1'!W:W,'REGISTRO PROD. v1'!U:U=B871)),0),
      IFERROR(MAX(FILTER('REGISTRO PROD. v1'!AN:AN,'REGISTRO PROD. v1'!AL:AL=B871)),0),
      IFERROR(MAX(FILTER('REGISTRO PROD. v1'!"&amp;"BE:BE,'REGISTRO PROD. v1'!BC:BC=B871)),0),
      IFERROR(MAX(FILTER('REGISTRO PROD. v1'!BV:BV,'REGISTRO PROD. v1'!BT:BT=B871)),0)
    )&gt;=F871,
    ""SI"",
    ""EN PROCESO""
  )
)
"),"SI")</f>
        <v>SI</v>
      </c>
      <c r="F871" s="184" t="s">
        <v>65</v>
      </c>
    </row>
    <row r="872" spans="2:6" ht="15" x14ac:dyDescent="0.25">
      <c r="B872" s="183">
        <v>869</v>
      </c>
      <c r="C872" s="131">
        <v>2024</v>
      </c>
      <c r="D872" s="131" t="s">
        <v>119</v>
      </c>
      <c r="E872" s="131" t="str">
        <f ca="1">IFERROR(__xludf.DUMMYFUNCTION("IF(
  MAX(
    IFERROR(MAX(FILTER('REGISTRO PROD. v1'!F:F,'REGISTRO PROD. v1'!D:D=B872)),0),
    IFERROR(MAX(FILTER('REGISTRO PROD. v1'!W:W,'REGISTRO PROD. v1'!U:U=B872)),0),
    IFERROR(MAX(FILTER('REGISTRO PROD. v1'!AN:AN,'REGISTRO PROD. v1'!AL:AL=B872)"&amp;"),0),
    IFERROR(MAX(FILTER('REGISTRO PROD. v1'!BE:BE,'REGISTRO PROD. v1'!BC:BC=B872)),0),
    IFERROR(MAX(FILTER('REGISTRO PROD. v1'!BV:BV,'REGISTRO PROD. v1'!BT:BT=B872)),0)
  )=0,
  ""NO"",
  IF(
    MAX(
      IFERROR(MAX(FILTER('REGISTRO PROD. v1'!F"&amp;":F,'REGISTRO PROD. v1'!D:D=B872)),0),
      IFERROR(MAX(FILTER('REGISTRO PROD. v1'!W:W,'REGISTRO PROD. v1'!U:U=B872)),0),
      IFERROR(MAX(FILTER('REGISTRO PROD. v1'!AN:AN,'REGISTRO PROD. v1'!AL:AL=B872)),0),
      IFERROR(MAX(FILTER('REGISTRO PROD. v1'!"&amp;"BE:BE,'REGISTRO PROD. v1'!BC:BC=B872)),0),
      IFERROR(MAX(FILTER('REGISTRO PROD. v1'!BV:BV,'REGISTRO PROD. v1'!BT:BT=B872)),0)
    )&gt;=F872,
    ""SI"",
    ""EN PROCESO""
  )
)
"),"SI")</f>
        <v>SI</v>
      </c>
      <c r="F872" s="184" t="s">
        <v>65</v>
      </c>
    </row>
    <row r="873" spans="2:6" ht="15" x14ac:dyDescent="0.25">
      <c r="B873" s="183">
        <v>870</v>
      </c>
      <c r="C873" s="131">
        <v>2024</v>
      </c>
      <c r="D873" s="131" t="s">
        <v>121</v>
      </c>
      <c r="E873" s="131" t="str">
        <f ca="1">IFERROR(__xludf.DUMMYFUNCTION("IF(
  MAX(
    IFERROR(MAX(FILTER('REGISTRO PROD. v1'!F:F,'REGISTRO PROD. v1'!D:D=B873)),0),
    IFERROR(MAX(FILTER('REGISTRO PROD. v1'!W:W,'REGISTRO PROD. v1'!U:U=B873)),0),
    IFERROR(MAX(FILTER('REGISTRO PROD. v1'!AN:AN,'REGISTRO PROD. v1'!AL:AL=B873)"&amp;"),0),
    IFERROR(MAX(FILTER('REGISTRO PROD. v1'!BE:BE,'REGISTRO PROD. v1'!BC:BC=B873)),0),
    IFERROR(MAX(FILTER('REGISTRO PROD. v1'!BV:BV,'REGISTRO PROD. v1'!BT:BT=B873)),0)
  )=0,
  ""NO"",
  IF(
    MAX(
      IFERROR(MAX(FILTER('REGISTRO PROD. v1'!F"&amp;":F,'REGISTRO PROD. v1'!D:D=B873)),0),
      IFERROR(MAX(FILTER('REGISTRO PROD. v1'!W:W,'REGISTRO PROD. v1'!U:U=B873)),0),
      IFERROR(MAX(FILTER('REGISTRO PROD. v1'!AN:AN,'REGISTRO PROD. v1'!AL:AL=B873)),0),
      IFERROR(MAX(FILTER('REGISTRO PROD. v1'!"&amp;"BE:BE,'REGISTRO PROD. v1'!BC:BC=B873)),0),
      IFERROR(MAX(FILTER('REGISTRO PROD. v1'!BV:BV,'REGISTRO PROD. v1'!BT:BT=B873)),0)
    )&gt;=F873,
    ""SI"",
    ""EN PROCESO""
  )
)
"),"SI")</f>
        <v>SI</v>
      </c>
      <c r="F873" s="184" t="s">
        <v>65</v>
      </c>
    </row>
    <row r="874" spans="2:6" ht="15" x14ac:dyDescent="0.25">
      <c r="B874" s="183">
        <v>871</v>
      </c>
      <c r="C874" s="131">
        <v>2024</v>
      </c>
      <c r="D874" s="131" t="s">
        <v>122</v>
      </c>
      <c r="E874" s="131" t="str">
        <f ca="1">IFERROR(__xludf.DUMMYFUNCTION("IF(
  MAX(
    IFERROR(MAX(FILTER('REGISTRO PROD. v1'!F:F,'REGISTRO PROD. v1'!D:D=B874)),0),
    IFERROR(MAX(FILTER('REGISTRO PROD. v1'!W:W,'REGISTRO PROD. v1'!U:U=B874)),0),
    IFERROR(MAX(FILTER('REGISTRO PROD. v1'!AN:AN,'REGISTRO PROD. v1'!AL:AL=B874)"&amp;"),0),
    IFERROR(MAX(FILTER('REGISTRO PROD. v1'!BE:BE,'REGISTRO PROD. v1'!BC:BC=B874)),0),
    IFERROR(MAX(FILTER('REGISTRO PROD. v1'!BV:BV,'REGISTRO PROD. v1'!BT:BT=B874)),0)
  )=0,
  ""NO"",
  IF(
    MAX(
      IFERROR(MAX(FILTER('REGISTRO PROD. v1'!F"&amp;":F,'REGISTRO PROD. v1'!D:D=B874)),0),
      IFERROR(MAX(FILTER('REGISTRO PROD. v1'!W:W,'REGISTRO PROD. v1'!U:U=B874)),0),
      IFERROR(MAX(FILTER('REGISTRO PROD. v1'!AN:AN,'REGISTRO PROD. v1'!AL:AL=B874)),0),
      IFERROR(MAX(FILTER('REGISTRO PROD. v1'!"&amp;"BE:BE,'REGISTRO PROD. v1'!BC:BC=B874)),0),
      IFERROR(MAX(FILTER('REGISTRO PROD. v1'!BV:BV,'REGISTRO PROD. v1'!BT:BT=B874)),0)
    )&gt;=F874,
    ""SI"",
    ""EN PROCESO""
  )
)
"),"EN PROCESO")</f>
        <v>EN PROCESO</v>
      </c>
      <c r="F874" s="184" t="s">
        <v>65</v>
      </c>
    </row>
    <row r="875" spans="2:6" ht="15" x14ac:dyDescent="0.25">
      <c r="B875" s="183">
        <v>872</v>
      </c>
      <c r="C875" s="131">
        <v>2024</v>
      </c>
      <c r="D875" s="131" t="s">
        <v>123</v>
      </c>
      <c r="E875" s="131" t="str">
        <f ca="1">IFERROR(__xludf.DUMMYFUNCTION("IF(
  MAX(
    IFERROR(MAX(FILTER('REGISTRO PROD. v1'!F:F,'REGISTRO PROD. v1'!D:D=B875)),0),
    IFERROR(MAX(FILTER('REGISTRO PROD. v1'!W:W,'REGISTRO PROD. v1'!U:U=B875)),0),
    IFERROR(MAX(FILTER('REGISTRO PROD. v1'!AN:AN,'REGISTRO PROD. v1'!AL:AL=B875)"&amp;"),0),
    IFERROR(MAX(FILTER('REGISTRO PROD. v1'!BE:BE,'REGISTRO PROD. v1'!BC:BC=B875)),0),
    IFERROR(MAX(FILTER('REGISTRO PROD. v1'!BV:BV,'REGISTRO PROD. v1'!BT:BT=B875)),0)
  )=0,
  ""NO"",
  IF(
    MAX(
      IFERROR(MAX(FILTER('REGISTRO PROD. v1'!F"&amp;":F,'REGISTRO PROD. v1'!D:D=B875)),0),
      IFERROR(MAX(FILTER('REGISTRO PROD. v1'!W:W,'REGISTRO PROD. v1'!U:U=B875)),0),
      IFERROR(MAX(FILTER('REGISTRO PROD. v1'!AN:AN,'REGISTRO PROD. v1'!AL:AL=B875)),0),
      IFERROR(MAX(FILTER('REGISTRO PROD. v1'!"&amp;"BE:BE,'REGISTRO PROD. v1'!BC:BC=B875)),0),
      IFERROR(MAX(FILTER('REGISTRO PROD. v1'!BV:BV,'REGISTRO PROD. v1'!BT:BT=B875)),0)
    )&gt;=F875,
    ""SI"",
    ""EN PROCESO""
  )
)
"),"EN PROCESO")</f>
        <v>EN PROCESO</v>
      </c>
      <c r="F875" s="184" t="s">
        <v>65</v>
      </c>
    </row>
    <row r="876" spans="2:6" ht="15" x14ac:dyDescent="0.25">
      <c r="B876" s="183">
        <v>873</v>
      </c>
      <c r="C876" s="131">
        <v>2024</v>
      </c>
      <c r="D876" s="131" t="s">
        <v>124</v>
      </c>
      <c r="E876" s="131" t="str">
        <f ca="1">IFERROR(__xludf.DUMMYFUNCTION("IF(
  MAX(
    IFERROR(MAX(FILTER('REGISTRO PROD. v1'!F:F,'REGISTRO PROD. v1'!D:D=B876)),0),
    IFERROR(MAX(FILTER('REGISTRO PROD. v1'!W:W,'REGISTRO PROD. v1'!U:U=B876)),0),
    IFERROR(MAX(FILTER('REGISTRO PROD. v1'!AN:AN,'REGISTRO PROD. v1'!AL:AL=B876)"&amp;"),0),
    IFERROR(MAX(FILTER('REGISTRO PROD. v1'!BE:BE,'REGISTRO PROD. v1'!BC:BC=B876)),0),
    IFERROR(MAX(FILTER('REGISTRO PROD. v1'!BV:BV,'REGISTRO PROD. v1'!BT:BT=B876)),0)
  )=0,
  ""NO"",
  IF(
    MAX(
      IFERROR(MAX(FILTER('REGISTRO PROD. v1'!F"&amp;":F,'REGISTRO PROD. v1'!D:D=B876)),0),
      IFERROR(MAX(FILTER('REGISTRO PROD. v1'!W:W,'REGISTRO PROD. v1'!U:U=B876)),0),
      IFERROR(MAX(FILTER('REGISTRO PROD. v1'!AN:AN,'REGISTRO PROD. v1'!AL:AL=B876)),0),
      IFERROR(MAX(FILTER('REGISTRO PROD. v1'!"&amp;"BE:BE,'REGISTRO PROD. v1'!BC:BC=B876)),0),
      IFERROR(MAX(FILTER('REGISTRO PROD. v1'!BV:BV,'REGISTRO PROD. v1'!BT:BT=B876)),0)
    )&gt;=F876,
    ""SI"",
    ""EN PROCESO""
  )
)
"),"SI")</f>
        <v>SI</v>
      </c>
      <c r="F876" s="184" t="s">
        <v>65</v>
      </c>
    </row>
    <row r="877" spans="2:6" ht="15" x14ac:dyDescent="0.25">
      <c r="B877" s="183">
        <v>874</v>
      </c>
      <c r="C877" s="131">
        <v>2024</v>
      </c>
      <c r="D877" s="131" t="s">
        <v>125</v>
      </c>
      <c r="E877" s="131" t="str">
        <f ca="1">IFERROR(__xludf.DUMMYFUNCTION("IF(
  MAX(
    IFERROR(MAX(FILTER('REGISTRO PROD. v1'!F:F,'REGISTRO PROD. v1'!D:D=B877)),0),
    IFERROR(MAX(FILTER('REGISTRO PROD. v1'!W:W,'REGISTRO PROD. v1'!U:U=B877)),0),
    IFERROR(MAX(FILTER('REGISTRO PROD. v1'!AN:AN,'REGISTRO PROD. v1'!AL:AL=B877)"&amp;"),0),
    IFERROR(MAX(FILTER('REGISTRO PROD. v1'!BE:BE,'REGISTRO PROD. v1'!BC:BC=B877)),0),
    IFERROR(MAX(FILTER('REGISTRO PROD. v1'!BV:BV,'REGISTRO PROD. v1'!BT:BT=B877)),0)
  )=0,
  ""NO"",
  IF(
    MAX(
      IFERROR(MAX(FILTER('REGISTRO PROD. v1'!F"&amp;":F,'REGISTRO PROD. v1'!D:D=B877)),0),
      IFERROR(MAX(FILTER('REGISTRO PROD. v1'!W:W,'REGISTRO PROD. v1'!U:U=B877)),0),
      IFERROR(MAX(FILTER('REGISTRO PROD. v1'!AN:AN,'REGISTRO PROD. v1'!AL:AL=B877)),0),
      IFERROR(MAX(FILTER('REGISTRO PROD. v1'!"&amp;"BE:BE,'REGISTRO PROD. v1'!BC:BC=B877)),0),
      IFERROR(MAX(FILTER('REGISTRO PROD. v1'!BV:BV,'REGISTRO PROD. v1'!BT:BT=B877)),0)
    )&gt;=F877,
    ""SI"",
    ""EN PROCESO""
  )
)
"),"SI")</f>
        <v>SI</v>
      </c>
      <c r="F877" s="184" t="s">
        <v>65</v>
      </c>
    </row>
    <row r="878" spans="2:6" ht="15" x14ac:dyDescent="0.25">
      <c r="B878" s="183">
        <v>875</v>
      </c>
      <c r="C878" s="131">
        <v>2024</v>
      </c>
      <c r="D878" s="131" t="s">
        <v>126</v>
      </c>
      <c r="E878" s="131" t="str">
        <f ca="1">IFERROR(__xludf.DUMMYFUNCTION("IF(
  MAX(
    IFERROR(MAX(FILTER('REGISTRO PROD. v1'!F:F,'REGISTRO PROD. v1'!D:D=B878)),0),
    IFERROR(MAX(FILTER('REGISTRO PROD. v1'!W:W,'REGISTRO PROD. v1'!U:U=B878)),0),
    IFERROR(MAX(FILTER('REGISTRO PROD. v1'!AN:AN,'REGISTRO PROD. v1'!AL:AL=B878)"&amp;"),0),
    IFERROR(MAX(FILTER('REGISTRO PROD. v1'!BE:BE,'REGISTRO PROD. v1'!BC:BC=B878)),0),
    IFERROR(MAX(FILTER('REGISTRO PROD. v1'!BV:BV,'REGISTRO PROD. v1'!BT:BT=B878)),0)
  )=0,
  ""NO"",
  IF(
    MAX(
      IFERROR(MAX(FILTER('REGISTRO PROD. v1'!F"&amp;":F,'REGISTRO PROD. v1'!D:D=B878)),0),
      IFERROR(MAX(FILTER('REGISTRO PROD. v1'!W:W,'REGISTRO PROD. v1'!U:U=B878)),0),
      IFERROR(MAX(FILTER('REGISTRO PROD. v1'!AN:AN,'REGISTRO PROD. v1'!AL:AL=B878)),0),
      IFERROR(MAX(FILTER('REGISTRO PROD. v1'!"&amp;"BE:BE,'REGISTRO PROD. v1'!BC:BC=B878)),0),
      IFERROR(MAX(FILTER('REGISTRO PROD. v1'!BV:BV,'REGISTRO PROD. v1'!BT:BT=B878)),0)
    )&gt;=F878,
    ""SI"",
    ""EN PROCESO""
  )
)
"),"SI")</f>
        <v>SI</v>
      </c>
      <c r="F878" s="184" t="s">
        <v>65</v>
      </c>
    </row>
    <row r="879" spans="2:6" ht="15" x14ac:dyDescent="0.25">
      <c r="B879" s="183">
        <v>876</v>
      </c>
      <c r="C879" s="131">
        <v>2024</v>
      </c>
      <c r="D879" s="131" t="s">
        <v>128</v>
      </c>
      <c r="E879" s="131" t="str">
        <f ca="1">IFERROR(__xludf.DUMMYFUNCTION("IF(
  MAX(
    IFERROR(MAX(FILTER('REGISTRO PROD. v1'!F:F,'REGISTRO PROD. v1'!D:D=B879)),0),
    IFERROR(MAX(FILTER('REGISTRO PROD. v1'!W:W,'REGISTRO PROD. v1'!U:U=B879)),0),
    IFERROR(MAX(FILTER('REGISTRO PROD. v1'!AN:AN,'REGISTRO PROD. v1'!AL:AL=B879)"&amp;"),0),
    IFERROR(MAX(FILTER('REGISTRO PROD. v1'!BE:BE,'REGISTRO PROD. v1'!BC:BC=B879)),0),
    IFERROR(MAX(FILTER('REGISTRO PROD. v1'!BV:BV,'REGISTRO PROD. v1'!BT:BT=B879)),0)
  )=0,
  ""NO"",
  IF(
    MAX(
      IFERROR(MAX(FILTER('REGISTRO PROD. v1'!F"&amp;":F,'REGISTRO PROD. v1'!D:D=B879)),0),
      IFERROR(MAX(FILTER('REGISTRO PROD. v1'!W:W,'REGISTRO PROD. v1'!U:U=B879)),0),
      IFERROR(MAX(FILTER('REGISTRO PROD. v1'!AN:AN,'REGISTRO PROD. v1'!AL:AL=B879)),0),
      IFERROR(MAX(FILTER('REGISTRO PROD. v1'!"&amp;"BE:BE,'REGISTRO PROD. v1'!BC:BC=B879)),0),
      IFERROR(MAX(FILTER('REGISTRO PROD. v1'!BV:BV,'REGISTRO PROD. v1'!BT:BT=B879)),0)
    )&gt;=F879,
    ""SI"",
    ""EN PROCESO""
  )
)
"),"SI")</f>
        <v>SI</v>
      </c>
      <c r="F879" s="184" t="s">
        <v>65</v>
      </c>
    </row>
    <row r="880" spans="2:6" ht="15" x14ac:dyDescent="0.25">
      <c r="B880" s="183">
        <v>877</v>
      </c>
      <c r="C880" s="131">
        <v>2024</v>
      </c>
      <c r="D880" s="131" t="s">
        <v>129</v>
      </c>
      <c r="E880" s="131" t="str">
        <f ca="1">IFERROR(__xludf.DUMMYFUNCTION("IF(
  MAX(
    IFERROR(MAX(FILTER('REGISTRO PROD. v1'!F:F,'REGISTRO PROD. v1'!D:D=B880)),0),
    IFERROR(MAX(FILTER('REGISTRO PROD. v1'!W:W,'REGISTRO PROD. v1'!U:U=B880)),0),
    IFERROR(MAX(FILTER('REGISTRO PROD. v1'!AN:AN,'REGISTRO PROD. v1'!AL:AL=B880)"&amp;"),0),
    IFERROR(MAX(FILTER('REGISTRO PROD. v1'!BE:BE,'REGISTRO PROD. v1'!BC:BC=B880)),0),
    IFERROR(MAX(FILTER('REGISTRO PROD. v1'!BV:BV,'REGISTRO PROD. v1'!BT:BT=B880)),0)
  )=0,
  ""NO"",
  IF(
    MAX(
      IFERROR(MAX(FILTER('REGISTRO PROD. v1'!F"&amp;":F,'REGISTRO PROD. v1'!D:D=B880)),0),
      IFERROR(MAX(FILTER('REGISTRO PROD. v1'!W:W,'REGISTRO PROD. v1'!U:U=B880)),0),
      IFERROR(MAX(FILTER('REGISTRO PROD. v1'!AN:AN,'REGISTRO PROD. v1'!AL:AL=B880)),0),
      IFERROR(MAX(FILTER('REGISTRO PROD. v1'!"&amp;"BE:BE,'REGISTRO PROD. v1'!BC:BC=B880)),0),
      IFERROR(MAX(FILTER('REGISTRO PROD. v1'!BV:BV,'REGISTRO PROD. v1'!BT:BT=B880)),0)
    )&gt;=F880,
    ""SI"",
    ""EN PROCESO""
  )
)
"),"SI")</f>
        <v>SI</v>
      </c>
      <c r="F880" s="184" t="s">
        <v>65</v>
      </c>
    </row>
    <row r="881" spans="2:6" ht="15" x14ac:dyDescent="0.25">
      <c r="B881" s="183">
        <v>878</v>
      </c>
      <c r="C881" s="131">
        <v>2024</v>
      </c>
      <c r="D881" s="131" t="s">
        <v>130</v>
      </c>
      <c r="E881" s="131" t="str">
        <f ca="1">IFERROR(__xludf.DUMMYFUNCTION("IF(
  MAX(
    IFERROR(MAX(FILTER('REGISTRO PROD. v1'!F:F,'REGISTRO PROD. v1'!D:D=B881)),0),
    IFERROR(MAX(FILTER('REGISTRO PROD. v1'!W:W,'REGISTRO PROD. v1'!U:U=B881)),0),
    IFERROR(MAX(FILTER('REGISTRO PROD. v1'!AN:AN,'REGISTRO PROD. v1'!AL:AL=B881)"&amp;"),0),
    IFERROR(MAX(FILTER('REGISTRO PROD. v1'!BE:BE,'REGISTRO PROD. v1'!BC:BC=B881)),0),
    IFERROR(MAX(FILTER('REGISTRO PROD. v1'!BV:BV,'REGISTRO PROD. v1'!BT:BT=B881)),0)
  )=0,
  ""NO"",
  IF(
    MAX(
      IFERROR(MAX(FILTER('REGISTRO PROD. v1'!F"&amp;":F,'REGISTRO PROD. v1'!D:D=B881)),0),
      IFERROR(MAX(FILTER('REGISTRO PROD. v1'!W:W,'REGISTRO PROD. v1'!U:U=B881)),0),
      IFERROR(MAX(FILTER('REGISTRO PROD. v1'!AN:AN,'REGISTRO PROD. v1'!AL:AL=B881)),0),
      IFERROR(MAX(FILTER('REGISTRO PROD. v1'!"&amp;"BE:BE,'REGISTRO PROD. v1'!BC:BC=B881)),0),
      IFERROR(MAX(FILTER('REGISTRO PROD. v1'!BV:BV,'REGISTRO PROD. v1'!BT:BT=B881)),0)
    )&gt;=F881,
    ""SI"",
    ""EN PROCESO""
  )
)
"),"SI")</f>
        <v>SI</v>
      </c>
      <c r="F881" s="184" t="s">
        <v>65</v>
      </c>
    </row>
    <row r="882" spans="2:6" ht="15" x14ac:dyDescent="0.25">
      <c r="B882" s="183">
        <v>879</v>
      </c>
      <c r="C882" s="131">
        <v>2024</v>
      </c>
      <c r="D882" s="131" t="s">
        <v>131</v>
      </c>
      <c r="E882" s="131" t="str">
        <f ca="1">IFERROR(__xludf.DUMMYFUNCTION("IF(
  MAX(
    IFERROR(MAX(FILTER('REGISTRO PROD. v1'!F:F,'REGISTRO PROD. v1'!D:D=B882)),0),
    IFERROR(MAX(FILTER('REGISTRO PROD. v1'!W:W,'REGISTRO PROD. v1'!U:U=B882)),0),
    IFERROR(MAX(FILTER('REGISTRO PROD. v1'!AN:AN,'REGISTRO PROD. v1'!AL:AL=B882)"&amp;"),0),
    IFERROR(MAX(FILTER('REGISTRO PROD. v1'!BE:BE,'REGISTRO PROD. v1'!BC:BC=B882)),0),
    IFERROR(MAX(FILTER('REGISTRO PROD. v1'!BV:BV,'REGISTRO PROD. v1'!BT:BT=B882)),0)
  )=0,
  ""NO"",
  IF(
    MAX(
      IFERROR(MAX(FILTER('REGISTRO PROD. v1'!F"&amp;":F,'REGISTRO PROD. v1'!D:D=B882)),0),
      IFERROR(MAX(FILTER('REGISTRO PROD. v1'!W:W,'REGISTRO PROD. v1'!U:U=B882)),0),
      IFERROR(MAX(FILTER('REGISTRO PROD. v1'!AN:AN,'REGISTRO PROD. v1'!AL:AL=B882)),0),
      IFERROR(MAX(FILTER('REGISTRO PROD. v1'!"&amp;"BE:BE,'REGISTRO PROD. v1'!BC:BC=B882)),0),
      IFERROR(MAX(FILTER('REGISTRO PROD. v1'!BV:BV,'REGISTRO PROD. v1'!BT:BT=B882)),0)
    )&gt;=F882,
    ""SI"",
    ""EN PROCESO""
  )
)
"),"EN PROCESO")</f>
        <v>EN PROCESO</v>
      </c>
      <c r="F882" s="184" t="s">
        <v>65</v>
      </c>
    </row>
  </sheetData>
  <autoFilter ref="B3:F882" xr:uid="{00000000-0009-0000-0000-000006000000}"/>
  <mergeCells count="1">
    <mergeCell ref="B2:F2"/>
  </mergeCells>
  <conditionalFormatting sqref="F4:F882">
    <cfRule type="cellIs" dxfId="1" priority="1" operator="equal">
      <formula>"DISPONIBLE"</formula>
    </cfRule>
  </conditionalFormatting>
  <conditionalFormatting sqref="F4:F882">
    <cfRule type="cellIs" dxfId="0" priority="2" operator="equal">
      <formula>"NO DISPONIBLE"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999"/>
  <sheetViews>
    <sheetView workbookViewId="0"/>
  </sheetViews>
  <sheetFormatPr baseColWidth="10" defaultColWidth="12.5703125" defaultRowHeight="15.75" customHeight="1" x14ac:dyDescent="0.2"/>
  <cols>
    <col min="2" max="2" width="30.42578125" customWidth="1"/>
    <col min="3" max="3" width="19" customWidth="1"/>
    <col min="4" max="4" width="17.7109375" customWidth="1"/>
    <col min="5" max="5" width="22.28515625" customWidth="1"/>
    <col min="6" max="6" width="21.140625" customWidth="1"/>
    <col min="7" max="7" width="17.140625" customWidth="1"/>
    <col min="8" max="8" width="14.7109375" customWidth="1"/>
    <col min="9" max="9" width="24.42578125" customWidth="1"/>
    <col min="10" max="11" width="24.28515625" customWidth="1"/>
  </cols>
  <sheetData>
    <row r="1" spans="1:12" ht="25.5" x14ac:dyDescent="0.2">
      <c r="A1" s="188" t="s">
        <v>211</v>
      </c>
      <c r="B1" s="189" t="s">
        <v>212</v>
      </c>
      <c r="C1" s="190"/>
      <c r="D1" s="190" t="s">
        <v>11</v>
      </c>
      <c r="E1" s="191" t="s">
        <v>213</v>
      </c>
      <c r="F1" s="191" t="s">
        <v>6</v>
      </c>
      <c r="G1" s="191" t="s">
        <v>9</v>
      </c>
      <c r="H1" s="191" t="s">
        <v>10</v>
      </c>
      <c r="I1" s="192" t="s">
        <v>13</v>
      </c>
      <c r="J1" s="192" t="s">
        <v>8</v>
      </c>
      <c r="K1" s="804" t="s">
        <v>50</v>
      </c>
      <c r="L1" s="803"/>
    </row>
    <row r="2" spans="1:12" ht="25.5" x14ac:dyDescent="0.2">
      <c r="A2" s="801" t="s">
        <v>214</v>
      </c>
      <c r="B2" s="193" t="s">
        <v>32</v>
      </c>
      <c r="C2" s="194"/>
      <c r="D2" s="195" t="e">
        <f>#REF!</f>
        <v>#REF!</v>
      </c>
      <c r="E2" s="196" t="e">
        <f>#REF!</f>
        <v>#REF!</v>
      </c>
      <c r="F2" s="196" t="e">
        <f>#REF!</f>
        <v>#REF!</v>
      </c>
      <c r="G2" s="2"/>
      <c r="H2" s="2"/>
      <c r="I2" s="805"/>
      <c r="J2" s="662"/>
      <c r="K2" s="197" t="s">
        <v>215</v>
      </c>
      <c r="L2" s="198" t="e">
        <f t="shared" ref="L2:L3" si="0">SUM(D2:F2)</f>
        <v>#REF!</v>
      </c>
    </row>
    <row r="3" spans="1:12" ht="25.5" x14ac:dyDescent="0.2">
      <c r="A3" s="634"/>
      <c r="B3" s="197" t="s">
        <v>216</v>
      </c>
      <c r="C3" s="195"/>
      <c r="D3" s="195" t="e">
        <f>#REF!</f>
        <v>#REF!</v>
      </c>
      <c r="E3" s="196" t="e">
        <f>#REF!</f>
        <v>#REF!</v>
      </c>
      <c r="F3" s="199" t="e">
        <f>#REF!</f>
        <v>#REF!</v>
      </c>
      <c r="G3" s="2"/>
      <c r="H3" s="2"/>
      <c r="I3" s="662"/>
      <c r="J3" s="662"/>
      <c r="K3" s="197" t="s">
        <v>217</v>
      </c>
      <c r="L3" s="198" t="e">
        <f t="shared" si="0"/>
        <v>#REF!</v>
      </c>
    </row>
    <row r="4" spans="1:12" ht="25.5" x14ac:dyDescent="0.2">
      <c r="A4" s="634"/>
      <c r="B4" s="197" t="s">
        <v>218</v>
      </c>
      <c r="C4" s="195"/>
      <c r="D4" s="195">
        <f>4.25+5.25+0.5+0.75</f>
        <v>10.75</v>
      </c>
      <c r="E4" s="196" t="e">
        <f>#REF!</f>
        <v>#REF!</v>
      </c>
      <c r="F4" s="199" t="e">
        <f>#REF!</f>
        <v>#REF!</v>
      </c>
      <c r="G4" s="2"/>
      <c r="H4" s="2"/>
      <c r="I4" s="662"/>
      <c r="J4" s="662"/>
      <c r="K4" s="197" t="s">
        <v>220</v>
      </c>
      <c r="L4" s="201">
        <v>31.25</v>
      </c>
    </row>
    <row r="5" spans="1:12" ht="25.5" x14ac:dyDescent="0.2">
      <c r="A5" s="634"/>
      <c r="B5" s="197" t="s">
        <v>221</v>
      </c>
      <c r="C5" s="195"/>
      <c r="D5" s="195" t="e">
        <f>SUM(D3:D4)</f>
        <v>#REF!</v>
      </c>
      <c r="E5" s="203">
        <v>25</v>
      </c>
      <c r="F5" s="203">
        <v>25</v>
      </c>
      <c r="G5" s="204"/>
      <c r="H5" s="204"/>
      <c r="I5" s="662"/>
      <c r="J5" s="662"/>
      <c r="K5" s="197" t="s">
        <v>223</v>
      </c>
      <c r="L5" s="198" t="e">
        <f>SUM(L3:L4)</f>
        <v>#REF!</v>
      </c>
    </row>
    <row r="6" spans="1:12" ht="25.5" x14ac:dyDescent="0.2">
      <c r="A6" s="635"/>
      <c r="B6" s="208" t="s">
        <v>224</v>
      </c>
      <c r="C6" s="209"/>
      <c r="D6" s="209" t="e">
        <f t="shared" ref="D6:F6" si="1">D2/(D3*60)</f>
        <v>#REF!</v>
      </c>
      <c r="E6" s="209" t="e">
        <f t="shared" si="1"/>
        <v>#REF!</v>
      </c>
      <c r="F6" s="209" t="e">
        <f t="shared" si="1"/>
        <v>#REF!</v>
      </c>
      <c r="G6" s="215"/>
      <c r="H6" s="215"/>
      <c r="I6" s="662"/>
      <c r="J6" s="662"/>
      <c r="K6" s="217" t="s">
        <v>226</v>
      </c>
      <c r="L6" s="220" t="e">
        <f>L2/(L3*60)</f>
        <v>#REF!</v>
      </c>
    </row>
    <row r="7" spans="1:12" ht="25.5" x14ac:dyDescent="0.2">
      <c r="A7" s="801" t="s">
        <v>228</v>
      </c>
      <c r="B7" s="193" t="s">
        <v>32</v>
      </c>
      <c r="C7" s="222"/>
      <c r="D7" s="70" t="e">
        <f>#REF!</f>
        <v>#REF!</v>
      </c>
      <c r="E7" s="70" t="e">
        <f>#REF!</f>
        <v>#REF!</v>
      </c>
      <c r="F7" s="70" t="e">
        <f>#REF!</f>
        <v>#REF!</v>
      </c>
      <c r="G7" s="1"/>
      <c r="H7" s="1"/>
      <c r="I7" s="662"/>
      <c r="J7" s="662"/>
      <c r="K7" s="197" t="s">
        <v>215</v>
      </c>
      <c r="L7" s="71" t="e">
        <f t="shared" ref="L7:L10" si="2">SUM(D7:F7)</f>
        <v>#REF!</v>
      </c>
    </row>
    <row r="8" spans="1:12" ht="25.5" x14ac:dyDescent="0.2">
      <c r="A8" s="634"/>
      <c r="B8" s="197" t="s">
        <v>216</v>
      </c>
      <c r="C8" s="70"/>
      <c r="D8" s="70" t="e">
        <f>#REF!</f>
        <v>#REF!</v>
      </c>
      <c r="E8" s="232" t="e">
        <f>#REF!</f>
        <v>#REF!</v>
      </c>
      <c r="F8" s="70" t="e">
        <f>#REF!</f>
        <v>#REF!</v>
      </c>
      <c r="G8" s="1"/>
      <c r="H8" s="1"/>
      <c r="I8" s="662"/>
      <c r="J8" s="662"/>
      <c r="K8" s="197" t="s">
        <v>217</v>
      </c>
      <c r="L8" s="71" t="e">
        <f t="shared" si="2"/>
        <v>#REF!</v>
      </c>
    </row>
    <row r="9" spans="1:12" ht="25.5" x14ac:dyDescent="0.2">
      <c r="A9" s="634"/>
      <c r="B9" s="197" t="s">
        <v>218</v>
      </c>
      <c r="C9" s="70"/>
      <c r="D9" s="70" t="e">
        <f>#REF!</f>
        <v>#REF!</v>
      </c>
      <c r="E9" s="70" t="e">
        <f>#REF!</f>
        <v>#REF!</v>
      </c>
      <c r="F9" s="70" t="e">
        <f>#REF!</f>
        <v>#REF!</v>
      </c>
      <c r="G9" s="1"/>
      <c r="H9" s="1"/>
      <c r="I9" s="662"/>
      <c r="J9" s="662"/>
      <c r="K9" s="197" t="s">
        <v>220</v>
      </c>
      <c r="L9" s="236" t="e">
        <f t="shared" si="2"/>
        <v>#REF!</v>
      </c>
    </row>
    <row r="10" spans="1:12" ht="25.5" x14ac:dyDescent="0.2">
      <c r="A10" s="634"/>
      <c r="B10" s="197" t="s">
        <v>221</v>
      </c>
      <c r="C10" s="70"/>
      <c r="D10" s="70" t="e">
        <f t="shared" ref="D10:E10" si="3">SUM(D8:D9)</f>
        <v>#REF!</v>
      </c>
      <c r="E10" s="70" t="e">
        <f t="shared" si="3"/>
        <v>#REF!</v>
      </c>
      <c r="F10" s="232">
        <v>25</v>
      </c>
      <c r="G10" s="37"/>
      <c r="H10" s="37"/>
      <c r="I10" s="662"/>
      <c r="J10" s="662"/>
      <c r="K10" s="197" t="s">
        <v>223</v>
      </c>
      <c r="L10" s="71" t="e">
        <f t="shared" si="2"/>
        <v>#REF!</v>
      </c>
    </row>
    <row r="11" spans="1:12" ht="25.5" x14ac:dyDescent="0.2">
      <c r="A11" s="635"/>
      <c r="B11" s="208" t="s">
        <v>224</v>
      </c>
      <c r="C11" s="238"/>
      <c r="D11" s="238" t="e">
        <f t="shared" ref="D11:F11" si="4">D7/(D8*60)</f>
        <v>#REF!</v>
      </c>
      <c r="E11" s="238" t="e">
        <f t="shared" si="4"/>
        <v>#REF!</v>
      </c>
      <c r="F11" s="238" t="e">
        <f t="shared" si="4"/>
        <v>#REF!</v>
      </c>
      <c r="G11" s="239"/>
      <c r="H11" s="239"/>
      <c r="I11" s="662"/>
      <c r="J11" s="662"/>
      <c r="K11" s="217" t="s">
        <v>226</v>
      </c>
      <c r="L11" s="241" t="e">
        <f>L7/(L8*60)</f>
        <v>#REF!</v>
      </c>
    </row>
    <row r="12" spans="1:12" ht="25.5" x14ac:dyDescent="0.2">
      <c r="A12" s="801" t="s">
        <v>232</v>
      </c>
      <c r="B12" s="193" t="s">
        <v>32</v>
      </c>
      <c r="C12" s="222"/>
      <c r="D12" s="70" t="e">
        <f>#REF!</f>
        <v>#REF!</v>
      </c>
      <c r="E12" s="70" t="e">
        <f>#REF!</f>
        <v>#REF!</v>
      </c>
      <c r="F12" s="70" t="e">
        <f>#REF!</f>
        <v>#REF!</v>
      </c>
      <c r="G12" s="1"/>
      <c r="H12" s="1"/>
      <c r="I12" s="662"/>
      <c r="J12" s="662"/>
      <c r="K12" s="197" t="s">
        <v>215</v>
      </c>
      <c r="L12" s="71" t="e">
        <f t="shared" ref="L12:L15" si="5">SUM(D12:F12)</f>
        <v>#REF!</v>
      </c>
    </row>
    <row r="13" spans="1:12" ht="25.5" x14ac:dyDescent="0.2">
      <c r="A13" s="634"/>
      <c r="B13" s="197" t="s">
        <v>216</v>
      </c>
      <c r="C13" s="70"/>
      <c r="D13" s="70" t="e">
        <f>#REF!</f>
        <v>#REF!</v>
      </c>
      <c r="E13" s="232" t="e">
        <f>#REF!</f>
        <v>#REF!</v>
      </c>
      <c r="F13" s="70" t="e">
        <f>#REF!</f>
        <v>#REF!</v>
      </c>
      <c r="G13" s="1"/>
      <c r="H13" s="1"/>
      <c r="I13" s="662"/>
      <c r="J13" s="662"/>
      <c r="K13" s="197" t="s">
        <v>217</v>
      </c>
      <c r="L13" s="71" t="e">
        <f t="shared" si="5"/>
        <v>#REF!</v>
      </c>
    </row>
    <row r="14" spans="1:12" ht="25.5" x14ac:dyDescent="0.2">
      <c r="A14" s="634"/>
      <c r="B14" s="197" t="s">
        <v>218</v>
      </c>
      <c r="C14" s="70"/>
      <c r="D14" s="70" t="e">
        <f>#REF!</f>
        <v>#REF!</v>
      </c>
      <c r="E14" s="70" t="e">
        <f>#REF!</f>
        <v>#REF!</v>
      </c>
      <c r="F14" s="70" t="e">
        <f>#REF!</f>
        <v>#REF!</v>
      </c>
      <c r="G14" s="1"/>
      <c r="H14" s="1"/>
      <c r="I14" s="662"/>
      <c r="J14" s="662"/>
      <c r="K14" s="197" t="s">
        <v>220</v>
      </c>
      <c r="L14" s="245" t="e">
        <f t="shared" si="5"/>
        <v>#REF!</v>
      </c>
    </row>
    <row r="15" spans="1:12" ht="25.5" x14ac:dyDescent="0.2">
      <c r="A15" s="634"/>
      <c r="B15" s="197" t="s">
        <v>221</v>
      </c>
      <c r="C15" s="70"/>
      <c r="D15" s="70" t="e">
        <f t="shared" ref="D15:E15" si="6">SUM(D13:D14)</f>
        <v>#REF!</v>
      </c>
      <c r="E15" s="70" t="e">
        <f t="shared" si="6"/>
        <v>#REF!</v>
      </c>
      <c r="F15" s="232" t="e">
        <f>SUM(F13,F14)</f>
        <v>#REF!</v>
      </c>
      <c r="G15" s="37"/>
      <c r="H15" s="37"/>
      <c r="I15" s="662"/>
      <c r="J15" s="662"/>
      <c r="K15" s="197" t="s">
        <v>223</v>
      </c>
      <c r="L15" s="71" t="e">
        <f t="shared" si="5"/>
        <v>#REF!</v>
      </c>
    </row>
    <row r="16" spans="1:12" ht="25.5" x14ac:dyDescent="0.2">
      <c r="A16" s="635"/>
      <c r="B16" s="208" t="s">
        <v>224</v>
      </c>
      <c r="C16" s="238"/>
      <c r="D16" s="238" t="e">
        <f t="shared" ref="D16:F16" si="7">D12/(D13*60)</f>
        <v>#REF!</v>
      </c>
      <c r="E16" s="238" t="e">
        <f t="shared" si="7"/>
        <v>#REF!</v>
      </c>
      <c r="F16" s="238" t="e">
        <f t="shared" si="7"/>
        <v>#REF!</v>
      </c>
      <c r="G16" s="239"/>
      <c r="H16" s="239"/>
      <c r="I16" s="662"/>
      <c r="J16" s="662"/>
      <c r="K16" s="217" t="s">
        <v>226</v>
      </c>
      <c r="L16" s="241" t="e">
        <f>L12/(L13*60)</f>
        <v>#REF!</v>
      </c>
    </row>
    <row r="17" spans="1:12" ht="25.5" x14ac:dyDescent="0.2">
      <c r="A17" s="801" t="s">
        <v>235</v>
      </c>
      <c r="B17" s="193" t="s">
        <v>32</v>
      </c>
      <c r="C17" s="222"/>
      <c r="D17" s="70" t="e">
        <f>#REF!</f>
        <v>#REF!</v>
      </c>
      <c r="E17" s="70" t="e">
        <f>#REF!</f>
        <v>#REF!</v>
      </c>
      <c r="F17" s="70" t="e">
        <f>#REF!</f>
        <v>#REF!</v>
      </c>
      <c r="G17" s="1"/>
      <c r="H17" s="1"/>
      <c r="I17" s="662"/>
      <c r="J17" s="662"/>
      <c r="K17" s="197" t="s">
        <v>215</v>
      </c>
      <c r="L17" s="71" t="e">
        <f t="shared" ref="L17:L20" si="8">SUM(D17:F17)</f>
        <v>#REF!</v>
      </c>
    </row>
    <row r="18" spans="1:12" ht="25.5" x14ac:dyDescent="0.2">
      <c r="A18" s="634"/>
      <c r="B18" s="197" t="s">
        <v>216</v>
      </c>
      <c r="C18" s="70"/>
      <c r="D18" s="70" t="e">
        <f>#REF!</f>
        <v>#REF!</v>
      </c>
      <c r="E18" s="232" t="e">
        <f>#REF!</f>
        <v>#REF!</v>
      </c>
      <c r="F18" s="70" t="e">
        <f>#REF!</f>
        <v>#REF!</v>
      </c>
      <c r="G18" s="1"/>
      <c r="H18" s="1"/>
      <c r="I18" s="662"/>
      <c r="J18" s="662"/>
      <c r="K18" s="197" t="s">
        <v>217</v>
      </c>
      <c r="L18" s="71" t="e">
        <f t="shared" si="8"/>
        <v>#REF!</v>
      </c>
    </row>
    <row r="19" spans="1:12" ht="25.5" x14ac:dyDescent="0.2">
      <c r="A19" s="634"/>
      <c r="B19" s="197" t="s">
        <v>218</v>
      </c>
      <c r="C19" s="70"/>
      <c r="D19" s="70" t="e">
        <f>#REF!</f>
        <v>#REF!</v>
      </c>
      <c r="E19" s="70" t="e">
        <f>#REF!</f>
        <v>#REF!</v>
      </c>
      <c r="F19" s="70" t="e">
        <f>#REF!</f>
        <v>#REF!</v>
      </c>
      <c r="G19" s="1"/>
      <c r="H19" s="1"/>
      <c r="I19" s="662"/>
      <c r="J19" s="662"/>
      <c r="K19" s="197" t="s">
        <v>220</v>
      </c>
      <c r="L19" s="236" t="e">
        <f t="shared" si="8"/>
        <v>#REF!</v>
      </c>
    </row>
    <row r="20" spans="1:12" ht="25.5" x14ac:dyDescent="0.2">
      <c r="A20" s="634"/>
      <c r="B20" s="197" t="s">
        <v>221</v>
      </c>
      <c r="C20" s="70"/>
      <c r="D20" s="70" t="e">
        <f>#REF!</f>
        <v>#REF!</v>
      </c>
      <c r="E20" s="70" t="e">
        <f>#REF!</f>
        <v>#REF!</v>
      </c>
      <c r="F20" s="70" t="e">
        <f>#REF!</f>
        <v>#REF!</v>
      </c>
      <c r="G20" s="1"/>
      <c r="H20" s="1"/>
      <c r="I20" s="662"/>
      <c r="J20" s="662"/>
      <c r="K20" s="197" t="s">
        <v>223</v>
      </c>
      <c r="L20" s="71" t="e">
        <f t="shared" si="8"/>
        <v>#REF!</v>
      </c>
    </row>
    <row r="21" spans="1:12" ht="25.5" x14ac:dyDescent="0.2">
      <c r="A21" s="635"/>
      <c r="B21" s="208" t="s">
        <v>224</v>
      </c>
      <c r="C21" s="238"/>
      <c r="D21" s="238" t="e">
        <f>#REF!</f>
        <v>#REF!</v>
      </c>
      <c r="E21" s="238" t="e">
        <f>#REF!</f>
        <v>#REF!</v>
      </c>
      <c r="F21" s="238" t="e">
        <f>#REF!</f>
        <v>#REF!</v>
      </c>
      <c r="G21" s="239"/>
      <c r="H21" s="239"/>
      <c r="I21" s="662"/>
      <c r="J21" s="662"/>
      <c r="K21" s="217" t="s">
        <v>226</v>
      </c>
      <c r="L21" s="241" t="e">
        <f>L17/(L18*60)</f>
        <v>#REF!</v>
      </c>
    </row>
    <row r="22" spans="1:12" ht="25.5" x14ac:dyDescent="0.2">
      <c r="A22" s="801" t="s">
        <v>241</v>
      </c>
      <c r="B22" s="193" t="s">
        <v>32</v>
      </c>
      <c r="C22" s="222"/>
      <c r="D22" s="70" t="e">
        <f>#REF!</f>
        <v>#REF!</v>
      </c>
      <c r="E22" s="70" t="e">
        <f>#REF!</f>
        <v>#REF!</v>
      </c>
      <c r="F22" s="70" t="e">
        <f>#REF!</f>
        <v>#REF!</v>
      </c>
      <c r="G22" s="1"/>
      <c r="H22" s="1"/>
      <c r="I22" s="662"/>
      <c r="J22" s="662"/>
      <c r="K22" s="197" t="s">
        <v>215</v>
      </c>
      <c r="L22" s="71" t="e">
        <f t="shared" ref="L22:L25" si="9">SUM(D22:F22)</f>
        <v>#REF!</v>
      </c>
    </row>
    <row r="23" spans="1:12" ht="25.5" x14ac:dyDescent="0.2">
      <c r="A23" s="634"/>
      <c r="B23" s="197" t="s">
        <v>216</v>
      </c>
      <c r="C23" s="70"/>
      <c r="D23" s="70" t="e">
        <f>#REF!</f>
        <v>#REF!</v>
      </c>
      <c r="E23" s="232" t="e">
        <f>#REF!</f>
        <v>#REF!</v>
      </c>
      <c r="F23" s="70" t="e">
        <f>#REF!</f>
        <v>#REF!</v>
      </c>
      <c r="G23" s="1"/>
      <c r="H23" s="1"/>
      <c r="I23" s="662"/>
      <c r="J23" s="662"/>
      <c r="K23" s="197" t="s">
        <v>217</v>
      </c>
      <c r="L23" s="71" t="e">
        <f t="shared" si="9"/>
        <v>#REF!</v>
      </c>
    </row>
    <row r="24" spans="1:12" ht="25.5" x14ac:dyDescent="0.2">
      <c r="A24" s="634"/>
      <c r="B24" s="197" t="s">
        <v>218</v>
      </c>
      <c r="C24" s="70"/>
      <c r="D24" s="70" t="e">
        <f>#REF!</f>
        <v>#REF!</v>
      </c>
      <c r="E24" s="70" t="e">
        <f>#REF!</f>
        <v>#REF!</v>
      </c>
      <c r="F24" s="70" t="e">
        <f>#REF!</f>
        <v>#REF!</v>
      </c>
      <c r="G24" s="1"/>
      <c r="H24" s="1"/>
      <c r="I24" s="662"/>
      <c r="J24" s="662"/>
      <c r="K24" s="197" t="s">
        <v>220</v>
      </c>
      <c r="L24" s="236" t="e">
        <f t="shared" si="9"/>
        <v>#REF!</v>
      </c>
    </row>
    <row r="25" spans="1:12" ht="25.5" x14ac:dyDescent="0.2">
      <c r="A25" s="634"/>
      <c r="B25" s="197" t="s">
        <v>221</v>
      </c>
      <c r="C25" s="70"/>
      <c r="D25" s="70" t="e">
        <f t="shared" ref="D25:F25" si="10">SUM(D23:D24)</f>
        <v>#REF!</v>
      </c>
      <c r="E25" s="70" t="e">
        <f t="shared" si="10"/>
        <v>#REF!</v>
      </c>
      <c r="F25" s="70" t="e">
        <f t="shared" si="10"/>
        <v>#REF!</v>
      </c>
      <c r="G25" s="1"/>
      <c r="H25" s="1"/>
      <c r="I25" s="662"/>
      <c r="J25" s="662"/>
      <c r="K25" s="197" t="s">
        <v>223</v>
      </c>
      <c r="L25" s="71" t="e">
        <f t="shared" si="9"/>
        <v>#REF!</v>
      </c>
    </row>
    <row r="26" spans="1:12" ht="25.5" x14ac:dyDescent="0.2">
      <c r="A26" s="635"/>
      <c r="B26" s="208" t="s">
        <v>224</v>
      </c>
      <c r="C26" s="238"/>
      <c r="D26" s="238" t="e">
        <f>#REF!</f>
        <v>#REF!</v>
      </c>
      <c r="E26" s="238" t="e">
        <f>#REF!</f>
        <v>#REF!</v>
      </c>
      <c r="F26" s="238" t="e">
        <f>#REF!</f>
        <v>#REF!</v>
      </c>
      <c r="G26" s="239"/>
      <c r="H26" s="239"/>
      <c r="I26" s="662"/>
      <c r="J26" s="662"/>
      <c r="K26" s="217" t="s">
        <v>226</v>
      </c>
      <c r="L26" s="241" t="e">
        <f>L22/(L23*60)</f>
        <v>#REF!</v>
      </c>
    </row>
    <row r="27" spans="1:12" ht="25.5" x14ac:dyDescent="0.2">
      <c r="A27" s="801" t="s">
        <v>249</v>
      </c>
      <c r="B27" s="193" t="s">
        <v>32</v>
      </c>
      <c r="C27" s="222"/>
      <c r="D27" s="70" t="e">
        <f>#REF!</f>
        <v>#REF!</v>
      </c>
      <c r="E27" s="70" t="e">
        <f>#REF!</f>
        <v>#REF!</v>
      </c>
      <c r="F27" s="70" t="e">
        <f>#REF!</f>
        <v>#REF!</v>
      </c>
      <c r="G27" s="1"/>
      <c r="H27" s="1"/>
      <c r="I27" s="662"/>
      <c r="J27" s="662"/>
      <c r="K27" s="197" t="s">
        <v>215</v>
      </c>
      <c r="L27" s="71" t="e">
        <f t="shared" ref="L27:L30" si="11">SUM(D27:F27)</f>
        <v>#REF!</v>
      </c>
    </row>
    <row r="28" spans="1:12" ht="25.5" x14ac:dyDescent="0.2">
      <c r="A28" s="634"/>
      <c r="B28" s="197" t="s">
        <v>216</v>
      </c>
      <c r="C28" s="70"/>
      <c r="D28" s="70" t="e">
        <f>#REF!</f>
        <v>#REF!</v>
      </c>
      <c r="E28" s="232" t="e">
        <f>#REF!</f>
        <v>#REF!</v>
      </c>
      <c r="F28" s="70" t="e">
        <f>#REF!</f>
        <v>#REF!</v>
      </c>
      <c r="G28" s="1"/>
      <c r="H28" s="1"/>
      <c r="I28" s="662"/>
      <c r="J28" s="662"/>
      <c r="K28" s="197" t="s">
        <v>217</v>
      </c>
      <c r="L28" s="71" t="e">
        <f t="shared" si="11"/>
        <v>#REF!</v>
      </c>
    </row>
    <row r="29" spans="1:12" ht="25.5" x14ac:dyDescent="0.2">
      <c r="A29" s="634"/>
      <c r="B29" s="197" t="s">
        <v>218</v>
      </c>
      <c r="C29" s="70"/>
      <c r="D29" s="70" t="e">
        <f>#REF!</f>
        <v>#REF!</v>
      </c>
      <c r="E29" s="70" t="e">
        <f>#REF!</f>
        <v>#REF!</v>
      </c>
      <c r="F29" s="70" t="e">
        <f>#REF!</f>
        <v>#REF!</v>
      </c>
      <c r="G29" s="1"/>
      <c r="H29" s="1"/>
      <c r="I29" s="662"/>
      <c r="J29" s="662"/>
      <c r="K29" s="197" t="s">
        <v>220</v>
      </c>
      <c r="L29" s="313" t="e">
        <f t="shared" si="11"/>
        <v>#REF!</v>
      </c>
    </row>
    <row r="30" spans="1:12" ht="25.5" x14ac:dyDescent="0.2">
      <c r="A30" s="634"/>
      <c r="B30" s="197" t="s">
        <v>221</v>
      </c>
      <c r="C30" s="70"/>
      <c r="D30" s="70" t="e">
        <f>#REF!</f>
        <v>#REF!</v>
      </c>
      <c r="E30" s="70" t="e">
        <f>#REF!</f>
        <v>#REF!</v>
      </c>
      <c r="F30" s="70" t="e">
        <f>#REF!</f>
        <v>#REF!</v>
      </c>
      <c r="G30" s="1"/>
      <c r="H30" s="1"/>
      <c r="I30" s="662"/>
      <c r="J30" s="662"/>
      <c r="K30" s="197" t="s">
        <v>223</v>
      </c>
      <c r="L30" s="71" t="e">
        <f t="shared" si="11"/>
        <v>#REF!</v>
      </c>
    </row>
    <row r="31" spans="1:12" ht="25.5" x14ac:dyDescent="0.2">
      <c r="A31" s="635"/>
      <c r="B31" s="208" t="s">
        <v>224</v>
      </c>
      <c r="C31" s="238"/>
      <c r="D31" s="238" t="e">
        <f>#REF!</f>
        <v>#REF!</v>
      </c>
      <c r="E31" s="238" t="e">
        <f>#REF!</f>
        <v>#REF!</v>
      </c>
      <c r="F31" s="238" t="e">
        <f>#REF!</f>
        <v>#REF!</v>
      </c>
      <c r="G31" s="239"/>
      <c r="H31" s="239"/>
      <c r="I31" s="662"/>
      <c r="J31" s="662"/>
      <c r="K31" s="217" t="s">
        <v>226</v>
      </c>
      <c r="L31" s="241" t="e">
        <f>IF(L28=0,0,L27/(L28*60))</f>
        <v>#REF!</v>
      </c>
    </row>
    <row r="32" spans="1:12" ht="25.5" x14ac:dyDescent="0.2">
      <c r="A32" s="801" t="s">
        <v>257</v>
      </c>
      <c r="B32" s="193" t="s">
        <v>32</v>
      </c>
      <c r="C32" s="222"/>
      <c r="D32" s="70" t="e">
        <f>#REF!</f>
        <v>#REF!</v>
      </c>
      <c r="E32" s="70" t="e">
        <f>#REF!</f>
        <v>#REF!</v>
      </c>
      <c r="F32" s="70" t="e">
        <f>#REF!</f>
        <v>#REF!</v>
      </c>
      <c r="G32" s="1"/>
      <c r="H32" s="1"/>
      <c r="I32" s="662"/>
      <c r="J32" s="662"/>
      <c r="K32" s="197" t="s">
        <v>215</v>
      </c>
      <c r="L32" s="71" t="e">
        <f t="shared" ref="L32:L35" si="12">SUM(D32:F32)</f>
        <v>#REF!</v>
      </c>
    </row>
    <row r="33" spans="1:12" ht="25.5" x14ac:dyDescent="0.2">
      <c r="A33" s="634"/>
      <c r="B33" s="197" t="s">
        <v>216</v>
      </c>
      <c r="C33" s="70"/>
      <c r="D33" s="70" t="e">
        <f>#REF!</f>
        <v>#REF!</v>
      </c>
      <c r="E33" s="232" t="e">
        <f>#REF!</f>
        <v>#REF!</v>
      </c>
      <c r="F33" s="70" t="e">
        <f>#REF!</f>
        <v>#REF!</v>
      </c>
      <c r="G33" s="1"/>
      <c r="H33" s="1"/>
      <c r="I33" s="662"/>
      <c r="J33" s="662"/>
      <c r="K33" s="197" t="s">
        <v>217</v>
      </c>
      <c r="L33" s="71" t="e">
        <f t="shared" si="12"/>
        <v>#REF!</v>
      </c>
    </row>
    <row r="34" spans="1:12" ht="25.5" x14ac:dyDescent="0.2">
      <c r="A34" s="634"/>
      <c r="B34" s="197" t="s">
        <v>218</v>
      </c>
      <c r="C34" s="70"/>
      <c r="D34" s="70" t="e">
        <f>#REF!</f>
        <v>#REF!</v>
      </c>
      <c r="E34" s="70" t="e">
        <f>#REF!</f>
        <v>#REF!</v>
      </c>
      <c r="F34" s="70" t="e">
        <f>#REF!</f>
        <v>#REF!</v>
      </c>
      <c r="G34" s="1"/>
      <c r="H34" s="1"/>
      <c r="I34" s="662"/>
      <c r="J34" s="662"/>
      <c r="K34" s="197" t="s">
        <v>220</v>
      </c>
      <c r="L34" s="313" t="e">
        <f t="shared" si="12"/>
        <v>#REF!</v>
      </c>
    </row>
    <row r="35" spans="1:12" ht="25.5" x14ac:dyDescent="0.2">
      <c r="A35" s="634"/>
      <c r="B35" s="197" t="s">
        <v>221</v>
      </c>
      <c r="C35" s="70"/>
      <c r="D35" s="70" t="e">
        <f>#REF!</f>
        <v>#REF!</v>
      </c>
      <c r="E35" s="70" t="e">
        <f>#REF!</f>
        <v>#REF!</v>
      </c>
      <c r="F35" s="70" t="e">
        <f>#REF!</f>
        <v>#REF!</v>
      </c>
      <c r="G35" s="1"/>
      <c r="H35" s="1"/>
      <c r="I35" s="662"/>
      <c r="J35" s="662"/>
      <c r="K35" s="197" t="s">
        <v>223</v>
      </c>
      <c r="L35" s="71" t="e">
        <f t="shared" si="12"/>
        <v>#REF!</v>
      </c>
    </row>
    <row r="36" spans="1:12" ht="25.5" x14ac:dyDescent="0.2">
      <c r="A36" s="635"/>
      <c r="B36" s="208" t="s">
        <v>224</v>
      </c>
      <c r="C36" s="238"/>
      <c r="D36" s="238" t="e">
        <f>#REF!</f>
        <v>#REF!</v>
      </c>
      <c r="E36" s="238" t="e">
        <f>#REF!</f>
        <v>#REF!</v>
      </c>
      <c r="F36" s="238" t="e">
        <f>#REF!</f>
        <v>#REF!</v>
      </c>
      <c r="G36" s="239"/>
      <c r="H36" s="239"/>
      <c r="I36" s="662"/>
      <c r="J36" s="662"/>
      <c r="K36" s="217" t="s">
        <v>226</v>
      </c>
      <c r="L36" s="241" t="e">
        <f>IF(L33=0,0,L32/(L33*60))</f>
        <v>#REF!</v>
      </c>
    </row>
    <row r="37" spans="1:12" ht="25.5" x14ac:dyDescent="0.2">
      <c r="A37" s="801" t="s">
        <v>269</v>
      </c>
      <c r="B37" s="193" t="s">
        <v>32</v>
      </c>
      <c r="C37" s="222"/>
      <c r="D37" s="70" t="e">
        <f>#REF!</f>
        <v>#REF!</v>
      </c>
      <c r="E37" s="70" t="e">
        <f>#REF!</f>
        <v>#REF!</v>
      </c>
      <c r="F37" s="70" t="e">
        <f>#REF!</f>
        <v>#REF!</v>
      </c>
      <c r="G37" s="1"/>
      <c r="H37" s="1"/>
      <c r="I37" s="662"/>
      <c r="J37" s="662"/>
      <c r="K37" s="197" t="s">
        <v>215</v>
      </c>
      <c r="L37" s="71" t="e">
        <f t="shared" ref="L37:L40" si="13">SUM(D37:F37)</f>
        <v>#REF!</v>
      </c>
    </row>
    <row r="38" spans="1:12" ht="25.5" x14ac:dyDescent="0.2">
      <c r="A38" s="634"/>
      <c r="B38" s="197" t="s">
        <v>216</v>
      </c>
      <c r="C38" s="70"/>
      <c r="D38" s="70" t="e">
        <f>#REF!</f>
        <v>#REF!</v>
      </c>
      <c r="E38" s="232" t="e">
        <f>#REF!</f>
        <v>#REF!</v>
      </c>
      <c r="F38" s="70" t="e">
        <f>#REF!</f>
        <v>#REF!</v>
      </c>
      <c r="G38" s="1"/>
      <c r="H38" s="1"/>
      <c r="I38" s="662"/>
      <c r="J38" s="662"/>
      <c r="K38" s="197" t="s">
        <v>217</v>
      </c>
      <c r="L38" s="71" t="e">
        <f t="shared" si="13"/>
        <v>#REF!</v>
      </c>
    </row>
    <row r="39" spans="1:12" ht="25.5" x14ac:dyDescent="0.2">
      <c r="A39" s="634"/>
      <c r="B39" s="197" t="s">
        <v>218</v>
      </c>
      <c r="C39" s="70"/>
      <c r="D39" s="70" t="e">
        <f>#REF!</f>
        <v>#REF!</v>
      </c>
      <c r="E39" s="70" t="e">
        <f>#REF!</f>
        <v>#REF!</v>
      </c>
      <c r="F39" s="70" t="e">
        <f>#REF!</f>
        <v>#REF!</v>
      </c>
      <c r="G39" s="1"/>
      <c r="H39" s="1"/>
      <c r="I39" s="662"/>
      <c r="J39" s="662"/>
      <c r="K39" s="197" t="s">
        <v>220</v>
      </c>
      <c r="L39" s="313" t="e">
        <f t="shared" si="13"/>
        <v>#REF!</v>
      </c>
    </row>
    <row r="40" spans="1:12" ht="25.5" x14ac:dyDescent="0.2">
      <c r="A40" s="634"/>
      <c r="B40" s="197" t="s">
        <v>221</v>
      </c>
      <c r="C40" s="70"/>
      <c r="D40" s="70" t="e">
        <f>#REF!</f>
        <v>#REF!</v>
      </c>
      <c r="E40" s="70" t="e">
        <f>#REF!</f>
        <v>#REF!</v>
      </c>
      <c r="F40" s="70" t="e">
        <f>#REF!</f>
        <v>#REF!</v>
      </c>
      <c r="G40" s="1"/>
      <c r="H40" s="1"/>
      <c r="I40" s="662"/>
      <c r="J40" s="662"/>
      <c r="K40" s="197" t="s">
        <v>223</v>
      </c>
      <c r="L40" s="71" t="e">
        <f t="shared" si="13"/>
        <v>#REF!</v>
      </c>
    </row>
    <row r="41" spans="1:12" ht="25.5" x14ac:dyDescent="0.2">
      <c r="A41" s="635"/>
      <c r="B41" s="208" t="s">
        <v>224</v>
      </c>
      <c r="C41" s="238"/>
      <c r="D41" s="238" t="e">
        <f>#REF!</f>
        <v>#REF!</v>
      </c>
      <c r="E41" s="238" t="e">
        <f>#REF!</f>
        <v>#REF!</v>
      </c>
      <c r="F41" s="238" t="e">
        <f>#REF!</f>
        <v>#REF!</v>
      </c>
      <c r="G41" s="239"/>
      <c r="H41" s="239"/>
      <c r="I41" s="662"/>
      <c r="J41" s="662"/>
      <c r="K41" s="217" t="s">
        <v>226</v>
      </c>
      <c r="L41" s="241" t="e">
        <f>IF(L38=0,0,L37/(L38*60))</f>
        <v>#REF!</v>
      </c>
    </row>
    <row r="42" spans="1:12" ht="25.5" x14ac:dyDescent="0.2">
      <c r="A42" s="801" t="s">
        <v>279</v>
      </c>
      <c r="B42" s="193" t="s">
        <v>32</v>
      </c>
      <c r="C42" s="222"/>
      <c r="D42" s="70" t="e">
        <f>#REF!</f>
        <v>#REF!</v>
      </c>
      <c r="E42" s="70" t="e">
        <f>#REF!</f>
        <v>#REF!</v>
      </c>
      <c r="F42" s="70" t="e">
        <f>#REF!</f>
        <v>#REF!</v>
      </c>
      <c r="G42" s="1"/>
      <c r="H42" s="1"/>
      <c r="I42" s="662"/>
      <c r="J42" s="662"/>
      <c r="K42" s="197" t="s">
        <v>215</v>
      </c>
      <c r="L42" s="71" t="e">
        <f t="shared" ref="L42:L45" si="14">SUM(D42:F42)</f>
        <v>#REF!</v>
      </c>
    </row>
    <row r="43" spans="1:12" ht="25.5" x14ac:dyDescent="0.2">
      <c r="A43" s="634"/>
      <c r="B43" s="197" t="s">
        <v>216</v>
      </c>
      <c r="C43" s="70"/>
      <c r="D43" s="70" t="e">
        <f>#REF!</f>
        <v>#REF!</v>
      </c>
      <c r="E43" s="232" t="e">
        <f>#REF!</f>
        <v>#REF!</v>
      </c>
      <c r="F43" s="70" t="e">
        <f>#REF!</f>
        <v>#REF!</v>
      </c>
      <c r="G43" s="1"/>
      <c r="H43" s="1"/>
      <c r="I43" s="662"/>
      <c r="J43" s="662"/>
      <c r="K43" s="197" t="s">
        <v>217</v>
      </c>
      <c r="L43" s="71" t="e">
        <f t="shared" si="14"/>
        <v>#REF!</v>
      </c>
    </row>
    <row r="44" spans="1:12" ht="25.5" x14ac:dyDescent="0.2">
      <c r="A44" s="634"/>
      <c r="B44" s="197" t="s">
        <v>218</v>
      </c>
      <c r="C44" s="70"/>
      <c r="D44" s="70" t="e">
        <f>#REF!</f>
        <v>#REF!</v>
      </c>
      <c r="E44" s="70" t="e">
        <f>#REF!</f>
        <v>#REF!</v>
      </c>
      <c r="F44" s="70" t="e">
        <f>#REF!</f>
        <v>#REF!</v>
      </c>
      <c r="G44" s="1"/>
      <c r="H44" s="1"/>
      <c r="I44" s="662"/>
      <c r="J44" s="662"/>
      <c r="K44" s="197" t="s">
        <v>220</v>
      </c>
      <c r="L44" s="313" t="e">
        <f t="shared" si="14"/>
        <v>#REF!</v>
      </c>
    </row>
    <row r="45" spans="1:12" ht="25.5" x14ac:dyDescent="0.2">
      <c r="A45" s="634"/>
      <c r="B45" s="197" t="s">
        <v>221</v>
      </c>
      <c r="C45" s="70"/>
      <c r="D45" s="70" t="e">
        <f>#REF!</f>
        <v>#REF!</v>
      </c>
      <c r="E45" s="70" t="e">
        <f>#REF!</f>
        <v>#REF!</v>
      </c>
      <c r="F45" s="70" t="e">
        <f>#REF!</f>
        <v>#REF!</v>
      </c>
      <c r="G45" s="1"/>
      <c r="H45" s="1"/>
      <c r="I45" s="662"/>
      <c r="J45" s="662"/>
      <c r="K45" s="197" t="s">
        <v>223</v>
      </c>
      <c r="L45" s="71" t="e">
        <f t="shared" si="14"/>
        <v>#REF!</v>
      </c>
    </row>
    <row r="46" spans="1:12" ht="25.5" x14ac:dyDescent="0.2">
      <c r="A46" s="635"/>
      <c r="B46" s="208" t="s">
        <v>224</v>
      </c>
      <c r="C46" s="238"/>
      <c r="D46" s="238" t="e">
        <f>#REF!</f>
        <v>#REF!</v>
      </c>
      <c r="E46" s="238" t="e">
        <f>#REF!</f>
        <v>#REF!</v>
      </c>
      <c r="F46" s="238" t="e">
        <f>#REF!</f>
        <v>#REF!</v>
      </c>
      <c r="G46" s="239"/>
      <c r="H46" s="239"/>
      <c r="I46" s="662"/>
      <c r="J46" s="662"/>
      <c r="K46" s="217" t="s">
        <v>226</v>
      </c>
      <c r="L46" s="241" t="e">
        <f>IF(L43=0,0,L42/(L43*60))</f>
        <v>#REF!</v>
      </c>
    </row>
    <row r="47" spans="1:12" ht="25.5" x14ac:dyDescent="0.2">
      <c r="A47" s="801" t="s">
        <v>280</v>
      </c>
      <c r="B47" s="193" t="s">
        <v>32</v>
      </c>
      <c r="C47" s="222"/>
      <c r="D47" s="70" t="e">
        <f>#REF!</f>
        <v>#REF!</v>
      </c>
      <c r="E47" s="70" t="e">
        <f>#REF!</f>
        <v>#REF!</v>
      </c>
      <c r="F47" s="70" t="e">
        <f>#REF!</f>
        <v>#REF!</v>
      </c>
      <c r="G47" s="1"/>
      <c r="H47" s="1"/>
      <c r="I47" s="662"/>
      <c r="J47" s="662"/>
      <c r="K47" s="197" t="s">
        <v>215</v>
      </c>
      <c r="L47" s="71" t="e">
        <f t="shared" ref="L47:L50" si="15">SUM(D47:F47)</f>
        <v>#REF!</v>
      </c>
    </row>
    <row r="48" spans="1:12" ht="25.5" x14ac:dyDescent="0.2">
      <c r="A48" s="634"/>
      <c r="B48" s="197" t="s">
        <v>216</v>
      </c>
      <c r="C48" s="70"/>
      <c r="D48" s="70" t="e">
        <f>#REF!</f>
        <v>#REF!</v>
      </c>
      <c r="E48" s="232" t="e">
        <f>#REF!</f>
        <v>#REF!</v>
      </c>
      <c r="F48" s="70" t="e">
        <f>#REF!</f>
        <v>#REF!</v>
      </c>
      <c r="G48" s="1"/>
      <c r="H48" s="1"/>
      <c r="I48" s="662"/>
      <c r="J48" s="662"/>
      <c r="K48" s="197" t="s">
        <v>217</v>
      </c>
      <c r="L48" s="71" t="e">
        <f t="shared" si="15"/>
        <v>#REF!</v>
      </c>
    </row>
    <row r="49" spans="1:12" ht="25.5" x14ac:dyDescent="0.2">
      <c r="A49" s="634"/>
      <c r="B49" s="197" t="s">
        <v>218</v>
      </c>
      <c r="C49" s="70"/>
      <c r="D49" s="70" t="e">
        <f>#REF!</f>
        <v>#REF!</v>
      </c>
      <c r="E49" s="70" t="e">
        <f>#REF!</f>
        <v>#REF!</v>
      </c>
      <c r="F49" s="70" t="e">
        <f>#REF!</f>
        <v>#REF!</v>
      </c>
      <c r="G49" s="1"/>
      <c r="H49" s="1"/>
      <c r="I49" s="662"/>
      <c r="J49" s="662"/>
      <c r="K49" s="197" t="s">
        <v>220</v>
      </c>
      <c r="L49" s="313" t="e">
        <f t="shared" si="15"/>
        <v>#REF!</v>
      </c>
    </row>
    <row r="50" spans="1:12" ht="25.5" x14ac:dyDescent="0.2">
      <c r="A50" s="634"/>
      <c r="B50" s="197" t="s">
        <v>221</v>
      </c>
      <c r="C50" s="70"/>
      <c r="D50" s="70" t="e">
        <f>#REF!</f>
        <v>#REF!</v>
      </c>
      <c r="E50" s="70" t="e">
        <f>#REF!</f>
        <v>#REF!</v>
      </c>
      <c r="F50" s="70" t="e">
        <f>#REF!</f>
        <v>#REF!</v>
      </c>
      <c r="G50" s="1"/>
      <c r="H50" s="1"/>
      <c r="I50" s="662"/>
      <c r="J50" s="662"/>
      <c r="K50" s="197" t="s">
        <v>223</v>
      </c>
      <c r="L50" s="71" t="e">
        <f t="shared" si="15"/>
        <v>#REF!</v>
      </c>
    </row>
    <row r="51" spans="1:12" ht="25.5" x14ac:dyDescent="0.2">
      <c r="A51" s="635"/>
      <c r="B51" s="208" t="s">
        <v>224</v>
      </c>
      <c r="C51" s="238"/>
      <c r="D51" s="238" t="e">
        <f>#REF!</f>
        <v>#REF!</v>
      </c>
      <c r="E51" s="238" t="e">
        <f>#REF!</f>
        <v>#REF!</v>
      </c>
      <c r="F51" s="238" t="e">
        <f>#REF!</f>
        <v>#REF!</v>
      </c>
      <c r="G51" s="239"/>
      <c r="H51" s="239"/>
      <c r="I51" s="662"/>
      <c r="J51" s="662"/>
      <c r="K51" s="217" t="s">
        <v>226</v>
      </c>
      <c r="L51" s="241" t="e">
        <f>IF(L48=0,0,L47/(L48*60))</f>
        <v>#REF!</v>
      </c>
    </row>
    <row r="52" spans="1:12" ht="25.5" x14ac:dyDescent="0.2">
      <c r="A52" s="801" t="s">
        <v>281</v>
      </c>
      <c r="B52" s="193" t="s">
        <v>32</v>
      </c>
      <c r="C52" s="222"/>
      <c r="D52" s="70" t="e">
        <f>#REF!</f>
        <v>#REF!</v>
      </c>
      <c r="E52" s="70" t="e">
        <f>#REF!</f>
        <v>#REF!</v>
      </c>
      <c r="F52" s="70" t="e">
        <f>#REF!</f>
        <v>#REF!</v>
      </c>
      <c r="G52" s="1"/>
      <c r="H52" s="1"/>
      <c r="I52" s="662"/>
      <c r="J52" s="662"/>
      <c r="K52" s="197" t="s">
        <v>215</v>
      </c>
      <c r="L52" s="71" t="e">
        <f t="shared" ref="L52:L55" si="16">SUM(D52:F52)</f>
        <v>#REF!</v>
      </c>
    </row>
    <row r="53" spans="1:12" ht="25.5" x14ac:dyDescent="0.2">
      <c r="A53" s="634"/>
      <c r="B53" s="197" t="s">
        <v>216</v>
      </c>
      <c r="C53" s="70"/>
      <c r="D53" s="70" t="e">
        <f>#REF!</f>
        <v>#REF!</v>
      </c>
      <c r="E53" s="232" t="e">
        <f>#REF!</f>
        <v>#REF!</v>
      </c>
      <c r="F53" s="70" t="e">
        <f>#REF!</f>
        <v>#REF!</v>
      </c>
      <c r="G53" s="1"/>
      <c r="H53" s="1"/>
      <c r="I53" s="662"/>
      <c r="J53" s="662"/>
      <c r="K53" s="197" t="s">
        <v>217</v>
      </c>
      <c r="L53" s="71" t="e">
        <f t="shared" si="16"/>
        <v>#REF!</v>
      </c>
    </row>
    <row r="54" spans="1:12" ht="25.5" x14ac:dyDescent="0.2">
      <c r="A54" s="634"/>
      <c r="B54" s="197" t="s">
        <v>218</v>
      </c>
      <c r="C54" s="70"/>
      <c r="D54" s="70" t="e">
        <f>#REF!</f>
        <v>#REF!</v>
      </c>
      <c r="E54" s="70" t="e">
        <f>#REF!</f>
        <v>#REF!</v>
      </c>
      <c r="F54" s="70" t="e">
        <f>#REF!</f>
        <v>#REF!</v>
      </c>
      <c r="G54" s="1"/>
      <c r="H54" s="1"/>
      <c r="I54" s="662"/>
      <c r="J54" s="662"/>
      <c r="K54" s="197" t="s">
        <v>220</v>
      </c>
      <c r="L54" s="313" t="e">
        <f t="shared" si="16"/>
        <v>#REF!</v>
      </c>
    </row>
    <row r="55" spans="1:12" ht="25.5" x14ac:dyDescent="0.2">
      <c r="A55" s="634"/>
      <c r="B55" s="197" t="s">
        <v>221</v>
      </c>
      <c r="C55" s="70"/>
      <c r="D55" s="70" t="e">
        <f>#REF!</f>
        <v>#REF!</v>
      </c>
      <c r="E55" s="70" t="e">
        <f>#REF!</f>
        <v>#REF!</v>
      </c>
      <c r="F55" s="70" t="e">
        <f>#REF!</f>
        <v>#REF!</v>
      </c>
      <c r="G55" s="1"/>
      <c r="H55" s="1"/>
      <c r="I55" s="662"/>
      <c r="J55" s="662"/>
      <c r="K55" s="197" t="s">
        <v>223</v>
      </c>
      <c r="L55" s="71" t="e">
        <f t="shared" si="16"/>
        <v>#REF!</v>
      </c>
    </row>
    <row r="56" spans="1:12" ht="25.5" x14ac:dyDescent="0.2">
      <c r="A56" s="635"/>
      <c r="B56" s="208" t="s">
        <v>224</v>
      </c>
      <c r="C56" s="238"/>
      <c r="D56" s="238" t="e">
        <f>#REF!</f>
        <v>#REF!</v>
      </c>
      <c r="E56" s="238" t="e">
        <f>#REF!</f>
        <v>#REF!</v>
      </c>
      <c r="F56" s="238" t="e">
        <f>#REF!</f>
        <v>#REF!</v>
      </c>
      <c r="G56" s="239"/>
      <c r="H56" s="239"/>
      <c r="I56" s="662"/>
      <c r="J56" s="662"/>
      <c r="K56" s="217" t="s">
        <v>226</v>
      </c>
      <c r="L56" s="241" t="e">
        <f>IF(L53=0,0,L52/(L53*60))</f>
        <v>#REF!</v>
      </c>
    </row>
    <row r="57" spans="1:12" ht="25.5" x14ac:dyDescent="0.2">
      <c r="A57" s="801" t="s">
        <v>282</v>
      </c>
      <c r="B57" s="193" t="s">
        <v>32</v>
      </c>
      <c r="C57" s="222"/>
      <c r="D57" s="70" t="e">
        <f>#REF!</f>
        <v>#REF!</v>
      </c>
      <c r="E57" s="70" t="e">
        <f>#REF!</f>
        <v>#REF!</v>
      </c>
      <c r="F57" s="70" t="e">
        <f>#REF!</f>
        <v>#REF!</v>
      </c>
      <c r="G57" s="1"/>
      <c r="H57" s="1"/>
      <c r="I57" s="662"/>
      <c r="J57" s="662"/>
      <c r="K57" s="197" t="s">
        <v>215</v>
      </c>
      <c r="L57" s="71" t="e">
        <f t="shared" ref="L57:L60" si="17">SUM(D57:F57)</f>
        <v>#REF!</v>
      </c>
    </row>
    <row r="58" spans="1:12" ht="25.5" x14ac:dyDescent="0.2">
      <c r="A58" s="634"/>
      <c r="B58" s="197" t="s">
        <v>216</v>
      </c>
      <c r="C58" s="70"/>
      <c r="D58" s="70" t="e">
        <f>#REF!</f>
        <v>#REF!</v>
      </c>
      <c r="E58" s="232" t="e">
        <f>#REF!</f>
        <v>#REF!</v>
      </c>
      <c r="F58" s="70" t="e">
        <f>#REF!</f>
        <v>#REF!</v>
      </c>
      <c r="G58" s="1"/>
      <c r="H58" s="1"/>
      <c r="I58" s="662"/>
      <c r="J58" s="662"/>
      <c r="K58" s="197" t="s">
        <v>217</v>
      </c>
      <c r="L58" s="71" t="e">
        <f t="shared" si="17"/>
        <v>#REF!</v>
      </c>
    </row>
    <row r="59" spans="1:12" ht="25.5" x14ac:dyDescent="0.2">
      <c r="A59" s="634"/>
      <c r="B59" s="197" t="s">
        <v>218</v>
      </c>
      <c r="C59" s="70"/>
      <c r="D59" s="70" t="e">
        <f>#REF!</f>
        <v>#REF!</v>
      </c>
      <c r="E59" s="70" t="e">
        <f>#REF!</f>
        <v>#REF!</v>
      </c>
      <c r="F59" s="70" t="e">
        <f>#REF!</f>
        <v>#REF!</v>
      </c>
      <c r="G59" s="1"/>
      <c r="H59" s="1"/>
      <c r="I59" s="662"/>
      <c r="J59" s="662"/>
      <c r="K59" s="197" t="s">
        <v>220</v>
      </c>
      <c r="L59" s="313" t="e">
        <f t="shared" si="17"/>
        <v>#REF!</v>
      </c>
    </row>
    <row r="60" spans="1:12" ht="25.5" x14ac:dyDescent="0.2">
      <c r="A60" s="634"/>
      <c r="B60" s="197" t="s">
        <v>221</v>
      </c>
      <c r="C60" s="70"/>
      <c r="D60" s="70" t="e">
        <f>#REF!</f>
        <v>#REF!</v>
      </c>
      <c r="E60" s="70" t="e">
        <f>#REF!</f>
        <v>#REF!</v>
      </c>
      <c r="F60" s="70" t="e">
        <f>#REF!</f>
        <v>#REF!</v>
      </c>
      <c r="G60" s="1"/>
      <c r="H60" s="1"/>
      <c r="I60" s="662"/>
      <c r="J60" s="662"/>
      <c r="K60" s="197" t="s">
        <v>223</v>
      </c>
      <c r="L60" s="71" t="e">
        <f t="shared" si="17"/>
        <v>#REF!</v>
      </c>
    </row>
    <row r="61" spans="1:12" ht="25.5" x14ac:dyDescent="0.2">
      <c r="A61" s="635"/>
      <c r="B61" s="208" t="s">
        <v>224</v>
      </c>
      <c r="C61" s="238"/>
      <c r="D61" s="238" t="e">
        <f>#REF!</f>
        <v>#REF!</v>
      </c>
      <c r="E61" s="238" t="e">
        <f>#REF!</f>
        <v>#REF!</v>
      </c>
      <c r="F61" s="238" t="e">
        <f>#REF!</f>
        <v>#REF!</v>
      </c>
      <c r="G61" s="239"/>
      <c r="H61" s="239"/>
      <c r="I61" s="662"/>
      <c r="J61" s="662"/>
      <c r="K61" s="217" t="s">
        <v>226</v>
      </c>
      <c r="L61" s="241" t="e">
        <f>IF(L58=0,0,L57/(L58*60))</f>
        <v>#REF!</v>
      </c>
    </row>
    <row r="62" spans="1:12" ht="25.5" x14ac:dyDescent="0.2">
      <c r="A62" s="801" t="s">
        <v>283</v>
      </c>
      <c r="B62" s="193" t="s">
        <v>32</v>
      </c>
      <c r="C62" s="222"/>
      <c r="D62" s="70" t="e">
        <f>#REF!</f>
        <v>#REF!</v>
      </c>
      <c r="E62" s="70" t="e">
        <f>#REF!</f>
        <v>#REF!</v>
      </c>
      <c r="F62" s="70" t="e">
        <f>#REF!</f>
        <v>#REF!</v>
      </c>
      <c r="G62" s="1"/>
      <c r="H62" s="1"/>
      <c r="I62" s="662"/>
      <c r="J62" s="662"/>
      <c r="K62" s="197" t="s">
        <v>215</v>
      </c>
      <c r="L62" s="71" t="e">
        <f t="shared" ref="L62:L65" si="18">SUM(D62:F62)</f>
        <v>#REF!</v>
      </c>
    </row>
    <row r="63" spans="1:12" ht="25.5" x14ac:dyDescent="0.2">
      <c r="A63" s="634"/>
      <c r="B63" s="197" t="s">
        <v>216</v>
      </c>
      <c r="C63" s="70"/>
      <c r="D63" s="70" t="e">
        <f>#REF!</f>
        <v>#REF!</v>
      </c>
      <c r="E63" s="232" t="e">
        <f>#REF!</f>
        <v>#REF!</v>
      </c>
      <c r="F63" s="70" t="e">
        <f>#REF!</f>
        <v>#REF!</v>
      </c>
      <c r="G63" s="1"/>
      <c r="H63" s="1"/>
      <c r="I63" s="662"/>
      <c r="J63" s="662"/>
      <c r="K63" s="197" t="s">
        <v>217</v>
      </c>
      <c r="L63" s="71" t="e">
        <f t="shared" si="18"/>
        <v>#REF!</v>
      </c>
    </row>
    <row r="64" spans="1:12" ht="25.5" x14ac:dyDescent="0.2">
      <c r="A64" s="634"/>
      <c r="B64" s="197" t="s">
        <v>218</v>
      </c>
      <c r="C64" s="70"/>
      <c r="D64" s="70" t="e">
        <f>#REF!</f>
        <v>#REF!</v>
      </c>
      <c r="E64" s="70" t="e">
        <f>#REF!</f>
        <v>#REF!</v>
      </c>
      <c r="F64" s="70" t="e">
        <f>#REF!</f>
        <v>#REF!</v>
      </c>
      <c r="G64" s="1"/>
      <c r="H64" s="1"/>
      <c r="I64" s="662"/>
      <c r="J64" s="662"/>
      <c r="K64" s="197" t="s">
        <v>220</v>
      </c>
      <c r="L64" s="313" t="e">
        <f t="shared" si="18"/>
        <v>#REF!</v>
      </c>
    </row>
    <row r="65" spans="1:12" ht="25.5" x14ac:dyDescent="0.2">
      <c r="A65" s="634"/>
      <c r="B65" s="197" t="s">
        <v>221</v>
      </c>
      <c r="C65" s="70"/>
      <c r="D65" s="70" t="e">
        <f>#REF!</f>
        <v>#REF!</v>
      </c>
      <c r="E65" s="70" t="e">
        <f>#REF!</f>
        <v>#REF!</v>
      </c>
      <c r="F65" s="70" t="e">
        <f>#REF!</f>
        <v>#REF!</v>
      </c>
      <c r="G65" s="1"/>
      <c r="H65" s="1"/>
      <c r="I65" s="662"/>
      <c r="J65" s="662"/>
      <c r="K65" s="197" t="s">
        <v>223</v>
      </c>
      <c r="L65" s="71" t="e">
        <f t="shared" si="18"/>
        <v>#REF!</v>
      </c>
    </row>
    <row r="66" spans="1:12" ht="25.5" x14ac:dyDescent="0.2">
      <c r="A66" s="635"/>
      <c r="B66" s="208" t="s">
        <v>224</v>
      </c>
      <c r="C66" s="238"/>
      <c r="D66" s="238" t="e">
        <f>#REF!</f>
        <v>#REF!</v>
      </c>
      <c r="E66" s="238" t="e">
        <f>#REF!</f>
        <v>#REF!</v>
      </c>
      <c r="F66" s="238" t="e">
        <f>#REF!</f>
        <v>#REF!</v>
      </c>
      <c r="G66" s="238"/>
      <c r="H66" s="238"/>
      <c r="I66" s="802"/>
      <c r="J66" s="803"/>
      <c r="K66" s="217" t="s">
        <v>226</v>
      </c>
      <c r="L66" s="241" t="e">
        <f>IF(L63=0,0,L62/(L63*60))</f>
        <v>#REF!</v>
      </c>
    </row>
    <row r="67" spans="1:12" ht="25.5" x14ac:dyDescent="0.2">
      <c r="A67" s="801" t="s">
        <v>284</v>
      </c>
      <c r="B67" s="193" t="s">
        <v>32</v>
      </c>
      <c r="C67" s="222"/>
      <c r="D67" s="70" t="e">
        <f>#REF!</f>
        <v>#REF!</v>
      </c>
      <c r="E67" s="70" t="e">
        <f>#REF!</f>
        <v>#REF!</v>
      </c>
      <c r="F67" s="70" t="e">
        <f>#REF!</f>
        <v>#REF!</v>
      </c>
      <c r="G67" s="70"/>
      <c r="H67" s="70"/>
      <c r="I67" s="70" t="e">
        <f>#REF!</f>
        <v>#REF!</v>
      </c>
      <c r="J67" s="70" t="e">
        <f>#REF!</f>
        <v>#REF!</v>
      </c>
      <c r="K67" s="197" t="s">
        <v>215</v>
      </c>
      <c r="L67" s="71" t="e">
        <f t="shared" ref="L67:L70" si="19">SUM(D67:J67)</f>
        <v>#REF!</v>
      </c>
    </row>
    <row r="68" spans="1:12" ht="25.5" x14ac:dyDescent="0.2">
      <c r="A68" s="634"/>
      <c r="B68" s="197" t="s">
        <v>216</v>
      </c>
      <c r="C68" s="70"/>
      <c r="D68" s="70" t="e">
        <f>#REF!</f>
        <v>#REF!</v>
      </c>
      <c r="E68" s="232" t="e">
        <f>#REF!</f>
        <v>#REF!</v>
      </c>
      <c r="F68" s="70" t="e">
        <f>#REF!</f>
        <v>#REF!</v>
      </c>
      <c r="G68" s="70"/>
      <c r="H68" s="70"/>
      <c r="I68" s="70" t="e">
        <f>#REF!</f>
        <v>#REF!</v>
      </c>
      <c r="J68" s="70" t="e">
        <f>#REF!</f>
        <v>#REF!</v>
      </c>
      <c r="K68" s="197" t="s">
        <v>217</v>
      </c>
      <c r="L68" s="71" t="e">
        <f t="shared" si="19"/>
        <v>#REF!</v>
      </c>
    </row>
    <row r="69" spans="1:12" ht="25.5" x14ac:dyDescent="0.2">
      <c r="A69" s="634"/>
      <c r="B69" s="197" t="s">
        <v>218</v>
      </c>
      <c r="C69" s="70"/>
      <c r="D69" s="70" t="e">
        <f>#REF!</f>
        <v>#REF!</v>
      </c>
      <c r="E69" s="70" t="e">
        <f>#REF!</f>
        <v>#REF!</v>
      </c>
      <c r="F69" s="70" t="e">
        <f>#REF!</f>
        <v>#REF!</v>
      </c>
      <c r="G69" s="70"/>
      <c r="H69" s="70"/>
      <c r="I69" s="70" t="e">
        <f>#REF!</f>
        <v>#REF!</v>
      </c>
      <c r="J69" s="70" t="e">
        <f>#REF!</f>
        <v>#REF!</v>
      </c>
      <c r="K69" s="197" t="s">
        <v>220</v>
      </c>
      <c r="L69" s="71" t="e">
        <f t="shared" si="19"/>
        <v>#REF!</v>
      </c>
    </row>
    <row r="70" spans="1:12" ht="25.5" x14ac:dyDescent="0.2">
      <c r="A70" s="634"/>
      <c r="B70" s="197" t="s">
        <v>221</v>
      </c>
      <c r="C70" s="70"/>
      <c r="D70" s="70" t="e">
        <f>#REF!</f>
        <v>#REF!</v>
      </c>
      <c r="E70" s="70" t="e">
        <f>#REF!</f>
        <v>#REF!</v>
      </c>
      <c r="F70" s="70" t="e">
        <f>#REF!</f>
        <v>#REF!</v>
      </c>
      <c r="G70" s="70"/>
      <c r="H70" s="70"/>
      <c r="I70" s="70" t="e">
        <f>#REF!</f>
        <v>#REF!</v>
      </c>
      <c r="J70" s="70" t="e">
        <f>#REF!</f>
        <v>#REF!</v>
      </c>
      <c r="K70" s="197" t="s">
        <v>223</v>
      </c>
      <c r="L70" s="71" t="e">
        <f t="shared" si="19"/>
        <v>#REF!</v>
      </c>
    </row>
    <row r="71" spans="1:12" ht="25.5" x14ac:dyDescent="0.2">
      <c r="A71" s="635"/>
      <c r="B71" s="208" t="s">
        <v>224</v>
      </c>
      <c r="C71" s="238"/>
      <c r="D71" s="238" t="e">
        <f>#REF!</f>
        <v>#REF!</v>
      </c>
      <c r="E71" s="238" t="e">
        <f>#REF!</f>
        <v>#REF!</v>
      </c>
      <c r="F71" s="238" t="e">
        <f>#REF!</f>
        <v>#REF!</v>
      </c>
      <c r="G71" s="238"/>
      <c r="H71" s="238"/>
      <c r="I71" s="238" t="e">
        <f>#REF!</f>
        <v>#REF!</v>
      </c>
      <c r="J71" s="238" t="e">
        <f>#REF!</f>
        <v>#REF!</v>
      </c>
      <c r="K71" s="217" t="s">
        <v>226</v>
      </c>
      <c r="L71" s="241" t="e">
        <f>IF(L68=0,0,L67/(L68*60))</f>
        <v>#REF!</v>
      </c>
    </row>
    <row r="72" spans="1:12" ht="25.5" x14ac:dyDescent="0.2">
      <c r="A72" s="801" t="s">
        <v>285</v>
      </c>
      <c r="B72" s="193" t="s">
        <v>32</v>
      </c>
      <c r="C72" s="222"/>
      <c r="D72" s="70"/>
      <c r="E72" s="70"/>
      <c r="F72" s="70"/>
      <c r="G72" s="70"/>
      <c r="H72" s="70"/>
      <c r="I72" s="70"/>
      <c r="J72" s="70"/>
      <c r="K72" s="197" t="s">
        <v>215</v>
      </c>
      <c r="L72" s="71">
        <f t="shared" ref="L72:L75" si="20">SUM(D72:J72)</f>
        <v>0</v>
      </c>
    </row>
    <row r="73" spans="1:12" ht="25.5" x14ac:dyDescent="0.2">
      <c r="A73" s="634"/>
      <c r="B73" s="197" t="s">
        <v>216</v>
      </c>
      <c r="C73" s="70"/>
      <c r="D73" s="70"/>
      <c r="E73" s="232"/>
      <c r="F73" s="70"/>
      <c r="G73" s="70"/>
      <c r="H73" s="70"/>
      <c r="I73" s="70"/>
      <c r="J73" s="331"/>
      <c r="K73" s="197" t="s">
        <v>217</v>
      </c>
      <c r="L73" s="71">
        <f t="shared" si="20"/>
        <v>0</v>
      </c>
    </row>
    <row r="74" spans="1:12" ht="25.5" x14ac:dyDescent="0.2">
      <c r="A74" s="634"/>
      <c r="B74" s="197" t="s">
        <v>218</v>
      </c>
      <c r="C74" s="70"/>
      <c r="D74" s="70"/>
      <c r="E74" s="70"/>
      <c r="F74" s="70"/>
      <c r="G74" s="70"/>
      <c r="H74" s="70"/>
      <c r="I74" s="70"/>
      <c r="J74" s="70"/>
      <c r="K74" s="197" t="s">
        <v>220</v>
      </c>
      <c r="L74" s="71">
        <f t="shared" si="20"/>
        <v>0</v>
      </c>
    </row>
    <row r="75" spans="1:12" ht="25.5" x14ac:dyDescent="0.2">
      <c r="A75" s="634"/>
      <c r="B75" s="197" t="s">
        <v>221</v>
      </c>
      <c r="C75" s="70"/>
      <c r="D75" s="70"/>
      <c r="E75" s="70"/>
      <c r="F75" s="70"/>
      <c r="G75" s="70"/>
      <c r="H75" s="70"/>
      <c r="I75" s="70"/>
      <c r="J75" s="331"/>
      <c r="K75" s="197" t="s">
        <v>223</v>
      </c>
      <c r="L75" s="71">
        <f t="shared" si="20"/>
        <v>0</v>
      </c>
    </row>
    <row r="76" spans="1:12" ht="25.5" x14ac:dyDescent="0.2">
      <c r="A76" s="635"/>
      <c r="B76" s="208" t="s">
        <v>224</v>
      </c>
      <c r="C76" s="238"/>
      <c r="D76" s="238"/>
      <c r="E76" s="238"/>
      <c r="F76" s="238"/>
      <c r="G76" s="238"/>
      <c r="H76" s="238"/>
      <c r="I76" s="238"/>
      <c r="J76" s="238"/>
      <c r="K76" s="217" t="s">
        <v>226</v>
      </c>
      <c r="L76" s="241">
        <f>IF(L73=0,0,L72/(L73*60))</f>
        <v>0</v>
      </c>
    </row>
    <row r="77" spans="1:12" ht="25.5" x14ac:dyDescent="0.2">
      <c r="A77" s="801" t="s">
        <v>286</v>
      </c>
      <c r="B77" s="193" t="s">
        <v>32</v>
      </c>
      <c r="C77" s="222"/>
      <c r="D77" s="70" t="e">
        <f>#REF!</f>
        <v>#REF!</v>
      </c>
      <c r="E77" s="70" t="e">
        <f>#REF!</f>
        <v>#REF!</v>
      </c>
      <c r="F77" s="70" t="e">
        <f>#REF!</f>
        <v>#REF!</v>
      </c>
      <c r="G77" s="70"/>
      <c r="H77" s="70"/>
      <c r="I77" s="70" t="e">
        <f>#REF!</f>
        <v>#REF!</v>
      </c>
      <c r="J77" s="70" t="e">
        <f>#REF!</f>
        <v>#REF!</v>
      </c>
      <c r="K77" s="197" t="s">
        <v>215</v>
      </c>
      <c r="L77" s="71" t="e">
        <f t="shared" ref="L77:L80" si="21">SUM(D77:J77)</f>
        <v>#REF!</v>
      </c>
    </row>
    <row r="78" spans="1:12" ht="25.5" x14ac:dyDescent="0.2">
      <c r="A78" s="634"/>
      <c r="B78" s="197" t="s">
        <v>216</v>
      </c>
      <c r="C78" s="70"/>
      <c r="D78" s="70" t="e">
        <f>#REF!</f>
        <v>#REF!</v>
      </c>
      <c r="E78" s="232" t="e">
        <f>#REF!</f>
        <v>#REF!</v>
      </c>
      <c r="F78" s="70" t="e">
        <f>#REF!</f>
        <v>#REF!</v>
      </c>
      <c r="G78" s="70"/>
      <c r="H78" s="70"/>
      <c r="I78" s="70" t="e">
        <f>#REF!</f>
        <v>#REF!</v>
      </c>
      <c r="J78" s="331" t="e">
        <f>#REF!</f>
        <v>#REF!</v>
      </c>
      <c r="K78" s="197" t="s">
        <v>217</v>
      </c>
      <c r="L78" s="71" t="e">
        <f t="shared" si="21"/>
        <v>#REF!</v>
      </c>
    </row>
    <row r="79" spans="1:12" ht="25.5" x14ac:dyDescent="0.2">
      <c r="A79" s="634"/>
      <c r="B79" s="197" t="s">
        <v>218</v>
      </c>
      <c r="C79" s="332"/>
      <c r="D79" s="332" t="e">
        <f>#REF!</f>
        <v>#REF!</v>
      </c>
      <c r="E79" s="70" t="e">
        <f>#REF!</f>
        <v>#REF!</v>
      </c>
      <c r="F79" s="70" t="e">
        <f>#REF!</f>
        <v>#REF!</v>
      </c>
      <c r="G79" s="70"/>
      <c r="H79" s="70"/>
      <c r="I79" s="70" t="e">
        <f>#REF!</f>
        <v>#REF!</v>
      </c>
      <c r="J79" s="70" t="e">
        <f>#REF!</f>
        <v>#REF!</v>
      </c>
      <c r="K79" s="197" t="s">
        <v>220</v>
      </c>
      <c r="L79" s="236" t="e">
        <f t="shared" si="21"/>
        <v>#REF!</v>
      </c>
    </row>
    <row r="80" spans="1:12" ht="25.5" x14ac:dyDescent="0.2">
      <c r="A80" s="634"/>
      <c r="B80" s="197" t="s">
        <v>221</v>
      </c>
      <c r="C80" s="332"/>
      <c r="D80" s="332" t="e">
        <f t="shared" ref="D80:F80" si="22">SUM(D78:D79)</f>
        <v>#REF!</v>
      </c>
      <c r="E80" s="70" t="e">
        <f t="shared" si="22"/>
        <v>#REF!</v>
      </c>
      <c r="F80" s="70" t="e">
        <f t="shared" si="22"/>
        <v>#REF!</v>
      </c>
      <c r="G80" s="70"/>
      <c r="H80" s="70"/>
      <c r="I80" s="70" t="e">
        <f t="shared" ref="I80:J80" si="23">SUM(I78:I79)</f>
        <v>#REF!</v>
      </c>
      <c r="J80" s="331" t="e">
        <f t="shared" si="23"/>
        <v>#REF!</v>
      </c>
      <c r="K80" s="197" t="s">
        <v>223</v>
      </c>
      <c r="L80" s="236" t="e">
        <f t="shared" si="21"/>
        <v>#REF!</v>
      </c>
    </row>
    <row r="81" spans="1:12" ht="25.5" x14ac:dyDescent="0.2">
      <c r="A81" s="635"/>
      <c r="B81" s="208" t="s">
        <v>224</v>
      </c>
      <c r="C81" s="238"/>
      <c r="D81" s="238" t="e">
        <f t="shared" ref="D81:F81" si="24">IF(D78=0,0,D77/(D78*60))</f>
        <v>#REF!</v>
      </c>
      <c r="E81" s="238" t="e">
        <f t="shared" si="24"/>
        <v>#REF!</v>
      </c>
      <c r="F81" s="238" t="e">
        <f t="shared" si="24"/>
        <v>#REF!</v>
      </c>
      <c r="G81" s="238"/>
      <c r="H81" s="238"/>
      <c r="I81" s="238" t="e">
        <f t="shared" ref="I81:J81" si="25">IF(I78=0,0,I77/(I78*60))</f>
        <v>#REF!</v>
      </c>
      <c r="J81" s="238" t="e">
        <f t="shared" si="25"/>
        <v>#REF!</v>
      </c>
      <c r="K81" s="217" t="s">
        <v>226</v>
      </c>
      <c r="L81" s="241" t="e">
        <f>IF(L78=0,0,L77/(L78*60))</f>
        <v>#REF!</v>
      </c>
    </row>
    <row r="82" spans="1:12" ht="25.5" x14ac:dyDescent="0.2">
      <c r="A82" s="801" t="s">
        <v>287</v>
      </c>
      <c r="B82" s="193" t="s">
        <v>32</v>
      </c>
      <c r="C82" s="222"/>
      <c r="D82" s="70" t="e">
        <f>#REF!</f>
        <v>#REF!</v>
      </c>
      <c r="E82" s="70" t="e">
        <f>#REF!</f>
        <v>#REF!</v>
      </c>
      <c r="F82" s="70" t="e">
        <f>#REF!</f>
        <v>#REF!</v>
      </c>
      <c r="G82" s="70"/>
      <c r="H82" s="70"/>
      <c r="I82" s="70" t="e">
        <f>#REF!</f>
        <v>#REF!</v>
      </c>
      <c r="J82" s="70" t="e">
        <f>#REF!</f>
        <v>#REF!</v>
      </c>
      <c r="K82" s="197" t="s">
        <v>215</v>
      </c>
      <c r="L82" s="71" t="e">
        <f t="shared" ref="L82:L85" si="26">SUM(D82:J82)</f>
        <v>#REF!</v>
      </c>
    </row>
    <row r="83" spans="1:12" ht="25.5" x14ac:dyDescent="0.2">
      <c r="A83" s="634"/>
      <c r="B83" s="197" t="s">
        <v>216</v>
      </c>
      <c r="C83" s="70"/>
      <c r="D83" s="70" t="e">
        <f>#REF!</f>
        <v>#REF!</v>
      </c>
      <c r="E83" s="232" t="e">
        <f>#REF!</f>
        <v>#REF!</v>
      </c>
      <c r="F83" s="70" t="e">
        <f>#REF!</f>
        <v>#REF!</v>
      </c>
      <c r="G83" s="70"/>
      <c r="H83" s="70"/>
      <c r="I83" s="70" t="e">
        <f>#REF!</f>
        <v>#REF!</v>
      </c>
      <c r="J83" s="331" t="e">
        <f>#REF!</f>
        <v>#REF!</v>
      </c>
      <c r="K83" s="197" t="s">
        <v>217</v>
      </c>
      <c r="L83" s="71" t="e">
        <f t="shared" si="26"/>
        <v>#REF!</v>
      </c>
    </row>
    <row r="84" spans="1:12" ht="25.5" x14ac:dyDescent="0.2">
      <c r="A84" s="634"/>
      <c r="B84" s="197" t="s">
        <v>218</v>
      </c>
      <c r="C84" s="332"/>
      <c r="D84" s="332" t="e">
        <f>#REF!</f>
        <v>#REF!</v>
      </c>
      <c r="E84" s="70" t="e">
        <f>#REF!</f>
        <v>#REF!</v>
      </c>
      <c r="F84" s="70" t="e">
        <f>#REF!</f>
        <v>#REF!</v>
      </c>
      <c r="G84" s="70"/>
      <c r="H84" s="70"/>
      <c r="I84" s="70" t="e">
        <f>#REF!</f>
        <v>#REF!</v>
      </c>
      <c r="J84" s="70" t="e">
        <f>#REF!</f>
        <v>#REF!</v>
      </c>
      <c r="K84" s="197" t="s">
        <v>220</v>
      </c>
      <c r="L84" s="236" t="e">
        <f t="shared" si="26"/>
        <v>#REF!</v>
      </c>
    </row>
    <row r="85" spans="1:12" ht="25.5" x14ac:dyDescent="0.2">
      <c r="A85" s="634"/>
      <c r="B85" s="197" t="s">
        <v>221</v>
      </c>
      <c r="C85" s="332"/>
      <c r="D85" s="332" t="e">
        <f t="shared" ref="D85:F85" si="27">SUM(D83:D84)</f>
        <v>#REF!</v>
      </c>
      <c r="E85" s="70" t="e">
        <f t="shared" si="27"/>
        <v>#REF!</v>
      </c>
      <c r="F85" s="70" t="e">
        <f t="shared" si="27"/>
        <v>#REF!</v>
      </c>
      <c r="G85" s="70"/>
      <c r="H85" s="70"/>
      <c r="I85" s="70" t="e">
        <f t="shared" ref="I85:J85" si="28">SUM(I83:I84)</f>
        <v>#REF!</v>
      </c>
      <c r="J85" s="331" t="e">
        <f t="shared" si="28"/>
        <v>#REF!</v>
      </c>
      <c r="K85" s="197" t="s">
        <v>223</v>
      </c>
      <c r="L85" s="236" t="e">
        <f t="shared" si="26"/>
        <v>#REF!</v>
      </c>
    </row>
    <row r="86" spans="1:12" ht="25.5" x14ac:dyDescent="0.2">
      <c r="A86" s="635"/>
      <c r="B86" s="208" t="s">
        <v>224</v>
      </c>
      <c r="C86" s="238"/>
      <c r="D86" s="238" t="e">
        <f t="shared" ref="D86:F86" si="29">IF(D83=0,0,D82/(D83*60))</f>
        <v>#REF!</v>
      </c>
      <c r="E86" s="238" t="e">
        <f t="shared" si="29"/>
        <v>#REF!</v>
      </c>
      <c r="F86" s="238" t="e">
        <f t="shared" si="29"/>
        <v>#REF!</v>
      </c>
      <c r="G86" s="238"/>
      <c r="H86" s="238"/>
      <c r="I86" s="238" t="e">
        <f t="shared" ref="I86:J86" si="30">IF(I83=0,0,I82/(I83*60))</f>
        <v>#REF!</v>
      </c>
      <c r="J86" s="238" t="e">
        <f t="shared" si="30"/>
        <v>#REF!</v>
      </c>
      <c r="K86" s="217" t="s">
        <v>226</v>
      </c>
      <c r="L86" s="241" t="e">
        <f>IF(L83=0,0,L82/(L83*60))</f>
        <v>#REF!</v>
      </c>
    </row>
    <row r="87" spans="1:12" ht="25.5" x14ac:dyDescent="0.2">
      <c r="A87" s="801" t="s">
        <v>290</v>
      </c>
      <c r="B87" s="193" t="s">
        <v>32</v>
      </c>
      <c r="C87" s="222"/>
      <c r="D87" s="70" t="e">
        <f>#REF!</f>
        <v>#REF!</v>
      </c>
      <c r="E87" s="70" t="e">
        <f>#REF!</f>
        <v>#REF!</v>
      </c>
      <c r="F87" s="70" t="e">
        <f>#REF!</f>
        <v>#REF!</v>
      </c>
      <c r="G87" s="70"/>
      <c r="H87" s="70"/>
      <c r="I87" s="70" t="e">
        <f>#REF!</f>
        <v>#REF!</v>
      </c>
      <c r="J87" s="70" t="e">
        <f>#REF!</f>
        <v>#REF!</v>
      </c>
      <c r="K87" s="197" t="s">
        <v>215</v>
      </c>
      <c r="L87" s="71" t="e">
        <f t="shared" ref="L87:L90" si="31">SUM(D87:J87)</f>
        <v>#REF!</v>
      </c>
    </row>
    <row r="88" spans="1:12" ht="25.5" x14ac:dyDescent="0.2">
      <c r="A88" s="634"/>
      <c r="B88" s="197" t="s">
        <v>216</v>
      </c>
      <c r="C88" s="70"/>
      <c r="D88" s="70" t="e">
        <f>#REF!</f>
        <v>#REF!</v>
      </c>
      <c r="E88" s="232" t="e">
        <f>#REF!</f>
        <v>#REF!</v>
      </c>
      <c r="F88" s="70" t="e">
        <f>#REF!</f>
        <v>#REF!</v>
      </c>
      <c r="G88" s="70"/>
      <c r="H88" s="70"/>
      <c r="I88" s="70" t="e">
        <f>#REF!</f>
        <v>#REF!</v>
      </c>
      <c r="J88" s="331" t="e">
        <f>#REF!</f>
        <v>#REF!</v>
      </c>
      <c r="K88" s="197" t="s">
        <v>217</v>
      </c>
      <c r="L88" s="71" t="e">
        <f t="shared" si="31"/>
        <v>#REF!</v>
      </c>
    </row>
    <row r="89" spans="1:12" ht="25.5" x14ac:dyDescent="0.2">
      <c r="A89" s="634"/>
      <c r="B89" s="197" t="s">
        <v>218</v>
      </c>
      <c r="C89" s="332"/>
      <c r="D89" s="332" t="e">
        <f>#REF!</f>
        <v>#REF!</v>
      </c>
      <c r="E89" s="70" t="e">
        <f>#REF!</f>
        <v>#REF!</v>
      </c>
      <c r="F89" s="70" t="e">
        <f>#REF!</f>
        <v>#REF!</v>
      </c>
      <c r="G89" s="70"/>
      <c r="H89" s="70"/>
      <c r="I89" s="70" t="e">
        <f>#REF!</f>
        <v>#REF!</v>
      </c>
      <c r="J89" s="70" t="e">
        <f>#REF!</f>
        <v>#REF!</v>
      </c>
      <c r="K89" s="197" t="s">
        <v>220</v>
      </c>
      <c r="L89" s="236" t="e">
        <f t="shared" si="31"/>
        <v>#REF!</v>
      </c>
    </row>
    <row r="90" spans="1:12" ht="25.5" x14ac:dyDescent="0.2">
      <c r="A90" s="634"/>
      <c r="B90" s="197" t="s">
        <v>221</v>
      </c>
      <c r="C90" s="332"/>
      <c r="D90" s="332" t="e">
        <f t="shared" ref="D90:F90" si="32">SUM(D88:D89)</f>
        <v>#REF!</v>
      </c>
      <c r="E90" s="70" t="e">
        <f t="shared" si="32"/>
        <v>#REF!</v>
      </c>
      <c r="F90" s="70" t="e">
        <f t="shared" si="32"/>
        <v>#REF!</v>
      </c>
      <c r="G90" s="70"/>
      <c r="H90" s="70"/>
      <c r="I90" s="70" t="e">
        <f t="shared" ref="I90:J90" si="33">SUM(I88:I89)</f>
        <v>#REF!</v>
      </c>
      <c r="J90" s="331" t="e">
        <f t="shared" si="33"/>
        <v>#REF!</v>
      </c>
      <c r="K90" s="197" t="s">
        <v>223</v>
      </c>
      <c r="L90" s="236" t="e">
        <f t="shared" si="31"/>
        <v>#REF!</v>
      </c>
    </row>
    <row r="91" spans="1:12" ht="25.5" x14ac:dyDescent="0.2">
      <c r="A91" s="635"/>
      <c r="B91" s="208" t="s">
        <v>224</v>
      </c>
      <c r="C91" s="238"/>
      <c r="D91" s="238" t="e">
        <f t="shared" ref="D91:F91" si="34">IF(D88=0,0,D87/(D88*60))</f>
        <v>#REF!</v>
      </c>
      <c r="E91" s="238" t="e">
        <f t="shared" si="34"/>
        <v>#REF!</v>
      </c>
      <c r="F91" s="238" t="e">
        <f t="shared" si="34"/>
        <v>#REF!</v>
      </c>
      <c r="G91" s="238"/>
      <c r="H91" s="238"/>
      <c r="I91" s="238" t="e">
        <f t="shared" ref="I91:J91" si="35">IF(I88=0,0,I87/(I88*60))</f>
        <v>#REF!</v>
      </c>
      <c r="J91" s="238" t="e">
        <f t="shared" si="35"/>
        <v>#REF!</v>
      </c>
      <c r="K91" s="217" t="s">
        <v>226</v>
      </c>
      <c r="L91" s="241" t="e">
        <f>IF(L88=0,0,L87/(L88*60))</f>
        <v>#REF!</v>
      </c>
    </row>
    <row r="92" spans="1:12" ht="25.5" x14ac:dyDescent="0.2">
      <c r="A92" s="801" t="s">
        <v>318</v>
      </c>
      <c r="B92" s="193" t="s">
        <v>32</v>
      </c>
      <c r="C92" s="222"/>
      <c r="D92" s="70" t="e">
        <f>#REF!</f>
        <v>#REF!</v>
      </c>
      <c r="E92" s="70" t="e">
        <f>#REF!</f>
        <v>#REF!</v>
      </c>
      <c r="F92" s="70" t="e">
        <f>#REF!</f>
        <v>#REF!</v>
      </c>
      <c r="G92" s="70"/>
      <c r="H92" s="70"/>
      <c r="I92" s="70" t="e">
        <f>#REF!</f>
        <v>#REF!</v>
      </c>
      <c r="J92" s="70" t="e">
        <f>#REF!</f>
        <v>#REF!</v>
      </c>
      <c r="K92" s="197" t="s">
        <v>215</v>
      </c>
      <c r="L92" s="71" t="e">
        <f t="shared" ref="L92:L95" si="36">SUM(D92:J92)</f>
        <v>#REF!</v>
      </c>
    </row>
    <row r="93" spans="1:12" ht="25.5" x14ac:dyDescent="0.2">
      <c r="A93" s="634"/>
      <c r="B93" s="197" t="s">
        <v>216</v>
      </c>
      <c r="C93" s="70"/>
      <c r="D93" s="70" t="e">
        <f>#REF!</f>
        <v>#REF!</v>
      </c>
      <c r="E93" s="232" t="e">
        <f>#REF!</f>
        <v>#REF!</v>
      </c>
      <c r="F93" s="70" t="e">
        <f>#REF!</f>
        <v>#REF!</v>
      </c>
      <c r="G93" s="70"/>
      <c r="H93" s="70"/>
      <c r="I93" s="70" t="e">
        <f>#REF!</f>
        <v>#REF!</v>
      </c>
      <c r="J93" s="331" t="e">
        <f>#REF!</f>
        <v>#REF!</v>
      </c>
      <c r="K93" s="197" t="s">
        <v>217</v>
      </c>
      <c r="L93" s="71" t="e">
        <f t="shared" si="36"/>
        <v>#REF!</v>
      </c>
    </row>
    <row r="94" spans="1:12" ht="25.5" x14ac:dyDescent="0.2">
      <c r="A94" s="634"/>
      <c r="B94" s="197" t="s">
        <v>218</v>
      </c>
      <c r="C94" s="332"/>
      <c r="D94" s="332" t="e">
        <f>#REF!</f>
        <v>#REF!</v>
      </c>
      <c r="E94" s="70" t="e">
        <f>#REF!</f>
        <v>#REF!</v>
      </c>
      <c r="F94" s="70" t="e">
        <f>#REF!</f>
        <v>#REF!</v>
      </c>
      <c r="G94" s="70"/>
      <c r="H94" s="70"/>
      <c r="I94" s="70" t="e">
        <f>#REF!</f>
        <v>#REF!</v>
      </c>
      <c r="J94" s="70" t="e">
        <f>#REF!</f>
        <v>#REF!</v>
      </c>
      <c r="K94" s="197" t="s">
        <v>220</v>
      </c>
      <c r="L94" s="236" t="e">
        <f t="shared" si="36"/>
        <v>#REF!</v>
      </c>
    </row>
    <row r="95" spans="1:12" ht="25.5" x14ac:dyDescent="0.2">
      <c r="A95" s="634"/>
      <c r="B95" s="197" t="s">
        <v>221</v>
      </c>
      <c r="C95" s="332"/>
      <c r="D95" s="332" t="e">
        <f t="shared" ref="D95:F95" si="37">SUM(D93:D94)</f>
        <v>#REF!</v>
      </c>
      <c r="E95" s="70" t="e">
        <f t="shared" si="37"/>
        <v>#REF!</v>
      </c>
      <c r="F95" s="70" t="e">
        <f t="shared" si="37"/>
        <v>#REF!</v>
      </c>
      <c r="G95" s="70"/>
      <c r="H95" s="70"/>
      <c r="I95" s="70" t="e">
        <f t="shared" ref="I95:J95" si="38">SUM(I93:I94)</f>
        <v>#REF!</v>
      </c>
      <c r="J95" s="331" t="e">
        <f t="shared" si="38"/>
        <v>#REF!</v>
      </c>
      <c r="K95" s="197" t="s">
        <v>223</v>
      </c>
      <c r="L95" s="236" t="e">
        <f t="shared" si="36"/>
        <v>#REF!</v>
      </c>
    </row>
    <row r="96" spans="1:12" ht="25.5" x14ac:dyDescent="0.2">
      <c r="A96" s="635"/>
      <c r="B96" s="208" t="s">
        <v>224</v>
      </c>
      <c r="C96" s="238"/>
      <c r="D96" s="238" t="e">
        <f t="shared" ref="D96:F96" si="39">IF(D93=0,0,D92/(D93*60))</f>
        <v>#REF!</v>
      </c>
      <c r="E96" s="238" t="e">
        <f t="shared" si="39"/>
        <v>#REF!</v>
      </c>
      <c r="F96" s="238" t="e">
        <f t="shared" si="39"/>
        <v>#REF!</v>
      </c>
      <c r="G96" s="238"/>
      <c r="H96" s="238"/>
      <c r="I96" s="238" t="e">
        <f t="shared" ref="I96:J96" si="40">IF(I93=0,0,I92/(I93*60))</f>
        <v>#REF!</v>
      </c>
      <c r="J96" s="238" t="e">
        <f t="shared" si="40"/>
        <v>#REF!</v>
      </c>
      <c r="K96" s="217" t="s">
        <v>226</v>
      </c>
      <c r="L96" s="241" t="e">
        <f>IF(L93=0,0,L92/(L93*60))</f>
        <v>#REF!</v>
      </c>
    </row>
    <row r="97" spans="1:12" ht="25.5" x14ac:dyDescent="0.2">
      <c r="A97" s="801" t="s">
        <v>328</v>
      </c>
      <c r="B97" s="193" t="s">
        <v>32</v>
      </c>
      <c r="C97" s="222"/>
      <c r="D97" s="70" t="e">
        <f>#REF!</f>
        <v>#REF!</v>
      </c>
      <c r="E97" s="70" t="e">
        <f>#REF!</f>
        <v>#REF!</v>
      </c>
      <c r="F97" s="70" t="e">
        <f>#REF!</f>
        <v>#REF!</v>
      </c>
      <c r="G97" s="70"/>
      <c r="H97" s="70"/>
      <c r="I97" s="70" t="e">
        <f>#REF!</f>
        <v>#REF!</v>
      </c>
      <c r="J97" s="70" t="e">
        <f>#REF!</f>
        <v>#REF!</v>
      </c>
      <c r="K97" s="197" t="s">
        <v>215</v>
      </c>
      <c r="L97" s="71" t="e">
        <f t="shared" ref="L97:L100" si="41">SUM(D97:J97)</f>
        <v>#REF!</v>
      </c>
    </row>
    <row r="98" spans="1:12" ht="25.5" x14ac:dyDescent="0.2">
      <c r="A98" s="634"/>
      <c r="B98" s="197" t="s">
        <v>216</v>
      </c>
      <c r="C98" s="70"/>
      <c r="D98" s="70" t="e">
        <f>#REF!</f>
        <v>#REF!</v>
      </c>
      <c r="E98" s="232" t="e">
        <f>#REF!</f>
        <v>#REF!</v>
      </c>
      <c r="F98" s="70" t="e">
        <f>#REF!</f>
        <v>#REF!</v>
      </c>
      <c r="G98" s="70"/>
      <c r="H98" s="70"/>
      <c r="I98" s="70" t="e">
        <f>#REF!</f>
        <v>#REF!</v>
      </c>
      <c r="J98" s="331" t="e">
        <f>#REF!</f>
        <v>#REF!</v>
      </c>
      <c r="K98" s="197" t="s">
        <v>217</v>
      </c>
      <c r="L98" s="71" t="e">
        <f t="shared" si="41"/>
        <v>#REF!</v>
      </c>
    </row>
    <row r="99" spans="1:12" ht="25.5" x14ac:dyDescent="0.2">
      <c r="A99" s="634"/>
      <c r="B99" s="197" t="s">
        <v>218</v>
      </c>
      <c r="C99" s="332"/>
      <c r="D99" s="332" t="e">
        <f>#REF!</f>
        <v>#REF!</v>
      </c>
      <c r="E99" s="70" t="e">
        <f>#REF!</f>
        <v>#REF!</v>
      </c>
      <c r="F99" s="70" t="e">
        <f>#REF!</f>
        <v>#REF!</v>
      </c>
      <c r="G99" s="70"/>
      <c r="H99" s="70"/>
      <c r="I99" s="70" t="e">
        <f>#REF!</f>
        <v>#REF!</v>
      </c>
      <c r="J99" s="70" t="e">
        <f>#REF!</f>
        <v>#REF!</v>
      </c>
      <c r="K99" s="197" t="s">
        <v>220</v>
      </c>
      <c r="L99" s="236" t="e">
        <f t="shared" si="41"/>
        <v>#REF!</v>
      </c>
    </row>
    <row r="100" spans="1:12" ht="25.5" x14ac:dyDescent="0.2">
      <c r="A100" s="634"/>
      <c r="B100" s="197" t="s">
        <v>221</v>
      </c>
      <c r="C100" s="332"/>
      <c r="D100" s="332" t="e">
        <f t="shared" ref="D100:F100" si="42">SUM(D98:D99)</f>
        <v>#REF!</v>
      </c>
      <c r="E100" s="70" t="e">
        <f t="shared" si="42"/>
        <v>#REF!</v>
      </c>
      <c r="F100" s="70" t="e">
        <f t="shared" si="42"/>
        <v>#REF!</v>
      </c>
      <c r="G100" s="70"/>
      <c r="H100" s="70"/>
      <c r="I100" s="70" t="e">
        <f t="shared" ref="I100:J100" si="43">SUM(I98:I99)</f>
        <v>#REF!</v>
      </c>
      <c r="J100" s="331" t="e">
        <f t="shared" si="43"/>
        <v>#REF!</v>
      </c>
      <c r="K100" s="197" t="s">
        <v>223</v>
      </c>
      <c r="L100" s="236" t="e">
        <f t="shared" si="41"/>
        <v>#REF!</v>
      </c>
    </row>
    <row r="101" spans="1:12" ht="25.5" x14ac:dyDescent="0.2">
      <c r="A101" s="635"/>
      <c r="B101" s="208" t="s">
        <v>224</v>
      </c>
      <c r="C101" s="238"/>
      <c r="D101" s="238" t="e">
        <f t="shared" ref="D101:F101" si="44">IF(D98=0,0,D97/(D98*60))</f>
        <v>#REF!</v>
      </c>
      <c r="E101" s="238" t="e">
        <f t="shared" si="44"/>
        <v>#REF!</v>
      </c>
      <c r="F101" s="238" t="e">
        <f t="shared" si="44"/>
        <v>#REF!</v>
      </c>
      <c r="G101" s="238"/>
      <c r="H101" s="238"/>
      <c r="I101" s="238" t="e">
        <f t="shared" ref="I101:J101" si="45">IF(I98=0,0,I97/(I98*60))</f>
        <v>#REF!</v>
      </c>
      <c r="J101" s="238" t="e">
        <f t="shared" si="45"/>
        <v>#REF!</v>
      </c>
      <c r="K101" s="217" t="s">
        <v>226</v>
      </c>
      <c r="L101" s="241" t="e">
        <f>IF(L98=0,0,L97/(L98*60))</f>
        <v>#REF!</v>
      </c>
    </row>
    <row r="102" spans="1:12" ht="25.5" x14ac:dyDescent="0.2">
      <c r="A102" s="801" t="s">
        <v>330</v>
      </c>
      <c r="B102" s="193" t="s">
        <v>32</v>
      </c>
      <c r="C102" s="222"/>
      <c r="D102" s="70" t="e">
        <f>#REF!</f>
        <v>#REF!</v>
      </c>
      <c r="E102" s="70" t="e">
        <f>#REF!</f>
        <v>#REF!</v>
      </c>
      <c r="F102" s="70" t="e">
        <f>#REF!</f>
        <v>#REF!</v>
      </c>
      <c r="G102" s="70"/>
      <c r="H102" s="70"/>
      <c r="I102" s="70" t="e">
        <f>#REF!</f>
        <v>#REF!</v>
      </c>
      <c r="J102" s="70" t="e">
        <f>#REF!</f>
        <v>#REF!</v>
      </c>
      <c r="K102" s="197" t="s">
        <v>215</v>
      </c>
      <c r="L102" s="71" t="e">
        <f t="shared" ref="L102:L105" si="46">SUM(D102:J102)</f>
        <v>#REF!</v>
      </c>
    </row>
    <row r="103" spans="1:12" ht="25.5" x14ac:dyDescent="0.2">
      <c r="A103" s="634"/>
      <c r="B103" s="197" t="s">
        <v>216</v>
      </c>
      <c r="C103" s="70"/>
      <c r="D103" s="70" t="e">
        <f>#REF!</f>
        <v>#REF!</v>
      </c>
      <c r="E103" s="232" t="e">
        <f>#REF!</f>
        <v>#REF!</v>
      </c>
      <c r="F103" s="70" t="e">
        <f>#REF!</f>
        <v>#REF!</v>
      </c>
      <c r="G103" s="70"/>
      <c r="H103" s="70"/>
      <c r="I103" s="70" t="e">
        <f>#REF!</f>
        <v>#REF!</v>
      </c>
      <c r="J103" s="331" t="e">
        <f>#REF!</f>
        <v>#REF!</v>
      </c>
      <c r="K103" s="197" t="s">
        <v>217</v>
      </c>
      <c r="L103" s="71" t="e">
        <f t="shared" si="46"/>
        <v>#REF!</v>
      </c>
    </row>
    <row r="104" spans="1:12" ht="25.5" x14ac:dyDescent="0.2">
      <c r="A104" s="634"/>
      <c r="B104" s="197" t="s">
        <v>218</v>
      </c>
      <c r="C104" s="332"/>
      <c r="D104" s="332" t="e">
        <f>#REF!</f>
        <v>#REF!</v>
      </c>
      <c r="E104" s="70" t="e">
        <f>#REF!</f>
        <v>#REF!</v>
      </c>
      <c r="F104" s="70" t="e">
        <f>#REF!</f>
        <v>#REF!</v>
      </c>
      <c r="G104" s="70"/>
      <c r="H104" s="70"/>
      <c r="I104" s="70" t="e">
        <f>#REF!</f>
        <v>#REF!</v>
      </c>
      <c r="J104" s="70" t="e">
        <f>#REF!</f>
        <v>#REF!</v>
      </c>
      <c r="K104" s="197" t="s">
        <v>220</v>
      </c>
      <c r="L104" s="236" t="e">
        <f t="shared" si="46"/>
        <v>#REF!</v>
      </c>
    </row>
    <row r="105" spans="1:12" ht="25.5" x14ac:dyDescent="0.2">
      <c r="A105" s="634"/>
      <c r="B105" s="197" t="s">
        <v>221</v>
      </c>
      <c r="C105" s="332"/>
      <c r="D105" s="332" t="e">
        <f t="shared" ref="D105:F105" si="47">SUM(D103:D104)</f>
        <v>#REF!</v>
      </c>
      <c r="E105" s="70" t="e">
        <f t="shared" si="47"/>
        <v>#REF!</v>
      </c>
      <c r="F105" s="70" t="e">
        <f t="shared" si="47"/>
        <v>#REF!</v>
      </c>
      <c r="G105" s="70"/>
      <c r="H105" s="70"/>
      <c r="I105" s="70" t="e">
        <f t="shared" ref="I105:J105" si="48">SUM(I103:I104)</f>
        <v>#REF!</v>
      </c>
      <c r="J105" s="331" t="e">
        <f t="shared" si="48"/>
        <v>#REF!</v>
      </c>
      <c r="K105" s="197" t="s">
        <v>223</v>
      </c>
      <c r="L105" s="236" t="e">
        <f t="shared" si="46"/>
        <v>#REF!</v>
      </c>
    </row>
    <row r="106" spans="1:12" ht="25.5" x14ac:dyDescent="0.2">
      <c r="A106" s="635"/>
      <c r="B106" s="208" t="s">
        <v>224</v>
      </c>
      <c r="C106" s="238"/>
      <c r="D106" s="238" t="e">
        <f t="shared" ref="D106:F106" si="49">IF(D103=0,0,D102/(D103*60))</f>
        <v>#REF!</v>
      </c>
      <c r="E106" s="238" t="e">
        <f t="shared" si="49"/>
        <v>#REF!</v>
      </c>
      <c r="F106" s="238" t="e">
        <f t="shared" si="49"/>
        <v>#REF!</v>
      </c>
      <c r="G106" s="238"/>
      <c r="H106" s="238"/>
      <c r="I106" s="238" t="e">
        <f t="shared" ref="I106:J106" si="50">IF(I103=0,0,I102/(I103*60))</f>
        <v>#REF!</v>
      </c>
      <c r="J106" s="238" t="e">
        <f t="shared" si="50"/>
        <v>#REF!</v>
      </c>
      <c r="K106" s="217" t="s">
        <v>226</v>
      </c>
      <c r="L106" s="241" t="e">
        <f>IF(L103=0,0,L102/(L103*60))</f>
        <v>#REF!</v>
      </c>
    </row>
    <row r="107" spans="1:12" ht="25.5" x14ac:dyDescent="0.2">
      <c r="A107" s="801" t="s">
        <v>335</v>
      </c>
      <c r="B107" s="193" t="s">
        <v>32</v>
      </c>
      <c r="C107" s="222"/>
      <c r="D107" s="70" t="e">
        <f>#REF!</f>
        <v>#REF!</v>
      </c>
      <c r="E107" s="70" t="e">
        <f>#REF!</f>
        <v>#REF!</v>
      </c>
      <c r="F107" s="70" t="e">
        <f>#REF!</f>
        <v>#REF!</v>
      </c>
      <c r="G107" s="70"/>
      <c r="H107" s="70"/>
      <c r="I107" s="70" t="e">
        <f>#REF!</f>
        <v>#REF!</v>
      </c>
      <c r="J107" s="70" t="e">
        <f>#REF!</f>
        <v>#REF!</v>
      </c>
      <c r="K107" s="197" t="s">
        <v>215</v>
      </c>
      <c r="L107" s="71" t="e">
        <f t="shared" ref="L107:L110" si="51">SUM(D107:J107)</f>
        <v>#REF!</v>
      </c>
    </row>
    <row r="108" spans="1:12" ht="25.5" x14ac:dyDescent="0.2">
      <c r="A108" s="634"/>
      <c r="B108" s="197" t="s">
        <v>216</v>
      </c>
      <c r="C108" s="70"/>
      <c r="D108" s="70" t="e">
        <f>#REF!</f>
        <v>#REF!</v>
      </c>
      <c r="E108" s="232" t="e">
        <f>#REF!</f>
        <v>#REF!</v>
      </c>
      <c r="F108" s="70" t="e">
        <f>#REF!</f>
        <v>#REF!</v>
      </c>
      <c r="G108" s="70"/>
      <c r="H108" s="70"/>
      <c r="I108" s="70" t="e">
        <f>#REF!</f>
        <v>#REF!</v>
      </c>
      <c r="J108" s="331" t="e">
        <f>#REF!</f>
        <v>#REF!</v>
      </c>
      <c r="K108" s="197" t="s">
        <v>217</v>
      </c>
      <c r="L108" s="71" t="e">
        <f t="shared" si="51"/>
        <v>#REF!</v>
      </c>
    </row>
    <row r="109" spans="1:12" ht="25.5" x14ac:dyDescent="0.2">
      <c r="A109" s="634"/>
      <c r="B109" s="197" t="s">
        <v>218</v>
      </c>
      <c r="C109" s="332"/>
      <c r="D109" s="332" t="e">
        <f>#REF!</f>
        <v>#REF!</v>
      </c>
      <c r="E109" s="70" t="e">
        <f>#REF!</f>
        <v>#REF!</v>
      </c>
      <c r="F109" s="70" t="e">
        <f>#REF!</f>
        <v>#REF!</v>
      </c>
      <c r="G109" s="70"/>
      <c r="H109" s="70"/>
      <c r="I109" s="70" t="e">
        <f>#REF!</f>
        <v>#REF!</v>
      </c>
      <c r="J109" s="70" t="e">
        <f>#REF!</f>
        <v>#REF!</v>
      </c>
      <c r="K109" s="197" t="s">
        <v>220</v>
      </c>
      <c r="L109" s="245" t="e">
        <f t="shared" si="51"/>
        <v>#REF!</v>
      </c>
    </row>
    <row r="110" spans="1:12" ht="25.5" x14ac:dyDescent="0.2">
      <c r="A110" s="634"/>
      <c r="B110" s="197" t="s">
        <v>221</v>
      </c>
      <c r="C110" s="332"/>
      <c r="D110" s="332" t="e">
        <f t="shared" ref="D110:F110" si="52">SUM(D108:D109)</f>
        <v>#REF!</v>
      </c>
      <c r="E110" s="70" t="e">
        <f t="shared" si="52"/>
        <v>#REF!</v>
      </c>
      <c r="F110" s="70" t="e">
        <f t="shared" si="52"/>
        <v>#REF!</v>
      </c>
      <c r="G110" s="70"/>
      <c r="H110" s="70"/>
      <c r="I110" s="70" t="e">
        <f t="shared" ref="I110:J110" si="53">SUM(I108:I109)</f>
        <v>#REF!</v>
      </c>
      <c r="J110" s="331" t="e">
        <f t="shared" si="53"/>
        <v>#REF!</v>
      </c>
      <c r="K110" s="197" t="s">
        <v>223</v>
      </c>
      <c r="L110" s="245" t="e">
        <f t="shared" si="51"/>
        <v>#REF!</v>
      </c>
    </row>
    <row r="111" spans="1:12" ht="25.5" x14ac:dyDescent="0.2">
      <c r="A111" s="635"/>
      <c r="B111" s="208" t="s">
        <v>224</v>
      </c>
      <c r="C111" s="238"/>
      <c r="D111" s="238" t="e">
        <f t="shared" ref="D111:F111" si="54">IF(D108=0,0,D107/(D108*60))</f>
        <v>#REF!</v>
      </c>
      <c r="E111" s="238" t="e">
        <f t="shared" si="54"/>
        <v>#REF!</v>
      </c>
      <c r="F111" s="238" t="e">
        <f t="shared" si="54"/>
        <v>#REF!</v>
      </c>
      <c r="G111" s="238"/>
      <c r="H111" s="238"/>
      <c r="I111" s="238" t="e">
        <f t="shared" ref="I111:J111" si="55">IF(I108=0,0,I107/(I108*60))</f>
        <v>#REF!</v>
      </c>
      <c r="J111" s="238" t="e">
        <f t="shared" si="55"/>
        <v>#REF!</v>
      </c>
      <c r="K111" s="217" t="s">
        <v>226</v>
      </c>
      <c r="L111" s="241" t="e">
        <f>IF(L108=0,0,L107/(L108*60))</f>
        <v>#REF!</v>
      </c>
    </row>
    <row r="112" spans="1:12" ht="25.5" x14ac:dyDescent="0.2">
      <c r="A112" s="801" t="s">
        <v>340</v>
      </c>
      <c r="B112" s="193" t="s">
        <v>32</v>
      </c>
      <c r="C112" s="222"/>
      <c r="D112" s="70" t="e">
        <f>#REF!</f>
        <v>#REF!</v>
      </c>
      <c r="E112" s="70" t="e">
        <f>#REF!</f>
        <v>#REF!</v>
      </c>
      <c r="F112" s="70" t="e">
        <f>#REF!</f>
        <v>#REF!</v>
      </c>
      <c r="G112" s="70"/>
      <c r="H112" s="70"/>
      <c r="I112" s="70" t="e">
        <f>#REF!</f>
        <v>#REF!</v>
      </c>
      <c r="J112" s="70" t="e">
        <f>#REF!</f>
        <v>#REF!</v>
      </c>
      <c r="K112" s="197" t="s">
        <v>215</v>
      </c>
      <c r="L112" s="71" t="e">
        <f t="shared" ref="L112:L115" si="56">SUM(D112:J112)</f>
        <v>#REF!</v>
      </c>
    </row>
    <row r="113" spans="1:29" ht="25.5" x14ac:dyDescent="0.2">
      <c r="A113" s="634"/>
      <c r="B113" s="197" t="s">
        <v>216</v>
      </c>
      <c r="C113" s="70"/>
      <c r="D113" s="70" t="e">
        <f>#REF!</f>
        <v>#REF!</v>
      </c>
      <c r="E113" s="232" t="e">
        <f>#REF!</f>
        <v>#REF!</v>
      </c>
      <c r="F113" s="70" t="e">
        <f>#REF!</f>
        <v>#REF!</v>
      </c>
      <c r="G113" s="70"/>
      <c r="H113" s="70"/>
      <c r="I113" s="70" t="e">
        <f>#REF!</f>
        <v>#REF!</v>
      </c>
      <c r="J113" s="331" t="e">
        <f>#REF!</f>
        <v>#REF!</v>
      </c>
      <c r="K113" s="197" t="s">
        <v>217</v>
      </c>
      <c r="L113" s="71" t="e">
        <f t="shared" si="56"/>
        <v>#REF!</v>
      </c>
    </row>
    <row r="114" spans="1:29" ht="25.5" x14ac:dyDescent="0.2">
      <c r="A114" s="634"/>
      <c r="B114" s="197" t="s">
        <v>218</v>
      </c>
      <c r="C114" s="332"/>
      <c r="D114" s="332" t="e">
        <f>#REF!</f>
        <v>#REF!</v>
      </c>
      <c r="E114" s="70" t="e">
        <f>#REF!</f>
        <v>#REF!</v>
      </c>
      <c r="F114" s="70" t="e">
        <f>#REF!</f>
        <v>#REF!</v>
      </c>
      <c r="G114" s="70"/>
      <c r="H114" s="70"/>
      <c r="I114" s="70" t="e">
        <f>#REF!</f>
        <v>#REF!</v>
      </c>
      <c r="J114" s="70" t="e">
        <f>#REF!</f>
        <v>#REF!</v>
      </c>
      <c r="K114" s="197" t="s">
        <v>220</v>
      </c>
      <c r="L114" s="386" t="e">
        <f t="shared" si="56"/>
        <v>#REF!</v>
      </c>
    </row>
    <row r="115" spans="1:29" ht="25.5" x14ac:dyDescent="0.2">
      <c r="A115" s="634"/>
      <c r="B115" s="197" t="s">
        <v>221</v>
      </c>
      <c r="C115" s="332"/>
      <c r="D115" s="332" t="e">
        <f t="shared" ref="D115:F115" si="57">SUM(D113:D114)</f>
        <v>#REF!</v>
      </c>
      <c r="E115" s="70" t="e">
        <f t="shared" si="57"/>
        <v>#REF!</v>
      </c>
      <c r="F115" s="70" t="e">
        <f t="shared" si="57"/>
        <v>#REF!</v>
      </c>
      <c r="G115" s="70"/>
      <c r="H115" s="70"/>
      <c r="I115" s="70" t="e">
        <f t="shared" ref="I115:J115" si="58">SUM(I113:I114)</f>
        <v>#REF!</v>
      </c>
      <c r="J115" s="331" t="e">
        <f t="shared" si="58"/>
        <v>#REF!</v>
      </c>
      <c r="K115" s="197" t="s">
        <v>223</v>
      </c>
      <c r="L115" s="386" t="e">
        <f t="shared" si="56"/>
        <v>#REF!</v>
      </c>
    </row>
    <row r="116" spans="1:29" ht="25.5" x14ac:dyDescent="0.2">
      <c r="A116" s="635"/>
      <c r="B116" s="208" t="s">
        <v>224</v>
      </c>
      <c r="C116" s="238"/>
      <c r="D116" s="238" t="e">
        <f t="shared" ref="D116:F116" si="59">IF(D113=0,0,D112/(D113*60))</f>
        <v>#REF!</v>
      </c>
      <c r="E116" s="238" t="e">
        <f t="shared" si="59"/>
        <v>#REF!</v>
      </c>
      <c r="F116" s="238" t="e">
        <f t="shared" si="59"/>
        <v>#REF!</v>
      </c>
      <c r="G116" s="238"/>
      <c r="H116" s="238"/>
      <c r="I116" s="238" t="e">
        <f t="shared" ref="I116:J116" si="60">IF(I113=0,0,I112/(I113*60))</f>
        <v>#REF!</v>
      </c>
      <c r="J116" s="238" t="e">
        <f t="shared" si="60"/>
        <v>#REF!</v>
      </c>
      <c r="K116" s="217" t="s">
        <v>226</v>
      </c>
      <c r="L116" s="241" t="e">
        <f>IF(L113=0,0,L112/(L113*60))</f>
        <v>#REF!</v>
      </c>
    </row>
    <row r="117" spans="1:29" ht="25.5" x14ac:dyDescent="0.2">
      <c r="A117" s="801" t="s">
        <v>346</v>
      </c>
      <c r="B117" s="193" t="s">
        <v>32</v>
      </c>
      <c r="C117" s="222"/>
      <c r="D117" s="70" t="e">
        <f>#REF!</f>
        <v>#REF!</v>
      </c>
      <c r="E117" s="70" t="e">
        <f>#REF!</f>
        <v>#REF!</v>
      </c>
      <c r="F117" s="70" t="e">
        <f>#REF!</f>
        <v>#REF!</v>
      </c>
      <c r="G117" s="70"/>
      <c r="H117" s="70"/>
      <c r="I117" s="70" t="e">
        <f>#REF!</f>
        <v>#REF!</v>
      </c>
      <c r="J117" s="70" t="e">
        <f>#REF!</f>
        <v>#REF!</v>
      </c>
      <c r="K117" s="197" t="s">
        <v>215</v>
      </c>
      <c r="L117" s="71" t="e">
        <f t="shared" ref="L117:L120" si="61">SUM(D117:J117)</f>
        <v>#REF!</v>
      </c>
    </row>
    <row r="118" spans="1:29" ht="25.5" x14ac:dyDescent="0.2">
      <c r="A118" s="634"/>
      <c r="B118" s="197" t="s">
        <v>216</v>
      </c>
      <c r="C118" s="70"/>
      <c r="D118" s="70" t="e">
        <f>#REF!</f>
        <v>#REF!</v>
      </c>
      <c r="E118" s="232" t="e">
        <f>#REF!</f>
        <v>#REF!</v>
      </c>
      <c r="F118" s="70" t="e">
        <f>#REF!</f>
        <v>#REF!</v>
      </c>
      <c r="G118" s="70"/>
      <c r="H118" s="70"/>
      <c r="I118" s="70" t="e">
        <f>#REF!</f>
        <v>#REF!</v>
      </c>
      <c r="J118" s="331" t="e">
        <f>#REF!</f>
        <v>#REF!</v>
      </c>
      <c r="K118" s="197" t="s">
        <v>217</v>
      </c>
      <c r="L118" s="71" t="e">
        <f t="shared" si="61"/>
        <v>#REF!</v>
      </c>
    </row>
    <row r="119" spans="1:29" ht="25.5" x14ac:dyDescent="0.2">
      <c r="A119" s="634"/>
      <c r="B119" s="197" t="s">
        <v>218</v>
      </c>
      <c r="C119" s="332"/>
      <c r="D119" s="332" t="e">
        <f>#REF!</f>
        <v>#REF!</v>
      </c>
      <c r="E119" s="70" t="e">
        <f>#REF!</f>
        <v>#REF!</v>
      </c>
      <c r="F119" s="70" t="e">
        <f>#REF!</f>
        <v>#REF!</v>
      </c>
      <c r="G119" s="70"/>
      <c r="H119" s="70"/>
      <c r="I119" s="70" t="e">
        <f>#REF!</f>
        <v>#REF!</v>
      </c>
      <c r="J119" s="70" t="e">
        <f>#REF!</f>
        <v>#REF!</v>
      </c>
      <c r="K119" s="197" t="s">
        <v>220</v>
      </c>
      <c r="L119" s="236" t="e">
        <f t="shared" si="61"/>
        <v>#REF!</v>
      </c>
    </row>
    <row r="120" spans="1:29" ht="25.5" x14ac:dyDescent="0.2">
      <c r="A120" s="634"/>
      <c r="B120" s="197" t="s">
        <v>221</v>
      </c>
      <c r="C120" s="332"/>
      <c r="D120" s="332" t="e">
        <f t="shared" ref="D120:F120" si="62">SUM(D118:D119)</f>
        <v>#REF!</v>
      </c>
      <c r="E120" s="70" t="e">
        <f t="shared" si="62"/>
        <v>#REF!</v>
      </c>
      <c r="F120" s="70" t="e">
        <f t="shared" si="62"/>
        <v>#REF!</v>
      </c>
      <c r="G120" s="70"/>
      <c r="H120" s="70"/>
      <c r="I120" s="70" t="e">
        <f t="shared" ref="I120:J120" si="63">SUM(I118:I119)</f>
        <v>#REF!</v>
      </c>
      <c r="J120" s="331" t="e">
        <f t="shared" si="63"/>
        <v>#REF!</v>
      </c>
      <c r="K120" s="197" t="s">
        <v>223</v>
      </c>
      <c r="L120" s="236" t="e">
        <f t="shared" si="61"/>
        <v>#REF!</v>
      </c>
    </row>
    <row r="121" spans="1:29" ht="25.5" x14ac:dyDescent="0.2">
      <c r="A121" s="635"/>
      <c r="B121" s="208" t="s">
        <v>224</v>
      </c>
      <c r="C121" s="238"/>
      <c r="D121" s="238" t="e">
        <f t="shared" ref="D121:F121" si="64">IF(D118=0,0,D117/(D118*60))</f>
        <v>#REF!</v>
      </c>
      <c r="E121" s="238" t="e">
        <f t="shared" si="64"/>
        <v>#REF!</v>
      </c>
      <c r="F121" s="238" t="e">
        <f t="shared" si="64"/>
        <v>#REF!</v>
      </c>
      <c r="G121" s="238"/>
      <c r="H121" s="238"/>
      <c r="I121" s="238" t="e">
        <f t="shared" ref="I121:J121" si="65">IF(I118=0,0,I117/(I118*60))</f>
        <v>#REF!</v>
      </c>
      <c r="J121" s="238" t="e">
        <f t="shared" si="65"/>
        <v>#REF!</v>
      </c>
      <c r="K121" s="217" t="s">
        <v>226</v>
      </c>
      <c r="L121" s="241" t="e">
        <f>IF(L118=0,0,L117/(L118*60))</f>
        <v>#REF!</v>
      </c>
    </row>
    <row r="122" spans="1:29" ht="12.75" x14ac:dyDescent="0.2">
      <c r="A122" s="341"/>
      <c r="I122" s="1"/>
      <c r="J122" s="1"/>
    </row>
    <row r="123" spans="1:29" ht="29.25" customHeight="1" x14ac:dyDescent="0.2"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 x14ac:dyDescent="0.2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2.75" x14ac:dyDescent="0.2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 x14ac:dyDescent="0.2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 x14ac:dyDescent="0.2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 x14ac:dyDescent="0.2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1:29" ht="12.75" x14ac:dyDescent="0.2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51" spans="1:10" ht="12.75" x14ac:dyDescent="0.2">
      <c r="A151" s="341"/>
      <c r="I151" s="1"/>
      <c r="J151" s="1"/>
    </row>
    <row r="152" spans="1:10" ht="12.75" x14ac:dyDescent="0.2">
      <c r="A152" s="341"/>
      <c r="I152" s="1"/>
      <c r="J152" s="1"/>
    </row>
    <row r="153" spans="1:10" ht="12.75" x14ac:dyDescent="0.2">
      <c r="A153" s="341"/>
      <c r="I153" s="1"/>
      <c r="J153" s="1"/>
    </row>
    <row r="154" spans="1:10" ht="12.75" x14ac:dyDescent="0.2">
      <c r="A154" s="341"/>
      <c r="I154" s="1"/>
      <c r="J154" s="1"/>
    </row>
    <row r="155" spans="1:10" ht="12.75" x14ac:dyDescent="0.2">
      <c r="A155" s="341"/>
      <c r="I155" s="1"/>
      <c r="J155" s="1"/>
    </row>
    <row r="156" spans="1:10" ht="12.75" x14ac:dyDescent="0.2">
      <c r="A156" s="341"/>
      <c r="I156" s="1"/>
      <c r="J156" s="1"/>
    </row>
    <row r="157" spans="1:10" ht="12.75" x14ac:dyDescent="0.2">
      <c r="A157" s="341"/>
      <c r="I157" s="1"/>
      <c r="J157" s="1"/>
    </row>
    <row r="158" spans="1:10" ht="12.75" x14ac:dyDescent="0.2">
      <c r="A158" s="341"/>
      <c r="I158" s="1"/>
      <c r="J158" s="1"/>
    </row>
    <row r="159" spans="1:10" ht="12.75" x14ac:dyDescent="0.2">
      <c r="A159" s="341"/>
      <c r="I159" s="1"/>
      <c r="J159" s="1"/>
    </row>
    <row r="160" spans="1:10" ht="12.75" x14ac:dyDescent="0.2">
      <c r="A160" s="341"/>
      <c r="I160" s="1"/>
      <c r="J160" s="1"/>
    </row>
    <row r="161" spans="1:10" ht="12.75" x14ac:dyDescent="0.2">
      <c r="A161" s="341"/>
      <c r="I161" s="1"/>
      <c r="J161" s="1"/>
    </row>
    <row r="162" spans="1:10" ht="12.75" x14ac:dyDescent="0.2">
      <c r="A162" s="341"/>
      <c r="I162" s="1"/>
      <c r="J162" s="1"/>
    </row>
    <row r="163" spans="1:10" ht="12.75" x14ac:dyDescent="0.2">
      <c r="A163" s="341"/>
      <c r="I163" s="1"/>
      <c r="J163" s="1"/>
    </row>
    <row r="164" spans="1:10" ht="12.75" x14ac:dyDescent="0.2">
      <c r="A164" s="341"/>
      <c r="I164" s="1"/>
      <c r="J164" s="1"/>
    </row>
    <row r="165" spans="1:10" ht="12.75" x14ac:dyDescent="0.2">
      <c r="A165" s="341"/>
      <c r="I165" s="1"/>
      <c r="J165" s="1"/>
    </row>
    <row r="166" spans="1:10" ht="12.75" x14ac:dyDescent="0.2">
      <c r="A166" s="341"/>
      <c r="I166" s="1"/>
      <c r="J166" s="1"/>
    </row>
    <row r="167" spans="1:10" ht="12.75" x14ac:dyDescent="0.2">
      <c r="A167" s="341"/>
      <c r="I167" s="1"/>
      <c r="J167" s="1"/>
    </row>
    <row r="168" spans="1:10" ht="12.75" x14ac:dyDescent="0.2">
      <c r="A168" s="341"/>
      <c r="I168" s="1"/>
      <c r="J168" s="1"/>
    </row>
    <row r="169" spans="1:10" ht="12.75" x14ac:dyDescent="0.2">
      <c r="A169" s="341"/>
      <c r="I169" s="1"/>
      <c r="J169" s="1"/>
    </row>
    <row r="170" spans="1:10" ht="12.75" x14ac:dyDescent="0.2">
      <c r="A170" s="341"/>
      <c r="I170" s="1"/>
      <c r="J170" s="1"/>
    </row>
    <row r="171" spans="1:10" ht="12.75" x14ac:dyDescent="0.2">
      <c r="A171" s="341"/>
      <c r="I171" s="1"/>
      <c r="J171" s="1"/>
    </row>
    <row r="172" spans="1:10" ht="12.75" x14ac:dyDescent="0.2">
      <c r="A172" s="341"/>
      <c r="I172" s="1"/>
      <c r="J172" s="1"/>
    </row>
    <row r="173" spans="1:10" ht="12.75" x14ac:dyDescent="0.2">
      <c r="A173" s="341"/>
      <c r="I173" s="1"/>
      <c r="J173" s="1"/>
    </row>
    <row r="174" spans="1:10" ht="12.75" x14ac:dyDescent="0.2">
      <c r="A174" s="341"/>
      <c r="I174" s="1"/>
      <c r="J174" s="1"/>
    </row>
    <row r="175" spans="1:10" ht="12.75" x14ac:dyDescent="0.2">
      <c r="A175" s="341"/>
      <c r="I175" s="1"/>
      <c r="J175" s="1"/>
    </row>
    <row r="176" spans="1:10" ht="12.75" x14ac:dyDescent="0.2">
      <c r="A176" s="341"/>
      <c r="I176" s="1"/>
      <c r="J176" s="1"/>
    </row>
    <row r="177" spans="1:10" ht="12.75" x14ac:dyDescent="0.2">
      <c r="A177" s="341"/>
      <c r="I177" s="1"/>
      <c r="J177" s="1"/>
    </row>
    <row r="178" spans="1:10" ht="12.75" x14ac:dyDescent="0.2">
      <c r="A178" s="341"/>
      <c r="I178" s="1"/>
      <c r="J178" s="1"/>
    </row>
    <row r="179" spans="1:10" ht="12.75" x14ac:dyDescent="0.2">
      <c r="A179" s="341"/>
      <c r="I179" s="1"/>
      <c r="J179" s="1"/>
    </row>
    <row r="180" spans="1:10" ht="12.75" x14ac:dyDescent="0.2">
      <c r="A180" s="341"/>
      <c r="I180" s="1"/>
      <c r="J180" s="1"/>
    </row>
    <row r="181" spans="1:10" ht="12.75" x14ac:dyDescent="0.2">
      <c r="A181" s="341"/>
      <c r="I181" s="1"/>
      <c r="J181" s="1"/>
    </row>
    <row r="182" spans="1:10" ht="12.75" x14ac:dyDescent="0.2">
      <c r="A182" s="341"/>
      <c r="I182" s="1"/>
      <c r="J182" s="1"/>
    </row>
    <row r="183" spans="1:10" ht="12.75" x14ac:dyDescent="0.2">
      <c r="A183" s="341"/>
      <c r="I183" s="1"/>
      <c r="J183" s="1"/>
    </row>
    <row r="184" spans="1:10" ht="12.75" x14ac:dyDescent="0.2">
      <c r="A184" s="341"/>
      <c r="I184" s="1"/>
      <c r="J184" s="1"/>
    </row>
    <row r="185" spans="1:10" ht="12.75" x14ac:dyDescent="0.2">
      <c r="A185" s="341"/>
      <c r="I185" s="1"/>
      <c r="J185" s="1"/>
    </row>
    <row r="186" spans="1:10" ht="12.75" x14ac:dyDescent="0.2">
      <c r="A186" s="341"/>
      <c r="I186" s="1"/>
      <c r="J186" s="1"/>
    </row>
    <row r="187" spans="1:10" ht="12.75" x14ac:dyDescent="0.2">
      <c r="A187" s="341"/>
      <c r="I187" s="1"/>
      <c r="J187" s="1"/>
    </row>
    <row r="188" spans="1:10" ht="12.75" x14ac:dyDescent="0.2">
      <c r="A188" s="341"/>
      <c r="I188" s="1"/>
      <c r="J188" s="1"/>
    </row>
    <row r="189" spans="1:10" ht="12.75" x14ac:dyDescent="0.2">
      <c r="A189" s="341"/>
      <c r="I189" s="1"/>
      <c r="J189" s="1"/>
    </row>
    <row r="190" spans="1:10" ht="12.75" x14ac:dyDescent="0.2">
      <c r="A190" s="341"/>
      <c r="I190" s="1"/>
      <c r="J190" s="1"/>
    </row>
    <row r="191" spans="1:10" ht="12.75" x14ac:dyDescent="0.2">
      <c r="A191" s="341"/>
      <c r="I191" s="1"/>
      <c r="J191" s="1"/>
    </row>
    <row r="192" spans="1:10" ht="12.75" x14ac:dyDescent="0.2">
      <c r="A192" s="341"/>
      <c r="I192" s="1"/>
      <c r="J192" s="1"/>
    </row>
    <row r="193" spans="1:10" ht="12.75" x14ac:dyDescent="0.2">
      <c r="A193" s="341"/>
      <c r="I193" s="1"/>
      <c r="J193" s="1"/>
    </row>
    <row r="194" spans="1:10" ht="12.75" x14ac:dyDescent="0.2">
      <c r="A194" s="341"/>
      <c r="I194" s="1"/>
      <c r="J194" s="1"/>
    </row>
    <row r="195" spans="1:10" ht="12.75" x14ac:dyDescent="0.2">
      <c r="A195" s="341"/>
      <c r="I195" s="1"/>
      <c r="J195" s="1"/>
    </row>
    <row r="196" spans="1:10" ht="12.75" x14ac:dyDescent="0.2">
      <c r="A196" s="341"/>
      <c r="I196" s="1"/>
      <c r="J196" s="1"/>
    </row>
    <row r="197" spans="1:10" ht="12.75" x14ac:dyDescent="0.2">
      <c r="A197" s="341"/>
      <c r="I197" s="1"/>
      <c r="J197" s="1"/>
    </row>
    <row r="198" spans="1:10" ht="12.75" x14ac:dyDescent="0.2">
      <c r="A198" s="341"/>
      <c r="I198" s="1"/>
      <c r="J198" s="1"/>
    </row>
    <row r="199" spans="1:10" ht="12.75" x14ac:dyDescent="0.2">
      <c r="A199" s="341"/>
      <c r="I199" s="1"/>
      <c r="J199" s="1"/>
    </row>
    <row r="200" spans="1:10" ht="12.75" x14ac:dyDescent="0.2">
      <c r="A200" s="341"/>
      <c r="I200" s="1"/>
      <c r="J200" s="1"/>
    </row>
    <row r="201" spans="1:10" ht="12.75" x14ac:dyDescent="0.2">
      <c r="A201" s="341"/>
      <c r="I201" s="1"/>
      <c r="J201" s="1"/>
    </row>
    <row r="202" spans="1:10" ht="12.75" x14ac:dyDescent="0.2">
      <c r="A202" s="341"/>
      <c r="I202" s="1"/>
      <c r="J202" s="1"/>
    </row>
    <row r="203" spans="1:10" ht="12.75" x14ac:dyDescent="0.2">
      <c r="A203" s="341"/>
      <c r="I203" s="1"/>
      <c r="J203" s="1"/>
    </row>
    <row r="204" spans="1:10" ht="12.75" x14ac:dyDescent="0.2">
      <c r="A204" s="341"/>
      <c r="I204" s="1"/>
      <c r="J204" s="1"/>
    </row>
    <row r="205" spans="1:10" ht="12.75" x14ac:dyDescent="0.2">
      <c r="A205" s="341"/>
      <c r="I205" s="1"/>
      <c r="J205" s="1"/>
    </row>
    <row r="206" spans="1:10" ht="12.75" x14ac:dyDescent="0.2">
      <c r="A206" s="341"/>
      <c r="I206" s="1"/>
      <c r="J206" s="1"/>
    </row>
    <row r="207" spans="1:10" ht="12.75" x14ac:dyDescent="0.2">
      <c r="A207" s="341"/>
      <c r="I207" s="1"/>
      <c r="J207" s="1"/>
    </row>
    <row r="208" spans="1:10" ht="12.75" x14ac:dyDescent="0.2">
      <c r="A208" s="341"/>
      <c r="I208" s="1"/>
      <c r="J208" s="1"/>
    </row>
    <row r="209" spans="1:10" ht="12.75" x14ac:dyDescent="0.2">
      <c r="A209" s="341"/>
      <c r="I209" s="1"/>
      <c r="J209" s="1"/>
    </row>
    <row r="210" spans="1:10" ht="12.75" x14ac:dyDescent="0.2">
      <c r="A210" s="341"/>
      <c r="I210" s="1"/>
      <c r="J210" s="1"/>
    </row>
    <row r="211" spans="1:10" ht="12.75" x14ac:dyDescent="0.2">
      <c r="A211" s="341"/>
      <c r="I211" s="1"/>
      <c r="J211" s="1"/>
    </row>
    <row r="212" spans="1:10" ht="12.75" x14ac:dyDescent="0.2">
      <c r="A212" s="341"/>
      <c r="I212" s="1"/>
      <c r="J212" s="1"/>
    </row>
    <row r="213" spans="1:10" ht="12.75" x14ac:dyDescent="0.2">
      <c r="A213" s="341"/>
      <c r="I213" s="1"/>
      <c r="J213" s="1"/>
    </row>
    <row r="214" spans="1:10" ht="12.75" x14ac:dyDescent="0.2">
      <c r="A214" s="341"/>
      <c r="I214" s="1"/>
      <c r="J214" s="1"/>
    </row>
    <row r="215" spans="1:10" ht="12.75" x14ac:dyDescent="0.2">
      <c r="A215" s="341"/>
      <c r="I215" s="1"/>
      <c r="J215" s="1"/>
    </row>
    <row r="216" spans="1:10" ht="12.75" x14ac:dyDescent="0.2">
      <c r="A216" s="341"/>
      <c r="I216" s="1"/>
      <c r="J216" s="1"/>
    </row>
    <row r="217" spans="1:10" ht="12.75" x14ac:dyDescent="0.2">
      <c r="A217" s="341"/>
      <c r="I217" s="1"/>
      <c r="J217" s="1"/>
    </row>
    <row r="218" spans="1:10" ht="12.75" x14ac:dyDescent="0.2">
      <c r="A218" s="341"/>
      <c r="I218" s="1"/>
      <c r="J218" s="1"/>
    </row>
    <row r="219" spans="1:10" ht="12.75" x14ac:dyDescent="0.2">
      <c r="A219" s="341"/>
      <c r="I219" s="1"/>
      <c r="J219" s="1"/>
    </row>
    <row r="220" spans="1:10" ht="12.75" x14ac:dyDescent="0.2">
      <c r="A220" s="341"/>
      <c r="I220" s="1"/>
      <c r="J220" s="1"/>
    </row>
    <row r="221" spans="1:10" ht="12.75" x14ac:dyDescent="0.2">
      <c r="A221" s="341"/>
      <c r="I221" s="1"/>
      <c r="J221" s="1"/>
    </row>
    <row r="222" spans="1:10" ht="12.75" x14ac:dyDescent="0.2">
      <c r="A222" s="341"/>
      <c r="I222" s="1"/>
      <c r="J222" s="1"/>
    </row>
    <row r="223" spans="1:10" ht="12.75" x14ac:dyDescent="0.2">
      <c r="A223" s="341"/>
      <c r="I223" s="1"/>
      <c r="J223" s="1"/>
    </row>
    <row r="224" spans="1:10" ht="12.75" x14ac:dyDescent="0.2">
      <c r="A224" s="341"/>
      <c r="I224" s="1"/>
      <c r="J224" s="1"/>
    </row>
    <row r="225" spans="1:10" ht="12.75" x14ac:dyDescent="0.2">
      <c r="A225" s="341"/>
      <c r="I225" s="1"/>
      <c r="J225" s="1"/>
    </row>
    <row r="226" spans="1:10" ht="12.75" x14ac:dyDescent="0.2">
      <c r="A226" s="341"/>
      <c r="I226" s="1"/>
      <c r="J226" s="1"/>
    </row>
    <row r="227" spans="1:10" ht="12.75" x14ac:dyDescent="0.2">
      <c r="A227" s="341"/>
      <c r="I227" s="1"/>
      <c r="J227" s="1"/>
    </row>
    <row r="228" spans="1:10" ht="12.75" x14ac:dyDescent="0.2">
      <c r="A228" s="341"/>
      <c r="I228" s="1"/>
      <c r="J228" s="1"/>
    </row>
    <row r="229" spans="1:10" ht="12.75" x14ac:dyDescent="0.2">
      <c r="A229" s="341"/>
      <c r="I229" s="1"/>
      <c r="J229" s="1"/>
    </row>
    <row r="230" spans="1:10" ht="12.75" x14ac:dyDescent="0.2">
      <c r="A230" s="341"/>
      <c r="I230" s="1"/>
      <c r="J230" s="1"/>
    </row>
    <row r="231" spans="1:10" ht="12.75" x14ac:dyDescent="0.2">
      <c r="A231" s="341"/>
      <c r="I231" s="1"/>
      <c r="J231" s="1"/>
    </row>
    <row r="232" spans="1:10" ht="12.75" x14ac:dyDescent="0.2">
      <c r="A232" s="341"/>
      <c r="I232" s="1"/>
      <c r="J232" s="1"/>
    </row>
    <row r="233" spans="1:10" ht="12.75" x14ac:dyDescent="0.2">
      <c r="A233" s="341"/>
      <c r="I233" s="1"/>
      <c r="J233" s="1"/>
    </row>
    <row r="234" spans="1:10" ht="12.75" x14ac:dyDescent="0.2">
      <c r="A234" s="341"/>
      <c r="I234" s="1"/>
      <c r="J234" s="1"/>
    </row>
    <row r="235" spans="1:10" ht="12.75" x14ac:dyDescent="0.2">
      <c r="A235" s="341"/>
      <c r="I235" s="1"/>
      <c r="J235" s="1"/>
    </row>
    <row r="236" spans="1:10" ht="12.75" x14ac:dyDescent="0.2">
      <c r="A236" s="341"/>
      <c r="I236" s="1"/>
      <c r="J236" s="1"/>
    </row>
    <row r="237" spans="1:10" ht="12.75" x14ac:dyDescent="0.2">
      <c r="A237" s="341"/>
      <c r="I237" s="1"/>
      <c r="J237" s="1"/>
    </row>
    <row r="238" spans="1:10" ht="12.75" x14ac:dyDescent="0.2">
      <c r="A238" s="341"/>
      <c r="I238" s="1"/>
      <c r="J238" s="1"/>
    </row>
    <row r="239" spans="1:10" ht="12.75" x14ac:dyDescent="0.2">
      <c r="A239" s="341"/>
      <c r="I239" s="1"/>
      <c r="J239" s="1"/>
    </row>
    <row r="240" spans="1:10" ht="12.75" x14ac:dyDescent="0.2">
      <c r="A240" s="341"/>
      <c r="I240" s="1"/>
      <c r="J240" s="1"/>
    </row>
    <row r="241" spans="1:10" ht="12.75" x14ac:dyDescent="0.2">
      <c r="A241" s="341"/>
      <c r="I241" s="1"/>
      <c r="J241" s="1"/>
    </row>
    <row r="242" spans="1:10" ht="12.75" x14ac:dyDescent="0.2">
      <c r="A242" s="341"/>
      <c r="I242" s="1"/>
      <c r="J242" s="1"/>
    </row>
    <row r="243" spans="1:10" ht="12.75" x14ac:dyDescent="0.2">
      <c r="A243" s="341"/>
      <c r="I243" s="1"/>
      <c r="J243" s="1"/>
    </row>
    <row r="244" spans="1:10" ht="12.75" x14ac:dyDescent="0.2">
      <c r="A244" s="341"/>
      <c r="I244" s="1"/>
      <c r="J244" s="1"/>
    </row>
    <row r="245" spans="1:10" ht="12.75" x14ac:dyDescent="0.2">
      <c r="A245" s="341"/>
      <c r="I245" s="1"/>
      <c r="J245" s="1"/>
    </row>
    <row r="246" spans="1:10" ht="12.75" x14ac:dyDescent="0.2">
      <c r="A246" s="341"/>
      <c r="I246" s="1"/>
      <c r="J246" s="1"/>
    </row>
    <row r="247" spans="1:10" ht="12.75" x14ac:dyDescent="0.2">
      <c r="A247" s="341"/>
      <c r="I247" s="1"/>
      <c r="J247" s="1"/>
    </row>
    <row r="248" spans="1:10" ht="12.75" x14ac:dyDescent="0.2">
      <c r="A248" s="341"/>
      <c r="I248" s="1"/>
      <c r="J248" s="1"/>
    </row>
    <row r="249" spans="1:10" ht="12.75" x14ac:dyDescent="0.2">
      <c r="A249" s="341"/>
      <c r="I249" s="1"/>
      <c r="J249" s="1"/>
    </row>
    <row r="250" spans="1:10" ht="12.75" x14ac:dyDescent="0.2">
      <c r="A250" s="341"/>
      <c r="I250" s="1"/>
      <c r="J250" s="1"/>
    </row>
    <row r="251" spans="1:10" ht="12.75" x14ac:dyDescent="0.2">
      <c r="A251" s="341"/>
      <c r="I251" s="1"/>
      <c r="J251" s="1"/>
    </row>
    <row r="252" spans="1:10" ht="12.75" x14ac:dyDescent="0.2">
      <c r="A252" s="341"/>
      <c r="I252" s="1"/>
      <c r="J252" s="1"/>
    </row>
    <row r="253" spans="1:10" ht="12.75" x14ac:dyDescent="0.2">
      <c r="A253" s="341"/>
      <c r="I253" s="1"/>
      <c r="J253" s="1"/>
    </row>
    <row r="254" spans="1:10" ht="12.75" x14ac:dyDescent="0.2">
      <c r="A254" s="341"/>
      <c r="I254" s="1"/>
      <c r="J254" s="1"/>
    </row>
    <row r="255" spans="1:10" ht="12.75" x14ac:dyDescent="0.2">
      <c r="A255" s="341"/>
      <c r="I255" s="1"/>
      <c r="J255" s="1"/>
    </row>
    <row r="256" spans="1:10" ht="12.75" x14ac:dyDescent="0.2">
      <c r="A256" s="341"/>
      <c r="I256" s="1"/>
      <c r="J256" s="1"/>
    </row>
    <row r="257" spans="1:10" ht="12.75" x14ac:dyDescent="0.2">
      <c r="A257" s="341"/>
      <c r="I257" s="1"/>
      <c r="J257" s="1"/>
    </row>
    <row r="258" spans="1:10" ht="12.75" x14ac:dyDescent="0.2">
      <c r="A258" s="341"/>
      <c r="I258" s="1"/>
      <c r="J258" s="1"/>
    </row>
    <row r="259" spans="1:10" ht="12.75" x14ac:dyDescent="0.2">
      <c r="A259" s="341"/>
      <c r="I259" s="1"/>
      <c r="J259" s="1"/>
    </row>
    <row r="260" spans="1:10" ht="12.75" x14ac:dyDescent="0.2">
      <c r="A260" s="341"/>
      <c r="I260" s="1"/>
      <c r="J260" s="1"/>
    </row>
    <row r="261" spans="1:10" ht="12.75" x14ac:dyDescent="0.2">
      <c r="A261" s="341"/>
      <c r="I261" s="1"/>
      <c r="J261" s="1"/>
    </row>
    <row r="262" spans="1:10" ht="12.75" x14ac:dyDescent="0.2">
      <c r="A262" s="341"/>
      <c r="I262" s="1"/>
      <c r="J262" s="1"/>
    </row>
    <row r="263" spans="1:10" ht="12.75" x14ac:dyDescent="0.2">
      <c r="A263" s="341"/>
      <c r="I263" s="1"/>
      <c r="J263" s="1"/>
    </row>
    <row r="264" spans="1:10" ht="12.75" x14ac:dyDescent="0.2">
      <c r="A264" s="341"/>
      <c r="I264" s="1"/>
      <c r="J264" s="1"/>
    </row>
    <row r="265" spans="1:10" ht="12.75" x14ac:dyDescent="0.2">
      <c r="A265" s="341"/>
      <c r="I265" s="1"/>
      <c r="J265" s="1"/>
    </row>
    <row r="266" spans="1:10" ht="12.75" x14ac:dyDescent="0.2">
      <c r="A266" s="341"/>
      <c r="I266" s="1"/>
      <c r="J266" s="1"/>
    </row>
    <row r="267" spans="1:10" ht="12.75" x14ac:dyDescent="0.2">
      <c r="A267" s="341"/>
      <c r="I267" s="1"/>
      <c r="J267" s="1"/>
    </row>
    <row r="268" spans="1:10" ht="12.75" x14ac:dyDescent="0.2">
      <c r="A268" s="341"/>
      <c r="I268" s="1"/>
      <c r="J268" s="1"/>
    </row>
    <row r="269" spans="1:10" ht="12.75" x14ac:dyDescent="0.2">
      <c r="A269" s="341"/>
      <c r="I269" s="1"/>
      <c r="J269" s="1"/>
    </row>
    <row r="270" spans="1:10" ht="12.75" x14ac:dyDescent="0.2">
      <c r="A270" s="341"/>
      <c r="I270" s="1"/>
      <c r="J270" s="1"/>
    </row>
    <row r="271" spans="1:10" ht="12.75" x14ac:dyDescent="0.2">
      <c r="A271" s="341"/>
      <c r="I271" s="1"/>
      <c r="J271" s="1"/>
    </row>
    <row r="272" spans="1:10" ht="12.75" x14ac:dyDescent="0.2">
      <c r="A272" s="341"/>
      <c r="I272" s="1"/>
      <c r="J272" s="1"/>
    </row>
    <row r="273" spans="1:10" ht="12.75" x14ac:dyDescent="0.2">
      <c r="A273" s="341"/>
      <c r="I273" s="1"/>
      <c r="J273" s="1"/>
    </row>
    <row r="274" spans="1:10" ht="12.75" x14ac:dyDescent="0.2">
      <c r="A274" s="341"/>
      <c r="I274" s="1"/>
      <c r="J274" s="1"/>
    </row>
    <row r="275" spans="1:10" ht="12.75" x14ac:dyDescent="0.2">
      <c r="A275" s="341"/>
      <c r="I275" s="1"/>
      <c r="J275" s="1"/>
    </row>
    <row r="276" spans="1:10" ht="12.75" x14ac:dyDescent="0.2">
      <c r="A276" s="341"/>
      <c r="I276" s="1"/>
      <c r="J276" s="1"/>
    </row>
    <row r="277" spans="1:10" ht="12.75" x14ac:dyDescent="0.2">
      <c r="A277" s="341"/>
      <c r="I277" s="1"/>
      <c r="J277" s="1"/>
    </row>
    <row r="278" spans="1:10" ht="12.75" x14ac:dyDescent="0.2">
      <c r="A278" s="341"/>
      <c r="I278" s="1"/>
      <c r="J278" s="1"/>
    </row>
    <row r="279" spans="1:10" ht="12.75" x14ac:dyDescent="0.2">
      <c r="A279" s="341"/>
      <c r="I279" s="1"/>
      <c r="J279" s="1"/>
    </row>
    <row r="280" spans="1:10" ht="12.75" x14ac:dyDescent="0.2">
      <c r="A280" s="341"/>
      <c r="I280" s="1"/>
      <c r="J280" s="1"/>
    </row>
    <row r="281" spans="1:10" ht="12.75" x14ac:dyDescent="0.2">
      <c r="A281" s="341"/>
      <c r="I281" s="1"/>
      <c r="J281" s="1"/>
    </row>
    <row r="282" spans="1:10" ht="12.75" x14ac:dyDescent="0.2">
      <c r="A282" s="341"/>
      <c r="I282" s="1"/>
      <c r="J282" s="1"/>
    </row>
    <row r="283" spans="1:10" ht="12.75" x14ac:dyDescent="0.2">
      <c r="A283" s="341"/>
      <c r="I283" s="1"/>
      <c r="J283" s="1"/>
    </row>
    <row r="284" spans="1:10" ht="12.75" x14ac:dyDescent="0.2">
      <c r="A284" s="341"/>
      <c r="I284" s="1"/>
      <c r="J284" s="1"/>
    </row>
    <row r="285" spans="1:10" ht="12.75" x14ac:dyDescent="0.2">
      <c r="A285" s="341"/>
      <c r="I285" s="1"/>
      <c r="J285" s="1"/>
    </row>
    <row r="286" spans="1:10" ht="12.75" x14ac:dyDescent="0.2">
      <c r="A286" s="341"/>
      <c r="I286" s="1"/>
      <c r="J286" s="1"/>
    </row>
    <row r="287" spans="1:10" ht="12.75" x14ac:dyDescent="0.2">
      <c r="A287" s="341"/>
      <c r="I287" s="1"/>
      <c r="J287" s="1"/>
    </row>
    <row r="288" spans="1:10" ht="12.75" x14ac:dyDescent="0.2">
      <c r="A288" s="341"/>
      <c r="I288" s="1"/>
      <c r="J288" s="1"/>
    </row>
    <row r="289" spans="1:10" ht="12.75" x14ac:dyDescent="0.2">
      <c r="A289" s="341"/>
      <c r="I289" s="1"/>
      <c r="J289" s="1"/>
    </row>
    <row r="290" spans="1:10" ht="12.75" x14ac:dyDescent="0.2">
      <c r="A290" s="341"/>
      <c r="I290" s="1"/>
      <c r="J290" s="1"/>
    </row>
    <row r="291" spans="1:10" ht="12.75" x14ac:dyDescent="0.2">
      <c r="A291" s="341"/>
      <c r="I291" s="1"/>
      <c r="J291" s="1"/>
    </row>
    <row r="292" spans="1:10" ht="12.75" x14ac:dyDescent="0.2">
      <c r="A292" s="341"/>
      <c r="I292" s="1"/>
      <c r="J292" s="1"/>
    </row>
    <row r="293" spans="1:10" ht="12.75" x14ac:dyDescent="0.2">
      <c r="A293" s="341"/>
      <c r="I293" s="1"/>
      <c r="J293" s="1"/>
    </row>
    <row r="294" spans="1:10" ht="12.75" x14ac:dyDescent="0.2">
      <c r="A294" s="341"/>
      <c r="I294" s="1"/>
      <c r="J294" s="1"/>
    </row>
    <row r="295" spans="1:10" ht="12.75" x14ac:dyDescent="0.2">
      <c r="A295" s="341"/>
      <c r="I295" s="1"/>
      <c r="J295" s="1"/>
    </row>
    <row r="296" spans="1:10" ht="12.75" x14ac:dyDescent="0.2">
      <c r="A296" s="341"/>
      <c r="I296" s="1"/>
      <c r="J296" s="1"/>
    </row>
    <row r="297" spans="1:10" ht="12.75" x14ac:dyDescent="0.2">
      <c r="A297" s="341"/>
      <c r="I297" s="1"/>
      <c r="J297" s="1"/>
    </row>
    <row r="298" spans="1:10" ht="12.75" x14ac:dyDescent="0.2">
      <c r="A298" s="341"/>
      <c r="I298" s="1"/>
      <c r="J298" s="1"/>
    </row>
    <row r="299" spans="1:10" ht="12.75" x14ac:dyDescent="0.2">
      <c r="A299" s="341"/>
      <c r="I299" s="1"/>
      <c r="J299" s="1"/>
    </row>
    <row r="300" spans="1:10" ht="12.75" x14ac:dyDescent="0.2">
      <c r="A300" s="341"/>
      <c r="I300" s="1"/>
      <c r="J300" s="1"/>
    </row>
    <row r="301" spans="1:10" ht="12.75" x14ac:dyDescent="0.2">
      <c r="A301" s="341"/>
      <c r="I301" s="1"/>
      <c r="J301" s="1"/>
    </row>
    <row r="302" spans="1:10" ht="12.75" x14ac:dyDescent="0.2">
      <c r="A302" s="341"/>
      <c r="I302" s="1"/>
      <c r="J302" s="1"/>
    </row>
    <row r="303" spans="1:10" ht="12.75" x14ac:dyDescent="0.2">
      <c r="A303" s="341"/>
      <c r="I303" s="1"/>
      <c r="J303" s="1"/>
    </row>
    <row r="304" spans="1:10" ht="12.75" x14ac:dyDescent="0.2">
      <c r="A304" s="341"/>
      <c r="I304" s="1"/>
      <c r="J304" s="1"/>
    </row>
    <row r="305" spans="1:10" ht="12.75" x14ac:dyDescent="0.2">
      <c r="A305" s="341"/>
      <c r="I305" s="1"/>
      <c r="J305" s="1"/>
    </row>
    <row r="306" spans="1:10" ht="12.75" x14ac:dyDescent="0.2">
      <c r="A306" s="341"/>
      <c r="I306" s="1"/>
      <c r="J306" s="1"/>
    </row>
    <row r="307" spans="1:10" ht="12.75" x14ac:dyDescent="0.2">
      <c r="A307" s="341"/>
      <c r="I307" s="1"/>
      <c r="J307" s="1"/>
    </row>
    <row r="308" spans="1:10" ht="12.75" x14ac:dyDescent="0.2">
      <c r="A308" s="341"/>
      <c r="I308" s="1"/>
      <c r="J308" s="1"/>
    </row>
    <row r="309" spans="1:10" ht="12.75" x14ac:dyDescent="0.2">
      <c r="A309" s="341"/>
      <c r="I309" s="1"/>
      <c r="J309" s="1"/>
    </row>
    <row r="310" spans="1:10" ht="12.75" x14ac:dyDescent="0.2">
      <c r="A310" s="341"/>
      <c r="I310" s="1"/>
      <c r="J310" s="1"/>
    </row>
    <row r="311" spans="1:10" ht="12.75" x14ac:dyDescent="0.2">
      <c r="A311" s="341"/>
      <c r="I311" s="1"/>
      <c r="J311" s="1"/>
    </row>
    <row r="312" spans="1:10" ht="12.75" x14ac:dyDescent="0.2">
      <c r="A312" s="341"/>
      <c r="I312" s="1"/>
      <c r="J312" s="1"/>
    </row>
    <row r="313" spans="1:10" ht="12.75" x14ac:dyDescent="0.2">
      <c r="A313" s="341"/>
      <c r="I313" s="1"/>
      <c r="J313" s="1"/>
    </row>
    <row r="314" spans="1:10" ht="12.75" x14ac:dyDescent="0.2">
      <c r="A314" s="341"/>
      <c r="I314" s="1"/>
      <c r="J314" s="1"/>
    </row>
    <row r="315" spans="1:10" ht="12.75" x14ac:dyDescent="0.2">
      <c r="A315" s="341"/>
      <c r="I315" s="1"/>
      <c r="J315" s="1"/>
    </row>
    <row r="316" spans="1:10" ht="12.75" x14ac:dyDescent="0.2">
      <c r="A316" s="341"/>
      <c r="I316" s="1"/>
      <c r="J316" s="1"/>
    </row>
    <row r="317" spans="1:10" ht="12.75" x14ac:dyDescent="0.2">
      <c r="A317" s="341"/>
      <c r="I317" s="1"/>
      <c r="J317" s="1"/>
    </row>
    <row r="318" spans="1:10" ht="12.75" x14ac:dyDescent="0.2">
      <c r="A318" s="341"/>
      <c r="I318" s="1"/>
      <c r="J318" s="1"/>
    </row>
    <row r="319" spans="1:10" ht="12.75" x14ac:dyDescent="0.2">
      <c r="A319" s="341"/>
      <c r="I319" s="1"/>
      <c r="J319" s="1"/>
    </row>
    <row r="320" spans="1:10" ht="12.75" x14ac:dyDescent="0.2">
      <c r="A320" s="341"/>
      <c r="I320" s="1"/>
      <c r="J320" s="1"/>
    </row>
    <row r="321" spans="1:10" ht="12.75" x14ac:dyDescent="0.2">
      <c r="A321" s="341"/>
      <c r="I321" s="1"/>
      <c r="J321" s="1"/>
    </row>
    <row r="322" spans="1:10" ht="12.75" x14ac:dyDescent="0.2">
      <c r="A322" s="341"/>
      <c r="I322" s="1"/>
      <c r="J322" s="1"/>
    </row>
    <row r="323" spans="1:10" ht="12.75" x14ac:dyDescent="0.2">
      <c r="A323" s="341"/>
      <c r="I323" s="1"/>
      <c r="J323" s="1"/>
    </row>
    <row r="324" spans="1:10" ht="12.75" x14ac:dyDescent="0.2">
      <c r="A324" s="341"/>
      <c r="I324" s="1"/>
      <c r="J324" s="1"/>
    </row>
    <row r="325" spans="1:10" ht="12.75" x14ac:dyDescent="0.2">
      <c r="A325" s="341"/>
      <c r="I325" s="1"/>
      <c r="J325" s="1"/>
    </row>
    <row r="326" spans="1:10" ht="12.75" x14ac:dyDescent="0.2">
      <c r="A326" s="341"/>
      <c r="I326" s="1"/>
      <c r="J326" s="1"/>
    </row>
    <row r="327" spans="1:10" ht="12.75" x14ac:dyDescent="0.2">
      <c r="A327" s="341"/>
      <c r="I327" s="1"/>
      <c r="J327" s="1"/>
    </row>
    <row r="328" spans="1:10" ht="12.75" x14ac:dyDescent="0.2">
      <c r="A328" s="341"/>
      <c r="I328" s="1"/>
      <c r="J328" s="1"/>
    </row>
    <row r="329" spans="1:10" ht="12.75" x14ac:dyDescent="0.2">
      <c r="A329" s="341"/>
      <c r="I329" s="1"/>
      <c r="J329" s="1"/>
    </row>
    <row r="330" spans="1:10" ht="12.75" x14ac:dyDescent="0.2">
      <c r="A330" s="341"/>
      <c r="I330" s="1"/>
      <c r="J330" s="1"/>
    </row>
    <row r="331" spans="1:10" ht="12.75" x14ac:dyDescent="0.2">
      <c r="A331" s="341"/>
      <c r="I331" s="1"/>
      <c r="J331" s="1"/>
    </row>
    <row r="332" spans="1:10" ht="12.75" x14ac:dyDescent="0.2">
      <c r="A332" s="341"/>
      <c r="I332" s="1"/>
      <c r="J332" s="1"/>
    </row>
    <row r="333" spans="1:10" ht="12.75" x14ac:dyDescent="0.2">
      <c r="A333" s="341"/>
      <c r="I333" s="1"/>
      <c r="J333" s="1"/>
    </row>
    <row r="334" spans="1:10" ht="12.75" x14ac:dyDescent="0.2">
      <c r="A334" s="341"/>
      <c r="I334" s="1"/>
      <c r="J334" s="1"/>
    </row>
    <row r="335" spans="1:10" ht="12.75" x14ac:dyDescent="0.2">
      <c r="A335" s="341"/>
      <c r="I335" s="1"/>
      <c r="J335" s="1"/>
    </row>
    <row r="336" spans="1:10" ht="12.75" x14ac:dyDescent="0.2">
      <c r="A336" s="341"/>
      <c r="I336" s="1"/>
      <c r="J336" s="1"/>
    </row>
    <row r="337" spans="1:10" ht="12.75" x14ac:dyDescent="0.2">
      <c r="A337" s="341"/>
      <c r="I337" s="1"/>
      <c r="J337" s="1"/>
    </row>
    <row r="338" spans="1:10" ht="12.75" x14ac:dyDescent="0.2">
      <c r="A338" s="341"/>
      <c r="I338" s="1"/>
      <c r="J338" s="1"/>
    </row>
    <row r="339" spans="1:10" ht="12.75" x14ac:dyDescent="0.2">
      <c r="A339" s="341"/>
      <c r="I339" s="1"/>
      <c r="J339" s="1"/>
    </row>
    <row r="340" spans="1:10" ht="12.75" x14ac:dyDescent="0.2">
      <c r="A340" s="341"/>
      <c r="I340" s="1"/>
      <c r="J340" s="1"/>
    </row>
    <row r="341" spans="1:10" ht="12.75" x14ac:dyDescent="0.2">
      <c r="A341" s="341"/>
      <c r="I341" s="1"/>
      <c r="J341" s="1"/>
    </row>
    <row r="342" spans="1:10" ht="12.75" x14ac:dyDescent="0.2">
      <c r="A342" s="341"/>
      <c r="I342" s="1"/>
      <c r="J342" s="1"/>
    </row>
    <row r="343" spans="1:10" ht="12.75" x14ac:dyDescent="0.2">
      <c r="A343" s="341"/>
      <c r="I343" s="1"/>
      <c r="J343" s="1"/>
    </row>
    <row r="344" spans="1:10" ht="12.75" x14ac:dyDescent="0.2">
      <c r="A344" s="341"/>
      <c r="I344" s="1"/>
      <c r="J344" s="1"/>
    </row>
    <row r="345" spans="1:10" ht="12.75" x14ac:dyDescent="0.2">
      <c r="A345" s="341"/>
      <c r="I345" s="1"/>
      <c r="J345" s="1"/>
    </row>
    <row r="346" spans="1:10" ht="12.75" x14ac:dyDescent="0.2">
      <c r="A346" s="341"/>
      <c r="I346" s="1"/>
      <c r="J346" s="1"/>
    </row>
    <row r="347" spans="1:10" ht="12.75" x14ac:dyDescent="0.2">
      <c r="A347" s="341"/>
      <c r="I347" s="1"/>
      <c r="J347" s="1"/>
    </row>
    <row r="348" spans="1:10" ht="12.75" x14ac:dyDescent="0.2">
      <c r="A348" s="341"/>
      <c r="I348" s="1"/>
      <c r="J348" s="1"/>
    </row>
    <row r="349" spans="1:10" ht="12.75" x14ac:dyDescent="0.2">
      <c r="A349" s="341"/>
      <c r="I349" s="1"/>
      <c r="J349" s="1"/>
    </row>
    <row r="350" spans="1:10" ht="12.75" x14ac:dyDescent="0.2">
      <c r="A350" s="341"/>
      <c r="I350" s="1"/>
      <c r="J350" s="1"/>
    </row>
    <row r="351" spans="1:10" ht="12.75" x14ac:dyDescent="0.2">
      <c r="A351" s="341"/>
      <c r="I351" s="1"/>
      <c r="J351" s="1"/>
    </row>
    <row r="352" spans="1:10" ht="12.75" x14ac:dyDescent="0.2">
      <c r="A352" s="341"/>
      <c r="I352" s="1"/>
      <c r="J352" s="1"/>
    </row>
    <row r="353" spans="1:10" ht="12.75" x14ac:dyDescent="0.2">
      <c r="A353" s="341"/>
      <c r="I353" s="1"/>
      <c r="J353" s="1"/>
    </row>
    <row r="354" spans="1:10" ht="12.75" x14ac:dyDescent="0.2">
      <c r="A354" s="341"/>
      <c r="I354" s="1"/>
      <c r="J354" s="1"/>
    </row>
    <row r="355" spans="1:10" ht="12.75" x14ac:dyDescent="0.2">
      <c r="A355" s="341"/>
      <c r="I355" s="1"/>
      <c r="J355" s="1"/>
    </row>
    <row r="356" spans="1:10" ht="12.75" x14ac:dyDescent="0.2">
      <c r="A356" s="341"/>
      <c r="I356" s="1"/>
      <c r="J356" s="1"/>
    </row>
    <row r="357" spans="1:10" ht="12.75" x14ac:dyDescent="0.2">
      <c r="A357" s="341"/>
      <c r="I357" s="1"/>
      <c r="J357" s="1"/>
    </row>
    <row r="358" spans="1:10" ht="12.75" x14ac:dyDescent="0.2">
      <c r="A358" s="341"/>
      <c r="I358" s="1"/>
      <c r="J358" s="1"/>
    </row>
    <row r="359" spans="1:10" ht="12.75" x14ac:dyDescent="0.2">
      <c r="A359" s="341"/>
      <c r="I359" s="1"/>
      <c r="J359" s="1"/>
    </row>
    <row r="360" spans="1:10" ht="12.75" x14ac:dyDescent="0.2">
      <c r="A360" s="341"/>
      <c r="I360" s="1"/>
      <c r="J360" s="1"/>
    </row>
    <row r="361" spans="1:10" ht="12.75" x14ac:dyDescent="0.2">
      <c r="A361" s="341"/>
      <c r="I361" s="1"/>
      <c r="J361" s="1"/>
    </row>
    <row r="362" spans="1:10" ht="12.75" x14ac:dyDescent="0.2">
      <c r="A362" s="341"/>
      <c r="I362" s="1"/>
      <c r="J362" s="1"/>
    </row>
    <row r="363" spans="1:10" ht="12.75" x14ac:dyDescent="0.2">
      <c r="A363" s="341"/>
      <c r="I363" s="1"/>
      <c r="J363" s="1"/>
    </row>
    <row r="364" spans="1:10" ht="12.75" x14ac:dyDescent="0.2">
      <c r="A364" s="341"/>
      <c r="I364" s="1"/>
      <c r="J364" s="1"/>
    </row>
    <row r="365" spans="1:10" ht="12.75" x14ac:dyDescent="0.2">
      <c r="A365" s="341"/>
      <c r="I365" s="1"/>
      <c r="J365" s="1"/>
    </row>
    <row r="366" spans="1:10" ht="12.75" x14ac:dyDescent="0.2">
      <c r="A366" s="341"/>
      <c r="I366" s="1"/>
      <c r="J366" s="1"/>
    </row>
    <row r="367" spans="1:10" ht="12.75" x14ac:dyDescent="0.2">
      <c r="A367" s="341"/>
      <c r="I367" s="1"/>
      <c r="J367" s="1"/>
    </row>
    <row r="368" spans="1:10" ht="12.75" x14ac:dyDescent="0.2">
      <c r="A368" s="341"/>
      <c r="I368" s="1"/>
      <c r="J368" s="1"/>
    </row>
    <row r="369" spans="1:10" ht="12.75" x14ac:dyDescent="0.2">
      <c r="A369" s="341"/>
      <c r="I369" s="1"/>
      <c r="J369" s="1"/>
    </row>
    <row r="370" spans="1:10" ht="12.75" x14ac:dyDescent="0.2">
      <c r="A370" s="341"/>
      <c r="I370" s="1"/>
      <c r="J370" s="1"/>
    </row>
    <row r="371" spans="1:10" ht="12.75" x14ac:dyDescent="0.2">
      <c r="A371" s="341"/>
      <c r="I371" s="1"/>
      <c r="J371" s="1"/>
    </row>
    <row r="372" spans="1:10" ht="12.75" x14ac:dyDescent="0.2">
      <c r="A372" s="341"/>
      <c r="I372" s="1"/>
      <c r="J372" s="1"/>
    </row>
    <row r="373" spans="1:10" ht="12.75" x14ac:dyDescent="0.2">
      <c r="A373" s="341"/>
      <c r="I373" s="1"/>
      <c r="J373" s="1"/>
    </row>
    <row r="374" spans="1:10" ht="12.75" x14ac:dyDescent="0.2">
      <c r="A374" s="341"/>
      <c r="I374" s="1"/>
      <c r="J374" s="1"/>
    </row>
    <row r="375" spans="1:10" ht="12.75" x14ac:dyDescent="0.2">
      <c r="A375" s="341"/>
      <c r="I375" s="1"/>
      <c r="J375" s="1"/>
    </row>
    <row r="376" spans="1:10" ht="12.75" x14ac:dyDescent="0.2">
      <c r="A376" s="341"/>
      <c r="I376" s="1"/>
      <c r="J376" s="1"/>
    </row>
    <row r="377" spans="1:10" ht="12.75" x14ac:dyDescent="0.2">
      <c r="A377" s="341"/>
      <c r="I377" s="1"/>
      <c r="J377" s="1"/>
    </row>
    <row r="378" spans="1:10" ht="12.75" x14ac:dyDescent="0.2">
      <c r="A378" s="341"/>
      <c r="I378" s="1"/>
      <c r="J378" s="1"/>
    </row>
    <row r="379" spans="1:10" ht="12.75" x14ac:dyDescent="0.2">
      <c r="A379" s="341"/>
      <c r="I379" s="1"/>
      <c r="J379" s="1"/>
    </row>
    <row r="380" spans="1:10" ht="12.75" x14ac:dyDescent="0.2">
      <c r="A380" s="341"/>
      <c r="I380" s="1"/>
      <c r="J380" s="1"/>
    </row>
    <row r="381" spans="1:10" ht="12.75" x14ac:dyDescent="0.2">
      <c r="A381" s="341"/>
      <c r="I381" s="1"/>
      <c r="J381" s="1"/>
    </row>
    <row r="382" spans="1:10" ht="12.75" x14ac:dyDescent="0.2">
      <c r="A382" s="341"/>
      <c r="I382" s="1"/>
      <c r="J382" s="1"/>
    </row>
    <row r="383" spans="1:10" ht="12.75" x14ac:dyDescent="0.2">
      <c r="A383" s="341"/>
      <c r="I383" s="1"/>
      <c r="J383" s="1"/>
    </row>
    <row r="384" spans="1:10" ht="12.75" x14ac:dyDescent="0.2">
      <c r="A384" s="341"/>
      <c r="I384" s="1"/>
      <c r="J384" s="1"/>
    </row>
    <row r="385" spans="1:10" ht="12.75" x14ac:dyDescent="0.2">
      <c r="A385" s="341"/>
      <c r="I385" s="1"/>
      <c r="J385" s="1"/>
    </row>
    <row r="386" spans="1:10" ht="12.75" x14ac:dyDescent="0.2">
      <c r="A386" s="341"/>
      <c r="I386" s="1"/>
      <c r="J386" s="1"/>
    </row>
    <row r="387" spans="1:10" ht="12.75" x14ac:dyDescent="0.2">
      <c r="A387" s="341"/>
      <c r="I387" s="1"/>
      <c r="J387" s="1"/>
    </row>
    <row r="388" spans="1:10" ht="12.75" x14ac:dyDescent="0.2">
      <c r="A388" s="341"/>
      <c r="I388" s="1"/>
      <c r="J388" s="1"/>
    </row>
    <row r="389" spans="1:10" ht="12.75" x14ac:dyDescent="0.2">
      <c r="A389" s="341"/>
      <c r="I389" s="1"/>
      <c r="J389" s="1"/>
    </row>
    <row r="390" spans="1:10" ht="12.75" x14ac:dyDescent="0.2">
      <c r="A390" s="341"/>
      <c r="I390" s="1"/>
      <c r="J390" s="1"/>
    </row>
    <row r="391" spans="1:10" ht="12.75" x14ac:dyDescent="0.2">
      <c r="A391" s="341"/>
      <c r="I391" s="1"/>
      <c r="J391" s="1"/>
    </row>
    <row r="392" spans="1:10" ht="12.75" x14ac:dyDescent="0.2">
      <c r="A392" s="341"/>
      <c r="I392" s="1"/>
      <c r="J392" s="1"/>
    </row>
    <row r="393" spans="1:10" ht="12.75" x14ac:dyDescent="0.2">
      <c r="A393" s="341"/>
      <c r="I393" s="1"/>
      <c r="J393" s="1"/>
    </row>
    <row r="394" spans="1:10" ht="12.75" x14ac:dyDescent="0.2">
      <c r="A394" s="341"/>
      <c r="I394" s="1"/>
      <c r="J394" s="1"/>
    </row>
    <row r="395" spans="1:10" ht="12.75" x14ac:dyDescent="0.2">
      <c r="A395" s="341"/>
      <c r="I395" s="1"/>
      <c r="J395" s="1"/>
    </row>
    <row r="396" spans="1:10" ht="12.75" x14ac:dyDescent="0.2">
      <c r="A396" s="341"/>
      <c r="I396" s="1"/>
      <c r="J396" s="1"/>
    </row>
    <row r="397" spans="1:10" ht="12.75" x14ac:dyDescent="0.2">
      <c r="A397" s="341"/>
      <c r="I397" s="1"/>
      <c r="J397" s="1"/>
    </row>
    <row r="398" spans="1:10" ht="12.75" x14ac:dyDescent="0.2">
      <c r="A398" s="341"/>
      <c r="I398" s="1"/>
      <c r="J398" s="1"/>
    </row>
    <row r="399" spans="1:10" ht="12.75" x14ac:dyDescent="0.2">
      <c r="A399" s="341"/>
      <c r="I399" s="1"/>
      <c r="J399" s="1"/>
    </row>
    <row r="400" spans="1:10" ht="12.75" x14ac:dyDescent="0.2">
      <c r="A400" s="341"/>
      <c r="I400" s="1"/>
      <c r="J400" s="1"/>
    </row>
    <row r="401" spans="1:10" ht="12.75" x14ac:dyDescent="0.2">
      <c r="A401" s="341"/>
      <c r="I401" s="1"/>
      <c r="J401" s="1"/>
    </row>
    <row r="402" spans="1:10" ht="12.75" x14ac:dyDescent="0.2">
      <c r="A402" s="341"/>
      <c r="I402" s="1"/>
      <c r="J402" s="1"/>
    </row>
    <row r="403" spans="1:10" ht="12.75" x14ac:dyDescent="0.2">
      <c r="A403" s="341"/>
      <c r="I403" s="1"/>
      <c r="J403" s="1"/>
    </row>
    <row r="404" spans="1:10" ht="12.75" x14ac:dyDescent="0.2">
      <c r="A404" s="341"/>
      <c r="I404" s="1"/>
      <c r="J404" s="1"/>
    </row>
    <row r="405" spans="1:10" ht="12.75" x14ac:dyDescent="0.2">
      <c r="A405" s="341"/>
      <c r="I405" s="1"/>
      <c r="J405" s="1"/>
    </row>
    <row r="406" spans="1:10" ht="12.75" x14ac:dyDescent="0.2">
      <c r="A406" s="341"/>
      <c r="I406" s="1"/>
      <c r="J406" s="1"/>
    </row>
    <row r="407" spans="1:10" ht="12.75" x14ac:dyDescent="0.2">
      <c r="A407" s="341"/>
      <c r="I407" s="1"/>
      <c r="J407" s="1"/>
    </row>
    <row r="408" spans="1:10" ht="12.75" x14ac:dyDescent="0.2">
      <c r="A408" s="341"/>
      <c r="I408" s="1"/>
      <c r="J408" s="1"/>
    </row>
    <row r="409" spans="1:10" ht="12.75" x14ac:dyDescent="0.2">
      <c r="A409" s="341"/>
      <c r="I409" s="1"/>
      <c r="J409" s="1"/>
    </row>
    <row r="410" spans="1:10" ht="12.75" x14ac:dyDescent="0.2">
      <c r="A410" s="341"/>
      <c r="I410" s="1"/>
      <c r="J410" s="1"/>
    </row>
    <row r="411" spans="1:10" ht="12.75" x14ac:dyDescent="0.2">
      <c r="A411" s="341"/>
      <c r="I411" s="1"/>
      <c r="J411" s="1"/>
    </row>
    <row r="412" spans="1:10" ht="12.75" x14ac:dyDescent="0.2">
      <c r="A412" s="341"/>
      <c r="I412" s="1"/>
      <c r="J412" s="1"/>
    </row>
    <row r="413" spans="1:10" ht="12.75" x14ac:dyDescent="0.2">
      <c r="A413" s="341"/>
      <c r="I413" s="1"/>
      <c r="J413" s="1"/>
    </row>
    <row r="414" spans="1:10" ht="12.75" x14ac:dyDescent="0.2">
      <c r="A414" s="341"/>
      <c r="I414" s="1"/>
      <c r="J414" s="1"/>
    </row>
    <row r="415" spans="1:10" ht="12.75" x14ac:dyDescent="0.2">
      <c r="A415" s="341"/>
      <c r="I415" s="1"/>
      <c r="J415" s="1"/>
    </row>
    <row r="416" spans="1:10" ht="12.75" x14ac:dyDescent="0.2">
      <c r="A416" s="341"/>
      <c r="I416" s="1"/>
      <c r="J416" s="1"/>
    </row>
    <row r="417" spans="1:10" ht="12.75" x14ac:dyDescent="0.2">
      <c r="A417" s="341"/>
      <c r="I417" s="1"/>
      <c r="J417" s="1"/>
    </row>
    <row r="418" spans="1:10" ht="12.75" x14ac:dyDescent="0.2">
      <c r="A418" s="341"/>
      <c r="I418" s="1"/>
      <c r="J418" s="1"/>
    </row>
    <row r="419" spans="1:10" ht="12.75" x14ac:dyDescent="0.2">
      <c r="A419" s="341"/>
      <c r="I419" s="1"/>
      <c r="J419" s="1"/>
    </row>
    <row r="420" spans="1:10" ht="12.75" x14ac:dyDescent="0.2">
      <c r="A420" s="341"/>
      <c r="I420" s="1"/>
      <c r="J420" s="1"/>
    </row>
    <row r="421" spans="1:10" ht="12.75" x14ac:dyDescent="0.2">
      <c r="A421" s="341"/>
      <c r="I421" s="1"/>
      <c r="J421" s="1"/>
    </row>
    <row r="422" spans="1:10" ht="12.75" x14ac:dyDescent="0.2">
      <c r="A422" s="341"/>
      <c r="I422" s="1"/>
      <c r="J422" s="1"/>
    </row>
    <row r="423" spans="1:10" ht="12.75" x14ac:dyDescent="0.2">
      <c r="A423" s="341"/>
      <c r="I423" s="1"/>
      <c r="J423" s="1"/>
    </row>
    <row r="424" spans="1:10" ht="12.75" x14ac:dyDescent="0.2">
      <c r="A424" s="341"/>
      <c r="I424" s="1"/>
      <c r="J424" s="1"/>
    </row>
    <row r="425" spans="1:10" ht="12.75" x14ac:dyDescent="0.2">
      <c r="A425" s="341"/>
      <c r="I425" s="1"/>
      <c r="J425" s="1"/>
    </row>
    <row r="426" spans="1:10" ht="12.75" x14ac:dyDescent="0.2">
      <c r="A426" s="341"/>
      <c r="I426" s="1"/>
      <c r="J426" s="1"/>
    </row>
    <row r="427" spans="1:10" ht="12.75" x14ac:dyDescent="0.2">
      <c r="A427" s="341"/>
      <c r="I427" s="1"/>
      <c r="J427" s="1"/>
    </row>
    <row r="428" spans="1:10" ht="12.75" x14ac:dyDescent="0.2">
      <c r="A428" s="341"/>
      <c r="I428" s="1"/>
      <c r="J428" s="1"/>
    </row>
    <row r="429" spans="1:10" ht="12.75" x14ac:dyDescent="0.2">
      <c r="A429" s="341"/>
      <c r="I429" s="1"/>
      <c r="J429" s="1"/>
    </row>
    <row r="430" spans="1:10" ht="12.75" x14ac:dyDescent="0.2">
      <c r="A430" s="341"/>
      <c r="I430" s="1"/>
      <c r="J430" s="1"/>
    </row>
    <row r="431" spans="1:10" ht="12.75" x14ac:dyDescent="0.2">
      <c r="A431" s="341"/>
      <c r="I431" s="1"/>
      <c r="J431" s="1"/>
    </row>
    <row r="432" spans="1:10" ht="12.75" x14ac:dyDescent="0.2">
      <c r="A432" s="341"/>
      <c r="I432" s="1"/>
      <c r="J432" s="1"/>
    </row>
    <row r="433" spans="1:10" ht="12.75" x14ac:dyDescent="0.2">
      <c r="A433" s="341"/>
      <c r="I433" s="1"/>
      <c r="J433" s="1"/>
    </row>
    <row r="434" spans="1:10" ht="12.75" x14ac:dyDescent="0.2">
      <c r="A434" s="341"/>
      <c r="I434" s="1"/>
      <c r="J434" s="1"/>
    </row>
    <row r="435" spans="1:10" ht="12.75" x14ac:dyDescent="0.2">
      <c r="A435" s="341"/>
      <c r="I435" s="1"/>
      <c r="J435" s="1"/>
    </row>
    <row r="436" spans="1:10" ht="12.75" x14ac:dyDescent="0.2">
      <c r="A436" s="341"/>
      <c r="I436" s="1"/>
      <c r="J436" s="1"/>
    </row>
    <row r="437" spans="1:10" ht="12.75" x14ac:dyDescent="0.2">
      <c r="A437" s="341"/>
      <c r="I437" s="1"/>
      <c r="J437" s="1"/>
    </row>
    <row r="438" spans="1:10" ht="12.75" x14ac:dyDescent="0.2">
      <c r="A438" s="341"/>
      <c r="I438" s="1"/>
      <c r="J438" s="1"/>
    </row>
    <row r="439" spans="1:10" ht="12.75" x14ac:dyDescent="0.2">
      <c r="A439" s="341"/>
      <c r="I439" s="1"/>
      <c r="J439" s="1"/>
    </row>
    <row r="440" spans="1:10" ht="12.75" x14ac:dyDescent="0.2">
      <c r="A440" s="341"/>
      <c r="I440" s="1"/>
      <c r="J440" s="1"/>
    </row>
    <row r="441" spans="1:10" ht="12.75" x14ac:dyDescent="0.2">
      <c r="A441" s="341"/>
      <c r="I441" s="1"/>
      <c r="J441" s="1"/>
    </row>
    <row r="442" spans="1:10" ht="12.75" x14ac:dyDescent="0.2">
      <c r="A442" s="341"/>
      <c r="I442" s="1"/>
      <c r="J442" s="1"/>
    </row>
    <row r="443" spans="1:10" ht="12.75" x14ac:dyDescent="0.2">
      <c r="A443" s="341"/>
      <c r="I443" s="1"/>
      <c r="J443" s="1"/>
    </row>
    <row r="444" spans="1:10" ht="12.75" x14ac:dyDescent="0.2">
      <c r="A444" s="341"/>
      <c r="I444" s="1"/>
      <c r="J444" s="1"/>
    </row>
    <row r="445" spans="1:10" ht="12.75" x14ac:dyDescent="0.2">
      <c r="A445" s="341"/>
      <c r="I445" s="1"/>
      <c r="J445" s="1"/>
    </row>
    <row r="446" spans="1:10" ht="12.75" x14ac:dyDescent="0.2">
      <c r="A446" s="341"/>
      <c r="I446" s="1"/>
      <c r="J446" s="1"/>
    </row>
    <row r="447" spans="1:10" ht="12.75" x14ac:dyDescent="0.2">
      <c r="A447" s="341"/>
      <c r="I447" s="1"/>
      <c r="J447" s="1"/>
    </row>
    <row r="448" spans="1:10" ht="12.75" x14ac:dyDescent="0.2">
      <c r="A448" s="341"/>
      <c r="I448" s="1"/>
      <c r="J448" s="1"/>
    </row>
    <row r="449" spans="1:10" ht="12.75" x14ac:dyDescent="0.2">
      <c r="A449" s="341"/>
      <c r="I449" s="1"/>
      <c r="J449" s="1"/>
    </row>
    <row r="450" spans="1:10" ht="12.75" x14ac:dyDescent="0.2">
      <c r="A450" s="341"/>
      <c r="I450" s="1"/>
      <c r="J450" s="1"/>
    </row>
    <row r="451" spans="1:10" ht="12.75" x14ac:dyDescent="0.2">
      <c r="A451" s="341"/>
      <c r="I451" s="1"/>
      <c r="J451" s="1"/>
    </row>
    <row r="452" spans="1:10" ht="12.75" x14ac:dyDescent="0.2">
      <c r="A452" s="341"/>
      <c r="I452" s="1"/>
      <c r="J452" s="1"/>
    </row>
    <row r="453" spans="1:10" ht="12.75" x14ac:dyDescent="0.2">
      <c r="A453" s="341"/>
      <c r="I453" s="1"/>
      <c r="J453" s="1"/>
    </row>
    <row r="454" spans="1:10" ht="12.75" x14ac:dyDescent="0.2">
      <c r="A454" s="341"/>
      <c r="I454" s="1"/>
      <c r="J454" s="1"/>
    </row>
    <row r="455" spans="1:10" ht="12.75" x14ac:dyDescent="0.2">
      <c r="A455" s="341"/>
      <c r="I455" s="1"/>
      <c r="J455" s="1"/>
    </row>
    <row r="456" spans="1:10" ht="12.75" x14ac:dyDescent="0.2">
      <c r="A456" s="341"/>
      <c r="I456" s="1"/>
      <c r="J456" s="1"/>
    </row>
    <row r="457" spans="1:10" ht="12.75" x14ac:dyDescent="0.2">
      <c r="A457" s="341"/>
      <c r="I457" s="1"/>
      <c r="J457" s="1"/>
    </row>
    <row r="458" spans="1:10" ht="12.75" x14ac:dyDescent="0.2">
      <c r="A458" s="341"/>
      <c r="I458" s="1"/>
      <c r="J458" s="1"/>
    </row>
    <row r="459" spans="1:10" ht="12.75" x14ac:dyDescent="0.2">
      <c r="A459" s="341"/>
      <c r="I459" s="1"/>
      <c r="J459" s="1"/>
    </row>
    <row r="460" spans="1:10" ht="12.75" x14ac:dyDescent="0.2">
      <c r="A460" s="341"/>
      <c r="I460" s="1"/>
      <c r="J460" s="1"/>
    </row>
    <row r="461" spans="1:10" ht="12.75" x14ac:dyDescent="0.2">
      <c r="A461" s="341"/>
      <c r="I461" s="1"/>
      <c r="J461" s="1"/>
    </row>
    <row r="462" spans="1:10" ht="12.75" x14ac:dyDescent="0.2">
      <c r="A462" s="341"/>
      <c r="I462" s="1"/>
      <c r="J462" s="1"/>
    </row>
    <row r="463" spans="1:10" ht="12.75" x14ac:dyDescent="0.2">
      <c r="A463" s="341"/>
      <c r="I463" s="1"/>
      <c r="J463" s="1"/>
    </row>
    <row r="464" spans="1:10" ht="12.75" x14ac:dyDescent="0.2">
      <c r="A464" s="341"/>
      <c r="I464" s="1"/>
      <c r="J464" s="1"/>
    </row>
    <row r="465" spans="1:10" ht="12.75" x14ac:dyDescent="0.2">
      <c r="A465" s="341"/>
      <c r="I465" s="1"/>
      <c r="J465" s="1"/>
    </row>
    <row r="466" spans="1:10" ht="12.75" x14ac:dyDescent="0.2">
      <c r="A466" s="341"/>
      <c r="I466" s="1"/>
      <c r="J466" s="1"/>
    </row>
    <row r="467" spans="1:10" ht="12.75" x14ac:dyDescent="0.2">
      <c r="A467" s="341"/>
      <c r="I467" s="1"/>
      <c r="J467" s="1"/>
    </row>
    <row r="468" spans="1:10" ht="12.75" x14ac:dyDescent="0.2">
      <c r="A468" s="341"/>
      <c r="I468" s="1"/>
      <c r="J468" s="1"/>
    </row>
    <row r="469" spans="1:10" ht="12.75" x14ac:dyDescent="0.2">
      <c r="A469" s="341"/>
      <c r="I469" s="1"/>
      <c r="J469" s="1"/>
    </row>
    <row r="470" spans="1:10" ht="12.75" x14ac:dyDescent="0.2">
      <c r="A470" s="341"/>
      <c r="I470" s="1"/>
      <c r="J470" s="1"/>
    </row>
    <row r="471" spans="1:10" ht="12.75" x14ac:dyDescent="0.2">
      <c r="A471" s="341"/>
      <c r="I471" s="1"/>
      <c r="J471" s="1"/>
    </row>
    <row r="472" spans="1:10" ht="12.75" x14ac:dyDescent="0.2">
      <c r="A472" s="341"/>
      <c r="I472" s="1"/>
      <c r="J472" s="1"/>
    </row>
    <row r="473" spans="1:10" ht="12.75" x14ac:dyDescent="0.2">
      <c r="A473" s="341"/>
      <c r="I473" s="1"/>
      <c r="J473" s="1"/>
    </row>
    <row r="474" spans="1:10" ht="12.75" x14ac:dyDescent="0.2">
      <c r="A474" s="341"/>
      <c r="I474" s="1"/>
      <c r="J474" s="1"/>
    </row>
    <row r="475" spans="1:10" ht="12.75" x14ac:dyDescent="0.2">
      <c r="A475" s="341"/>
      <c r="I475" s="1"/>
      <c r="J475" s="1"/>
    </row>
    <row r="476" spans="1:10" ht="12.75" x14ac:dyDescent="0.2">
      <c r="A476" s="341"/>
      <c r="I476" s="1"/>
      <c r="J476" s="1"/>
    </row>
    <row r="477" spans="1:10" ht="12.75" x14ac:dyDescent="0.2">
      <c r="A477" s="341"/>
      <c r="I477" s="1"/>
      <c r="J477" s="1"/>
    </row>
    <row r="478" spans="1:10" ht="12.75" x14ac:dyDescent="0.2">
      <c r="A478" s="341"/>
      <c r="I478" s="1"/>
      <c r="J478" s="1"/>
    </row>
    <row r="479" spans="1:10" ht="12.75" x14ac:dyDescent="0.2">
      <c r="A479" s="341"/>
      <c r="I479" s="1"/>
      <c r="J479" s="1"/>
    </row>
    <row r="480" spans="1:10" ht="12.75" x14ac:dyDescent="0.2">
      <c r="A480" s="341"/>
      <c r="I480" s="1"/>
      <c r="J480" s="1"/>
    </row>
    <row r="481" spans="1:10" ht="12.75" x14ac:dyDescent="0.2">
      <c r="A481" s="341"/>
      <c r="I481" s="1"/>
      <c r="J481" s="1"/>
    </row>
    <row r="482" spans="1:10" ht="12.75" x14ac:dyDescent="0.2">
      <c r="A482" s="341"/>
      <c r="I482" s="1"/>
      <c r="J482" s="1"/>
    </row>
    <row r="483" spans="1:10" ht="12.75" x14ac:dyDescent="0.2">
      <c r="A483" s="341"/>
      <c r="I483" s="1"/>
      <c r="J483" s="1"/>
    </row>
    <row r="484" spans="1:10" ht="12.75" x14ac:dyDescent="0.2">
      <c r="A484" s="341"/>
      <c r="I484" s="1"/>
      <c r="J484" s="1"/>
    </row>
    <row r="485" spans="1:10" ht="12.75" x14ac:dyDescent="0.2">
      <c r="A485" s="341"/>
      <c r="I485" s="1"/>
      <c r="J485" s="1"/>
    </row>
    <row r="486" spans="1:10" ht="12.75" x14ac:dyDescent="0.2">
      <c r="A486" s="341"/>
      <c r="I486" s="1"/>
      <c r="J486" s="1"/>
    </row>
    <row r="487" spans="1:10" ht="12.75" x14ac:dyDescent="0.2">
      <c r="A487" s="341"/>
      <c r="I487" s="1"/>
      <c r="J487" s="1"/>
    </row>
    <row r="488" spans="1:10" ht="12.75" x14ac:dyDescent="0.2">
      <c r="A488" s="341"/>
      <c r="I488" s="1"/>
      <c r="J488" s="1"/>
    </row>
    <row r="489" spans="1:10" ht="12.75" x14ac:dyDescent="0.2">
      <c r="A489" s="341"/>
      <c r="I489" s="1"/>
      <c r="J489" s="1"/>
    </row>
    <row r="490" spans="1:10" ht="12.75" x14ac:dyDescent="0.2">
      <c r="A490" s="341"/>
      <c r="I490" s="1"/>
      <c r="J490" s="1"/>
    </row>
    <row r="491" spans="1:10" ht="12.75" x14ac:dyDescent="0.2">
      <c r="A491" s="341"/>
      <c r="I491" s="1"/>
      <c r="J491" s="1"/>
    </row>
    <row r="492" spans="1:10" ht="12.75" x14ac:dyDescent="0.2">
      <c r="A492" s="341"/>
      <c r="I492" s="1"/>
      <c r="J492" s="1"/>
    </row>
    <row r="493" spans="1:10" ht="12.75" x14ac:dyDescent="0.2">
      <c r="A493" s="341"/>
      <c r="I493" s="1"/>
      <c r="J493" s="1"/>
    </row>
    <row r="494" spans="1:10" ht="12.75" x14ac:dyDescent="0.2">
      <c r="A494" s="341"/>
      <c r="I494" s="1"/>
      <c r="J494" s="1"/>
    </row>
    <row r="495" spans="1:10" ht="12.75" x14ac:dyDescent="0.2">
      <c r="A495" s="341"/>
      <c r="I495" s="1"/>
      <c r="J495" s="1"/>
    </row>
    <row r="496" spans="1:10" ht="12.75" x14ac:dyDescent="0.2">
      <c r="A496" s="341"/>
      <c r="I496" s="1"/>
      <c r="J496" s="1"/>
    </row>
    <row r="497" spans="1:10" ht="12.75" x14ac:dyDescent="0.2">
      <c r="A497" s="341"/>
      <c r="I497" s="1"/>
      <c r="J497" s="1"/>
    </row>
    <row r="498" spans="1:10" ht="12.75" x14ac:dyDescent="0.2">
      <c r="A498" s="341"/>
      <c r="I498" s="1"/>
      <c r="J498" s="1"/>
    </row>
    <row r="499" spans="1:10" ht="12.75" x14ac:dyDescent="0.2">
      <c r="A499" s="341"/>
      <c r="I499" s="1"/>
      <c r="J499" s="1"/>
    </row>
    <row r="500" spans="1:10" ht="12.75" x14ac:dyDescent="0.2">
      <c r="A500" s="341"/>
      <c r="I500" s="1"/>
      <c r="J500" s="1"/>
    </row>
    <row r="501" spans="1:10" ht="12.75" x14ac:dyDescent="0.2">
      <c r="A501" s="341"/>
      <c r="I501" s="1"/>
      <c r="J501" s="1"/>
    </row>
    <row r="502" spans="1:10" ht="12.75" x14ac:dyDescent="0.2">
      <c r="A502" s="341"/>
      <c r="I502" s="1"/>
      <c r="J502" s="1"/>
    </row>
    <row r="503" spans="1:10" ht="12.75" x14ac:dyDescent="0.2">
      <c r="A503" s="341"/>
      <c r="I503" s="1"/>
      <c r="J503" s="1"/>
    </row>
    <row r="504" spans="1:10" ht="12.75" x14ac:dyDescent="0.2">
      <c r="A504" s="341"/>
      <c r="I504" s="1"/>
      <c r="J504" s="1"/>
    </row>
    <row r="505" spans="1:10" ht="12.75" x14ac:dyDescent="0.2">
      <c r="A505" s="341"/>
      <c r="I505" s="1"/>
      <c r="J505" s="1"/>
    </row>
    <row r="506" spans="1:10" ht="12.75" x14ac:dyDescent="0.2">
      <c r="A506" s="341"/>
      <c r="I506" s="1"/>
      <c r="J506" s="1"/>
    </row>
    <row r="507" spans="1:10" ht="12.75" x14ac:dyDescent="0.2">
      <c r="A507" s="341"/>
      <c r="I507" s="1"/>
      <c r="J507" s="1"/>
    </row>
    <row r="508" spans="1:10" ht="12.75" x14ac:dyDescent="0.2">
      <c r="A508" s="341"/>
      <c r="I508" s="1"/>
      <c r="J508" s="1"/>
    </row>
    <row r="509" spans="1:10" ht="12.75" x14ac:dyDescent="0.2">
      <c r="A509" s="341"/>
      <c r="I509" s="1"/>
      <c r="J509" s="1"/>
    </row>
    <row r="510" spans="1:10" ht="12.75" x14ac:dyDescent="0.2">
      <c r="A510" s="341"/>
      <c r="I510" s="1"/>
      <c r="J510" s="1"/>
    </row>
    <row r="511" spans="1:10" ht="12.75" x14ac:dyDescent="0.2">
      <c r="A511" s="341"/>
      <c r="I511" s="1"/>
      <c r="J511" s="1"/>
    </row>
    <row r="512" spans="1:10" ht="12.75" x14ac:dyDescent="0.2">
      <c r="A512" s="341"/>
      <c r="I512" s="1"/>
      <c r="J512" s="1"/>
    </row>
    <row r="513" spans="1:10" ht="12.75" x14ac:dyDescent="0.2">
      <c r="A513" s="341"/>
      <c r="I513" s="1"/>
      <c r="J513" s="1"/>
    </row>
    <row r="514" spans="1:10" ht="12.75" x14ac:dyDescent="0.2">
      <c r="A514" s="341"/>
      <c r="I514" s="1"/>
      <c r="J514" s="1"/>
    </row>
    <row r="515" spans="1:10" ht="12.75" x14ac:dyDescent="0.2">
      <c r="A515" s="341"/>
      <c r="I515" s="1"/>
      <c r="J515" s="1"/>
    </row>
    <row r="516" spans="1:10" ht="12.75" x14ac:dyDescent="0.2">
      <c r="A516" s="341"/>
      <c r="I516" s="1"/>
      <c r="J516" s="1"/>
    </row>
    <row r="517" spans="1:10" ht="12.75" x14ac:dyDescent="0.2">
      <c r="A517" s="341"/>
      <c r="I517" s="1"/>
      <c r="J517" s="1"/>
    </row>
    <row r="518" spans="1:10" ht="12.75" x14ac:dyDescent="0.2">
      <c r="A518" s="341"/>
      <c r="I518" s="1"/>
      <c r="J518" s="1"/>
    </row>
    <row r="519" spans="1:10" ht="12.75" x14ac:dyDescent="0.2">
      <c r="A519" s="341"/>
      <c r="I519" s="1"/>
      <c r="J519" s="1"/>
    </row>
    <row r="520" spans="1:10" ht="12.75" x14ac:dyDescent="0.2">
      <c r="A520" s="341"/>
      <c r="I520" s="1"/>
      <c r="J520" s="1"/>
    </row>
    <row r="521" spans="1:10" ht="12.75" x14ac:dyDescent="0.2">
      <c r="A521" s="341"/>
      <c r="I521" s="1"/>
      <c r="J521" s="1"/>
    </row>
    <row r="522" spans="1:10" ht="12.75" x14ac:dyDescent="0.2">
      <c r="A522" s="341"/>
      <c r="I522" s="1"/>
      <c r="J522" s="1"/>
    </row>
    <row r="523" spans="1:10" ht="12.75" x14ac:dyDescent="0.2">
      <c r="A523" s="341"/>
      <c r="I523" s="1"/>
      <c r="J523" s="1"/>
    </row>
    <row r="524" spans="1:10" ht="12.75" x14ac:dyDescent="0.2">
      <c r="A524" s="341"/>
      <c r="I524" s="1"/>
      <c r="J524" s="1"/>
    </row>
    <row r="525" spans="1:10" ht="12.75" x14ac:dyDescent="0.2">
      <c r="A525" s="341"/>
      <c r="I525" s="1"/>
      <c r="J525" s="1"/>
    </row>
    <row r="526" spans="1:10" ht="12.75" x14ac:dyDescent="0.2">
      <c r="A526" s="341"/>
      <c r="I526" s="1"/>
      <c r="J526" s="1"/>
    </row>
    <row r="527" spans="1:10" ht="12.75" x14ac:dyDescent="0.2">
      <c r="A527" s="341"/>
      <c r="I527" s="1"/>
      <c r="J527" s="1"/>
    </row>
    <row r="528" spans="1:10" ht="12.75" x14ac:dyDescent="0.2">
      <c r="A528" s="341"/>
      <c r="I528" s="1"/>
      <c r="J528" s="1"/>
    </row>
    <row r="529" spans="1:10" ht="12.75" x14ac:dyDescent="0.2">
      <c r="A529" s="341"/>
      <c r="I529" s="1"/>
      <c r="J529" s="1"/>
    </row>
    <row r="530" spans="1:10" ht="12.75" x14ac:dyDescent="0.2">
      <c r="A530" s="341"/>
      <c r="I530" s="1"/>
      <c r="J530" s="1"/>
    </row>
    <row r="531" spans="1:10" ht="12.75" x14ac:dyDescent="0.2">
      <c r="A531" s="341"/>
      <c r="I531" s="1"/>
      <c r="J531" s="1"/>
    </row>
    <row r="532" spans="1:10" ht="12.75" x14ac:dyDescent="0.2">
      <c r="A532" s="341"/>
      <c r="I532" s="1"/>
      <c r="J532" s="1"/>
    </row>
    <row r="533" spans="1:10" ht="12.75" x14ac:dyDescent="0.2">
      <c r="A533" s="341"/>
      <c r="I533" s="1"/>
      <c r="J533" s="1"/>
    </row>
    <row r="534" spans="1:10" ht="12.75" x14ac:dyDescent="0.2">
      <c r="A534" s="341"/>
      <c r="I534" s="1"/>
      <c r="J534" s="1"/>
    </row>
    <row r="535" spans="1:10" ht="12.75" x14ac:dyDescent="0.2">
      <c r="A535" s="341"/>
      <c r="I535" s="1"/>
      <c r="J535" s="1"/>
    </row>
    <row r="536" spans="1:10" ht="12.75" x14ac:dyDescent="0.2">
      <c r="A536" s="341"/>
      <c r="I536" s="1"/>
      <c r="J536" s="1"/>
    </row>
    <row r="537" spans="1:10" ht="12.75" x14ac:dyDescent="0.2">
      <c r="A537" s="341"/>
      <c r="I537" s="1"/>
      <c r="J537" s="1"/>
    </row>
    <row r="538" spans="1:10" ht="12.75" x14ac:dyDescent="0.2">
      <c r="A538" s="341"/>
      <c r="I538" s="1"/>
      <c r="J538" s="1"/>
    </row>
    <row r="539" spans="1:10" ht="12.75" x14ac:dyDescent="0.2">
      <c r="A539" s="341"/>
      <c r="I539" s="1"/>
      <c r="J539" s="1"/>
    </row>
    <row r="540" spans="1:10" ht="12.75" x14ac:dyDescent="0.2">
      <c r="A540" s="341"/>
      <c r="I540" s="1"/>
      <c r="J540" s="1"/>
    </row>
    <row r="541" spans="1:10" ht="12.75" x14ac:dyDescent="0.2">
      <c r="A541" s="341"/>
      <c r="I541" s="1"/>
      <c r="J541" s="1"/>
    </row>
    <row r="542" spans="1:10" ht="12.75" x14ac:dyDescent="0.2">
      <c r="A542" s="341"/>
      <c r="I542" s="1"/>
      <c r="J542" s="1"/>
    </row>
    <row r="543" spans="1:10" ht="12.75" x14ac:dyDescent="0.2">
      <c r="A543" s="341"/>
      <c r="I543" s="1"/>
      <c r="J543" s="1"/>
    </row>
    <row r="544" spans="1:10" ht="12.75" x14ac:dyDescent="0.2">
      <c r="A544" s="341"/>
      <c r="I544" s="1"/>
      <c r="J544" s="1"/>
    </row>
    <row r="545" spans="1:10" ht="12.75" x14ac:dyDescent="0.2">
      <c r="A545" s="341"/>
      <c r="I545" s="1"/>
      <c r="J545" s="1"/>
    </row>
    <row r="546" spans="1:10" ht="12.75" x14ac:dyDescent="0.2">
      <c r="A546" s="341"/>
      <c r="I546" s="1"/>
      <c r="J546" s="1"/>
    </row>
    <row r="547" spans="1:10" ht="12.75" x14ac:dyDescent="0.2">
      <c r="A547" s="341"/>
      <c r="I547" s="1"/>
      <c r="J547" s="1"/>
    </row>
    <row r="548" spans="1:10" ht="12.75" x14ac:dyDescent="0.2">
      <c r="A548" s="341"/>
      <c r="I548" s="1"/>
      <c r="J548" s="1"/>
    </row>
    <row r="549" spans="1:10" ht="12.75" x14ac:dyDescent="0.2">
      <c r="A549" s="341"/>
      <c r="I549" s="1"/>
      <c r="J549" s="1"/>
    </row>
    <row r="550" spans="1:10" ht="12.75" x14ac:dyDescent="0.2">
      <c r="A550" s="341"/>
      <c r="I550" s="1"/>
      <c r="J550" s="1"/>
    </row>
    <row r="551" spans="1:10" ht="12.75" x14ac:dyDescent="0.2">
      <c r="A551" s="341"/>
      <c r="I551" s="1"/>
      <c r="J551" s="1"/>
    </row>
    <row r="552" spans="1:10" ht="12.75" x14ac:dyDescent="0.2">
      <c r="A552" s="341"/>
      <c r="I552" s="1"/>
      <c r="J552" s="1"/>
    </row>
    <row r="553" spans="1:10" ht="12.75" x14ac:dyDescent="0.2">
      <c r="A553" s="341"/>
      <c r="I553" s="1"/>
      <c r="J553" s="1"/>
    </row>
    <row r="554" spans="1:10" ht="12.75" x14ac:dyDescent="0.2">
      <c r="A554" s="341"/>
      <c r="I554" s="1"/>
      <c r="J554" s="1"/>
    </row>
    <row r="555" spans="1:10" ht="12.75" x14ac:dyDescent="0.2">
      <c r="A555" s="341"/>
      <c r="I555" s="1"/>
      <c r="J555" s="1"/>
    </row>
    <row r="556" spans="1:10" ht="12.75" x14ac:dyDescent="0.2">
      <c r="A556" s="341"/>
      <c r="I556" s="1"/>
      <c r="J556" s="1"/>
    </row>
    <row r="557" spans="1:10" ht="12.75" x14ac:dyDescent="0.2">
      <c r="A557" s="341"/>
      <c r="I557" s="1"/>
      <c r="J557" s="1"/>
    </row>
    <row r="558" spans="1:10" ht="12.75" x14ac:dyDescent="0.2">
      <c r="A558" s="341"/>
      <c r="I558" s="1"/>
      <c r="J558" s="1"/>
    </row>
    <row r="559" spans="1:10" ht="12.75" x14ac:dyDescent="0.2">
      <c r="A559" s="341"/>
      <c r="I559" s="1"/>
      <c r="J559" s="1"/>
    </row>
    <row r="560" spans="1:10" ht="12.75" x14ac:dyDescent="0.2">
      <c r="A560" s="341"/>
      <c r="I560" s="1"/>
      <c r="J560" s="1"/>
    </row>
    <row r="561" spans="1:10" ht="12.75" x14ac:dyDescent="0.2">
      <c r="A561" s="341"/>
      <c r="I561" s="1"/>
      <c r="J561" s="1"/>
    </row>
    <row r="562" spans="1:10" ht="12.75" x14ac:dyDescent="0.2">
      <c r="A562" s="341"/>
      <c r="I562" s="1"/>
      <c r="J562" s="1"/>
    </row>
    <row r="563" spans="1:10" ht="12.75" x14ac:dyDescent="0.2">
      <c r="A563" s="341"/>
      <c r="I563" s="1"/>
      <c r="J563" s="1"/>
    </row>
    <row r="564" spans="1:10" ht="12.75" x14ac:dyDescent="0.2">
      <c r="A564" s="341"/>
      <c r="I564" s="1"/>
      <c r="J564" s="1"/>
    </row>
    <row r="565" spans="1:10" ht="12.75" x14ac:dyDescent="0.2">
      <c r="A565" s="341"/>
      <c r="I565" s="1"/>
      <c r="J565" s="1"/>
    </row>
    <row r="566" spans="1:10" ht="12.75" x14ac:dyDescent="0.2">
      <c r="A566" s="341"/>
      <c r="I566" s="1"/>
      <c r="J566" s="1"/>
    </row>
    <row r="567" spans="1:10" ht="12.75" x14ac:dyDescent="0.2">
      <c r="A567" s="341"/>
      <c r="I567" s="1"/>
      <c r="J567" s="1"/>
    </row>
    <row r="568" spans="1:10" ht="12.75" x14ac:dyDescent="0.2">
      <c r="A568" s="341"/>
      <c r="I568" s="1"/>
      <c r="J568" s="1"/>
    </row>
    <row r="569" spans="1:10" ht="12.75" x14ac:dyDescent="0.2">
      <c r="A569" s="341"/>
      <c r="I569" s="1"/>
      <c r="J569" s="1"/>
    </row>
    <row r="570" spans="1:10" ht="12.75" x14ac:dyDescent="0.2">
      <c r="A570" s="341"/>
      <c r="I570" s="1"/>
      <c r="J570" s="1"/>
    </row>
    <row r="571" spans="1:10" ht="12.75" x14ac:dyDescent="0.2">
      <c r="A571" s="341"/>
      <c r="I571" s="1"/>
      <c r="J571" s="1"/>
    </row>
    <row r="572" spans="1:10" ht="12.75" x14ac:dyDescent="0.2">
      <c r="A572" s="341"/>
      <c r="I572" s="1"/>
      <c r="J572" s="1"/>
    </row>
    <row r="573" spans="1:10" ht="12.75" x14ac:dyDescent="0.2">
      <c r="A573" s="341"/>
      <c r="I573" s="1"/>
      <c r="J573" s="1"/>
    </row>
    <row r="574" spans="1:10" ht="12.75" x14ac:dyDescent="0.2">
      <c r="A574" s="341"/>
      <c r="I574" s="1"/>
      <c r="J574" s="1"/>
    </row>
    <row r="575" spans="1:10" ht="12.75" x14ac:dyDescent="0.2">
      <c r="A575" s="341"/>
      <c r="I575" s="1"/>
      <c r="J575" s="1"/>
    </row>
    <row r="576" spans="1:10" ht="12.75" x14ac:dyDescent="0.2">
      <c r="A576" s="341"/>
      <c r="I576" s="1"/>
      <c r="J576" s="1"/>
    </row>
    <row r="577" spans="1:10" ht="12.75" x14ac:dyDescent="0.2">
      <c r="A577" s="341"/>
      <c r="I577" s="1"/>
      <c r="J577" s="1"/>
    </row>
    <row r="578" spans="1:10" ht="12.75" x14ac:dyDescent="0.2">
      <c r="A578" s="341"/>
      <c r="I578" s="1"/>
      <c r="J578" s="1"/>
    </row>
    <row r="579" spans="1:10" ht="12.75" x14ac:dyDescent="0.2">
      <c r="A579" s="341"/>
      <c r="I579" s="1"/>
      <c r="J579" s="1"/>
    </row>
    <row r="580" spans="1:10" ht="12.75" x14ac:dyDescent="0.2">
      <c r="A580" s="341"/>
      <c r="I580" s="1"/>
      <c r="J580" s="1"/>
    </row>
    <row r="581" spans="1:10" ht="12.75" x14ac:dyDescent="0.2">
      <c r="A581" s="341"/>
      <c r="I581" s="1"/>
      <c r="J581" s="1"/>
    </row>
    <row r="582" spans="1:10" ht="12.75" x14ac:dyDescent="0.2">
      <c r="A582" s="341"/>
      <c r="I582" s="1"/>
      <c r="J582" s="1"/>
    </row>
    <row r="583" spans="1:10" ht="12.75" x14ac:dyDescent="0.2">
      <c r="A583" s="341"/>
      <c r="I583" s="1"/>
      <c r="J583" s="1"/>
    </row>
    <row r="584" spans="1:10" ht="12.75" x14ac:dyDescent="0.2">
      <c r="A584" s="341"/>
      <c r="I584" s="1"/>
      <c r="J584" s="1"/>
    </row>
    <row r="585" spans="1:10" ht="12.75" x14ac:dyDescent="0.2">
      <c r="A585" s="341"/>
      <c r="I585" s="1"/>
      <c r="J585" s="1"/>
    </row>
    <row r="586" spans="1:10" ht="12.75" x14ac:dyDescent="0.2">
      <c r="A586" s="341"/>
      <c r="I586" s="1"/>
      <c r="J586" s="1"/>
    </row>
    <row r="587" spans="1:10" ht="12.75" x14ac:dyDescent="0.2">
      <c r="A587" s="341"/>
      <c r="I587" s="1"/>
      <c r="J587" s="1"/>
    </row>
    <row r="588" spans="1:10" ht="12.75" x14ac:dyDescent="0.2">
      <c r="A588" s="341"/>
      <c r="I588" s="1"/>
      <c r="J588" s="1"/>
    </row>
    <row r="589" spans="1:10" ht="12.75" x14ac:dyDescent="0.2">
      <c r="A589" s="341"/>
      <c r="I589" s="1"/>
      <c r="J589" s="1"/>
    </row>
    <row r="590" spans="1:10" ht="12.75" x14ac:dyDescent="0.2">
      <c r="A590" s="341"/>
      <c r="I590" s="1"/>
      <c r="J590" s="1"/>
    </row>
    <row r="591" spans="1:10" ht="12.75" x14ac:dyDescent="0.2">
      <c r="A591" s="341"/>
      <c r="I591" s="1"/>
      <c r="J591" s="1"/>
    </row>
    <row r="592" spans="1:10" ht="12.75" x14ac:dyDescent="0.2">
      <c r="A592" s="341"/>
      <c r="I592" s="1"/>
      <c r="J592" s="1"/>
    </row>
    <row r="593" spans="1:10" ht="12.75" x14ac:dyDescent="0.2">
      <c r="A593" s="341"/>
      <c r="I593" s="1"/>
      <c r="J593" s="1"/>
    </row>
    <row r="594" spans="1:10" ht="12.75" x14ac:dyDescent="0.2">
      <c r="A594" s="341"/>
      <c r="I594" s="1"/>
      <c r="J594" s="1"/>
    </row>
    <row r="595" spans="1:10" ht="12.75" x14ac:dyDescent="0.2">
      <c r="A595" s="341"/>
      <c r="I595" s="1"/>
      <c r="J595" s="1"/>
    </row>
    <row r="596" spans="1:10" ht="12.75" x14ac:dyDescent="0.2">
      <c r="A596" s="341"/>
      <c r="I596" s="1"/>
      <c r="J596" s="1"/>
    </row>
    <row r="597" spans="1:10" ht="12.75" x14ac:dyDescent="0.2">
      <c r="A597" s="341"/>
      <c r="I597" s="1"/>
      <c r="J597" s="1"/>
    </row>
    <row r="598" spans="1:10" ht="12.75" x14ac:dyDescent="0.2">
      <c r="A598" s="341"/>
      <c r="I598" s="1"/>
      <c r="J598" s="1"/>
    </row>
    <row r="599" spans="1:10" ht="12.75" x14ac:dyDescent="0.2">
      <c r="A599" s="341"/>
      <c r="I599" s="1"/>
      <c r="J599" s="1"/>
    </row>
    <row r="600" spans="1:10" ht="12.75" x14ac:dyDescent="0.2">
      <c r="A600" s="341"/>
      <c r="I600" s="1"/>
      <c r="J600" s="1"/>
    </row>
    <row r="601" spans="1:10" ht="12.75" x14ac:dyDescent="0.2">
      <c r="A601" s="341"/>
      <c r="I601" s="1"/>
      <c r="J601" s="1"/>
    </row>
    <row r="602" spans="1:10" ht="12.75" x14ac:dyDescent="0.2">
      <c r="A602" s="341"/>
      <c r="I602" s="1"/>
      <c r="J602" s="1"/>
    </row>
    <row r="603" spans="1:10" ht="12.75" x14ac:dyDescent="0.2">
      <c r="A603" s="341"/>
      <c r="I603" s="1"/>
      <c r="J603" s="1"/>
    </row>
    <row r="604" spans="1:10" ht="12.75" x14ac:dyDescent="0.2">
      <c r="A604" s="341"/>
      <c r="I604" s="1"/>
      <c r="J604" s="1"/>
    </row>
    <row r="605" spans="1:10" ht="12.75" x14ac:dyDescent="0.2">
      <c r="A605" s="341"/>
      <c r="I605" s="1"/>
      <c r="J605" s="1"/>
    </row>
    <row r="606" spans="1:10" ht="12.75" x14ac:dyDescent="0.2">
      <c r="A606" s="341"/>
      <c r="I606" s="1"/>
      <c r="J606" s="1"/>
    </row>
    <row r="607" spans="1:10" ht="12.75" x14ac:dyDescent="0.2">
      <c r="A607" s="341"/>
      <c r="I607" s="1"/>
      <c r="J607" s="1"/>
    </row>
    <row r="608" spans="1:10" ht="12.75" x14ac:dyDescent="0.2">
      <c r="A608" s="341"/>
      <c r="I608" s="1"/>
      <c r="J608" s="1"/>
    </row>
    <row r="609" spans="1:10" ht="12.75" x14ac:dyDescent="0.2">
      <c r="A609" s="341"/>
      <c r="I609" s="1"/>
      <c r="J609" s="1"/>
    </row>
    <row r="610" spans="1:10" ht="12.75" x14ac:dyDescent="0.2">
      <c r="A610" s="341"/>
      <c r="I610" s="1"/>
      <c r="J610" s="1"/>
    </row>
    <row r="611" spans="1:10" ht="12.75" x14ac:dyDescent="0.2">
      <c r="A611" s="341"/>
      <c r="I611" s="1"/>
      <c r="J611" s="1"/>
    </row>
    <row r="612" spans="1:10" ht="12.75" x14ac:dyDescent="0.2">
      <c r="A612" s="341"/>
      <c r="I612" s="1"/>
      <c r="J612" s="1"/>
    </row>
    <row r="613" spans="1:10" ht="12.75" x14ac:dyDescent="0.2">
      <c r="A613" s="341"/>
      <c r="I613" s="1"/>
      <c r="J613" s="1"/>
    </row>
    <row r="614" spans="1:10" ht="12.75" x14ac:dyDescent="0.2">
      <c r="A614" s="341"/>
      <c r="I614" s="1"/>
      <c r="J614" s="1"/>
    </row>
    <row r="615" spans="1:10" ht="12.75" x14ac:dyDescent="0.2">
      <c r="A615" s="341"/>
      <c r="I615" s="1"/>
      <c r="J615" s="1"/>
    </row>
    <row r="616" spans="1:10" ht="12.75" x14ac:dyDescent="0.2">
      <c r="A616" s="341"/>
      <c r="I616" s="1"/>
      <c r="J616" s="1"/>
    </row>
    <row r="617" spans="1:10" ht="12.75" x14ac:dyDescent="0.2">
      <c r="A617" s="341"/>
      <c r="I617" s="1"/>
      <c r="J617" s="1"/>
    </row>
    <row r="618" spans="1:10" ht="12.75" x14ac:dyDescent="0.2">
      <c r="A618" s="341"/>
      <c r="I618" s="1"/>
      <c r="J618" s="1"/>
    </row>
    <row r="619" spans="1:10" ht="12.75" x14ac:dyDescent="0.2">
      <c r="A619" s="341"/>
      <c r="I619" s="1"/>
      <c r="J619" s="1"/>
    </row>
    <row r="620" spans="1:10" ht="12.75" x14ac:dyDescent="0.2">
      <c r="A620" s="341"/>
      <c r="I620" s="1"/>
      <c r="J620" s="1"/>
    </row>
    <row r="621" spans="1:10" ht="12.75" x14ac:dyDescent="0.2">
      <c r="A621" s="341"/>
      <c r="I621" s="1"/>
      <c r="J621" s="1"/>
    </row>
    <row r="622" spans="1:10" ht="12.75" x14ac:dyDescent="0.2">
      <c r="A622" s="341"/>
      <c r="I622" s="1"/>
      <c r="J622" s="1"/>
    </row>
    <row r="623" spans="1:10" ht="12.75" x14ac:dyDescent="0.2">
      <c r="A623" s="341"/>
      <c r="I623" s="1"/>
      <c r="J623" s="1"/>
    </row>
    <row r="624" spans="1:10" ht="12.75" x14ac:dyDescent="0.2">
      <c r="A624" s="341"/>
      <c r="I624" s="1"/>
      <c r="J624" s="1"/>
    </row>
    <row r="625" spans="1:10" ht="12.75" x14ac:dyDescent="0.2">
      <c r="A625" s="341"/>
      <c r="I625" s="1"/>
      <c r="J625" s="1"/>
    </row>
    <row r="626" spans="1:10" ht="12.75" x14ac:dyDescent="0.2">
      <c r="A626" s="341"/>
      <c r="I626" s="1"/>
      <c r="J626" s="1"/>
    </row>
    <row r="627" spans="1:10" ht="12.75" x14ac:dyDescent="0.2">
      <c r="A627" s="341"/>
      <c r="I627" s="1"/>
      <c r="J627" s="1"/>
    </row>
    <row r="628" spans="1:10" ht="12.75" x14ac:dyDescent="0.2">
      <c r="A628" s="341"/>
      <c r="I628" s="1"/>
      <c r="J628" s="1"/>
    </row>
    <row r="629" spans="1:10" ht="12.75" x14ac:dyDescent="0.2">
      <c r="A629" s="341"/>
      <c r="I629" s="1"/>
      <c r="J629" s="1"/>
    </row>
    <row r="630" spans="1:10" ht="12.75" x14ac:dyDescent="0.2">
      <c r="A630" s="341"/>
      <c r="I630" s="1"/>
      <c r="J630" s="1"/>
    </row>
    <row r="631" spans="1:10" ht="12.75" x14ac:dyDescent="0.2">
      <c r="A631" s="341"/>
      <c r="I631" s="1"/>
      <c r="J631" s="1"/>
    </row>
    <row r="632" spans="1:10" ht="12.75" x14ac:dyDescent="0.2">
      <c r="A632" s="341"/>
      <c r="I632" s="1"/>
      <c r="J632" s="1"/>
    </row>
    <row r="633" spans="1:10" ht="12.75" x14ac:dyDescent="0.2">
      <c r="A633" s="341"/>
      <c r="I633" s="1"/>
      <c r="J633" s="1"/>
    </row>
    <row r="634" spans="1:10" ht="12.75" x14ac:dyDescent="0.2">
      <c r="A634" s="341"/>
      <c r="I634" s="1"/>
      <c r="J634" s="1"/>
    </row>
    <row r="635" spans="1:10" ht="12.75" x14ac:dyDescent="0.2">
      <c r="A635" s="341"/>
      <c r="I635" s="1"/>
      <c r="J635" s="1"/>
    </row>
    <row r="636" spans="1:10" ht="12.75" x14ac:dyDescent="0.2">
      <c r="A636" s="341"/>
      <c r="I636" s="1"/>
      <c r="J636" s="1"/>
    </row>
    <row r="637" spans="1:10" ht="12.75" x14ac:dyDescent="0.2">
      <c r="A637" s="341"/>
      <c r="I637" s="1"/>
      <c r="J637" s="1"/>
    </row>
    <row r="638" spans="1:10" ht="12.75" x14ac:dyDescent="0.2">
      <c r="A638" s="341"/>
      <c r="I638" s="1"/>
      <c r="J638" s="1"/>
    </row>
    <row r="639" spans="1:10" ht="12.75" x14ac:dyDescent="0.2">
      <c r="A639" s="341"/>
      <c r="I639" s="1"/>
      <c r="J639" s="1"/>
    </row>
    <row r="640" spans="1:10" ht="12.75" x14ac:dyDescent="0.2">
      <c r="A640" s="341"/>
      <c r="I640" s="1"/>
      <c r="J640" s="1"/>
    </row>
    <row r="641" spans="1:10" ht="12.75" x14ac:dyDescent="0.2">
      <c r="A641" s="341"/>
      <c r="I641" s="1"/>
      <c r="J641" s="1"/>
    </row>
    <row r="642" spans="1:10" ht="12.75" x14ac:dyDescent="0.2">
      <c r="A642" s="341"/>
      <c r="I642" s="1"/>
      <c r="J642" s="1"/>
    </row>
    <row r="643" spans="1:10" ht="12.75" x14ac:dyDescent="0.2">
      <c r="A643" s="341"/>
      <c r="I643" s="1"/>
      <c r="J643" s="1"/>
    </row>
    <row r="644" spans="1:10" ht="12.75" x14ac:dyDescent="0.2">
      <c r="A644" s="341"/>
      <c r="I644" s="1"/>
      <c r="J644" s="1"/>
    </row>
    <row r="645" spans="1:10" ht="12.75" x14ac:dyDescent="0.2">
      <c r="A645" s="341"/>
      <c r="I645" s="1"/>
      <c r="J645" s="1"/>
    </row>
    <row r="646" spans="1:10" ht="12.75" x14ac:dyDescent="0.2">
      <c r="A646" s="341"/>
      <c r="I646" s="1"/>
      <c r="J646" s="1"/>
    </row>
    <row r="647" spans="1:10" ht="12.75" x14ac:dyDescent="0.2">
      <c r="A647" s="341"/>
      <c r="I647" s="1"/>
      <c r="J647" s="1"/>
    </row>
    <row r="648" spans="1:10" ht="12.75" x14ac:dyDescent="0.2">
      <c r="A648" s="341"/>
      <c r="I648" s="1"/>
      <c r="J648" s="1"/>
    </row>
    <row r="649" spans="1:10" ht="12.75" x14ac:dyDescent="0.2">
      <c r="A649" s="341"/>
      <c r="I649" s="1"/>
      <c r="J649" s="1"/>
    </row>
    <row r="650" spans="1:10" ht="12.75" x14ac:dyDescent="0.2">
      <c r="A650" s="341"/>
      <c r="I650" s="1"/>
      <c r="J650" s="1"/>
    </row>
    <row r="651" spans="1:10" ht="12.75" x14ac:dyDescent="0.2">
      <c r="A651" s="341"/>
      <c r="I651" s="1"/>
      <c r="J651" s="1"/>
    </row>
    <row r="652" spans="1:10" ht="12.75" x14ac:dyDescent="0.2">
      <c r="A652" s="341"/>
      <c r="I652" s="1"/>
      <c r="J652" s="1"/>
    </row>
    <row r="653" spans="1:10" ht="12.75" x14ac:dyDescent="0.2">
      <c r="A653" s="341"/>
      <c r="I653" s="1"/>
      <c r="J653" s="1"/>
    </row>
    <row r="654" spans="1:10" ht="12.75" x14ac:dyDescent="0.2">
      <c r="A654" s="341"/>
      <c r="I654" s="1"/>
      <c r="J654" s="1"/>
    </row>
    <row r="655" spans="1:10" ht="12.75" x14ac:dyDescent="0.2">
      <c r="A655" s="341"/>
      <c r="I655" s="1"/>
      <c r="J655" s="1"/>
    </row>
    <row r="656" spans="1:10" ht="12.75" x14ac:dyDescent="0.2">
      <c r="A656" s="341"/>
      <c r="I656" s="1"/>
      <c r="J656" s="1"/>
    </row>
    <row r="657" spans="1:10" ht="12.75" x14ac:dyDescent="0.2">
      <c r="A657" s="341"/>
      <c r="I657" s="1"/>
      <c r="J657" s="1"/>
    </row>
    <row r="658" spans="1:10" ht="12.75" x14ac:dyDescent="0.2">
      <c r="A658" s="341"/>
      <c r="I658" s="1"/>
      <c r="J658" s="1"/>
    </row>
    <row r="659" spans="1:10" ht="12.75" x14ac:dyDescent="0.2">
      <c r="A659" s="341"/>
      <c r="I659" s="1"/>
      <c r="J659" s="1"/>
    </row>
    <row r="660" spans="1:10" ht="12.75" x14ac:dyDescent="0.2">
      <c r="A660" s="341"/>
      <c r="I660" s="1"/>
      <c r="J660" s="1"/>
    </row>
    <row r="661" spans="1:10" ht="12.75" x14ac:dyDescent="0.2">
      <c r="A661" s="341"/>
      <c r="I661" s="1"/>
      <c r="J661" s="1"/>
    </row>
    <row r="662" spans="1:10" ht="12.75" x14ac:dyDescent="0.2">
      <c r="A662" s="341"/>
      <c r="I662" s="1"/>
      <c r="J662" s="1"/>
    </row>
    <row r="663" spans="1:10" ht="12.75" x14ac:dyDescent="0.2">
      <c r="A663" s="341"/>
      <c r="I663" s="1"/>
      <c r="J663" s="1"/>
    </row>
    <row r="664" spans="1:10" ht="12.75" x14ac:dyDescent="0.2">
      <c r="A664" s="341"/>
      <c r="I664" s="1"/>
      <c r="J664" s="1"/>
    </row>
    <row r="665" spans="1:10" ht="12.75" x14ac:dyDescent="0.2">
      <c r="A665" s="341"/>
      <c r="I665" s="1"/>
      <c r="J665" s="1"/>
    </row>
    <row r="666" spans="1:10" ht="12.75" x14ac:dyDescent="0.2">
      <c r="A666" s="341"/>
      <c r="I666" s="1"/>
      <c r="J666" s="1"/>
    </row>
    <row r="667" spans="1:10" ht="12.75" x14ac:dyDescent="0.2">
      <c r="A667" s="341"/>
      <c r="I667" s="1"/>
      <c r="J667" s="1"/>
    </row>
    <row r="668" spans="1:10" ht="12.75" x14ac:dyDescent="0.2">
      <c r="A668" s="341"/>
      <c r="I668" s="1"/>
      <c r="J668" s="1"/>
    </row>
    <row r="669" spans="1:10" ht="12.75" x14ac:dyDescent="0.2">
      <c r="A669" s="341"/>
      <c r="I669" s="1"/>
      <c r="J669" s="1"/>
    </row>
    <row r="670" spans="1:10" ht="12.75" x14ac:dyDescent="0.2">
      <c r="A670" s="341"/>
      <c r="I670" s="1"/>
      <c r="J670" s="1"/>
    </row>
    <row r="671" spans="1:10" ht="12.75" x14ac:dyDescent="0.2">
      <c r="A671" s="341"/>
      <c r="I671" s="1"/>
      <c r="J671" s="1"/>
    </row>
    <row r="672" spans="1:10" ht="12.75" x14ac:dyDescent="0.2">
      <c r="A672" s="341"/>
      <c r="I672" s="1"/>
      <c r="J672" s="1"/>
    </row>
    <row r="673" spans="1:10" ht="12.75" x14ac:dyDescent="0.2">
      <c r="A673" s="341"/>
      <c r="I673" s="1"/>
      <c r="J673" s="1"/>
    </row>
    <row r="674" spans="1:10" ht="12.75" x14ac:dyDescent="0.2">
      <c r="A674" s="341"/>
      <c r="I674" s="1"/>
      <c r="J674" s="1"/>
    </row>
    <row r="675" spans="1:10" ht="12.75" x14ac:dyDescent="0.2">
      <c r="A675" s="341"/>
      <c r="I675" s="1"/>
      <c r="J675" s="1"/>
    </row>
    <row r="676" spans="1:10" ht="12.75" x14ac:dyDescent="0.2">
      <c r="A676" s="341"/>
      <c r="I676" s="1"/>
      <c r="J676" s="1"/>
    </row>
    <row r="677" spans="1:10" ht="12.75" x14ac:dyDescent="0.2">
      <c r="A677" s="341"/>
      <c r="I677" s="1"/>
      <c r="J677" s="1"/>
    </row>
    <row r="678" spans="1:10" ht="12.75" x14ac:dyDescent="0.2">
      <c r="A678" s="341"/>
      <c r="I678" s="1"/>
      <c r="J678" s="1"/>
    </row>
    <row r="679" spans="1:10" ht="12.75" x14ac:dyDescent="0.2">
      <c r="A679" s="341"/>
      <c r="I679" s="1"/>
      <c r="J679" s="1"/>
    </row>
    <row r="680" spans="1:10" ht="12.75" x14ac:dyDescent="0.2">
      <c r="A680" s="341"/>
      <c r="I680" s="1"/>
      <c r="J680" s="1"/>
    </row>
    <row r="681" spans="1:10" ht="12.75" x14ac:dyDescent="0.2">
      <c r="A681" s="341"/>
      <c r="I681" s="1"/>
      <c r="J681" s="1"/>
    </row>
    <row r="682" spans="1:10" ht="12.75" x14ac:dyDescent="0.2">
      <c r="A682" s="341"/>
      <c r="I682" s="1"/>
      <c r="J682" s="1"/>
    </row>
    <row r="683" spans="1:10" ht="12.75" x14ac:dyDescent="0.2">
      <c r="A683" s="341"/>
      <c r="I683" s="1"/>
      <c r="J683" s="1"/>
    </row>
    <row r="684" spans="1:10" ht="12.75" x14ac:dyDescent="0.2">
      <c r="A684" s="341"/>
      <c r="I684" s="1"/>
      <c r="J684" s="1"/>
    </row>
    <row r="685" spans="1:10" ht="12.75" x14ac:dyDescent="0.2">
      <c r="A685" s="341"/>
      <c r="I685" s="1"/>
      <c r="J685" s="1"/>
    </row>
    <row r="686" spans="1:10" ht="12.75" x14ac:dyDescent="0.2">
      <c r="A686" s="341"/>
      <c r="I686" s="1"/>
      <c r="J686" s="1"/>
    </row>
    <row r="687" spans="1:10" ht="12.75" x14ac:dyDescent="0.2">
      <c r="A687" s="341"/>
      <c r="I687" s="1"/>
      <c r="J687" s="1"/>
    </row>
    <row r="688" spans="1:10" ht="12.75" x14ac:dyDescent="0.2">
      <c r="A688" s="341"/>
      <c r="I688" s="1"/>
      <c r="J688" s="1"/>
    </row>
    <row r="689" spans="1:10" ht="12.75" x14ac:dyDescent="0.2">
      <c r="A689" s="341"/>
      <c r="I689" s="1"/>
      <c r="J689" s="1"/>
    </row>
    <row r="690" spans="1:10" ht="12.75" x14ac:dyDescent="0.2">
      <c r="A690" s="341"/>
      <c r="I690" s="1"/>
      <c r="J690" s="1"/>
    </row>
    <row r="691" spans="1:10" ht="12.75" x14ac:dyDescent="0.2">
      <c r="A691" s="341"/>
      <c r="I691" s="1"/>
      <c r="J691" s="1"/>
    </row>
    <row r="692" spans="1:10" ht="12.75" x14ac:dyDescent="0.2">
      <c r="A692" s="341"/>
      <c r="I692" s="1"/>
      <c r="J692" s="1"/>
    </row>
    <row r="693" spans="1:10" ht="12.75" x14ac:dyDescent="0.2">
      <c r="A693" s="341"/>
      <c r="I693" s="1"/>
      <c r="J693" s="1"/>
    </row>
    <row r="694" spans="1:10" ht="12.75" x14ac:dyDescent="0.2">
      <c r="A694" s="341"/>
      <c r="I694" s="1"/>
      <c r="J694" s="1"/>
    </row>
    <row r="695" spans="1:10" ht="12.75" x14ac:dyDescent="0.2">
      <c r="A695" s="341"/>
      <c r="I695" s="1"/>
      <c r="J695" s="1"/>
    </row>
    <row r="696" spans="1:10" ht="12.75" x14ac:dyDescent="0.2">
      <c r="A696" s="341"/>
      <c r="I696" s="1"/>
      <c r="J696" s="1"/>
    </row>
    <row r="697" spans="1:10" ht="12.75" x14ac:dyDescent="0.2">
      <c r="A697" s="341"/>
      <c r="I697" s="1"/>
      <c r="J697" s="1"/>
    </row>
    <row r="698" spans="1:10" ht="12.75" x14ac:dyDescent="0.2">
      <c r="A698" s="341"/>
      <c r="I698" s="1"/>
      <c r="J698" s="1"/>
    </row>
    <row r="699" spans="1:10" ht="12.75" x14ac:dyDescent="0.2">
      <c r="A699" s="341"/>
      <c r="I699" s="1"/>
      <c r="J699" s="1"/>
    </row>
    <row r="700" spans="1:10" ht="12.75" x14ac:dyDescent="0.2">
      <c r="A700" s="341"/>
      <c r="I700" s="1"/>
      <c r="J700" s="1"/>
    </row>
    <row r="701" spans="1:10" ht="12.75" x14ac:dyDescent="0.2">
      <c r="A701" s="341"/>
      <c r="I701" s="1"/>
      <c r="J701" s="1"/>
    </row>
    <row r="702" spans="1:10" ht="12.75" x14ac:dyDescent="0.2">
      <c r="A702" s="341"/>
      <c r="I702" s="1"/>
      <c r="J702" s="1"/>
    </row>
    <row r="703" spans="1:10" ht="12.75" x14ac:dyDescent="0.2">
      <c r="A703" s="341"/>
      <c r="I703" s="1"/>
      <c r="J703" s="1"/>
    </row>
    <row r="704" spans="1:10" ht="12.75" x14ac:dyDescent="0.2">
      <c r="A704" s="341"/>
      <c r="I704" s="1"/>
      <c r="J704" s="1"/>
    </row>
    <row r="705" spans="1:10" ht="12.75" x14ac:dyDescent="0.2">
      <c r="A705" s="341"/>
      <c r="I705" s="1"/>
      <c r="J705" s="1"/>
    </row>
    <row r="706" spans="1:10" ht="12.75" x14ac:dyDescent="0.2">
      <c r="A706" s="341"/>
      <c r="I706" s="1"/>
      <c r="J706" s="1"/>
    </row>
    <row r="707" spans="1:10" ht="12.75" x14ac:dyDescent="0.2">
      <c r="A707" s="341"/>
      <c r="I707" s="1"/>
      <c r="J707" s="1"/>
    </row>
    <row r="708" spans="1:10" ht="12.75" x14ac:dyDescent="0.2">
      <c r="A708" s="341"/>
      <c r="I708" s="1"/>
      <c r="J708" s="1"/>
    </row>
    <row r="709" spans="1:10" ht="12.75" x14ac:dyDescent="0.2">
      <c r="A709" s="341"/>
      <c r="I709" s="1"/>
      <c r="J709" s="1"/>
    </row>
    <row r="710" spans="1:10" ht="12.75" x14ac:dyDescent="0.2">
      <c r="A710" s="341"/>
      <c r="I710" s="1"/>
      <c r="J710" s="1"/>
    </row>
    <row r="711" spans="1:10" ht="12.75" x14ac:dyDescent="0.2">
      <c r="A711" s="341"/>
      <c r="I711" s="1"/>
      <c r="J711" s="1"/>
    </row>
    <row r="712" spans="1:10" ht="12.75" x14ac:dyDescent="0.2">
      <c r="A712" s="341"/>
      <c r="I712" s="1"/>
      <c r="J712" s="1"/>
    </row>
    <row r="713" spans="1:10" ht="12.75" x14ac:dyDescent="0.2">
      <c r="A713" s="341"/>
      <c r="I713" s="1"/>
      <c r="J713" s="1"/>
    </row>
    <row r="714" spans="1:10" ht="12.75" x14ac:dyDescent="0.2">
      <c r="A714" s="341"/>
      <c r="I714" s="1"/>
      <c r="J714" s="1"/>
    </row>
    <row r="715" spans="1:10" ht="12.75" x14ac:dyDescent="0.2">
      <c r="A715" s="341"/>
      <c r="I715" s="1"/>
      <c r="J715" s="1"/>
    </row>
    <row r="716" spans="1:10" ht="12.75" x14ac:dyDescent="0.2">
      <c r="A716" s="341"/>
      <c r="I716" s="1"/>
      <c r="J716" s="1"/>
    </row>
    <row r="717" spans="1:10" ht="12.75" x14ac:dyDescent="0.2">
      <c r="A717" s="341"/>
      <c r="I717" s="1"/>
      <c r="J717" s="1"/>
    </row>
    <row r="718" spans="1:10" ht="12.75" x14ac:dyDescent="0.2">
      <c r="A718" s="341"/>
      <c r="I718" s="1"/>
      <c r="J718" s="1"/>
    </row>
    <row r="719" spans="1:10" ht="12.75" x14ac:dyDescent="0.2">
      <c r="A719" s="341"/>
      <c r="I719" s="1"/>
      <c r="J719" s="1"/>
    </row>
    <row r="720" spans="1:10" ht="12.75" x14ac:dyDescent="0.2">
      <c r="A720" s="341"/>
      <c r="I720" s="1"/>
      <c r="J720" s="1"/>
    </row>
    <row r="721" spans="1:10" ht="12.75" x14ac:dyDescent="0.2">
      <c r="A721" s="341"/>
      <c r="I721" s="1"/>
      <c r="J721" s="1"/>
    </row>
    <row r="722" spans="1:10" ht="12.75" x14ac:dyDescent="0.2">
      <c r="A722" s="341"/>
      <c r="I722" s="1"/>
      <c r="J722" s="1"/>
    </row>
    <row r="723" spans="1:10" ht="12.75" x14ac:dyDescent="0.2">
      <c r="A723" s="341"/>
      <c r="I723" s="1"/>
      <c r="J723" s="1"/>
    </row>
    <row r="724" spans="1:10" ht="12.75" x14ac:dyDescent="0.2">
      <c r="A724" s="341"/>
      <c r="I724" s="1"/>
      <c r="J724" s="1"/>
    </row>
    <row r="725" spans="1:10" ht="12.75" x14ac:dyDescent="0.2">
      <c r="A725" s="341"/>
      <c r="I725" s="1"/>
      <c r="J725" s="1"/>
    </row>
    <row r="726" spans="1:10" ht="12.75" x14ac:dyDescent="0.2">
      <c r="A726" s="341"/>
      <c r="I726" s="1"/>
      <c r="J726" s="1"/>
    </row>
    <row r="727" spans="1:10" ht="12.75" x14ac:dyDescent="0.2">
      <c r="A727" s="341"/>
      <c r="I727" s="1"/>
      <c r="J727" s="1"/>
    </row>
    <row r="728" spans="1:10" ht="12.75" x14ac:dyDescent="0.2">
      <c r="A728" s="341"/>
      <c r="I728" s="1"/>
      <c r="J728" s="1"/>
    </row>
    <row r="729" spans="1:10" ht="12.75" x14ac:dyDescent="0.2">
      <c r="A729" s="341"/>
      <c r="I729" s="1"/>
      <c r="J729" s="1"/>
    </row>
    <row r="730" spans="1:10" ht="12.75" x14ac:dyDescent="0.2">
      <c r="A730" s="341"/>
      <c r="I730" s="1"/>
      <c r="J730" s="1"/>
    </row>
    <row r="731" spans="1:10" ht="12.75" x14ac:dyDescent="0.2">
      <c r="A731" s="341"/>
      <c r="I731" s="1"/>
      <c r="J731" s="1"/>
    </row>
    <row r="732" spans="1:10" ht="12.75" x14ac:dyDescent="0.2">
      <c r="A732" s="341"/>
      <c r="I732" s="1"/>
      <c r="J732" s="1"/>
    </row>
    <row r="733" spans="1:10" ht="12.75" x14ac:dyDescent="0.2">
      <c r="A733" s="341"/>
      <c r="I733" s="1"/>
      <c r="J733" s="1"/>
    </row>
    <row r="734" spans="1:10" ht="12.75" x14ac:dyDescent="0.2">
      <c r="A734" s="341"/>
      <c r="I734" s="1"/>
      <c r="J734" s="1"/>
    </row>
    <row r="735" spans="1:10" ht="12.75" x14ac:dyDescent="0.2">
      <c r="A735" s="341"/>
      <c r="I735" s="1"/>
      <c r="J735" s="1"/>
    </row>
    <row r="736" spans="1:10" ht="12.75" x14ac:dyDescent="0.2">
      <c r="A736" s="341"/>
      <c r="I736" s="1"/>
      <c r="J736" s="1"/>
    </row>
    <row r="737" spans="1:10" ht="12.75" x14ac:dyDescent="0.2">
      <c r="A737" s="341"/>
      <c r="I737" s="1"/>
      <c r="J737" s="1"/>
    </row>
    <row r="738" spans="1:10" ht="12.75" x14ac:dyDescent="0.2">
      <c r="A738" s="341"/>
      <c r="I738" s="1"/>
      <c r="J738" s="1"/>
    </row>
    <row r="739" spans="1:10" ht="12.75" x14ac:dyDescent="0.2">
      <c r="A739" s="341"/>
      <c r="I739" s="1"/>
      <c r="J739" s="1"/>
    </row>
    <row r="740" spans="1:10" ht="12.75" x14ac:dyDescent="0.2">
      <c r="A740" s="341"/>
      <c r="I740" s="1"/>
      <c r="J740" s="1"/>
    </row>
    <row r="741" spans="1:10" ht="12.75" x14ac:dyDescent="0.2">
      <c r="A741" s="341"/>
      <c r="I741" s="1"/>
      <c r="J741" s="1"/>
    </row>
    <row r="742" spans="1:10" ht="12.75" x14ac:dyDescent="0.2">
      <c r="A742" s="341"/>
      <c r="I742" s="1"/>
      <c r="J742" s="1"/>
    </row>
    <row r="743" spans="1:10" ht="12.75" x14ac:dyDescent="0.2">
      <c r="A743" s="341"/>
      <c r="I743" s="1"/>
      <c r="J743" s="1"/>
    </row>
    <row r="744" spans="1:10" ht="12.75" x14ac:dyDescent="0.2">
      <c r="A744" s="341"/>
      <c r="I744" s="1"/>
      <c r="J744" s="1"/>
    </row>
    <row r="745" spans="1:10" ht="12.75" x14ac:dyDescent="0.2">
      <c r="A745" s="341"/>
      <c r="I745" s="1"/>
      <c r="J745" s="1"/>
    </row>
    <row r="746" spans="1:10" ht="12.75" x14ac:dyDescent="0.2">
      <c r="A746" s="341"/>
      <c r="I746" s="1"/>
      <c r="J746" s="1"/>
    </row>
    <row r="747" spans="1:10" ht="12.75" x14ac:dyDescent="0.2">
      <c r="A747" s="341"/>
      <c r="I747" s="1"/>
      <c r="J747" s="1"/>
    </row>
    <row r="748" spans="1:10" ht="12.75" x14ac:dyDescent="0.2">
      <c r="A748" s="341"/>
      <c r="I748" s="1"/>
      <c r="J748" s="1"/>
    </row>
    <row r="749" spans="1:10" ht="12.75" x14ac:dyDescent="0.2">
      <c r="A749" s="341"/>
      <c r="I749" s="1"/>
      <c r="J749" s="1"/>
    </row>
    <row r="750" spans="1:10" ht="12.75" x14ac:dyDescent="0.2">
      <c r="A750" s="341"/>
      <c r="I750" s="1"/>
      <c r="J750" s="1"/>
    </row>
    <row r="751" spans="1:10" ht="12.75" x14ac:dyDescent="0.2">
      <c r="A751" s="341"/>
      <c r="I751" s="1"/>
      <c r="J751" s="1"/>
    </row>
    <row r="752" spans="1:10" ht="12.75" x14ac:dyDescent="0.2">
      <c r="A752" s="341"/>
      <c r="I752" s="1"/>
      <c r="J752" s="1"/>
    </row>
    <row r="753" spans="1:10" ht="12.75" x14ac:dyDescent="0.2">
      <c r="A753" s="341"/>
      <c r="I753" s="1"/>
      <c r="J753" s="1"/>
    </row>
    <row r="754" spans="1:10" ht="12.75" x14ac:dyDescent="0.2">
      <c r="A754" s="341"/>
      <c r="I754" s="1"/>
      <c r="J754" s="1"/>
    </row>
    <row r="755" spans="1:10" ht="12.75" x14ac:dyDescent="0.2">
      <c r="A755" s="341"/>
      <c r="I755" s="1"/>
      <c r="J755" s="1"/>
    </row>
    <row r="756" spans="1:10" ht="12.75" x14ac:dyDescent="0.2">
      <c r="A756" s="341"/>
      <c r="I756" s="1"/>
      <c r="J756" s="1"/>
    </row>
    <row r="757" spans="1:10" ht="12.75" x14ac:dyDescent="0.2">
      <c r="A757" s="341"/>
      <c r="I757" s="1"/>
      <c r="J757" s="1"/>
    </row>
    <row r="758" spans="1:10" ht="12.75" x14ac:dyDescent="0.2">
      <c r="A758" s="341"/>
      <c r="I758" s="1"/>
      <c r="J758" s="1"/>
    </row>
    <row r="759" spans="1:10" ht="12.75" x14ac:dyDescent="0.2">
      <c r="A759" s="341"/>
      <c r="I759" s="1"/>
      <c r="J759" s="1"/>
    </row>
    <row r="760" spans="1:10" ht="12.75" x14ac:dyDescent="0.2">
      <c r="A760" s="341"/>
      <c r="I760" s="1"/>
      <c r="J760" s="1"/>
    </row>
    <row r="761" spans="1:10" ht="12.75" x14ac:dyDescent="0.2">
      <c r="A761" s="341"/>
      <c r="I761" s="1"/>
      <c r="J761" s="1"/>
    </row>
    <row r="762" spans="1:10" ht="12.75" x14ac:dyDescent="0.2">
      <c r="A762" s="341"/>
      <c r="I762" s="1"/>
      <c r="J762" s="1"/>
    </row>
    <row r="763" spans="1:10" ht="12.75" x14ac:dyDescent="0.2">
      <c r="A763" s="341"/>
      <c r="I763" s="1"/>
      <c r="J763" s="1"/>
    </row>
    <row r="764" spans="1:10" ht="12.75" x14ac:dyDescent="0.2">
      <c r="A764" s="341"/>
      <c r="I764" s="1"/>
      <c r="J764" s="1"/>
    </row>
    <row r="765" spans="1:10" ht="12.75" x14ac:dyDescent="0.2">
      <c r="A765" s="341"/>
      <c r="I765" s="1"/>
      <c r="J765" s="1"/>
    </row>
    <row r="766" spans="1:10" ht="12.75" x14ac:dyDescent="0.2">
      <c r="A766" s="341"/>
      <c r="I766" s="1"/>
      <c r="J766" s="1"/>
    </row>
    <row r="767" spans="1:10" ht="12.75" x14ac:dyDescent="0.2">
      <c r="A767" s="341"/>
      <c r="I767" s="1"/>
      <c r="J767" s="1"/>
    </row>
    <row r="768" spans="1:10" ht="12.75" x14ac:dyDescent="0.2">
      <c r="A768" s="341"/>
      <c r="I768" s="1"/>
      <c r="J768" s="1"/>
    </row>
    <row r="769" spans="1:10" ht="12.75" x14ac:dyDescent="0.2">
      <c r="A769" s="341"/>
      <c r="I769" s="1"/>
      <c r="J769" s="1"/>
    </row>
    <row r="770" spans="1:10" ht="12.75" x14ac:dyDescent="0.2">
      <c r="A770" s="341"/>
      <c r="I770" s="1"/>
      <c r="J770" s="1"/>
    </row>
    <row r="771" spans="1:10" ht="12.75" x14ac:dyDescent="0.2">
      <c r="A771" s="341"/>
      <c r="I771" s="1"/>
      <c r="J771" s="1"/>
    </row>
    <row r="772" spans="1:10" ht="12.75" x14ac:dyDescent="0.2">
      <c r="A772" s="341"/>
      <c r="I772" s="1"/>
      <c r="J772" s="1"/>
    </row>
    <row r="773" spans="1:10" ht="12.75" x14ac:dyDescent="0.2">
      <c r="A773" s="341"/>
      <c r="I773" s="1"/>
      <c r="J773" s="1"/>
    </row>
    <row r="774" spans="1:10" ht="12.75" x14ac:dyDescent="0.2">
      <c r="A774" s="341"/>
      <c r="I774" s="1"/>
      <c r="J774" s="1"/>
    </row>
    <row r="775" spans="1:10" ht="12.75" x14ac:dyDescent="0.2">
      <c r="A775" s="341"/>
      <c r="I775" s="1"/>
      <c r="J775" s="1"/>
    </row>
    <row r="776" spans="1:10" ht="12.75" x14ac:dyDescent="0.2">
      <c r="A776" s="341"/>
      <c r="I776" s="1"/>
      <c r="J776" s="1"/>
    </row>
    <row r="777" spans="1:10" ht="12.75" x14ac:dyDescent="0.2">
      <c r="A777" s="341"/>
      <c r="I777" s="1"/>
      <c r="J777" s="1"/>
    </row>
    <row r="778" spans="1:10" ht="12.75" x14ac:dyDescent="0.2">
      <c r="A778" s="341"/>
      <c r="I778" s="1"/>
      <c r="J778" s="1"/>
    </row>
    <row r="779" spans="1:10" ht="12.75" x14ac:dyDescent="0.2">
      <c r="A779" s="341"/>
      <c r="I779" s="1"/>
      <c r="J779" s="1"/>
    </row>
    <row r="780" spans="1:10" ht="12.75" x14ac:dyDescent="0.2">
      <c r="A780" s="341"/>
      <c r="I780" s="1"/>
      <c r="J780" s="1"/>
    </row>
    <row r="781" spans="1:10" ht="12.75" x14ac:dyDescent="0.2">
      <c r="A781" s="341"/>
      <c r="I781" s="1"/>
      <c r="J781" s="1"/>
    </row>
    <row r="782" spans="1:10" ht="12.75" x14ac:dyDescent="0.2">
      <c r="A782" s="341"/>
      <c r="I782" s="1"/>
      <c r="J782" s="1"/>
    </row>
    <row r="783" spans="1:10" ht="12.75" x14ac:dyDescent="0.2">
      <c r="A783" s="341"/>
      <c r="I783" s="1"/>
      <c r="J783" s="1"/>
    </row>
    <row r="784" spans="1:10" ht="12.75" x14ac:dyDescent="0.2">
      <c r="A784" s="341"/>
      <c r="I784" s="1"/>
      <c r="J784" s="1"/>
    </row>
    <row r="785" spans="1:10" ht="12.75" x14ac:dyDescent="0.2">
      <c r="A785" s="341"/>
      <c r="I785" s="1"/>
      <c r="J785" s="1"/>
    </row>
    <row r="786" spans="1:10" ht="12.75" x14ac:dyDescent="0.2">
      <c r="A786" s="341"/>
      <c r="I786" s="1"/>
      <c r="J786" s="1"/>
    </row>
    <row r="787" spans="1:10" ht="12.75" x14ac:dyDescent="0.2">
      <c r="A787" s="341"/>
      <c r="I787" s="1"/>
      <c r="J787" s="1"/>
    </row>
    <row r="788" spans="1:10" ht="12.75" x14ac:dyDescent="0.2">
      <c r="A788" s="341"/>
      <c r="I788" s="1"/>
      <c r="J788" s="1"/>
    </row>
    <row r="789" spans="1:10" ht="12.75" x14ac:dyDescent="0.2">
      <c r="A789" s="341"/>
      <c r="I789" s="1"/>
      <c r="J789" s="1"/>
    </row>
    <row r="790" spans="1:10" ht="12.75" x14ac:dyDescent="0.2">
      <c r="A790" s="341"/>
      <c r="I790" s="1"/>
      <c r="J790" s="1"/>
    </row>
    <row r="791" spans="1:10" ht="12.75" x14ac:dyDescent="0.2">
      <c r="A791" s="341"/>
      <c r="I791" s="1"/>
      <c r="J791" s="1"/>
    </row>
    <row r="792" spans="1:10" ht="12.75" x14ac:dyDescent="0.2">
      <c r="A792" s="341"/>
      <c r="I792" s="1"/>
      <c r="J792" s="1"/>
    </row>
    <row r="793" spans="1:10" ht="12.75" x14ac:dyDescent="0.2">
      <c r="A793" s="341"/>
      <c r="I793" s="1"/>
      <c r="J793" s="1"/>
    </row>
    <row r="794" spans="1:10" ht="12.75" x14ac:dyDescent="0.2">
      <c r="A794" s="341"/>
      <c r="I794" s="1"/>
      <c r="J794" s="1"/>
    </row>
    <row r="795" spans="1:10" ht="12.75" x14ac:dyDescent="0.2">
      <c r="A795" s="341"/>
      <c r="I795" s="1"/>
      <c r="J795" s="1"/>
    </row>
    <row r="796" spans="1:10" ht="12.75" x14ac:dyDescent="0.2">
      <c r="A796" s="341"/>
      <c r="I796" s="1"/>
      <c r="J796" s="1"/>
    </row>
    <row r="797" spans="1:10" ht="12.75" x14ac:dyDescent="0.2">
      <c r="A797" s="341"/>
      <c r="I797" s="1"/>
      <c r="J797" s="1"/>
    </row>
    <row r="798" spans="1:10" ht="12.75" x14ac:dyDescent="0.2">
      <c r="A798" s="341"/>
      <c r="I798" s="1"/>
      <c r="J798" s="1"/>
    </row>
    <row r="799" spans="1:10" ht="12.75" x14ac:dyDescent="0.2">
      <c r="A799" s="341"/>
      <c r="I799" s="1"/>
      <c r="J799" s="1"/>
    </row>
    <row r="800" spans="1:10" ht="12.75" x14ac:dyDescent="0.2">
      <c r="A800" s="341"/>
      <c r="I800" s="1"/>
      <c r="J800" s="1"/>
    </row>
    <row r="801" spans="1:10" ht="12.75" x14ac:dyDescent="0.2">
      <c r="A801" s="341"/>
      <c r="I801" s="1"/>
      <c r="J801" s="1"/>
    </row>
    <row r="802" spans="1:10" ht="12.75" x14ac:dyDescent="0.2">
      <c r="A802" s="341"/>
      <c r="I802" s="1"/>
      <c r="J802" s="1"/>
    </row>
    <row r="803" spans="1:10" ht="12.75" x14ac:dyDescent="0.2">
      <c r="A803" s="341"/>
      <c r="I803" s="1"/>
      <c r="J803" s="1"/>
    </row>
    <row r="804" spans="1:10" ht="12.75" x14ac:dyDescent="0.2">
      <c r="A804" s="341"/>
      <c r="I804" s="1"/>
      <c r="J804" s="1"/>
    </row>
    <row r="805" spans="1:10" ht="12.75" x14ac:dyDescent="0.2">
      <c r="A805" s="341"/>
      <c r="I805" s="1"/>
      <c r="J805" s="1"/>
    </row>
    <row r="806" spans="1:10" ht="12.75" x14ac:dyDescent="0.2">
      <c r="A806" s="341"/>
      <c r="I806" s="1"/>
      <c r="J806" s="1"/>
    </row>
    <row r="807" spans="1:10" ht="12.75" x14ac:dyDescent="0.2">
      <c r="A807" s="341"/>
      <c r="I807" s="1"/>
      <c r="J807" s="1"/>
    </row>
    <row r="808" spans="1:10" ht="12.75" x14ac:dyDescent="0.2">
      <c r="A808" s="341"/>
      <c r="I808" s="1"/>
      <c r="J808" s="1"/>
    </row>
    <row r="809" spans="1:10" ht="12.75" x14ac:dyDescent="0.2">
      <c r="A809" s="341"/>
      <c r="I809" s="1"/>
      <c r="J809" s="1"/>
    </row>
    <row r="810" spans="1:10" ht="12.75" x14ac:dyDescent="0.2">
      <c r="A810" s="341"/>
      <c r="I810" s="1"/>
      <c r="J810" s="1"/>
    </row>
    <row r="811" spans="1:10" ht="12.75" x14ac:dyDescent="0.2">
      <c r="A811" s="341"/>
      <c r="I811" s="1"/>
      <c r="J811" s="1"/>
    </row>
    <row r="812" spans="1:10" ht="12.75" x14ac:dyDescent="0.2">
      <c r="A812" s="341"/>
      <c r="I812" s="1"/>
      <c r="J812" s="1"/>
    </row>
    <row r="813" spans="1:10" ht="12.75" x14ac:dyDescent="0.2">
      <c r="A813" s="341"/>
      <c r="I813" s="1"/>
      <c r="J813" s="1"/>
    </row>
    <row r="814" spans="1:10" ht="12.75" x14ac:dyDescent="0.2">
      <c r="A814" s="341"/>
      <c r="I814" s="1"/>
      <c r="J814" s="1"/>
    </row>
    <row r="815" spans="1:10" ht="12.75" x14ac:dyDescent="0.2">
      <c r="A815" s="341"/>
      <c r="I815" s="1"/>
      <c r="J815" s="1"/>
    </row>
    <row r="816" spans="1:10" ht="12.75" x14ac:dyDescent="0.2">
      <c r="A816" s="341"/>
      <c r="I816" s="1"/>
      <c r="J816" s="1"/>
    </row>
    <row r="817" spans="1:10" ht="12.75" x14ac:dyDescent="0.2">
      <c r="A817" s="341"/>
      <c r="I817" s="1"/>
      <c r="J817" s="1"/>
    </row>
    <row r="818" spans="1:10" ht="12.75" x14ac:dyDescent="0.2">
      <c r="A818" s="341"/>
      <c r="I818" s="1"/>
      <c r="J818" s="1"/>
    </row>
    <row r="819" spans="1:10" ht="12.75" x14ac:dyDescent="0.2">
      <c r="A819" s="341"/>
      <c r="I819" s="1"/>
      <c r="J819" s="1"/>
    </row>
    <row r="820" spans="1:10" ht="12.75" x14ac:dyDescent="0.2">
      <c r="A820" s="341"/>
      <c r="I820" s="1"/>
      <c r="J820" s="1"/>
    </row>
    <row r="821" spans="1:10" ht="12.75" x14ac:dyDescent="0.2">
      <c r="A821" s="341"/>
      <c r="I821" s="1"/>
      <c r="J821" s="1"/>
    </row>
    <row r="822" spans="1:10" ht="12.75" x14ac:dyDescent="0.2">
      <c r="A822" s="341"/>
      <c r="I822" s="1"/>
      <c r="J822" s="1"/>
    </row>
    <row r="823" spans="1:10" ht="12.75" x14ac:dyDescent="0.2">
      <c r="A823" s="341"/>
      <c r="I823" s="1"/>
      <c r="J823" s="1"/>
    </row>
    <row r="824" spans="1:10" ht="12.75" x14ac:dyDescent="0.2">
      <c r="A824" s="341"/>
      <c r="I824" s="1"/>
      <c r="J824" s="1"/>
    </row>
    <row r="825" spans="1:10" ht="12.75" x14ac:dyDescent="0.2">
      <c r="A825" s="341"/>
      <c r="I825" s="1"/>
      <c r="J825" s="1"/>
    </row>
    <row r="826" spans="1:10" ht="12.75" x14ac:dyDescent="0.2">
      <c r="A826" s="341"/>
      <c r="I826" s="1"/>
      <c r="J826" s="1"/>
    </row>
    <row r="827" spans="1:10" ht="12.75" x14ac:dyDescent="0.2">
      <c r="A827" s="341"/>
      <c r="I827" s="1"/>
      <c r="J827" s="1"/>
    </row>
    <row r="828" spans="1:10" ht="12.75" x14ac:dyDescent="0.2">
      <c r="A828" s="341"/>
      <c r="I828" s="1"/>
      <c r="J828" s="1"/>
    </row>
    <row r="829" spans="1:10" ht="12.75" x14ac:dyDescent="0.2">
      <c r="A829" s="341"/>
      <c r="I829" s="1"/>
      <c r="J829" s="1"/>
    </row>
    <row r="830" spans="1:10" ht="12.75" x14ac:dyDescent="0.2">
      <c r="A830" s="341"/>
      <c r="I830" s="1"/>
      <c r="J830" s="1"/>
    </row>
    <row r="831" spans="1:10" ht="12.75" x14ac:dyDescent="0.2">
      <c r="A831" s="341"/>
      <c r="I831" s="1"/>
      <c r="J831" s="1"/>
    </row>
    <row r="832" spans="1:10" ht="12.75" x14ac:dyDescent="0.2">
      <c r="A832" s="341"/>
      <c r="I832" s="1"/>
      <c r="J832" s="1"/>
    </row>
    <row r="833" spans="1:10" ht="12.75" x14ac:dyDescent="0.2">
      <c r="A833" s="341"/>
      <c r="I833" s="1"/>
      <c r="J833" s="1"/>
    </row>
    <row r="834" spans="1:10" ht="12.75" x14ac:dyDescent="0.2">
      <c r="A834" s="341"/>
      <c r="I834" s="1"/>
      <c r="J834" s="1"/>
    </row>
    <row r="835" spans="1:10" ht="12.75" x14ac:dyDescent="0.2">
      <c r="A835" s="341"/>
      <c r="I835" s="1"/>
      <c r="J835" s="1"/>
    </row>
    <row r="836" spans="1:10" ht="12.75" x14ac:dyDescent="0.2">
      <c r="A836" s="341"/>
      <c r="I836" s="1"/>
      <c r="J836" s="1"/>
    </row>
    <row r="837" spans="1:10" ht="12.75" x14ac:dyDescent="0.2">
      <c r="A837" s="341"/>
      <c r="I837" s="1"/>
      <c r="J837" s="1"/>
    </row>
    <row r="838" spans="1:10" ht="12.75" x14ac:dyDescent="0.2">
      <c r="A838" s="341"/>
      <c r="I838" s="1"/>
      <c r="J838" s="1"/>
    </row>
    <row r="839" spans="1:10" ht="12.75" x14ac:dyDescent="0.2">
      <c r="A839" s="341"/>
      <c r="I839" s="1"/>
      <c r="J839" s="1"/>
    </row>
    <row r="840" spans="1:10" ht="12.75" x14ac:dyDescent="0.2">
      <c r="A840" s="341"/>
      <c r="I840" s="1"/>
      <c r="J840" s="1"/>
    </row>
    <row r="841" spans="1:10" ht="12.75" x14ac:dyDescent="0.2">
      <c r="A841" s="341"/>
      <c r="I841" s="1"/>
      <c r="J841" s="1"/>
    </row>
    <row r="842" spans="1:10" ht="12.75" x14ac:dyDescent="0.2">
      <c r="A842" s="341"/>
      <c r="I842" s="1"/>
      <c r="J842" s="1"/>
    </row>
    <row r="843" spans="1:10" ht="12.75" x14ac:dyDescent="0.2">
      <c r="A843" s="341"/>
      <c r="I843" s="1"/>
      <c r="J843" s="1"/>
    </row>
    <row r="844" spans="1:10" ht="12.75" x14ac:dyDescent="0.2">
      <c r="A844" s="341"/>
      <c r="I844" s="1"/>
      <c r="J844" s="1"/>
    </row>
    <row r="845" spans="1:10" ht="12.75" x14ac:dyDescent="0.2">
      <c r="A845" s="341"/>
      <c r="I845" s="1"/>
      <c r="J845" s="1"/>
    </row>
    <row r="846" spans="1:10" ht="12.75" x14ac:dyDescent="0.2">
      <c r="A846" s="341"/>
      <c r="I846" s="1"/>
      <c r="J846" s="1"/>
    </row>
    <row r="847" spans="1:10" ht="12.75" x14ac:dyDescent="0.2">
      <c r="A847" s="341"/>
      <c r="I847" s="1"/>
      <c r="J847" s="1"/>
    </row>
    <row r="848" spans="1:10" ht="12.75" x14ac:dyDescent="0.2">
      <c r="A848" s="341"/>
      <c r="I848" s="1"/>
      <c r="J848" s="1"/>
    </row>
    <row r="849" spans="1:10" ht="12.75" x14ac:dyDescent="0.2">
      <c r="A849" s="341"/>
      <c r="I849" s="1"/>
      <c r="J849" s="1"/>
    </row>
    <row r="850" spans="1:10" ht="12.75" x14ac:dyDescent="0.2">
      <c r="A850" s="341"/>
      <c r="I850" s="1"/>
      <c r="J850" s="1"/>
    </row>
    <row r="851" spans="1:10" ht="12.75" x14ac:dyDescent="0.2">
      <c r="A851" s="341"/>
      <c r="I851" s="1"/>
      <c r="J851" s="1"/>
    </row>
    <row r="852" spans="1:10" ht="12.75" x14ac:dyDescent="0.2">
      <c r="A852" s="341"/>
      <c r="I852" s="1"/>
      <c r="J852" s="1"/>
    </row>
    <row r="853" spans="1:10" ht="12.75" x14ac:dyDescent="0.2">
      <c r="A853" s="341"/>
      <c r="I853" s="1"/>
      <c r="J853" s="1"/>
    </row>
    <row r="854" spans="1:10" ht="12.75" x14ac:dyDescent="0.2">
      <c r="A854" s="341"/>
      <c r="I854" s="1"/>
      <c r="J854" s="1"/>
    </row>
    <row r="855" spans="1:10" ht="12.75" x14ac:dyDescent="0.2">
      <c r="A855" s="341"/>
      <c r="I855" s="1"/>
      <c r="J855" s="1"/>
    </row>
    <row r="856" spans="1:10" ht="12.75" x14ac:dyDescent="0.2">
      <c r="A856" s="341"/>
      <c r="I856" s="1"/>
      <c r="J856" s="1"/>
    </row>
    <row r="857" spans="1:10" ht="12.75" x14ac:dyDescent="0.2">
      <c r="A857" s="341"/>
      <c r="I857" s="1"/>
      <c r="J857" s="1"/>
    </row>
    <row r="858" spans="1:10" ht="12.75" x14ac:dyDescent="0.2">
      <c r="A858" s="341"/>
      <c r="I858" s="1"/>
      <c r="J858" s="1"/>
    </row>
    <row r="859" spans="1:10" ht="12.75" x14ac:dyDescent="0.2">
      <c r="A859" s="341"/>
      <c r="I859" s="1"/>
      <c r="J859" s="1"/>
    </row>
    <row r="860" spans="1:10" ht="12.75" x14ac:dyDescent="0.2">
      <c r="A860" s="341"/>
      <c r="I860" s="1"/>
      <c r="J860" s="1"/>
    </row>
    <row r="861" spans="1:10" ht="12.75" x14ac:dyDescent="0.2">
      <c r="A861" s="341"/>
      <c r="I861" s="1"/>
      <c r="J861" s="1"/>
    </row>
    <row r="862" spans="1:10" ht="12.75" x14ac:dyDescent="0.2">
      <c r="A862" s="341"/>
      <c r="I862" s="1"/>
      <c r="J862" s="1"/>
    </row>
    <row r="863" spans="1:10" ht="12.75" x14ac:dyDescent="0.2">
      <c r="A863" s="341"/>
      <c r="I863" s="1"/>
      <c r="J863" s="1"/>
    </row>
    <row r="864" spans="1:10" ht="12.75" x14ac:dyDescent="0.2">
      <c r="A864" s="341"/>
      <c r="I864" s="1"/>
      <c r="J864" s="1"/>
    </row>
    <row r="865" spans="1:10" ht="12.75" x14ac:dyDescent="0.2">
      <c r="A865" s="341"/>
      <c r="I865" s="1"/>
      <c r="J865" s="1"/>
    </row>
    <row r="866" spans="1:10" ht="12.75" x14ac:dyDescent="0.2">
      <c r="A866" s="341"/>
      <c r="I866" s="1"/>
      <c r="J866" s="1"/>
    </row>
    <row r="867" spans="1:10" ht="12.75" x14ac:dyDescent="0.2">
      <c r="A867" s="341"/>
      <c r="I867" s="1"/>
      <c r="J867" s="1"/>
    </row>
    <row r="868" spans="1:10" ht="12.75" x14ac:dyDescent="0.2">
      <c r="A868" s="341"/>
      <c r="I868" s="1"/>
      <c r="J868" s="1"/>
    </row>
    <row r="869" spans="1:10" ht="12.75" x14ac:dyDescent="0.2">
      <c r="A869" s="341"/>
      <c r="I869" s="1"/>
      <c r="J869" s="1"/>
    </row>
    <row r="870" spans="1:10" ht="12.75" x14ac:dyDescent="0.2">
      <c r="A870" s="341"/>
      <c r="I870" s="1"/>
      <c r="J870" s="1"/>
    </row>
    <row r="871" spans="1:10" ht="12.75" x14ac:dyDescent="0.2">
      <c r="A871" s="341"/>
      <c r="I871" s="1"/>
      <c r="J871" s="1"/>
    </row>
    <row r="872" spans="1:10" ht="12.75" x14ac:dyDescent="0.2">
      <c r="A872" s="341"/>
      <c r="I872" s="1"/>
      <c r="J872" s="1"/>
    </row>
    <row r="873" spans="1:10" ht="12.75" x14ac:dyDescent="0.2">
      <c r="A873" s="341"/>
      <c r="I873" s="1"/>
      <c r="J873" s="1"/>
    </row>
    <row r="874" spans="1:10" ht="12.75" x14ac:dyDescent="0.2">
      <c r="A874" s="341"/>
      <c r="I874" s="1"/>
      <c r="J874" s="1"/>
    </row>
    <row r="875" spans="1:10" ht="12.75" x14ac:dyDescent="0.2">
      <c r="A875" s="341"/>
      <c r="I875" s="1"/>
      <c r="J875" s="1"/>
    </row>
    <row r="876" spans="1:10" ht="12.75" x14ac:dyDescent="0.2">
      <c r="A876" s="341"/>
      <c r="I876" s="1"/>
      <c r="J876" s="1"/>
    </row>
    <row r="877" spans="1:10" ht="12.75" x14ac:dyDescent="0.2">
      <c r="A877" s="341"/>
      <c r="I877" s="1"/>
      <c r="J877" s="1"/>
    </row>
    <row r="878" spans="1:10" ht="12.75" x14ac:dyDescent="0.2">
      <c r="A878" s="341"/>
      <c r="I878" s="1"/>
      <c r="J878" s="1"/>
    </row>
    <row r="879" spans="1:10" ht="12.75" x14ac:dyDescent="0.2">
      <c r="A879" s="341"/>
      <c r="I879" s="1"/>
      <c r="J879" s="1"/>
    </row>
    <row r="880" spans="1:10" ht="12.75" x14ac:dyDescent="0.2">
      <c r="A880" s="341"/>
      <c r="I880" s="1"/>
      <c r="J880" s="1"/>
    </row>
    <row r="881" spans="1:10" ht="12.75" x14ac:dyDescent="0.2">
      <c r="A881" s="341"/>
      <c r="I881" s="1"/>
      <c r="J881" s="1"/>
    </row>
    <row r="882" spans="1:10" ht="12.75" x14ac:dyDescent="0.2">
      <c r="A882" s="341"/>
      <c r="I882" s="1"/>
      <c r="J882" s="1"/>
    </row>
    <row r="883" spans="1:10" ht="12.75" x14ac:dyDescent="0.2">
      <c r="A883" s="341"/>
      <c r="I883" s="1"/>
      <c r="J883" s="1"/>
    </row>
    <row r="884" spans="1:10" ht="12.75" x14ac:dyDescent="0.2">
      <c r="A884" s="341"/>
      <c r="I884" s="1"/>
      <c r="J884" s="1"/>
    </row>
    <row r="885" spans="1:10" ht="12.75" x14ac:dyDescent="0.2">
      <c r="A885" s="341"/>
      <c r="I885" s="1"/>
      <c r="J885" s="1"/>
    </row>
    <row r="886" spans="1:10" ht="12.75" x14ac:dyDescent="0.2">
      <c r="A886" s="341"/>
      <c r="I886" s="1"/>
      <c r="J886" s="1"/>
    </row>
    <row r="887" spans="1:10" ht="12.75" x14ac:dyDescent="0.2">
      <c r="A887" s="341"/>
      <c r="I887" s="1"/>
      <c r="J887" s="1"/>
    </row>
    <row r="888" spans="1:10" ht="12.75" x14ac:dyDescent="0.2">
      <c r="A888" s="341"/>
      <c r="I888" s="1"/>
      <c r="J888" s="1"/>
    </row>
    <row r="889" spans="1:10" ht="12.75" x14ac:dyDescent="0.2">
      <c r="A889" s="341"/>
      <c r="I889" s="1"/>
      <c r="J889" s="1"/>
    </row>
    <row r="890" spans="1:10" ht="12.75" x14ac:dyDescent="0.2">
      <c r="A890" s="341"/>
      <c r="I890" s="1"/>
      <c r="J890" s="1"/>
    </row>
    <row r="891" spans="1:10" ht="12.75" x14ac:dyDescent="0.2">
      <c r="A891" s="341"/>
      <c r="I891" s="1"/>
      <c r="J891" s="1"/>
    </row>
    <row r="892" spans="1:10" ht="12.75" x14ac:dyDescent="0.2">
      <c r="A892" s="341"/>
      <c r="I892" s="1"/>
      <c r="J892" s="1"/>
    </row>
    <row r="893" spans="1:10" ht="12.75" x14ac:dyDescent="0.2">
      <c r="A893" s="341"/>
      <c r="I893" s="1"/>
      <c r="J893" s="1"/>
    </row>
    <row r="894" spans="1:10" ht="12.75" x14ac:dyDescent="0.2">
      <c r="A894" s="341"/>
      <c r="I894" s="1"/>
      <c r="J894" s="1"/>
    </row>
    <row r="895" spans="1:10" ht="12.75" x14ac:dyDescent="0.2">
      <c r="A895" s="341"/>
      <c r="I895" s="1"/>
      <c r="J895" s="1"/>
    </row>
    <row r="896" spans="1:10" ht="12.75" x14ac:dyDescent="0.2">
      <c r="A896" s="341"/>
      <c r="I896" s="1"/>
      <c r="J896" s="1"/>
    </row>
    <row r="897" spans="1:10" ht="12.75" x14ac:dyDescent="0.2">
      <c r="A897" s="341"/>
      <c r="I897" s="1"/>
      <c r="J897" s="1"/>
    </row>
    <row r="898" spans="1:10" ht="12.75" x14ac:dyDescent="0.2">
      <c r="A898" s="341"/>
      <c r="I898" s="1"/>
      <c r="J898" s="1"/>
    </row>
    <row r="899" spans="1:10" ht="12.75" x14ac:dyDescent="0.2">
      <c r="A899" s="341"/>
      <c r="I899" s="1"/>
      <c r="J899" s="1"/>
    </row>
    <row r="900" spans="1:10" ht="12.75" x14ac:dyDescent="0.2">
      <c r="A900" s="341"/>
      <c r="I900" s="1"/>
      <c r="J900" s="1"/>
    </row>
    <row r="901" spans="1:10" ht="12.75" x14ac:dyDescent="0.2">
      <c r="A901" s="341"/>
      <c r="I901" s="1"/>
      <c r="J901" s="1"/>
    </row>
    <row r="902" spans="1:10" ht="12.75" x14ac:dyDescent="0.2">
      <c r="A902" s="341"/>
      <c r="I902" s="1"/>
      <c r="J902" s="1"/>
    </row>
    <row r="903" spans="1:10" ht="12.75" x14ac:dyDescent="0.2">
      <c r="A903" s="341"/>
      <c r="I903" s="1"/>
      <c r="J903" s="1"/>
    </row>
    <row r="904" spans="1:10" ht="12.75" x14ac:dyDescent="0.2">
      <c r="A904" s="341"/>
      <c r="I904" s="1"/>
      <c r="J904" s="1"/>
    </row>
    <row r="905" spans="1:10" ht="12.75" x14ac:dyDescent="0.2">
      <c r="A905" s="341"/>
      <c r="I905" s="1"/>
      <c r="J905" s="1"/>
    </row>
    <row r="906" spans="1:10" ht="12.75" x14ac:dyDescent="0.2">
      <c r="A906" s="341"/>
      <c r="I906" s="1"/>
      <c r="J906" s="1"/>
    </row>
    <row r="907" spans="1:10" ht="12.75" x14ac:dyDescent="0.2">
      <c r="A907" s="341"/>
      <c r="I907" s="1"/>
      <c r="J907" s="1"/>
    </row>
    <row r="908" spans="1:10" ht="12.75" x14ac:dyDescent="0.2">
      <c r="A908" s="341"/>
      <c r="I908" s="1"/>
      <c r="J908" s="1"/>
    </row>
    <row r="909" spans="1:10" ht="12.75" x14ac:dyDescent="0.2">
      <c r="A909" s="341"/>
      <c r="I909" s="1"/>
      <c r="J909" s="1"/>
    </row>
    <row r="910" spans="1:10" ht="12.75" x14ac:dyDescent="0.2">
      <c r="A910" s="341"/>
      <c r="I910" s="1"/>
      <c r="J910" s="1"/>
    </row>
    <row r="911" spans="1:10" ht="12.75" x14ac:dyDescent="0.2">
      <c r="A911" s="341"/>
      <c r="I911" s="1"/>
      <c r="J911" s="1"/>
    </row>
    <row r="912" spans="1:10" ht="12.75" x14ac:dyDescent="0.2">
      <c r="A912" s="341"/>
      <c r="I912" s="1"/>
      <c r="J912" s="1"/>
    </row>
    <row r="913" spans="1:10" ht="12.75" x14ac:dyDescent="0.2">
      <c r="A913" s="341"/>
      <c r="I913" s="1"/>
      <c r="J913" s="1"/>
    </row>
    <row r="914" spans="1:10" ht="12.75" x14ac:dyDescent="0.2">
      <c r="A914" s="341"/>
      <c r="I914" s="1"/>
      <c r="J914" s="1"/>
    </row>
    <row r="915" spans="1:10" ht="12.75" x14ac:dyDescent="0.2">
      <c r="A915" s="341"/>
      <c r="I915" s="1"/>
      <c r="J915" s="1"/>
    </row>
    <row r="916" spans="1:10" ht="12.75" x14ac:dyDescent="0.2">
      <c r="A916" s="341"/>
      <c r="I916" s="1"/>
      <c r="J916" s="1"/>
    </row>
    <row r="917" spans="1:10" ht="12.75" x14ac:dyDescent="0.2">
      <c r="A917" s="341"/>
      <c r="I917" s="1"/>
      <c r="J917" s="1"/>
    </row>
    <row r="918" spans="1:10" ht="12.75" x14ac:dyDescent="0.2">
      <c r="A918" s="341"/>
      <c r="I918" s="1"/>
      <c r="J918" s="1"/>
    </row>
    <row r="919" spans="1:10" ht="12.75" x14ac:dyDescent="0.2">
      <c r="A919" s="341"/>
      <c r="I919" s="1"/>
      <c r="J919" s="1"/>
    </row>
    <row r="920" spans="1:10" ht="12.75" x14ac:dyDescent="0.2">
      <c r="A920" s="341"/>
      <c r="I920" s="1"/>
      <c r="J920" s="1"/>
    </row>
    <row r="921" spans="1:10" ht="12.75" x14ac:dyDescent="0.2">
      <c r="A921" s="341"/>
      <c r="I921" s="1"/>
      <c r="J921" s="1"/>
    </row>
    <row r="922" spans="1:10" ht="12.75" x14ac:dyDescent="0.2">
      <c r="A922" s="341"/>
      <c r="I922" s="1"/>
      <c r="J922" s="1"/>
    </row>
    <row r="923" spans="1:10" ht="12.75" x14ac:dyDescent="0.2">
      <c r="A923" s="341"/>
      <c r="I923" s="1"/>
      <c r="J923" s="1"/>
    </row>
    <row r="924" spans="1:10" ht="12.75" x14ac:dyDescent="0.2">
      <c r="A924" s="341"/>
      <c r="I924" s="1"/>
      <c r="J924" s="1"/>
    </row>
    <row r="925" spans="1:10" ht="12.75" x14ac:dyDescent="0.2">
      <c r="A925" s="341"/>
      <c r="I925" s="1"/>
      <c r="J925" s="1"/>
    </row>
    <row r="926" spans="1:10" ht="12.75" x14ac:dyDescent="0.2">
      <c r="A926" s="341"/>
      <c r="I926" s="1"/>
      <c r="J926" s="1"/>
    </row>
    <row r="927" spans="1:10" ht="12.75" x14ac:dyDescent="0.2">
      <c r="A927" s="341"/>
      <c r="I927" s="1"/>
      <c r="J927" s="1"/>
    </row>
    <row r="928" spans="1:10" ht="12.75" x14ac:dyDescent="0.2">
      <c r="A928" s="341"/>
      <c r="I928" s="1"/>
      <c r="J928" s="1"/>
    </row>
    <row r="929" spans="1:10" ht="12.75" x14ac:dyDescent="0.2">
      <c r="A929" s="341"/>
      <c r="I929" s="1"/>
      <c r="J929" s="1"/>
    </row>
    <row r="930" spans="1:10" ht="12.75" x14ac:dyDescent="0.2">
      <c r="A930" s="341"/>
      <c r="I930" s="1"/>
      <c r="J930" s="1"/>
    </row>
    <row r="931" spans="1:10" ht="12.75" x14ac:dyDescent="0.2">
      <c r="A931" s="341"/>
      <c r="I931" s="1"/>
      <c r="J931" s="1"/>
    </row>
    <row r="932" spans="1:10" ht="12.75" x14ac:dyDescent="0.2">
      <c r="A932" s="341"/>
      <c r="I932" s="1"/>
      <c r="J932" s="1"/>
    </row>
    <row r="933" spans="1:10" ht="12.75" x14ac:dyDescent="0.2">
      <c r="A933" s="341"/>
      <c r="I933" s="1"/>
      <c r="J933" s="1"/>
    </row>
    <row r="934" spans="1:10" ht="12.75" x14ac:dyDescent="0.2">
      <c r="A934" s="341"/>
      <c r="I934" s="1"/>
      <c r="J934" s="1"/>
    </row>
    <row r="935" spans="1:10" ht="12.75" x14ac:dyDescent="0.2">
      <c r="A935" s="341"/>
      <c r="I935" s="1"/>
      <c r="J935" s="1"/>
    </row>
    <row r="936" spans="1:10" ht="12.75" x14ac:dyDescent="0.2">
      <c r="A936" s="341"/>
      <c r="I936" s="1"/>
      <c r="J936" s="1"/>
    </row>
    <row r="937" spans="1:10" ht="12.75" x14ac:dyDescent="0.2">
      <c r="A937" s="341"/>
      <c r="I937" s="1"/>
      <c r="J937" s="1"/>
    </row>
    <row r="938" spans="1:10" ht="12.75" x14ac:dyDescent="0.2">
      <c r="A938" s="341"/>
      <c r="I938" s="1"/>
      <c r="J938" s="1"/>
    </row>
    <row r="939" spans="1:10" ht="12.75" x14ac:dyDescent="0.2">
      <c r="A939" s="341"/>
      <c r="I939" s="1"/>
      <c r="J939" s="1"/>
    </row>
    <row r="940" spans="1:10" ht="12.75" x14ac:dyDescent="0.2">
      <c r="A940" s="341"/>
      <c r="I940" s="1"/>
      <c r="J940" s="1"/>
    </row>
    <row r="941" spans="1:10" ht="12.75" x14ac:dyDescent="0.2">
      <c r="A941" s="341"/>
      <c r="I941" s="1"/>
      <c r="J941" s="1"/>
    </row>
    <row r="942" spans="1:10" ht="12.75" x14ac:dyDescent="0.2">
      <c r="A942" s="341"/>
      <c r="I942" s="1"/>
      <c r="J942" s="1"/>
    </row>
    <row r="943" spans="1:10" ht="12.75" x14ac:dyDescent="0.2">
      <c r="A943" s="341"/>
      <c r="I943" s="1"/>
      <c r="J943" s="1"/>
    </row>
    <row r="944" spans="1:10" ht="12.75" x14ac:dyDescent="0.2">
      <c r="A944" s="341"/>
      <c r="I944" s="1"/>
      <c r="J944" s="1"/>
    </row>
    <row r="945" spans="1:10" ht="12.75" x14ac:dyDescent="0.2">
      <c r="A945" s="341"/>
      <c r="I945" s="1"/>
      <c r="J945" s="1"/>
    </row>
    <row r="946" spans="1:10" ht="12.75" x14ac:dyDescent="0.2">
      <c r="A946" s="341"/>
      <c r="I946" s="1"/>
      <c r="J946" s="1"/>
    </row>
    <row r="947" spans="1:10" ht="12.75" x14ac:dyDescent="0.2">
      <c r="A947" s="341"/>
      <c r="I947" s="1"/>
      <c r="J947" s="1"/>
    </row>
    <row r="948" spans="1:10" ht="12.75" x14ac:dyDescent="0.2">
      <c r="A948" s="341"/>
      <c r="I948" s="1"/>
      <c r="J948" s="1"/>
    </row>
    <row r="949" spans="1:10" ht="12.75" x14ac:dyDescent="0.2">
      <c r="A949" s="341"/>
      <c r="I949" s="1"/>
      <c r="J949" s="1"/>
    </row>
    <row r="950" spans="1:10" ht="12.75" x14ac:dyDescent="0.2">
      <c r="A950" s="341"/>
      <c r="I950" s="1"/>
      <c r="J950" s="1"/>
    </row>
    <row r="951" spans="1:10" ht="12.75" x14ac:dyDescent="0.2">
      <c r="A951" s="341"/>
      <c r="I951" s="1"/>
      <c r="J951" s="1"/>
    </row>
    <row r="952" spans="1:10" ht="12.75" x14ac:dyDescent="0.2">
      <c r="A952" s="341"/>
      <c r="I952" s="1"/>
      <c r="J952" s="1"/>
    </row>
    <row r="953" spans="1:10" ht="12.75" x14ac:dyDescent="0.2">
      <c r="A953" s="341"/>
      <c r="I953" s="1"/>
      <c r="J953" s="1"/>
    </row>
    <row r="954" spans="1:10" ht="12.75" x14ac:dyDescent="0.2">
      <c r="A954" s="341"/>
      <c r="I954" s="1"/>
      <c r="J954" s="1"/>
    </row>
    <row r="955" spans="1:10" ht="12.75" x14ac:dyDescent="0.2">
      <c r="A955" s="341"/>
      <c r="I955" s="1"/>
      <c r="J955" s="1"/>
    </row>
    <row r="956" spans="1:10" ht="12.75" x14ac:dyDescent="0.2">
      <c r="A956" s="341"/>
      <c r="I956" s="1"/>
      <c r="J956" s="1"/>
    </row>
    <row r="957" spans="1:10" ht="12.75" x14ac:dyDescent="0.2">
      <c r="A957" s="341"/>
      <c r="I957" s="1"/>
      <c r="J957" s="1"/>
    </row>
    <row r="958" spans="1:10" ht="12.75" x14ac:dyDescent="0.2">
      <c r="A958" s="341"/>
      <c r="I958" s="1"/>
      <c r="J958" s="1"/>
    </row>
    <row r="959" spans="1:10" ht="12.75" x14ac:dyDescent="0.2">
      <c r="A959" s="341"/>
      <c r="I959" s="1"/>
      <c r="J959" s="1"/>
    </row>
    <row r="960" spans="1:10" ht="12.75" x14ac:dyDescent="0.2">
      <c r="A960" s="341"/>
      <c r="I960" s="1"/>
      <c r="J960" s="1"/>
    </row>
    <row r="961" spans="1:10" ht="12.75" x14ac:dyDescent="0.2">
      <c r="A961" s="341"/>
      <c r="I961" s="1"/>
      <c r="J961" s="1"/>
    </row>
    <row r="962" spans="1:10" ht="12.75" x14ac:dyDescent="0.2">
      <c r="A962" s="341"/>
      <c r="I962" s="1"/>
      <c r="J962" s="1"/>
    </row>
    <row r="963" spans="1:10" ht="12.75" x14ac:dyDescent="0.2">
      <c r="A963" s="341"/>
      <c r="I963" s="1"/>
      <c r="J963" s="1"/>
    </row>
    <row r="964" spans="1:10" ht="12.75" x14ac:dyDescent="0.2">
      <c r="A964" s="341"/>
      <c r="I964" s="1"/>
      <c r="J964" s="1"/>
    </row>
    <row r="965" spans="1:10" ht="12.75" x14ac:dyDescent="0.2">
      <c r="A965" s="341"/>
      <c r="I965" s="1"/>
      <c r="J965" s="1"/>
    </row>
    <row r="966" spans="1:10" ht="12.75" x14ac:dyDescent="0.2">
      <c r="A966" s="341"/>
      <c r="I966" s="1"/>
      <c r="J966" s="1"/>
    </row>
    <row r="967" spans="1:10" ht="12.75" x14ac:dyDescent="0.2">
      <c r="A967" s="341"/>
      <c r="I967" s="1"/>
      <c r="J967" s="1"/>
    </row>
    <row r="968" spans="1:10" ht="12.75" x14ac:dyDescent="0.2">
      <c r="A968" s="341"/>
      <c r="I968" s="1"/>
      <c r="J968" s="1"/>
    </row>
    <row r="969" spans="1:10" ht="12.75" x14ac:dyDescent="0.2">
      <c r="A969" s="341"/>
      <c r="I969" s="1"/>
      <c r="J969" s="1"/>
    </row>
    <row r="970" spans="1:10" ht="12.75" x14ac:dyDescent="0.2">
      <c r="A970" s="341"/>
      <c r="I970" s="1"/>
      <c r="J970" s="1"/>
    </row>
    <row r="971" spans="1:10" ht="12.75" x14ac:dyDescent="0.2">
      <c r="A971" s="341"/>
      <c r="I971" s="1"/>
      <c r="J971" s="1"/>
    </row>
    <row r="972" spans="1:10" ht="12.75" x14ac:dyDescent="0.2">
      <c r="A972" s="341"/>
      <c r="I972" s="1"/>
      <c r="J972" s="1"/>
    </row>
    <row r="973" spans="1:10" ht="12.75" x14ac:dyDescent="0.2">
      <c r="A973" s="341"/>
      <c r="I973" s="1"/>
      <c r="J973" s="1"/>
    </row>
    <row r="974" spans="1:10" ht="12.75" x14ac:dyDescent="0.2">
      <c r="A974" s="341"/>
      <c r="I974" s="1"/>
      <c r="J974" s="1"/>
    </row>
    <row r="975" spans="1:10" ht="12.75" x14ac:dyDescent="0.2">
      <c r="A975" s="341"/>
      <c r="I975" s="1"/>
      <c r="J975" s="1"/>
    </row>
    <row r="976" spans="1:10" ht="12.75" x14ac:dyDescent="0.2">
      <c r="A976" s="341"/>
      <c r="I976" s="1"/>
      <c r="J976" s="1"/>
    </row>
    <row r="977" spans="1:10" ht="12.75" x14ac:dyDescent="0.2">
      <c r="A977" s="341"/>
      <c r="I977" s="1"/>
      <c r="J977" s="1"/>
    </row>
    <row r="978" spans="1:10" ht="12.75" x14ac:dyDescent="0.2">
      <c r="A978" s="341"/>
      <c r="I978" s="1"/>
      <c r="J978" s="1"/>
    </row>
    <row r="979" spans="1:10" ht="12.75" x14ac:dyDescent="0.2">
      <c r="A979" s="341"/>
      <c r="I979" s="1"/>
      <c r="J979" s="1"/>
    </row>
    <row r="980" spans="1:10" ht="12.75" x14ac:dyDescent="0.2">
      <c r="A980" s="341"/>
      <c r="I980" s="1"/>
      <c r="J980" s="1"/>
    </row>
    <row r="981" spans="1:10" ht="12.75" x14ac:dyDescent="0.2">
      <c r="A981" s="341"/>
      <c r="I981" s="1"/>
      <c r="J981" s="1"/>
    </row>
    <row r="982" spans="1:10" ht="12.75" x14ac:dyDescent="0.2">
      <c r="A982" s="341"/>
      <c r="I982" s="1"/>
      <c r="J982" s="1"/>
    </row>
    <row r="983" spans="1:10" ht="12.75" x14ac:dyDescent="0.2">
      <c r="A983" s="341"/>
      <c r="I983" s="1"/>
      <c r="J983" s="1"/>
    </row>
    <row r="984" spans="1:10" ht="12.75" x14ac:dyDescent="0.2">
      <c r="A984" s="341"/>
      <c r="I984" s="1"/>
      <c r="J984" s="1"/>
    </row>
    <row r="985" spans="1:10" ht="12.75" x14ac:dyDescent="0.2">
      <c r="A985" s="341"/>
      <c r="I985" s="1"/>
      <c r="J985" s="1"/>
    </row>
    <row r="986" spans="1:10" ht="12.75" x14ac:dyDescent="0.2">
      <c r="A986" s="341"/>
      <c r="I986" s="1"/>
      <c r="J986" s="1"/>
    </row>
    <row r="987" spans="1:10" ht="12.75" x14ac:dyDescent="0.2">
      <c r="A987" s="341"/>
      <c r="I987" s="1"/>
      <c r="J987" s="1"/>
    </row>
    <row r="988" spans="1:10" ht="12.75" x14ac:dyDescent="0.2">
      <c r="A988" s="341"/>
      <c r="I988" s="1"/>
      <c r="J988" s="1"/>
    </row>
    <row r="989" spans="1:10" ht="12.75" x14ac:dyDescent="0.2">
      <c r="A989" s="341"/>
      <c r="I989" s="1"/>
      <c r="J989" s="1"/>
    </row>
    <row r="990" spans="1:10" ht="12.75" x14ac:dyDescent="0.2">
      <c r="A990" s="341"/>
      <c r="I990" s="1"/>
      <c r="J990" s="1"/>
    </row>
    <row r="991" spans="1:10" ht="12.75" x14ac:dyDescent="0.2">
      <c r="A991" s="341"/>
      <c r="I991" s="1"/>
      <c r="J991" s="1"/>
    </row>
    <row r="992" spans="1:10" ht="12.75" x14ac:dyDescent="0.2">
      <c r="A992" s="341"/>
      <c r="I992" s="1"/>
      <c r="J992" s="1"/>
    </row>
    <row r="993" spans="1:10" ht="12.75" x14ac:dyDescent="0.2">
      <c r="A993" s="341"/>
      <c r="I993" s="1"/>
      <c r="J993" s="1"/>
    </row>
    <row r="994" spans="1:10" ht="12.75" x14ac:dyDescent="0.2">
      <c r="A994" s="341"/>
      <c r="I994" s="1"/>
      <c r="J994" s="1"/>
    </row>
    <row r="995" spans="1:10" ht="12.75" x14ac:dyDescent="0.2">
      <c r="A995" s="341"/>
      <c r="I995" s="1"/>
      <c r="J995" s="1"/>
    </row>
    <row r="996" spans="1:10" ht="12.75" x14ac:dyDescent="0.2">
      <c r="A996" s="341"/>
      <c r="I996" s="1"/>
      <c r="J996" s="1"/>
    </row>
    <row r="997" spans="1:10" ht="12.75" x14ac:dyDescent="0.2">
      <c r="A997" s="341"/>
      <c r="I997" s="1"/>
      <c r="J997" s="1"/>
    </row>
    <row r="998" spans="1:10" ht="12.75" x14ac:dyDescent="0.2">
      <c r="A998" s="341"/>
      <c r="I998" s="1"/>
      <c r="J998" s="1"/>
    </row>
    <row r="999" spans="1:10" ht="12.75" x14ac:dyDescent="0.2">
      <c r="A999" s="341"/>
      <c r="I999" s="1"/>
      <c r="J999" s="1"/>
    </row>
  </sheetData>
  <mergeCells count="27">
    <mergeCell ref="I66:J66"/>
    <mergeCell ref="K1:L1"/>
    <mergeCell ref="A2:A6"/>
    <mergeCell ref="A7:A11"/>
    <mergeCell ref="A12:A16"/>
    <mergeCell ref="A17:A21"/>
    <mergeCell ref="A22:A26"/>
    <mergeCell ref="A57:A61"/>
    <mergeCell ref="A27:A31"/>
    <mergeCell ref="A32:A36"/>
    <mergeCell ref="A37:A41"/>
    <mergeCell ref="A42:A46"/>
    <mergeCell ref="I2:J65"/>
    <mergeCell ref="A112:A116"/>
    <mergeCell ref="A117:A121"/>
    <mergeCell ref="A47:A51"/>
    <mergeCell ref="A52:A56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J56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5703125" defaultRowHeight="15.75" customHeight="1" x14ac:dyDescent="0.2"/>
  <cols>
    <col min="2" max="2" width="14.42578125" customWidth="1"/>
    <col min="3" max="3" width="15" customWidth="1"/>
    <col min="4" max="4" width="15.140625" customWidth="1"/>
  </cols>
  <sheetData>
    <row r="1" spans="1:36" ht="15" x14ac:dyDescent="0.25">
      <c r="A1" s="200" t="s">
        <v>190</v>
      </c>
      <c r="B1" s="830" t="s">
        <v>191</v>
      </c>
      <c r="C1" s="831"/>
      <c r="D1" s="831"/>
      <c r="E1" s="832" t="s">
        <v>192</v>
      </c>
      <c r="F1" s="831"/>
      <c r="G1" s="831"/>
      <c r="H1" s="833" t="s">
        <v>219</v>
      </c>
      <c r="I1" s="816"/>
      <c r="J1" s="817"/>
      <c r="K1" s="840" t="s">
        <v>193</v>
      </c>
      <c r="L1" s="831"/>
      <c r="M1" s="835"/>
      <c r="N1" s="834" t="s">
        <v>194</v>
      </c>
      <c r="O1" s="831"/>
      <c r="P1" s="831"/>
      <c r="Q1" s="832" t="s">
        <v>222</v>
      </c>
      <c r="R1" s="831"/>
      <c r="S1" s="835"/>
      <c r="T1" s="202"/>
      <c r="U1" s="186"/>
      <c r="V1" s="186"/>
      <c r="W1" s="186"/>
      <c r="X1" s="186"/>
      <c r="Y1" s="186"/>
      <c r="AE1" s="186"/>
      <c r="AI1" s="186"/>
      <c r="AJ1" s="186"/>
    </row>
    <row r="2" spans="1:36" ht="15" x14ac:dyDescent="0.25">
      <c r="A2" s="205" t="s">
        <v>196</v>
      </c>
      <c r="B2" s="206"/>
      <c r="C2" s="207"/>
      <c r="D2" s="836" t="s">
        <v>225</v>
      </c>
      <c r="E2" s="210"/>
      <c r="F2" s="207"/>
      <c r="G2" s="211"/>
      <c r="H2" s="212"/>
      <c r="I2" s="213"/>
      <c r="J2" s="214"/>
      <c r="K2" s="216"/>
      <c r="L2" s="207"/>
      <c r="M2" s="218"/>
      <c r="N2" s="219"/>
      <c r="O2" s="207"/>
      <c r="P2" s="207"/>
      <c r="Q2" s="841" t="s">
        <v>227</v>
      </c>
      <c r="R2" s="221"/>
      <c r="S2" s="223"/>
      <c r="T2" s="202"/>
      <c r="U2" s="186"/>
      <c r="V2" s="186"/>
      <c r="W2" s="186"/>
      <c r="X2" s="186"/>
      <c r="Y2" s="186"/>
      <c r="AI2" s="127"/>
      <c r="AJ2" s="224"/>
    </row>
    <row r="3" spans="1:36" ht="15" x14ac:dyDescent="0.25">
      <c r="A3" s="225" t="s">
        <v>197</v>
      </c>
      <c r="B3" s="226"/>
      <c r="C3" s="187"/>
      <c r="D3" s="634"/>
      <c r="E3" s="226"/>
      <c r="F3" s="187"/>
      <c r="G3" s="227"/>
      <c r="H3" s="228"/>
      <c r="I3" s="187"/>
      <c r="J3" s="229"/>
      <c r="K3" s="228"/>
      <c r="L3" s="807" t="s">
        <v>229</v>
      </c>
      <c r="M3" s="230"/>
      <c r="N3" s="231"/>
      <c r="O3" s="187"/>
      <c r="P3" s="187"/>
      <c r="Q3" s="670"/>
      <c r="R3" s="187"/>
      <c r="S3" s="824" t="s">
        <v>225</v>
      </c>
      <c r="T3" s="202"/>
      <c r="U3" s="186"/>
      <c r="V3" s="186"/>
      <c r="W3" s="186"/>
      <c r="X3" s="186"/>
      <c r="Y3" s="186"/>
    </row>
    <row r="4" spans="1:36" ht="15" x14ac:dyDescent="0.25">
      <c r="A4" s="225" t="s">
        <v>198</v>
      </c>
      <c r="B4" s="226"/>
      <c r="C4" s="187"/>
      <c r="D4" s="634"/>
      <c r="E4" s="226"/>
      <c r="F4" s="187"/>
      <c r="G4" s="233"/>
      <c r="H4" s="228"/>
      <c r="I4" s="187"/>
      <c r="J4" s="229"/>
      <c r="K4" s="234"/>
      <c r="L4" s="634"/>
      <c r="M4" s="230"/>
      <c r="N4" s="231"/>
      <c r="O4" s="187"/>
      <c r="P4" s="187"/>
      <c r="Q4" s="670"/>
      <c r="R4" s="187"/>
      <c r="S4" s="638"/>
      <c r="T4" s="202"/>
      <c r="U4" s="186"/>
      <c r="V4" s="186"/>
      <c r="W4" s="186"/>
      <c r="X4" s="186"/>
      <c r="Y4" s="186"/>
    </row>
    <row r="5" spans="1:36" ht="15" x14ac:dyDescent="0.25">
      <c r="A5" s="225" t="s">
        <v>230</v>
      </c>
      <c r="B5" s="226"/>
      <c r="C5" s="187"/>
      <c r="D5" s="634"/>
      <c r="E5" s="235"/>
      <c r="F5" s="187"/>
      <c r="G5" s="233"/>
      <c r="H5" s="228"/>
      <c r="I5" s="187"/>
      <c r="J5" s="229"/>
      <c r="K5" s="234"/>
      <c r="L5" s="634"/>
      <c r="M5" s="230"/>
      <c r="N5" s="231"/>
      <c r="O5" s="187"/>
      <c r="P5" s="842" t="s">
        <v>225</v>
      </c>
      <c r="Q5" s="671"/>
      <c r="R5" s="187"/>
      <c r="S5" s="638"/>
      <c r="T5" s="202"/>
      <c r="U5" s="186"/>
      <c r="V5" s="186"/>
      <c r="W5" s="186"/>
      <c r="X5" s="186"/>
      <c r="Y5" s="186"/>
    </row>
    <row r="6" spans="1:36" ht="15" x14ac:dyDescent="0.25">
      <c r="A6" s="225" t="s">
        <v>231</v>
      </c>
      <c r="B6" s="226"/>
      <c r="C6" s="187"/>
      <c r="D6" s="634"/>
      <c r="E6" s="235"/>
      <c r="F6" s="187"/>
      <c r="G6" s="233"/>
      <c r="H6" s="228"/>
      <c r="I6" s="187"/>
      <c r="J6" s="229"/>
      <c r="K6" s="234"/>
      <c r="L6" s="634"/>
      <c r="M6" s="230"/>
      <c r="N6" s="237"/>
      <c r="O6" s="187"/>
      <c r="P6" s="634"/>
      <c r="Q6" s="231"/>
      <c r="R6" s="187"/>
      <c r="S6" s="639"/>
      <c r="T6" s="202"/>
      <c r="U6" s="186"/>
      <c r="V6" s="186"/>
      <c r="W6" s="186"/>
      <c r="X6" s="186"/>
      <c r="Y6" s="186"/>
    </row>
    <row r="7" spans="1:36" ht="15" x14ac:dyDescent="0.25">
      <c r="A7" s="225" t="s">
        <v>199</v>
      </c>
      <c r="B7" s="235"/>
      <c r="C7" s="187"/>
      <c r="D7" s="634"/>
      <c r="E7" s="235"/>
      <c r="F7" s="187"/>
      <c r="G7" s="233"/>
      <c r="H7" s="228"/>
      <c r="I7" s="187"/>
      <c r="J7" s="229"/>
      <c r="K7" s="234"/>
      <c r="L7" s="634"/>
      <c r="M7" s="230"/>
      <c r="N7" s="237"/>
      <c r="O7" s="187"/>
      <c r="P7" s="635"/>
      <c r="Q7" s="231"/>
      <c r="R7" s="187"/>
      <c r="S7" s="227"/>
      <c r="T7" s="202"/>
      <c r="U7" s="186"/>
      <c r="V7" s="186"/>
      <c r="W7" s="186"/>
      <c r="X7" s="186"/>
      <c r="Y7" s="186"/>
    </row>
    <row r="8" spans="1:36" ht="15" x14ac:dyDescent="0.25">
      <c r="A8" s="225" t="s">
        <v>200</v>
      </c>
      <c r="B8" s="235"/>
      <c r="C8" s="187"/>
      <c r="D8" s="634"/>
      <c r="E8" s="235"/>
      <c r="F8" s="187"/>
      <c r="G8" s="227"/>
      <c r="H8" s="234"/>
      <c r="I8" s="807" t="s">
        <v>229</v>
      </c>
      <c r="J8" s="240"/>
      <c r="K8" s="234"/>
      <c r="L8" s="634"/>
      <c r="M8" s="230"/>
      <c r="N8" s="237"/>
      <c r="O8" s="187"/>
      <c r="P8" s="187"/>
      <c r="Q8" s="231"/>
      <c r="R8" s="187"/>
      <c r="S8" s="227"/>
      <c r="T8" s="202"/>
      <c r="U8" s="186"/>
      <c r="V8" s="186"/>
      <c r="W8" s="186"/>
      <c r="X8" s="186"/>
      <c r="Y8" s="186"/>
    </row>
    <row r="9" spans="1:36" ht="15" x14ac:dyDescent="0.25">
      <c r="A9" s="225" t="s">
        <v>201</v>
      </c>
      <c r="B9" s="235"/>
      <c r="C9" s="187"/>
      <c r="D9" s="635"/>
      <c r="E9" s="242"/>
      <c r="F9" s="187"/>
      <c r="G9" s="227"/>
      <c r="H9" s="234"/>
      <c r="I9" s="634"/>
      <c r="J9" s="240"/>
      <c r="K9" s="234"/>
      <c r="L9" s="634"/>
      <c r="M9" s="230"/>
      <c r="N9" s="237"/>
      <c r="O9" s="187"/>
      <c r="P9" s="187"/>
      <c r="Q9" s="231"/>
      <c r="R9" s="807" t="s">
        <v>229</v>
      </c>
      <c r="S9" s="227"/>
      <c r="T9" s="202"/>
      <c r="U9" s="186"/>
      <c r="V9" s="186"/>
      <c r="W9" s="186"/>
      <c r="X9" s="186"/>
      <c r="Y9" s="186"/>
    </row>
    <row r="10" spans="1:36" ht="15" x14ac:dyDescent="0.25">
      <c r="A10" s="225" t="s">
        <v>202</v>
      </c>
      <c r="B10" s="235"/>
      <c r="C10" s="807" t="s">
        <v>229</v>
      </c>
      <c r="D10" s="243"/>
      <c r="E10" s="235"/>
      <c r="F10" s="807" t="s">
        <v>229</v>
      </c>
      <c r="G10" s="233"/>
      <c r="H10" s="234"/>
      <c r="I10" s="634"/>
      <c r="J10" s="240"/>
      <c r="K10" s="228"/>
      <c r="L10" s="634"/>
      <c r="M10" s="240"/>
      <c r="N10" s="231"/>
      <c r="O10" s="807" t="s">
        <v>229</v>
      </c>
      <c r="P10" s="243"/>
      <c r="Q10" s="226"/>
      <c r="R10" s="634"/>
      <c r="S10" s="244"/>
      <c r="T10" s="202"/>
      <c r="U10" s="186"/>
      <c r="V10" s="186"/>
      <c r="W10" s="186"/>
      <c r="X10" s="186"/>
      <c r="Y10" s="186"/>
    </row>
    <row r="11" spans="1:36" ht="15" x14ac:dyDescent="0.25">
      <c r="A11" s="225" t="s">
        <v>203</v>
      </c>
      <c r="B11" s="235"/>
      <c r="C11" s="634"/>
      <c r="D11" s="243"/>
      <c r="E11" s="235"/>
      <c r="F11" s="634"/>
      <c r="G11" s="233"/>
      <c r="H11" s="234"/>
      <c r="I11" s="634"/>
      <c r="J11" s="240"/>
      <c r="K11" s="228"/>
      <c r="L11" s="634"/>
      <c r="M11" s="240"/>
      <c r="N11" s="823" t="s">
        <v>227</v>
      </c>
      <c r="O11" s="634"/>
      <c r="P11" s="243"/>
      <c r="Q11" s="226"/>
      <c r="R11" s="634"/>
      <c r="S11" s="244"/>
      <c r="T11" s="202"/>
      <c r="U11" s="186"/>
      <c r="V11" s="186"/>
      <c r="W11" s="186"/>
      <c r="X11" s="186"/>
      <c r="Y11" s="186"/>
    </row>
    <row r="12" spans="1:36" ht="15" x14ac:dyDescent="0.25">
      <c r="A12" s="225" t="s">
        <v>204</v>
      </c>
      <c r="B12" s="235"/>
      <c r="C12" s="634"/>
      <c r="D12" s="243"/>
      <c r="E12" s="235"/>
      <c r="F12" s="634"/>
      <c r="G12" s="824" t="s">
        <v>225</v>
      </c>
      <c r="H12" s="234"/>
      <c r="I12" s="634"/>
      <c r="J12" s="240"/>
      <c r="K12" s="228"/>
      <c r="L12" s="634"/>
      <c r="M12" s="240"/>
      <c r="N12" s="670"/>
      <c r="O12" s="634"/>
      <c r="P12" s="243"/>
      <c r="Q12" s="226"/>
      <c r="R12" s="634"/>
      <c r="S12" s="244"/>
      <c r="T12" s="202"/>
      <c r="U12" s="186"/>
      <c r="V12" s="186"/>
      <c r="W12" s="186"/>
      <c r="X12" s="186"/>
      <c r="Y12" s="186"/>
    </row>
    <row r="13" spans="1:36" ht="15" x14ac:dyDescent="0.25">
      <c r="A13" s="225" t="s">
        <v>205</v>
      </c>
      <c r="B13" s="226"/>
      <c r="C13" s="634"/>
      <c r="D13" s="243"/>
      <c r="E13" s="235"/>
      <c r="F13" s="634"/>
      <c r="G13" s="638"/>
      <c r="H13" s="826" t="s">
        <v>227</v>
      </c>
      <c r="I13" s="634"/>
      <c r="J13" s="240"/>
      <c r="K13" s="228"/>
      <c r="L13" s="635"/>
      <c r="M13" s="240"/>
      <c r="N13" s="670"/>
      <c r="O13" s="635"/>
      <c r="P13" s="243"/>
      <c r="Q13" s="235"/>
      <c r="R13" s="634"/>
      <c r="S13" s="244"/>
      <c r="T13" s="202"/>
      <c r="U13" s="186"/>
      <c r="V13" s="186"/>
      <c r="W13" s="186"/>
      <c r="X13" s="186"/>
      <c r="Y13" s="186"/>
    </row>
    <row r="14" spans="1:36" ht="15" x14ac:dyDescent="0.25">
      <c r="A14" s="225" t="s">
        <v>206</v>
      </c>
      <c r="B14" s="808" t="s">
        <v>233</v>
      </c>
      <c r="C14" s="634"/>
      <c r="D14" s="243"/>
      <c r="E14" s="808" t="s">
        <v>227</v>
      </c>
      <c r="F14" s="634"/>
      <c r="G14" s="638"/>
      <c r="H14" s="647"/>
      <c r="I14" s="634"/>
      <c r="J14" s="837" t="s">
        <v>225</v>
      </c>
      <c r="K14" s="826" t="s">
        <v>227</v>
      </c>
      <c r="L14" s="187"/>
      <c r="M14" s="240"/>
      <c r="N14" s="670"/>
      <c r="O14" s="187"/>
      <c r="P14" s="187"/>
      <c r="Q14" s="808" t="s">
        <v>227</v>
      </c>
      <c r="R14" s="635"/>
      <c r="S14" s="227"/>
      <c r="T14" s="202"/>
      <c r="U14" s="186"/>
      <c r="V14" s="186"/>
      <c r="W14" s="186"/>
      <c r="X14" s="186"/>
      <c r="Y14" s="186"/>
    </row>
    <row r="15" spans="1:36" ht="15" x14ac:dyDescent="0.25">
      <c r="A15" s="225" t="s">
        <v>207</v>
      </c>
      <c r="B15" s="809"/>
      <c r="C15" s="634"/>
      <c r="D15" s="243"/>
      <c r="E15" s="809"/>
      <c r="F15" s="634"/>
      <c r="G15" s="638"/>
      <c r="H15" s="647"/>
      <c r="I15" s="634"/>
      <c r="J15" s="659"/>
      <c r="K15" s="647"/>
      <c r="L15" s="187"/>
      <c r="M15" s="240"/>
      <c r="N15" s="670"/>
      <c r="O15" s="187"/>
      <c r="P15" s="187"/>
      <c r="Q15" s="809"/>
      <c r="R15" s="243"/>
      <c r="S15" s="233"/>
      <c r="T15" s="202"/>
      <c r="U15" s="186"/>
      <c r="V15" s="186"/>
      <c r="W15" s="186"/>
      <c r="X15" s="186"/>
      <c r="Y15" s="186"/>
      <c r="AI15" s="127"/>
      <c r="AJ15" s="127"/>
    </row>
    <row r="16" spans="1:36" ht="15" x14ac:dyDescent="0.25">
      <c r="A16" s="225" t="s">
        <v>208</v>
      </c>
      <c r="B16" s="809"/>
      <c r="C16" s="634"/>
      <c r="D16" s="243"/>
      <c r="E16" s="809"/>
      <c r="F16" s="634"/>
      <c r="G16" s="638"/>
      <c r="H16" s="648"/>
      <c r="I16" s="635"/>
      <c r="J16" s="659"/>
      <c r="K16" s="647"/>
      <c r="L16" s="187"/>
      <c r="M16" s="240"/>
      <c r="N16" s="670"/>
      <c r="O16" s="187"/>
      <c r="P16" s="187"/>
      <c r="Q16" s="809"/>
      <c r="R16" s="243"/>
      <c r="S16" s="233"/>
      <c r="T16" s="202"/>
      <c r="U16" s="186"/>
      <c r="V16" s="186"/>
      <c r="W16" s="186"/>
      <c r="X16" s="186"/>
      <c r="Y16" s="186"/>
      <c r="AI16" s="127"/>
      <c r="AJ16" s="127"/>
    </row>
    <row r="17" spans="1:36" ht="15" x14ac:dyDescent="0.25">
      <c r="A17" s="225" t="s">
        <v>209</v>
      </c>
      <c r="B17" s="810"/>
      <c r="C17" s="634"/>
      <c r="D17" s="243"/>
      <c r="E17" s="810"/>
      <c r="F17" s="634"/>
      <c r="G17" s="638"/>
      <c r="H17" s="228"/>
      <c r="I17" s="187"/>
      <c r="J17" s="659"/>
      <c r="K17" s="648"/>
      <c r="L17" s="807" t="s">
        <v>236</v>
      </c>
      <c r="M17" s="240"/>
      <c r="N17" s="671"/>
      <c r="O17" s="187"/>
      <c r="P17" s="187"/>
      <c r="Q17" s="810"/>
      <c r="R17" s="243"/>
      <c r="S17" s="233"/>
      <c r="T17" s="202"/>
      <c r="U17" s="186"/>
      <c r="V17" s="186"/>
      <c r="W17" s="186"/>
      <c r="X17" s="186"/>
      <c r="Y17" s="186"/>
      <c r="AI17" s="127"/>
      <c r="AJ17" s="127"/>
    </row>
    <row r="18" spans="1:36" ht="15" x14ac:dyDescent="0.25">
      <c r="A18" s="246" t="s">
        <v>210</v>
      </c>
      <c r="B18" s="247"/>
      <c r="C18" s="708"/>
      <c r="D18" s="248"/>
      <c r="E18" s="249"/>
      <c r="F18" s="708"/>
      <c r="G18" s="825"/>
      <c r="H18" s="250"/>
      <c r="I18" s="251"/>
      <c r="J18" s="710"/>
      <c r="K18" s="252"/>
      <c r="L18" s="708"/>
      <c r="M18" s="253"/>
      <c r="N18" s="254"/>
      <c r="O18" s="251"/>
      <c r="P18" s="251"/>
      <c r="Q18" s="247"/>
      <c r="R18" s="251"/>
      <c r="S18" s="255"/>
      <c r="T18" s="202"/>
      <c r="U18" s="186"/>
      <c r="V18" s="186"/>
      <c r="W18" s="186"/>
      <c r="X18" s="186"/>
      <c r="Y18" s="186"/>
      <c r="AI18" s="127"/>
      <c r="AJ18" s="127"/>
    </row>
    <row r="20" spans="1:36" ht="12.75" x14ac:dyDescent="0.2">
      <c r="A20" s="256"/>
      <c r="B20" s="67" t="s">
        <v>237</v>
      </c>
    </row>
    <row r="21" spans="1:36" ht="12.75" x14ac:dyDescent="0.2">
      <c r="A21" s="257"/>
      <c r="B21" s="67" t="s">
        <v>236</v>
      </c>
    </row>
    <row r="22" spans="1:36" ht="12.75" x14ac:dyDescent="0.2">
      <c r="A22" s="258"/>
      <c r="B22" s="67" t="s">
        <v>238</v>
      </c>
    </row>
    <row r="23" spans="1:36" ht="12.75" x14ac:dyDescent="0.2">
      <c r="A23" s="259"/>
      <c r="B23" s="67" t="s">
        <v>239</v>
      </c>
    </row>
    <row r="24" spans="1:36" ht="12.75" x14ac:dyDescent="0.2">
      <c r="A24" s="260"/>
      <c r="B24" s="67" t="s">
        <v>240</v>
      </c>
    </row>
    <row r="26" spans="1:36" ht="15" x14ac:dyDescent="0.25">
      <c r="A26" s="261" t="s">
        <v>190</v>
      </c>
      <c r="B26" s="811" t="s">
        <v>191</v>
      </c>
      <c r="C26" s="812"/>
      <c r="D26" s="812"/>
      <c r="E26" s="813" t="s">
        <v>192</v>
      </c>
      <c r="F26" s="812"/>
      <c r="G26" s="814"/>
      <c r="H26" s="838" t="s">
        <v>219</v>
      </c>
      <c r="I26" s="812"/>
      <c r="J26" s="814"/>
      <c r="K26" s="839" t="s">
        <v>193</v>
      </c>
      <c r="L26" s="812"/>
      <c r="M26" s="814"/>
      <c r="N26" s="827" t="s">
        <v>194</v>
      </c>
      <c r="O26" s="812"/>
      <c r="P26" s="814"/>
      <c r="Q26" s="828" t="s">
        <v>195</v>
      </c>
      <c r="R26" s="829"/>
      <c r="S26" s="829"/>
      <c r="T26" s="262"/>
      <c r="U26" s="263"/>
      <c r="V26" s="263"/>
      <c r="W26" s="263"/>
      <c r="X26" s="263"/>
      <c r="Y26" s="263"/>
      <c r="Z26" s="263"/>
      <c r="AA26" s="263"/>
    </row>
    <row r="27" spans="1:36" ht="15" x14ac:dyDescent="0.2">
      <c r="A27" s="264" t="s">
        <v>242</v>
      </c>
      <c r="B27" s="265"/>
      <c r="C27" s="266"/>
      <c r="D27" s="267"/>
      <c r="E27" s="268" t="s">
        <v>7</v>
      </c>
      <c r="F27" s="269" t="s">
        <v>6</v>
      </c>
      <c r="G27" s="270" t="s">
        <v>11</v>
      </c>
      <c r="H27" s="271" t="s">
        <v>7</v>
      </c>
      <c r="I27" s="269" t="s">
        <v>6</v>
      </c>
      <c r="J27" s="272"/>
      <c r="K27" s="273" t="s">
        <v>6</v>
      </c>
      <c r="L27" s="274" t="s">
        <v>11</v>
      </c>
      <c r="M27" s="275" t="s">
        <v>7</v>
      </c>
      <c r="N27" s="268" t="s">
        <v>7</v>
      </c>
      <c r="O27" s="266"/>
      <c r="P27" s="276"/>
      <c r="Q27" s="182"/>
      <c r="R27" s="266"/>
      <c r="S27" s="277"/>
      <c r="T27" s="262"/>
      <c r="U27" s="263"/>
      <c r="V27" s="263"/>
      <c r="W27" s="263"/>
      <c r="X27" s="263"/>
      <c r="Y27" s="263"/>
      <c r="Z27" s="263"/>
      <c r="AA27" s="263"/>
    </row>
    <row r="28" spans="1:36" ht="15" x14ac:dyDescent="0.2">
      <c r="A28" s="278" t="s">
        <v>243</v>
      </c>
      <c r="B28" s="279"/>
      <c r="C28" s="280"/>
      <c r="D28" s="281"/>
      <c r="E28" s="268" t="s">
        <v>7</v>
      </c>
      <c r="F28" s="282" t="s">
        <v>6</v>
      </c>
      <c r="G28" s="283" t="s">
        <v>11</v>
      </c>
      <c r="H28" s="284" t="s">
        <v>7</v>
      </c>
      <c r="I28" s="282" t="s">
        <v>6</v>
      </c>
      <c r="J28" s="285"/>
      <c r="K28" s="286" t="s">
        <v>6</v>
      </c>
      <c r="L28" s="287" t="s">
        <v>11</v>
      </c>
      <c r="M28" s="275" t="s">
        <v>7</v>
      </c>
      <c r="N28" s="284" t="s">
        <v>7</v>
      </c>
      <c r="O28" s="280"/>
      <c r="P28" s="276"/>
      <c r="Q28" s="288"/>
      <c r="R28" s="280"/>
      <c r="S28" s="289"/>
      <c r="T28" s="262"/>
      <c r="U28" s="263"/>
      <c r="V28" s="263"/>
      <c r="W28" s="263"/>
      <c r="X28" s="263"/>
      <c r="Y28" s="263"/>
      <c r="Z28" s="263"/>
      <c r="AA28" s="263"/>
    </row>
    <row r="29" spans="1:36" ht="15" x14ac:dyDescent="0.2">
      <c r="A29" s="278" t="s">
        <v>244</v>
      </c>
      <c r="B29" s="290"/>
      <c r="C29" s="280"/>
      <c r="D29" s="281"/>
      <c r="E29" s="268" t="s">
        <v>7</v>
      </c>
      <c r="F29" s="282" t="s">
        <v>6</v>
      </c>
      <c r="G29" s="283" t="s">
        <v>11</v>
      </c>
      <c r="H29" s="284" t="s">
        <v>7</v>
      </c>
      <c r="I29" s="282" t="s">
        <v>6</v>
      </c>
      <c r="J29" s="285"/>
      <c r="K29" s="286" t="s">
        <v>6</v>
      </c>
      <c r="L29" s="287" t="s">
        <v>11</v>
      </c>
      <c r="M29" s="275" t="s">
        <v>7</v>
      </c>
      <c r="N29" s="284" t="s">
        <v>7</v>
      </c>
      <c r="O29" s="280"/>
      <c r="P29" s="276"/>
      <c r="Q29" s="288"/>
      <c r="R29" s="280"/>
      <c r="S29" s="289"/>
      <c r="T29" s="262"/>
      <c r="U29" s="263"/>
      <c r="V29" s="263"/>
      <c r="W29" s="263"/>
      <c r="X29" s="263"/>
      <c r="Y29" s="263"/>
      <c r="Z29" s="263"/>
      <c r="AA29" s="263"/>
    </row>
    <row r="30" spans="1:36" ht="15.75" customHeight="1" x14ac:dyDescent="0.2">
      <c r="A30" s="278" t="s">
        <v>245</v>
      </c>
      <c r="B30" s="290"/>
      <c r="C30" s="280"/>
      <c r="D30" s="281"/>
      <c r="E30" s="268" t="s">
        <v>7</v>
      </c>
      <c r="F30" s="282" t="s">
        <v>6</v>
      </c>
      <c r="G30" s="283" t="s">
        <v>11</v>
      </c>
      <c r="H30" s="291"/>
      <c r="I30" s="282" t="s">
        <v>6</v>
      </c>
      <c r="J30" s="285"/>
      <c r="K30" s="286" t="s">
        <v>6</v>
      </c>
      <c r="L30" s="287" t="s">
        <v>11</v>
      </c>
      <c r="M30" s="275" t="s">
        <v>7</v>
      </c>
      <c r="N30" s="284" t="s">
        <v>7</v>
      </c>
      <c r="O30" s="280"/>
      <c r="P30" s="276"/>
      <c r="Q30" s="288"/>
      <c r="R30" s="280"/>
      <c r="S30" s="289"/>
      <c r="T30" s="262"/>
      <c r="U30" s="263"/>
      <c r="V30" s="263"/>
      <c r="W30" s="263"/>
      <c r="X30" s="263"/>
      <c r="Y30" s="263"/>
      <c r="Z30" s="263"/>
      <c r="AA30" s="263"/>
    </row>
    <row r="31" spans="1:36" ht="16.5" customHeight="1" x14ac:dyDescent="0.2">
      <c r="A31" s="278" t="s">
        <v>246</v>
      </c>
      <c r="B31" s="290"/>
      <c r="C31" s="280"/>
      <c r="D31" s="281"/>
      <c r="E31" s="268" t="s">
        <v>7</v>
      </c>
      <c r="F31" s="282" t="s">
        <v>6</v>
      </c>
      <c r="G31" s="283" t="s">
        <v>11</v>
      </c>
      <c r="H31" s="291"/>
      <c r="I31" s="282" t="s">
        <v>6</v>
      </c>
      <c r="J31" s="283" t="s">
        <v>11</v>
      </c>
      <c r="K31" s="286" t="s">
        <v>6</v>
      </c>
      <c r="L31" s="292"/>
      <c r="M31" s="292"/>
      <c r="N31" s="284" t="s">
        <v>7</v>
      </c>
      <c r="O31" s="287" t="s">
        <v>11</v>
      </c>
      <c r="P31" s="276"/>
      <c r="Q31" s="293"/>
      <c r="R31" s="294" t="s">
        <v>247</v>
      </c>
      <c r="S31" s="289"/>
      <c r="T31" s="262"/>
      <c r="U31" s="263"/>
      <c r="V31" s="263"/>
      <c r="W31" s="263"/>
      <c r="X31" s="263"/>
      <c r="Y31" s="263"/>
      <c r="Z31" s="263"/>
      <c r="AA31" s="263"/>
    </row>
    <row r="32" spans="1:36" ht="25.5" x14ac:dyDescent="0.2">
      <c r="A32" s="278" t="s">
        <v>248</v>
      </c>
      <c r="B32" s="290"/>
      <c r="C32" s="287" t="s">
        <v>11</v>
      </c>
      <c r="D32" s="295"/>
      <c r="E32" s="268" t="s">
        <v>7</v>
      </c>
      <c r="F32" s="282" t="s">
        <v>6</v>
      </c>
      <c r="G32" s="283" t="s">
        <v>11</v>
      </c>
      <c r="H32" s="291"/>
      <c r="I32" s="282" t="s">
        <v>6</v>
      </c>
      <c r="J32" s="283" t="s">
        <v>11</v>
      </c>
      <c r="K32" s="286" t="s">
        <v>6</v>
      </c>
      <c r="L32" s="292"/>
      <c r="M32" s="292"/>
      <c r="N32" s="279"/>
      <c r="O32" s="287" t="s">
        <v>11</v>
      </c>
      <c r="P32" s="276"/>
      <c r="Q32" s="293"/>
      <c r="R32" s="294" t="s">
        <v>247</v>
      </c>
      <c r="S32" s="296"/>
      <c r="T32" s="262"/>
      <c r="U32" s="263"/>
      <c r="V32" s="263"/>
      <c r="W32" s="263"/>
      <c r="X32" s="263"/>
      <c r="Y32" s="263"/>
      <c r="Z32" s="263"/>
      <c r="AA32" s="263"/>
    </row>
    <row r="33" spans="1:27" ht="25.5" x14ac:dyDescent="0.2">
      <c r="A33" s="278" t="s">
        <v>250</v>
      </c>
      <c r="B33" s="279"/>
      <c r="C33" s="287" t="s">
        <v>11</v>
      </c>
      <c r="D33" s="297"/>
      <c r="E33" s="268" t="s">
        <v>7</v>
      </c>
      <c r="F33" s="282" t="s">
        <v>6</v>
      </c>
      <c r="G33" s="283" t="s">
        <v>11</v>
      </c>
      <c r="H33" s="291"/>
      <c r="I33" s="282" t="s">
        <v>6</v>
      </c>
      <c r="J33" s="283" t="s">
        <v>11</v>
      </c>
      <c r="K33" s="286" t="s">
        <v>6</v>
      </c>
      <c r="L33" s="292"/>
      <c r="M33" s="298"/>
      <c r="N33" s="290"/>
      <c r="O33" s="287" t="s">
        <v>11</v>
      </c>
      <c r="P33" s="276"/>
      <c r="Q33" s="293"/>
      <c r="R33" s="294" t="s">
        <v>247</v>
      </c>
      <c r="S33" s="296"/>
      <c r="T33" s="262"/>
      <c r="U33" s="263"/>
      <c r="V33" s="263"/>
      <c r="W33" s="263"/>
      <c r="X33" s="263"/>
      <c r="Y33" s="263"/>
      <c r="Z33" s="263"/>
      <c r="AA33" s="263"/>
    </row>
    <row r="34" spans="1:27" ht="25.5" x14ac:dyDescent="0.2">
      <c r="A34" s="278" t="s">
        <v>251</v>
      </c>
      <c r="B34" s="279"/>
      <c r="C34" s="287" t="s">
        <v>11</v>
      </c>
      <c r="D34" s="297"/>
      <c r="E34" s="268" t="s">
        <v>7</v>
      </c>
      <c r="F34" s="282" t="s">
        <v>6</v>
      </c>
      <c r="G34" s="299"/>
      <c r="H34" s="284" t="s">
        <v>7</v>
      </c>
      <c r="I34" s="282" t="s">
        <v>6</v>
      </c>
      <c r="J34" s="283" t="s">
        <v>11</v>
      </c>
      <c r="K34" s="286" t="s">
        <v>6</v>
      </c>
      <c r="L34" s="292"/>
      <c r="M34" s="298"/>
      <c r="N34" s="290"/>
      <c r="O34" s="287" t="s">
        <v>11</v>
      </c>
      <c r="P34" s="276"/>
      <c r="Q34" s="293"/>
      <c r="R34" s="294" t="s">
        <v>247</v>
      </c>
      <c r="S34" s="296"/>
      <c r="T34" s="262"/>
      <c r="U34" s="263"/>
      <c r="V34" s="263"/>
      <c r="W34" s="263"/>
      <c r="X34" s="263"/>
      <c r="Y34" s="263"/>
      <c r="Z34" s="263"/>
      <c r="AA34" s="263"/>
    </row>
    <row r="35" spans="1:27" ht="25.5" x14ac:dyDescent="0.2">
      <c r="A35" s="278" t="s">
        <v>252</v>
      </c>
      <c r="B35" s="279"/>
      <c r="C35" s="287" t="s">
        <v>11</v>
      </c>
      <c r="D35" s="297"/>
      <c r="E35" s="268" t="s">
        <v>7</v>
      </c>
      <c r="F35" s="282" t="s">
        <v>6</v>
      </c>
      <c r="G35" s="299"/>
      <c r="H35" s="284" t="s">
        <v>7</v>
      </c>
      <c r="I35" s="280"/>
      <c r="J35" s="283" t="s">
        <v>11</v>
      </c>
      <c r="K35" s="286" t="s">
        <v>6</v>
      </c>
      <c r="L35" s="292"/>
      <c r="M35" s="298"/>
      <c r="N35" s="290"/>
      <c r="O35" s="287" t="s">
        <v>11</v>
      </c>
      <c r="P35" s="276"/>
      <c r="Q35" s="293"/>
      <c r="R35" s="294" t="s">
        <v>247</v>
      </c>
      <c r="S35" s="296"/>
      <c r="T35" s="262"/>
      <c r="U35" s="263"/>
      <c r="V35" s="263"/>
      <c r="W35" s="263"/>
      <c r="X35" s="263"/>
      <c r="Y35" s="263"/>
      <c r="Z35" s="263"/>
      <c r="AA35" s="263"/>
    </row>
    <row r="36" spans="1:27" ht="18" customHeight="1" x14ac:dyDescent="0.2">
      <c r="A36" s="300" t="s">
        <v>253</v>
      </c>
      <c r="B36" s="279"/>
      <c r="C36" s="294" t="s">
        <v>247</v>
      </c>
      <c r="D36" s="297"/>
      <c r="E36" s="301"/>
      <c r="F36" s="280"/>
      <c r="G36" s="302"/>
      <c r="H36" s="291"/>
      <c r="I36" s="280"/>
      <c r="J36" s="303" t="s">
        <v>247</v>
      </c>
      <c r="K36" s="290"/>
      <c r="L36" s="280"/>
      <c r="M36" s="298"/>
      <c r="N36" s="290"/>
      <c r="O36" s="294" t="s">
        <v>247</v>
      </c>
      <c r="P36" s="276"/>
      <c r="Q36" s="293"/>
      <c r="R36" s="294" t="s">
        <v>247</v>
      </c>
      <c r="S36" s="296"/>
      <c r="T36" s="262"/>
      <c r="U36" s="263"/>
      <c r="V36" s="263"/>
      <c r="W36" s="263"/>
      <c r="X36" s="263"/>
      <c r="Y36" s="263"/>
      <c r="Z36" s="263"/>
      <c r="AA36" s="263"/>
    </row>
    <row r="37" spans="1:27" ht="25.5" x14ac:dyDescent="0.2">
      <c r="A37" s="304" t="s">
        <v>254</v>
      </c>
      <c r="B37" s="305"/>
      <c r="C37" s="306" t="s">
        <v>247</v>
      </c>
      <c r="D37" s="307"/>
      <c r="E37" s="305"/>
      <c r="F37" s="308"/>
      <c r="G37" s="309"/>
      <c r="H37" s="310"/>
      <c r="I37" s="308"/>
      <c r="J37" s="311" t="s">
        <v>247</v>
      </c>
      <c r="K37" s="312"/>
      <c r="L37" s="308"/>
      <c r="M37" s="314"/>
      <c r="N37" s="305"/>
      <c r="O37" s="306" t="s">
        <v>247</v>
      </c>
      <c r="P37" s="315"/>
      <c r="Q37" s="316"/>
      <c r="R37" s="317" t="s">
        <v>247</v>
      </c>
      <c r="S37" s="318"/>
      <c r="T37" s="262"/>
      <c r="U37" s="263"/>
      <c r="V37" s="263"/>
      <c r="W37" s="263"/>
      <c r="X37" s="263"/>
      <c r="Y37" s="263"/>
      <c r="Z37" s="263"/>
      <c r="AA37" s="263"/>
    </row>
    <row r="39" spans="1:27" ht="12.75" x14ac:dyDescent="0.2">
      <c r="A39" s="319" t="s">
        <v>255</v>
      </c>
      <c r="B39" s="320" t="s">
        <v>256</v>
      </c>
      <c r="C39" s="815" t="s">
        <v>4</v>
      </c>
      <c r="D39" s="816"/>
      <c r="E39" s="816"/>
      <c r="F39" s="816"/>
      <c r="G39" s="816"/>
      <c r="H39" s="817"/>
    </row>
    <row r="40" spans="1:27" ht="12.75" x14ac:dyDescent="0.2">
      <c r="A40" s="321" t="s">
        <v>6</v>
      </c>
      <c r="B40" s="322">
        <f t="shared" ref="B40:B43" si="0">COUNTIF($B$27:$AA$37,A40)</f>
        <v>26</v>
      </c>
      <c r="C40" s="806" t="s">
        <v>258</v>
      </c>
      <c r="D40" s="727"/>
      <c r="E40" s="727"/>
      <c r="F40" s="727"/>
      <c r="G40" s="727"/>
      <c r="H40" s="643"/>
      <c r="J40" s="67" t="s">
        <v>259</v>
      </c>
      <c r="K40" s="67">
        <v>3</v>
      </c>
    </row>
    <row r="41" spans="1:27" ht="12.75" x14ac:dyDescent="0.2">
      <c r="A41" s="323" t="s">
        <v>7</v>
      </c>
      <c r="B41" s="68">
        <f t="shared" si="0"/>
        <v>23</v>
      </c>
      <c r="C41" s="806"/>
      <c r="D41" s="727"/>
      <c r="E41" s="727"/>
      <c r="F41" s="727"/>
      <c r="G41" s="727"/>
      <c r="H41" s="643"/>
      <c r="J41" s="67" t="s">
        <v>260</v>
      </c>
      <c r="K41" s="67">
        <v>8.5</v>
      </c>
    </row>
    <row r="42" spans="1:27" ht="12.75" x14ac:dyDescent="0.2">
      <c r="A42" s="324" t="s">
        <v>11</v>
      </c>
      <c r="B42" s="68">
        <f t="shared" si="0"/>
        <v>25</v>
      </c>
      <c r="C42" s="806"/>
      <c r="D42" s="727"/>
      <c r="E42" s="727"/>
      <c r="F42" s="727"/>
      <c r="G42" s="727"/>
      <c r="H42" s="643"/>
      <c r="J42" s="67" t="s">
        <v>261</v>
      </c>
      <c r="K42" s="67">
        <v>5</v>
      </c>
    </row>
    <row r="43" spans="1:27" ht="12.75" x14ac:dyDescent="0.2">
      <c r="A43" s="325" t="s">
        <v>247</v>
      </c>
      <c r="B43" s="68">
        <f t="shared" si="0"/>
        <v>13</v>
      </c>
      <c r="C43" s="806"/>
      <c r="D43" s="727"/>
      <c r="E43" s="727"/>
      <c r="F43" s="727"/>
      <c r="G43" s="727"/>
      <c r="H43" s="643"/>
      <c r="J43" s="67" t="s">
        <v>262</v>
      </c>
      <c r="K43" s="67">
        <v>4</v>
      </c>
    </row>
    <row r="44" spans="1:27" ht="12.75" x14ac:dyDescent="0.2">
      <c r="A44" s="326" t="s">
        <v>8</v>
      </c>
      <c r="B44" s="66">
        <v>30</v>
      </c>
      <c r="C44" s="806"/>
      <c r="D44" s="727"/>
      <c r="E44" s="727"/>
      <c r="F44" s="727"/>
      <c r="G44" s="727"/>
      <c r="H44" s="643"/>
      <c r="J44" s="67" t="s">
        <v>263</v>
      </c>
      <c r="K44" s="67">
        <v>5</v>
      </c>
    </row>
    <row r="45" spans="1:27" ht="12.75" x14ac:dyDescent="0.2">
      <c r="A45" s="327" t="s">
        <v>13</v>
      </c>
      <c r="B45" s="328">
        <f>COUNTIF($B$27:$AA$37,A45)</f>
        <v>0</v>
      </c>
      <c r="C45" s="818"/>
      <c r="D45" s="819"/>
      <c r="E45" s="819"/>
      <c r="F45" s="819"/>
      <c r="G45" s="819"/>
      <c r="H45" s="820"/>
      <c r="J45" s="67" t="s">
        <v>264</v>
      </c>
      <c r="K45" s="67">
        <v>0</v>
      </c>
    </row>
    <row r="46" spans="1:27" ht="12.75" x14ac:dyDescent="0.2">
      <c r="K46" s="106">
        <f>SUM(K40:K45)</f>
        <v>25.5</v>
      </c>
    </row>
    <row r="47" spans="1:27" ht="12.75" x14ac:dyDescent="0.2">
      <c r="B47" s="821" t="s">
        <v>265</v>
      </c>
      <c r="C47" s="822"/>
      <c r="D47" s="822"/>
      <c r="E47" s="803"/>
    </row>
    <row r="48" spans="1:27" ht="25.5" x14ac:dyDescent="0.2">
      <c r="B48" s="329" t="s">
        <v>266</v>
      </c>
      <c r="C48" s="329" t="s">
        <v>5</v>
      </c>
      <c r="D48" s="329" t="s">
        <v>267</v>
      </c>
      <c r="E48" s="329" t="s">
        <v>3</v>
      </c>
    </row>
    <row r="49" spans="2:5" ht="25.5" x14ac:dyDescent="0.2">
      <c r="B49" s="330" t="s">
        <v>268</v>
      </c>
      <c r="C49" s="203" t="s">
        <v>6</v>
      </c>
      <c r="D49" s="203" t="s">
        <v>11</v>
      </c>
      <c r="E49" s="195"/>
    </row>
    <row r="50" spans="2:5" ht="25.5" x14ac:dyDescent="0.2">
      <c r="B50" s="330" t="s">
        <v>270</v>
      </c>
      <c r="C50" s="203" t="s">
        <v>7</v>
      </c>
      <c r="D50" s="203" t="s">
        <v>271</v>
      </c>
      <c r="E50" s="203" t="s">
        <v>48</v>
      </c>
    </row>
    <row r="51" spans="2:5" ht="38.25" x14ac:dyDescent="0.2">
      <c r="B51" s="330" t="s">
        <v>272</v>
      </c>
      <c r="C51" s="203" t="s">
        <v>11</v>
      </c>
      <c r="D51" s="203" t="s">
        <v>271</v>
      </c>
      <c r="E51" s="195"/>
    </row>
    <row r="52" spans="2:5" ht="25.5" x14ac:dyDescent="0.2">
      <c r="B52" s="330" t="s">
        <v>273</v>
      </c>
      <c r="C52" s="203" t="s">
        <v>274</v>
      </c>
      <c r="D52" s="203" t="s">
        <v>271</v>
      </c>
      <c r="E52" s="195"/>
    </row>
    <row r="53" spans="2:5" ht="38.25" x14ac:dyDescent="0.2">
      <c r="B53" s="330" t="s">
        <v>275</v>
      </c>
      <c r="C53" s="195"/>
      <c r="D53" s="195"/>
      <c r="E53" s="195"/>
    </row>
    <row r="54" spans="2:5" ht="38.25" customHeight="1" x14ac:dyDescent="0.2">
      <c r="B54" s="330" t="s">
        <v>276</v>
      </c>
      <c r="C54" s="203" t="s">
        <v>6</v>
      </c>
      <c r="D54" s="203" t="s">
        <v>271</v>
      </c>
      <c r="E54" s="195"/>
    </row>
    <row r="55" spans="2:5" ht="25.5" x14ac:dyDescent="0.2">
      <c r="B55" s="330" t="s">
        <v>277</v>
      </c>
      <c r="C55" s="195"/>
      <c r="D55" s="195"/>
      <c r="E55" s="195"/>
    </row>
    <row r="56" spans="2:5" ht="42" customHeight="1" x14ac:dyDescent="0.2">
      <c r="B56" s="330" t="s">
        <v>278</v>
      </c>
      <c r="C56" s="203" t="s">
        <v>7</v>
      </c>
      <c r="D56" s="203" t="s">
        <v>6</v>
      </c>
      <c r="E56" s="203" t="s">
        <v>48</v>
      </c>
    </row>
  </sheetData>
  <mergeCells count="39">
    <mergeCell ref="Q2:Q5"/>
    <mergeCell ref="P5:P7"/>
    <mergeCell ref="R9:R14"/>
    <mergeCell ref="O10:O13"/>
    <mergeCell ref="Q14:Q17"/>
    <mergeCell ref="N26:P26"/>
    <mergeCell ref="Q26:S26"/>
    <mergeCell ref="B1:D1"/>
    <mergeCell ref="E1:G1"/>
    <mergeCell ref="H1:J1"/>
    <mergeCell ref="N1:P1"/>
    <mergeCell ref="Q1:S1"/>
    <mergeCell ref="D2:D9"/>
    <mergeCell ref="S3:S6"/>
    <mergeCell ref="I8:I16"/>
    <mergeCell ref="J14:J18"/>
    <mergeCell ref="H26:J26"/>
    <mergeCell ref="L3:L13"/>
    <mergeCell ref="L17:L18"/>
    <mergeCell ref="K26:M26"/>
    <mergeCell ref="K1:M1"/>
    <mergeCell ref="N11:N17"/>
    <mergeCell ref="G12:G18"/>
    <mergeCell ref="H13:H16"/>
    <mergeCell ref="E14:E17"/>
    <mergeCell ref="K14:K17"/>
    <mergeCell ref="C42:H42"/>
    <mergeCell ref="C43:H43"/>
    <mergeCell ref="C44:H44"/>
    <mergeCell ref="C45:H45"/>
    <mergeCell ref="B47:E47"/>
    <mergeCell ref="C40:H40"/>
    <mergeCell ref="C41:H41"/>
    <mergeCell ref="C10:C18"/>
    <mergeCell ref="B14:B17"/>
    <mergeCell ref="B26:D26"/>
    <mergeCell ref="E26:G26"/>
    <mergeCell ref="C39:H39"/>
    <mergeCell ref="F10:F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N50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5703125" defaultRowHeight="15.75" customHeight="1" x14ac:dyDescent="0.2"/>
  <cols>
    <col min="1" max="1" width="18.85546875" customWidth="1"/>
    <col min="2" max="2" width="26.28515625" customWidth="1"/>
    <col min="3" max="3" width="33.140625" customWidth="1"/>
    <col min="4" max="4" width="21" customWidth="1"/>
    <col min="5" max="5" width="13.140625" customWidth="1"/>
    <col min="6" max="6" width="14.42578125" customWidth="1"/>
    <col min="7" max="7" width="13.28515625" customWidth="1"/>
    <col min="8" max="8" width="17.28515625" customWidth="1"/>
    <col min="9" max="9" width="12.85546875" customWidth="1"/>
    <col min="10" max="10" width="13.5703125" customWidth="1"/>
    <col min="11" max="12" width="11.42578125" customWidth="1"/>
    <col min="13" max="13" width="9.42578125" customWidth="1"/>
    <col min="14" max="14" width="10" customWidth="1"/>
    <col min="15" max="15" width="14.42578125" customWidth="1"/>
    <col min="16" max="16" width="13.5703125" customWidth="1"/>
    <col min="17" max="17" width="11.42578125" customWidth="1"/>
    <col min="18" max="18" width="14.85546875" customWidth="1"/>
    <col min="19" max="19" width="18.85546875" customWidth="1"/>
    <col min="20" max="20" width="16.5703125" customWidth="1"/>
    <col min="21" max="21" width="15.42578125" customWidth="1"/>
    <col min="22" max="22" width="15.28515625" customWidth="1"/>
    <col min="23" max="23" width="13.28515625" customWidth="1"/>
    <col min="24" max="24" width="18.85546875" customWidth="1"/>
    <col min="25" max="25" width="24.42578125" customWidth="1"/>
    <col min="26" max="27" width="18.85546875" customWidth="1"/>
    <col min="28" max="28" width="36.5703125" customWidth="1"/>
    <col min="29" max="29" width="9.42578125" hidden="1" customWidth="1"/>
    <col min="30" max="33" width="18.85546875" hidden="1" customWidth="1"/>
    <col min="34" max="34" width="11.42578125" hidden="1" customWidth="1"/>
    <col min="35" max="35" width="19.42578125" hidden="1" customWidth="1"/>
    <col min="36" max="37" width="14.28515625" hidden="1" customWidth="1"/>
    <col min="38" max="38" width="18.85546875" hidden="1" customWidth="1"/>
    <col min="39" max="40" width="18.85546875" customWidth="1"/>
  </cols>
  <sheetData>
    <row r="1" spans="1:40" ht="21" customHeight="1" x14ac:dyDescent="0.2">
      <c r="A1" s="333"/>
      <c r="B1" s="334"/>
      <c r="C1" s="334"/>
      <c r="D1" s="843" t="s">
        <v>56</v>
      </c>
      <c r="E1" s="662"/>
      <c r="F1" s="662"/>
      <c r="G1" s="662"/>
      <c r="H1" s="662"/>
      <c r="I1" s="662"/>
      <c r="J1" s="662"/>
      <c r="K1" s="844" t="s">
        <v>288</v>
      </c>
      <c r="L1" s="662"/>
      <c r="M1" s="662"/>
      <c r="N1" s="662"/>
      <c r="O1" s="844" t="s">
        <v>289</v>
      </c>
      <c r="P1" s="662"/>
      <c r="Q1" s="662"/>
      <c r="R1" s="662"/>
      <c r="S1" s="662"/>
      <c r="T1" s="845" t="s">
        <v>291</v>
      </c>
      <c r="U1" s="822"/>
      <c r="V1" s="822"/>
      <c r="W1" s="803"/>
      <c r="X1" s="334"/>
      <c r="Y1" s="335"/>
      <c r="Z1" s="336"/>
      <c r="AA1" s="336"/>
      <c r="AB1" s="337"/>
      <c r="AC1" s="338"/>
      <c r="AD1" s="339"/>
      <c r="AE1" s="339"/>
      <c r="AF1" s="339"/>
      <c r="AG1" s="340"/>
      <c r="AH1" s="334"/>
      <c r="AI1" s="334"/>
      <c r="AJ1" s="334"/>
      <c r="AK1" s="334"/>
      <c r="AL1" s="334"/>
      <c r="AM1" s="341"/>
      <c r="AN1" s="341"/>
    </row>
    <row r="2" spans="1:40" ht="75.75" customHeight="1" x14ac:dyDescent="0.2">
      <c r="A2" s="342" t="s">
        <v>292</v>
      </c>
      <c r="B2" s="343" t="s">
        <v>293</v>
      </c>
      <c r="C2" s="343" t="s">
        <v>294</v>
      </c>
      <c r="D2" s="344" t="s">
        <v>295</v>
      </c>
      <c r="E2" s="345" t="s">
        <v>296</v>
      </c>
      <c r="F2" s="346" t="s">
        <v>297</v>
      </c>
      <c r="G2" s="345" t="s">
        <v>57</v>
      </c>
      <c r="H2" s="346" t="s">
        <v>298</v>
      </c>
      <c r="I2" s="345" t="s">
        <v>299</v>
      </c>
      <c r="J2" s="347" t="s">
        <v>300</v>
      </c>
      <c r="K2" s="348" t="s">
        <v>301</v>
      </c>
      <c r="L2" s="345" t="s">
        <v>302</v>
      </c>
      <c r="M2" s="345" t="s">
        <v>303</v>
      </c>
      <c r="N2" s="345" t="s">
        <v>304</v>
      </c>
      <c r="O2" s="348" t="s">
        <v>1081</v>
      </c>
      <c r="P2" s="345" t="s">
        <v>305</v>
      </c>
      <c r="Q2" s="345" t="s">
        <v>306</v>
      </c>
      <c r="R2" s="345" t="s">
        <v>307</v>
      </c>
      <c r="S2" s="349" t="s">
        <v>308</v>
      </c>
      <c r="T2" s="348" t="s">
        <v>309</v>
      </c>
      <c r="U2" s="346" t="s">
        <v>310</v>
      </c>
      <c r="V2" s="345" t="s">
        <v>311</v>
      </c>
      <c r="W2" s="347" t="s">
        <v>312</v>
      </c>
      <c r="X2" s="343" t="s">
        <v>313</v>
      </c>
      <c r="Y2" s="350" t="s">
        <v>314</v>
      </c>
      <c r="Z2" s="351" t="s">
        <v>315</v>
      </c>
      <c r="AA2" s="351" t="s">
        <v>316</v>
      </c>
      <c r="AB2" s="352" t="s">
        <v>317</v>
      </c>
      <c r="AC2" s="353" t="s">
        <v>319</v>
      </c>
      <c r="AD2" s="342" t="s">
        <v>320</v>
      </c>
      <c r="AE2" s="342" t="s">
        <v>321</v>
      </c>
      <c r="AF2" s="342" t="s">
        <v>322</v>
      </c>
      <c r="AG2" s="354" t="s">
        <v>323</v>
      </c>
      <c r="AH2" s="343" t="s">
        <v>324</v>
      </c>
      <c r="AI2" s="343" t="s">
        <v>55</v>
      </c>
      <c r="AJ2" s="343" t="s">
        <v>325</v>
      </c>
      <c r="AK2" s="343" t="s">
        <v>326</v>
      </c>
      <c r="AL2" s="343" t="s">
        <v>327</v>
      </c>
      <c r="AM2" s="341"/>
      <c r="AN2" s="341"/>
    </row>
    <row r="3" spans="1:40" ht="22.5" hidden="1" customHeight="1" x14ac:dyDescent="0.2">
      <c r="A3" s="355">
        <v>45605.830656956023</v>
      </c>
      <c r="B3" s="356"/>
      <c r="C3" s="356"/>
      <c r="D3" s="357" t="str">
        <f t="shared" ref="D3:D408" si="0">RIGHT(E3,4)</f>
        <v/>
      </c>
      <c r="E3" s="358"/>
      <c r="F3" s="359">
        <v>1234</v>
      </c>
      <c r="G3" s="358"/>
      <c r="H3" s="360"/>
      <c r="I3" s="358"/>
      <c r="J3" s="361"/>
      <c r="K3" s="357"/>
      <c r="L3" s="358"/>
      <c r="M3" s="358"/>
      <c r="N3" s="358"/>
      <c r="O3" s="357"/>
      <c r="P3" s="358"/>
      <c r="Q3" s="358"/>
      <c r="R3" s="358"/>
      <c r="S3" s="356"/>
      <c r="T3" s="357"/>
      <c r="U3" s="359">
        <v>1234</v>
      </c>
      <c r="V3" s="358"/>
      <c r="W3" s="361"/>
      <c r="X3" s="356"/>
      <c r="Y3" s="362"/>
      <c r="Z3" s="363"/>
      <c r="AA3" s="363"/>
      <c r="AB3" s="362"/>
      <c r="AC3" s="364">
        <v>2024</v>
      </c>
      <c r="AD3" s="364">
        <v>1234</v>
      </c>
      <c r="AE3" s="365"/>
      <c r="AF3" s="364">
        <v>1234</v>
      </c>
      <c r="AG3" s="356"/>
      <c r="AH3" s="356"/>
      <c r="AI3" s="356"/>
      <c r="AJ3" s="356"/>
      <c r="AK3" s="356"/>
      <c r="AL3" s="356"/>
      <c r="AM3" s="341"/>
      <c r="AN3" s="341"/>
    </row>
    <row r="4" spans="1:40" ht="22.5" hidden="1" customHeight="1" x14ac:dyDescent="0.2">
      <c r="A4" s="355">
        <v>45605.8312356713</v>
      </c>
      <c r="B4" s="365"/>
      <c r="C4" s="365"/>
      <c r="D4" s="366" t="str">
        <f t="shared" si="0"/>
        <v/>
      </c>
      <c r="E4" s="367"/>
      <c r="F4" s="368" t="s">
        <v>329</v>
      </c>
      <c r="G4" s="367"/>
      <c r="H4" s="360"/>
      <c r="I4" s="367"/>
      <c r="J4" s="369"/>
      <c r="K4" s="366"/>
      <c r="L4" s="367"/>
      <c r="M4" s="367"/>
      <c r="N4" s="367"/>
      <c r="O4" s="366"/>
      <c r="P4" s="367"/>
      <c r="Q4" s="367"/>
      <c r="R4" s="367"/>
      <c r="S4" s="365"/>
      <c r="T4" s="366"/>
      <c r="U4" s="368" t="s">
        <v>329</v>
      </c>
      <c r="V4" s="367"/>
      <c r="W4" s="369"/>
      <c r="X4" s="365"/>
      <c r="Y4" s="370"/>
      <c r="Z4" s="371"/>
      <c r="AA4" s="371"/>
      <c r="AB4" s="370"/>
      <c r="AC4" s="364">
        <v>2004</v>
      </c>
      <c r="AD4" s="372" t="s">
        <v>329</v>
      </c>
      <c r="AE4" s="372" t="s">
        <v>329</v>
      </c>
      <c r="AF4" s="365"/>
      <c r="AG4" s="365"/>
      <c r="AH4" s="365"/>
      <c r="AI4" s="365"/>
      <c r="AJ4" s="365"/>
      <c r="AK4" s="365"/>
      <c r="AL4" s="365"/>
      <c r="AM4" s="341"/>
      <c r="AN4" s="341"/>
    </row>
    <row r="5" spans="1:40" ht="22.5" hidden="1" customHeight="1" x14ac:dyDescent="0.2">
      <c r="A5" s="355">
        <v>45605.844600104167</v>
      </c>
      <c r="B5" s="356"/>
      <c r="C5" s="356"/>
      <c r="D5" s="357" t="str">
        <f t="shared" si="0"/>
        <v/>
      </c>
      <c r="E5" s="358"/>
      <c r="F5" s="359">
        <v>1243</v>
      </c>
      <c r="G5" s="358"/>
      <c r="H5" s="373" t="s">
        <v>331</v>
      </c>
      <c r="I5" s="358"/>
      <c r="J5" s="361"/>
      <c r="K5" s="357"/>
      <c r="L5" s="358"/>
      <c r="M5" s="358"/>
      <c r="N5" s="358"/>
      <c r="O5" s="357"/>
      <c r="P5" s="358"/>
      <c r="Q5" s="358"/>
      <c r="R5" s="358"/>
      <c r="S5" s="356"/>
      <c r="T5" s="357"/>
      <c r="U5" s="359">
        <v>1111</v>
      </c>
      <c r="V5" s="358"/>
      <c r="W5" s="361"/>
      <c r="X5" s="364" t="s">
        <v>332</v>
      </c>
      <c r="Y5" s="362"/>
      <c r="Z5" s="363"/>
      <c r="AA5" s="363"/>
      <c r="AB5" s="362"/>
      <c r="AC5" s="364">
        <v>2024</v>
      </c>
      <c r="AD5" s="365"/>
      <c r="AE5" s="364">
        <v>1235</v>
      </c>
      <c r="AF5" s="365"/>
      <c r="AG5" s="364" t="s">
        <v>333</v>
      </c>
      <c r="AH5" s="356"/>
      <c r="AI5" s="356"/>
      <c r="AJ5" s="356"/>
      <c r="AK5" s="356"/>
      <c r="AL5" s="356"/>
      <c r="AM5" s="341"/>
      <c r="AN5" s="341"/>
    </row>
    <row r="6" spans="1:40" ht="22.5" hidden="1" customHeight="1" x14ac:dyDescent="0.2">
      <c r="A6" s="355">
        <v>45605.867707673606</v>
      </c>
      <c r="B6" s="356"/>
      <c r="C6" s="356"/>
      <c r="D6" s="357" t="str">
        <f t="shared" si="0"/>
        <v/>
      </c>
      <c r="E6" s="358"/>
      <c r="F6" s="359">
        <v>543278</v>
      </c>
      <c r="G6" s="358"/>
      <c r="H6" s="373" t="s">
        <v>334</v>
      </c>
      <c r="I6" s="358"/>
      <c r="J6" s="361"/>
      <c r="K6" s="357"/>
      <c r="L6" s="358"/>
      <c r="M6" s="358"/>
      <c r="N6" s="358"/>
      <c r="O6" s="357"/>
      <c r="P6" s="358"/>
      <c r="Q6" s="358"/>
      <c r="R6" s="358"/>
      <c r="S6" s="356"/>
      <c r="T6" s="357"/>
      <c r="U6" s="359">
        <v>586</v>
      </c>
      <c r="V6" s="358"/>
      <c r="W6" s="361"/>
      <c r="X6" s="364" t="s">
        <v>336</v>
      </c>
      <c r="Y6" s="362"/>
      <c r="Z6" s="363"/>
      <c r="AA6" s="363"/>
      <c r="AB6" s="362"/>
      <c r="AC6" s="364">
        <v>1998</v>
      </c>
      <c r="AD6" s="364">
        <v>3572</v>
      </c>
      <c r="AE6" s="364">
        <v>245</v>
      </c>
      <c r="AF6" s="364">
        <v>3573</v>
      </c>
      <c r="AG6" s="364" t="s">
        <v>337</v>
      </c>
      <c r="AH6" s="356"/>
      <c r="AI6" s="356"/>
      <c r="AJ6" s="356"/>
      <c r="AK6" s="356"/>
      <c r="AL6" s="356"/>
      <c r="AM6" s="341"/>
      <c r="AN6" s="341"/>
    </row>
    <row r="7" spans="1:40" ht="22.5" hidden="1" customHeight="1" x14ac:dyDescent="0.2">
      <c r="A7" s="355">
        <v>45671.395715960651</v>
      </c>
      <c r="B7" s="364" t="s">
        <v>291</v>
      </c>
      <c r="C7" s="364" t="s">
        <v>338</v>
      </c>
      <c r="D7" s="366" t="str">
        <f t="shared" si="0"/>
        <v/>
      </c>
      <c r="E7" s="367"/>
      <c r="F7" s="367"/>
      <c r="G7" s="367"/>
      <c r="H7" s="360"/>
      <c r="I7" s="367"/>
      <c r="J7" s="361"/>
      <c r="K7" s="366"/>
      <c r="L7" s="367"/>
      <c r="M7" s="367"/>
      <c r="N7" s="367"/>
      <c r="O7" s="366"/>
      <c r="P7" s="367"/>
      <c r="Q7" s="367"/>
      <c r="R7" s="367"/>
      <c r="S7" s="356"/>
      <c r="T7" s="374">
        <v>1232</v>
      </c>
      <c r="U7" s="359">
        <v>133</v>
      </c>
      <c r="V7" s="359">
        <v>123</v>
      </c>
      <c r="W7" s="375">
        <v>123</v>
      </c>
      <c r="X7" s="364" t="s">
        <v>339</v>
      </c>
      <c r="Y7" s="362"/>
      <c r="Z7" s="363"/>
      <c r="AA7" s="363"/>
      <c r="AB7" s="362"/>
      <c r="AC7" s="365"/>
      <c r="AD7" s="365"/>
      <c r="AE7" s="365"/>
      <c r="AF7" s="365"/>
      <c r="AG7" s="364" t="s">
        <v>337</v>
      </c>
      <c r="AH7" s="365"/>
      <c r="AI7" s="365"/>
      <c r="AJ7" s="365"/>
      <c r="AK7" s="365"/>
      <c r="AL7" s="365"/>
      <c r="AM7" s="341"/>
      <c r="AN7" s="341"/>
    </row>
    <row r="8" spans="1:40" ht="22.5" hidden="1" customHeight="1" x14ac:dyDescent="0.2">
      <c r="A8" s="376">
        <v>45671.472280381946</v>
      </c>
      <c r="B8" s="377" t="s">
        <v>56</v>
      </c>
      <c r="C8" s="377" t="s">
        <v>338</v>
      </c>
      <c r="D8" s="378" t="str">
        <f t="shared" si="0"/>
        <v>2014</v>
      </c>
      <c r="E8" s="379" t="s">
        <v>341</v>
      </c>
      <c r="F8" s="380">
        <v>34844</v>
      </c>
      <c r="G8" s="380">
        <v>932</v>
      </c>
      <c r="H8" s="381" t="s">
        <v>342</v>
      </c>
      <c r="I8" s="380">
        <v>97</v>
      </c>
      <c r="J8" s="382"/>
      <c r="K8" s="383"/>
      <c r="L8" s="384"/>
      <c r="M8" s="384"/>
      <c r="N8" s="384"/>
      <c r="O8" s="383"/>
      <c r="P8" s="384"/>
      <c r="Q8" s="384"/>
      <c r="R8" s="384"/>
      <c r="S8" s="385"/>
      <c r="T8" s="383"/>
      <c r="U8" s="384"/>
      <c r="V8" s="384"/>
      <c r="W8" s="382"/>
      <c r="X8" s="377" t="s">
        <v>343</v>
      </c>
      <c r="Y8" s="370"/>
      <c r="Z8" s="370"/>
      <c r="AA8" s="370"/>
      <c r="AB8" s="370"/>
      <c r="AC8" s="385"/>
      <c r="AD8" s="385"/>
      <c r="AE8" s="385"/>
      <c r="AF8" s="385"/>
      <c r="AG8" s="377" t="s">
        <v>337</v>
      </c>
      <c r="AH8" s="385"/>
      <c r="AI8" s="385"/>
      <c r="AJ8" s="385"/>
      <c r="AK8" s="385"/>
      <c r="AL8" s="385"/>
      <c r="AM8" s="387"/>
      <c r="AN8" s="387"/>
    </row>
    <row r="9" spans="1:40" ht="22.5" hidden="1" customHeight="1" x14ac:dyDescent="0.2">
      <c r="A9" s="376">
        <v>45671.476289687504</v>
      </c>
      <c r="B9" s="377" t="s">
        <v>56</v>
      </c>
      <c r="C9" s="377" t="s">
        <v>338</v>
      </c>
      <c r="D9" s="378" t="str">
        <f t="shared" si="0"/>
        <v>2014</v>
      </c>
      <c r="E9" s="379" t="s">
        <v>344</v>
      </c>
      <c r="F9" s="380">
        <v>35899</v>
      </c>
      <c r="G9" s="380">
        <v>11011</v>
      </c>
      <c r="H9" s="381" t="s">
        <v>345</v>
      </c>
      <c r="I9" s="380">
        <v>950</v>
      </c>
      <c r="J9" s="382"/>
      <c r="K9" s="383"/>
      <c r="L9" s="384"/>
      <c r="M9" s="384"/>
      <c r="N9" s="384"/>
      <c r="O9" s="383"/>
      <c r="P9" s="384"/>
      <c r="Q9" s="384"/>
      <c r="R9" s="384"/>
      <c r="S9" s="385"/>
      <c r="T9" s="383"/>
      <c r="U9" s="384"/>
      <c r="V9" s="384"/>
      <c r="W9" s="382"/>
      <c r="X9" s="377" t="s">
        <v>347</v>
      </c>
      <c r="Y9" s="370"/>
      <c r="Z9" s="370"/>
      <c r="AA9" s="370"/>
      <c r="AB9" s="370"/>
      <c r="AC9" s="385"/>
      <c r="AD9" s="385"/>
      <c r="AE9" s="385"/>
      <c r="AF9" s="385"/>
      <c r="AG9" s="377" t="s">
        <v>337</v>
      </c>
      <c r="AH9" s="385"/>
      <c r="AI9" s="385"/>
      <c r="AJ9" s="385"/>
      <c r="AK9" s="385"/>
      <c r="AL9" s="385"/>
      <c r="AM9" s="387"/>
      <c r="AN9" s="387"/>
    </row>
    <row r="10" spans="1:40" ht="22.5" hidden="1" customHeight="1" x14ac:dyDescent="0.2">
      <c r="A10" s="376">
        <v>45671.508670254625</v>
      </c>
      <c r="B10" s="377" t="s">
        <v>56</v>
      </c>
      <c r="C10" s="377" t="s">
        <v>338</v>
      </c>
      <c r="D10" s="378" t="str">
        <f t="shared" si="0"/>
        <v>2017</v>
      </c>
      <c r="E10" s="379" t="s">
        <v>348</v>
      </c>
      <c r="F10" s="380">
        <v>45534</v>
      </c>
      <c r="G10" s="380">
        <v>26</v>
      </c>
      <c r="H10" s="379" t="s">
        <v>349</v>
      </c>
      <c r="I10" s="379" t="s">
        <v>350</v>
      </c>
      <c r="J10" s="382"/>
      <c r="K10" s="383"/>
      <c r="L10" s="384"/>
      <c r="M10" s="384"/>
      <c r="N10" s="384"/>
      <c r="O10" s="383"/>
      <c r="P10" s="384"/>
      <c r="Q10" s="384"/>
      <c r="R10" s="384"/>
      <c r="S10" s="385"/>
      <c r="T10" s="383"/>
      <c r="U10" s="384"/>
      <c r="V10" s="384"/>
      <c r="W10" s="382"/>
      <c r="X10" s="377" t="s">
        <v>347</v>
      </c>
      <c r="Y10" s="370"/>
      <c r="Z10" s="370"/>
      <c r="AA10" s="370"/>
      <c r="AB10" s="370"/>
      <c r="AC10" s="385"/>
      <c r="AD10" s="385"/>
      <c r="AE10" s="385"/>
      <c r="AF10" s="385"/>
      <c r="AG10" s="377" t="s">
        <v>337</v>
      </c>
      <c r="AH10" s="385"/>
      <c r="AI10" s="385"/>
      <c r="AJ10" s="385"/>
      <c r="AK10" s="385"/>
      <c r="AL10" s="385"/>
      <c r="AM10" s="387"/>
      <c r="AN10" s="387"/>
    </row>
    <row r="11" spans="1:40" ht="22.5" hidden="1" customHeight="1" x14ac:dyDescent="0.2">
      <c r="A11" s="376">
        <v>45671.568407303239</v>
      </c>
      <c r="B11" s="377" t="s">
        <v>351</v>
      </c>
      <c r="C11" s="377" t="s">
        <v>352</v>
      </c>
      <c r="D11" s="383" t="str">
        <f t="shared" si="0"/>
        <v/>
      </c>
      <c r="E11" s="384"/>
      <c r="F11" s="384"/>
      <c r="G11" s="384"/>
      <c r="H11" s="388"/>
      <c r="I11" s="384"/>
      <c r="J11" s="382"/>
      <c r="K11" s="389" t="s">
        <v>353</v>
      </c>
      <c r="L11" s="380">
        <v>16382</v>
      </c>
      <c r="M11" s="380">
        <v>143</v>
      </c>
      <c r="N11" s="380">
        <v>109</v>
      </c>
      <c r="O11" s="383"/>
      <c r="P11" s="384"/>
      <c r="Q11" s="384"/>
      <c r="R11" s="384"/>
      <c r="S11" s="385"/>
      <c r="T11" s="383"/>
      <c r="U11" s="384"/>
      <c r="V11" s="384"/>
      <c r="W11" s="382"/>
      <c r="X11" s="377" t="s">
        <v>343</v>
      </c>
      <c r="Y11" s="370"/>
      <c r="Z11" s="370"/>
      <c r="AA11" s="370"/>
      <c r="AB11" s="370"/>
      <c r="AC11" s="385"/>
      <c r="AD11" s="385"/>
      <c r="AE11" s="385"/>
      <c r="AF11" s="377" t="s">
        <v>354</v>
      </c>
      <c r="AG11" s="377" t="s">
        <v>337</v>
      </c>
      <c r="AH11" s="385"/>
      <c r="AI11" s="385"/>
      <c r="AJ11" s="385"/>
      <c r="AK11" s="385"/>
      <c r="AL11" s="385"/>
      <c r="AM11" s="387"/>
      <c r="AN11" s="387"/>
    </row>
    <row r="12" spans="1:40" ht="22.5" hidden="1" customHeight="1" x14ac:dyDescent="0.2">
      <c r="A12" s="376">
        <v>45671.569294212968</v>
      </c>
      <c r="B12" s="377" t="s">
        <v>351</v>
      </c>
      <c r="C12" s="377" t="s">
        <v>338</v>
      </c>
      <c r="D12" s="383" t="str">
        <f t="shared" si="0"/>
        <v/>
      </c>
      <c r="E12" s="384"/>
      <c r="F12" s="384"/>
      <c r="G12" s="384"/>
      <c r="H12" s="388"/>
      <c r="I12" s="384"/>
      <c r="J12" s="382"/>
      <c r="K12" s="389" t="s">
        <v>355</v>
      </c>
      <c r="L12" s="380">
        <v>8088</v>
      </c>
      <c r="M12" s="380">
        <v>1826</v>
      </c>
      <c r="N12" s="380">
        <v>763</v>
      </c>
      <c r="O12" s="383"/>
      <c r="P12" s="384"/>
      <c r="Q12" s="384"/>
      <c r="R12" s="384"/>
      <c r="S12" s="385"/>
      <c r="T12" s="383"/>
      <c r="U12" s="384"/>
      <c r="V12" s="384"/>
      <c r="W12" s="382"/>
      <c r="X12" s="377" t="s">
        <v>343</v>
      </c>
      <c r="Y12" s="370"/>
      <c r="Z12" s="370"/>
      <c r="AA12" s="370"/>
      <c r="AB12" s="370"/>
      <c r="AC12" s="385"/>
      <c r="AD12" s="385"/>
      <c r="AE12" s="385"/>
      <c r="AF12" s="385"/>
      <c r="AG12" s="377" t="s">
        <v>337</v>
      </c>
      <c r="AH12" s="385"/>
      <c r="AI12" s="385"/>
      <c r="AJ12" s="385"/>
      <c r="AK12" s="385"/>
      <c r="AL12" s="385"/>
      <c r="AM12" s="387"/>
      <c r="AN12" s="387"/>
    </row>
    <row r="13" spans="1:40" ht="22.5" hidden="1" customHeight="1" x14ac:dyDescent="0.2">
      <c r="A13" s="376">
        <v>45671.570055370372</v>
      </c>
      <c r="B13" s="377" t="s">
        <v>351</v>
      </c>
      <c r="C13" s="377" t="s">
        <v>338</v>
      </c>
      <c r="D13" s="383" t="str">
        <f t="shared" si="0"/>
        <v/>
      </c>
      <c r="E13" s="384"/>
      <c r="F13" s="384"/>
      <c r="G13" s="384"/>
      <c r="H13" s="388"/>
      <c r="I13" s="384"/>
      <c r="J13" s="382"/>
      <c r="K13" s="389" t="s">
        <v>356</v>
      </c>
      <c r="L13" s="380">
        <v>11085</v>
      </c>
      <c r="M13" s="380">
        <v>2115</v>
      </c>
      <c r="N13" s="380">
        <v>725</v>
      </c>
      <c r="O13" s="383"/>
      <c r="P13" s="384"/>
      <c r="Q13" s="384"/>
      <c r="R13" s="384"/>
      <c r="S13" s="385"/>
      <c r="T13" s="383"/>
      <c r="U13" s="384"/>
      <c r="V13" s="384"/>
      <c r="W13" s="382"/>
      <c r="X13" s="377" t="s">
        <v>343</v>
      </c>
      <c r="Y13" s="370"/>
      <c r="Z13" s="370"/>
      <c r="AA13" s="370"/>
      <c r="AB13" s="370"/>
      <c r="AC13" s="385"/>
      <c r="AD13" s="385"/>
      <c r="AE13" s="385"/>
      <c r="AF13" s="385"/>
      <c r="AG13" s="377" t="s">
        <v>337</v>
      </c>
      <c r="AH13" s="385"/>
      <c r="AI13" s="385"/>
      <c r="AJ13" s="385"/>
      <c r="AK13" s="385"/>
      <c r="AL13" s="385"/>
      <c r="AM13" s="387"/>
      <c r="AN13" s="387"/>
    </row>
    <row r="14" spans="1:40" ht="22.5" hidden="1" customHeight="1" x14ac:dyDescent="0.2">
      <c r="A14" s="376">
        <v>45671.570889571754</v>
      </c>
      <c r="B14" s="377" t="s">
        <v>56</v>
      </c>
      <c r="C14" s="377" t="s">
        <v>338</v>
      </c>
      <c r="D14" s="378" t="str">
        <f t="shared" si="0"/>
        <v>2018</v>
      </c>
      <c r="E14" s="379" t="s">
        <v>357</v>
      </c>
      <c r="F14" s="380">
        <v>51659</v>
      </c>
      <c r="G14" s="380">
        <v>8228</v>
      </c>
      <c r="H14" s="381" t="s">
        <v>358</v>
      </c>
      <c r="I14" s="380" t="s">
        <v>359</v>
      </c>
      <c r="J14" s="390" t="s">
        <v>53</v>
      </c>
      <c r="K14" s="383"/>
      <c r="L14" s="384"/>
      <c r="M14" s="384"/>
      <c r="N14" s="384"/>
      <c r="O14" s="383"/>
      <c r="P14" s="384"/>
      <c r="Q14" s="384"/>
      <c r="R14" s="384"/>
      <c r="S14" s="391"/>
      <c r="T14" s="383"/>
      <c r="U14" s="384"/>
      <c r="V14" s="384"/>
      <c r="W14" s="382"/>
      <c r="X14" s="377" t="s">
        <v>343</v>
      </c>
      <c r="Y14" s="362"/>
      <c r="Z14" s="362"/>
      <c r="AA14" s="362"/>
      <c r="AB14" s="362"/>
      <c r="AC14" s="385"/>
      <c r="AD14" s="385"/>
      <c r="AE14" s="385"/>
      <c r="AF14" s="385"/>
      <c r="AG14" s="377" t="s">
        <v>337</v>
      </c>
      <c r="AH14" s="385"/>
      <c r="AI14" s="385"/>
      <c r="AJ14" s="385"/>
      <c r="AK14" s="385"/>
      <c r="AL14" s="385"/>
      <c r="AM14" s="387"/>
      <c r="AN14" s="387"/>
    </row>
    <row r="15" spans="1:40" ht="22.5" hidden="1" customHeight="1" x14ac:dyDescent="0.2">
      <c r="A15" s="376">
        <v>45681.56394172454</v>
      </c>
      <c r="B15" s="377" t="s">
        <v>56</v>
      </c>
      <c r="C15" s="377" t="s">
        <v>352</v>
      </c>
      <c r="D15" s="378" t="str">
        <f t="shared" si="0"/>
        <v>2022</v>
      </c>
      <c r="E15" s="379" t="s">
        <v>360</v>
      </c>
      <c r="F15" s="380">
        <v>64358</v>
      </c>
      <c r="G15" s="380">
        <v>7487</v>
      </c>
      <c r="H15" s="381" t="s">
        <v>361</v>
      </c>
      <c r="I15" s="380">
        <v>1450</v>
      </c>
      <c r="J15" s="390" t="s">
        <v>53</v>
      </c>
      <c r="K15" s="383"/>
      <c r="L15" s="384"/>
      <c r="M15" s="384"/>
      <c r="N15" s="384"/>
      <c r="O15" s="383"/>
      <c r="P15" s="384"/>
      <c r="Q15" s="384"/>
      <c r="R15" s="384"/>
      <c r="S15" s="391"/>
      <c r="T15" s="383"/>
      <c r="U15" s="384"/>
      <c r="V15" s="384"/>
      <c r="W15" s="382"/>
      <c r="X15" s="377" t="s">
        <v>343</v>
      </c>
      <c r="Y15" s="362"/>
      <c r="Z15" s="362"/>
      <c r="AA15" s="362"/>
      <c r="AB15" s="362"/>
      <c r="AC15" s="385"/>
      <c r="AD15" s="385"/>
      <c r="AE15" s="385"/>
      <c r="AF15" s="385"/>
      <c r="AG15" s="377" t="s">
        <v>337</v>
      </c>
      <c r="AH15" s="385"/>
      <c r="AI15" s="385"/>
      <c r="AJ15" s="385"/>
      <c r="AK15" s="385"/>
      <c r="AL15" s="385"/>
      <c r="AM15" s="387"/>
      <c r="AN15" s="387"/>
    </row>
    <row r="16" spans="1:40" ht="22.5" hidden="1" customHeight="1" x14ac:dyDescent="0.2">
      <c r="A16" s="376">
        <v>45681.564859826394</v>
      </c>
      <c r="B16" s="377" t="s">
        <v>56</v>
      </c>
      <c r="C16" s="377" t="s">
        <v>352</v>
      </c>
      <c r="D16" s="378" t="str">
        <f t="shared" si="0"/>
        <v>2019</v>
      </c>
      <c r="E16" s="379" t="s">
        <v>362</v>
      </c>
      <c r="F16" s="380">
        <v>57049</v>
      </c>
      <c r="G16" s="380">
        <v>13014</v>
      </c>
      <c r="H16" s="381" t="s">
        <v>363</v>
      </c>
      <c r="I16" s="380" t="s">
        <v>364</v>
      </c>
      <c r="J16" s="390" t="s">
        <v>53</v>
      </c>
      <c r="K16" s="383"/>
      <c r="L16" s="384"/>
      <c r="M16" s="384"/>
      <c r="N16" s="384"/>
      <c r="O16" s="383"/>
      <c r="P16" s="384"/>
      <c r="Q16" s="384"/>
      <c r="R16" s="384"/>
      <c r="S16" s="391"/>
      <c r="T16" s="383"/>
      <c r="U16" s="384"/>
      <c r="V16" s="384"/>
      <c r="W16" s="382"/>
      <c r="X16" s="377" t="s">
        <v>343</v>
      </c>
      <c r="Y16" s="362"/>
      <c r="Z16" s="362"/>
      <c r="AA16" s="362"/>
      <c r="AB16" s="362"/>
      <c r="AC16" s="385"/>
      <c r="AD16" s="385"/>
      <c r="AE16" s="385"/>
      <c r="AF16" s="385"/>
      <c r="AG16" s="377" t="s">
        <v>337</v>
      </c>
      <c r="AH16" s="385"/>
      <c r="AI16" s="385"/>
      <c r="AJ16" s="385"/>
      <c r="AK16" s="385"/>
      <c r="AL16" s="385"/>
      <c r="AM16" s="387"/>
      <c r="AN16" s="387"/>
    </row>
    <row r="17" spans="1:40" ht="22.5" hidden="1" customHeight="1" x14ac:dyDescent="0.2">
      <c r="A17" s="376">
        <v>45681.565531377317</v>
      </c>
      <c r="B17" s="377" t="s">
        <v>56</v>
      </c>
      <c r="C17" s="377" t="s">
        <v>352</v>
      </c>
      <c r="D17" s="378" t="str">
        <f t="shared" si="0"/>
        <v>2007</v>
      </c>
      <c r="E17" s="379" t="s">
        <v>365</v>
      </c>
      <c r="F17" s="380">
        <v>14515</v>
      </c>
      <c r="G17" s="380">
        <v>3896</v>
      </c>
      <c r="H17" s="381" t="s">
        <v>366</v>
      </c>
      <c r="I17" s="380">
        <v>503</v>
      </c>
      <c r="J17" s="390" t="s">
        <v>53</v>
      </c>
      <c r="K17" s="383"/>
      <c r="L17" s="384"/>
      <c r="M17" s="384"/>
      <c r="N17" s="384"/>
      <c r="O17" s="383"/>
      <c r="P17" s="384"/>
      <c r="Q17" s="384"/>
      <c r="R17" s="384"/>
      <c r="S17" s="391"/>
      <c r="T17" s="383"/>
      <c r="U17" s="384"/>
      <c r="V17" s="384"/>
      <c r="W17" s="382"/>
      <c r="X17" s="377" t="s">
        <v>343</v>
      </c>
      <c r="Y17" s="362"/>
      <c r="Z17" s="362"/>
      <c r="AA17" s="362"/>
      <c r="AB17" s="362"/>
      <c r="AC17" s="385"/>
      <c r="AD17" s="385"/>
      <c r="AE17" s="385"/>
      <c r="AF17" s="385"/>
      <c r="AG17" s="377" t="s">
        <v>337</v>
      </c>
      <c r="AH17" s="385"/>
      <c r="AI17" s="385"/>
      <c r="AJ17" s="385"/>
      <c r="AK17" s="385"/>
      <c r="AL17" s="385"/>
      <c r="AM17" s="387"/>
      <c r="AN17" s="387"/>
    </row>
    <row r="18" spans="1:40" ht="22.5" hidden="1" customHeight="1" x14ac:dyDescent="0.2">
      <c r="A18" s="376">
        <v>45681.566265613423</v>
      </c>
      <c r="B18" s="377" t="s">
        <v>56</v>
      </c>
      <c r="C18" s="377" t="s">
        <v>352</v>
      </c>
      <c r="D18" s="378" t="str">
        <f t="shared" si="0"/>
        <v>2017</v>
      </c>
      <c r="E18" s="379" t="s">
        <v>367</v>
      </c>
      <c r="F18" s="380">
        <v>49341</v>
      </c>
      <c r="G18" s="380">
        <v>15122</v>
      </c>
      <c r="H18" s="381" t="s">
        <v>368</v>
      </c>
      <c r="I18" s="380">
        <v>2921</v>
      </c>
      <c r="J18" s="390" t="s">
        <v>53</v>
      </c>
      <c r="K18" s="383"/>
      <c r="L18" s="384"/>
      <c r="M18" s="384"/>
      <c r="N18" s="384"/>
      <c r="O18" s="383"/>
      <c r="P18" s="384"/>
      <c r="Q18" s="384"/>
      <c r="R18" s="384"/>
      <c r="S18" s="391"/>
      <c r="T18" s="383"/>
      <c r="U18" s="384"/>
      <c r="V18" s="384"/>
      <c r="W18" s="382"/>
      <c r="X18" s="377" t="s">
        <v>343</v>
      </c>
      <c r="Y18" s="362"/>
      <c r="Z18" s="362"/>
      <c r="AA18" s="362"/>
      <c r="AB18" s="362"/>
      <c r="AC18" s="385"/>
      <c r="AD18" s="385"/>
      <c r="AE18" s="385"/>
      <c r="AF18" s="385"/>
      <c r="AG18" s="377" t="s">
        <v>337</v>
      </c>
      <c r="AH18" s="385"/>
      <c r="AI18" s="385"/>
      <c r="AJ18" s="385"/>
      <c r="AK18" s="385"/>
      <c r="AL18" s="385"/>
      <c r="AM18" s="387"/>
      <c r="AN18" s="387"/>
    </row>
    <row r="19" spans="1:40" ht="22.5" hidden="1" customHeight="1" x14ac:dyDescent="0.2">
      <c r="A19" s="376">
        <v>45685.504445462968</v>
      </c>
      <c r="B19" s="377" t="s">
        <v>56</v>
      </c>
      <c r="C19" s="377" t="s">
        <v>369</v>
      </c>
      <c r="D19" s="378" t="str">
        <f t="shared" si="0"/>
        <v>2014</v>
      </c>
      <c r="E19" s="379" t="s">
        <v>370</v>
      </c>
      <c r="F19" s="380">
        <v>36382</v>
      </c>
      <c r="G19" s="380">
        <v>13272</v>
      </c>
      <c r="H19" s="381" t="s">
        <v>371</v>
      </c>
      <c r="I19" s="380">
        <v>1175</v>
      </c>
      <c r="J19" s="390" t="s">
        <v>53</v>
      </c>
      <c r="K19" s="383"/>
      <c r="L19" s="384"/>
      <c r="M19" s="384"/>
      <c r="N19" s="384"/>
      <c r="O19" s="383"/>
      <c r="P19" s="384"/>
      <c r="Q19" s="384"/>
      <c r="R19" s="384"/>
      <c r="S19" s="391"/>
      <c r="T19" s="383"/>
      <c r="U19" s="384"/>
      <c r="V19" s="384"/>
      <c r="W19" s="382"/>
      <c r="X19" s="377" t="s">
        <v>343</v>
      </c>
      <c r="Y19" s="362"/>
      <c r="Z19" s="362"/>
      <c r="AA19" s="362"/>
      <c r="AB19" s="362"/>
      <c r="AC19" s="385"/>
      <c r="AD19" s="385"/>
      <c r="AE19" s="385"/>
      <c r="AF19" s="385"/>
      <c r="AG19" s="377" t="s">
        <v>337</v>
      </c>
      <c r="AH19" s="385"/>
      <c r="AI19" s="385"/>
      <c r="AJ19" s="385"/>
      <c r="AK19" s="385"/>
      <c r="AL19" s="385"/>
      <c r="AM19" s="387"/>
      <c r="AN19" s="387"/>
    </row>
    <row r="20" spans="1:40" ht="22.5" hidden="1" customHeight="1" x14ac:dyDescent="0.2">
      <c r="A20" s="393">
        <v>45686.471215254627</v>
      </c>
      <c r="B20" s="394" t="s">
        <v>56</v>
      </c>
      <c r="C20" s="394" t="s">
        <v>352</v>
      </c>
      <c r="D20" s="395" t="str">
        <f t="shared" si="0"/>
        <v>2000</v>
      </c>
      <c r="E20" s="396" t="s">
        <v>372</v>
      </c>
      <c r="F20" s="397">
        <v>4670</v>
      </c>
      <c r="G20" s="397">
        <v>12763</v>
      </c>
      <c r="H20" s="398" t="s">
        <v>373</v>
      </c>
      <c r="I20" s="397">
        <v>1916</v>
      </c>
      <c r="J20" s="399" t="s">
        <v>53</v>
      </c>
      <c r="K20" s="400"/>
      <c r="L20" s="401"/>
      <c r="M20" s="401"/>
      <c r="N20" s="401"/>
      <c r="O20" s="400"/>
      <c r="P20" s="401"/>
      <c r="Q20" s="401"/>
      <c r="R20" s="401"/>
      <c r="S20" s="402"/>
      <c r="T20" s="400"/>
      <c r="U20" s="401"/>
      <c r="V20" s="401"/>
      <c r="W20" s="403"/>
      <c r="X20" s="394" t="s">
        <v>343</v>
      </c>
      <c r="Y20" s="362"/>
      <c r="Z20" s="362"/>
      <c r="AA20" s="362"/>
      <c r="AB20" s="362"/>
      <c r="AC20" s="404"/>
      <c r="AD20" s="404"/>
      <c r="AE20" s="404"/>
      <c r="AF20" s="404"/>
      <c r="AG20" s="394" t="s">
        <v>337</v>
      </c>
      <c r="AH20" s="404"/>
      <c r="AI20" s="404"/>
      <c r="AJ20" s="404"/>
      <c r="AK20" s="404"/>
      <c r="AL20" s="404"/>
      <c r="AM20" s="405"/>
      <c r="AN20" s="405"/>
    </row>
    <row r="21" spans="1:40" ht="22.5" hidden="1" customHeight="1" x14ac:dyDescent="0.2">
      <c r="A21" s="406">
        <v>45687.719042488425</v>
      </c>
      <c r="B21" s="377" t="s">
        <v>291</v>
      </c>
      <c r="C21" s="377" t="s">
        <v>352</v>
      </c>
      <c r="D21" s="383" t="str">
        <f t="shared" si="0"/>
        <v/>
      </c>
      <c r="E21" s="384"/>
      <c r="F21" s="407"/>
      <c r="G21" s="384"/>
      <c r="H21" s="408"/>
      <c r="I21" s="384"/>
      <c r="J21" s="382"/>
      <c r="K21" s="383"/>
      <c r="L21" s="384"/>
      <c r="M21" s="384"/>
      <c r="N21" s="384"/>
      <c r="O21" s="383"/>
      <c r="P21" s="384"/>
      <c r="Q21" s="384"/>
      <c r="R21" s="384"/>
      <c r="S21" s="385"/>
      <c r="T21" s="389" t="s">
        <v>374</v>
      </c>
      <c r="U21" s="409">
        <v>1115</v>
      </c>
      <c r="V21" s="380">
        <v>39636</v>
      </c>
      <c r="W21" s="390">
        <v>6602</v>
      </c>
      <c r="X21" s="410" t="s">
        <v>343</v>
      </c>
      <c r="Y21" s="370"/>
      <c r="Z21" s="370"/>
      <c r="AA21" s="370"/>
      <c r="AB21" s="370"/>
      <c r="AC21" s="411"/>
      <c r="AD21" s="411"/>
      <c r="AE21" s="411"/>
      <c r="AF21" s="411"/>
      <c r="AG21" s="410" t="s">
        <v>337</v>
      </c>
      <c r="AH21" s="385"/>
      <c r="AI21" s="385"/>
      <c r="AJ21" s="385"/>
      <c r="AK21" s="385"/>
      <c r="AL21" s="385"/>
      <c r="AM21" s="387"/>
      <c r="AN21" s="387"/>
    </row>
    <row r="22" spans="1:40" ht="22.5" hidden="1" customHeight="1" x14ac:dyDescent="0.2">
      <c r="A22" s="406">
        <v>45687.719894097223</v>
      </c>
      <c r="B22" s="377" t="s">
        <v>56</v>
      </c>
      <c r="C22" s="377" t="s">
        <v>352</v>
      </c>
      <c r="D22" s="378" t="str">
        <f t="shared" si="0"/>
        <v>2015</v>
      </c>
      <c r="E22" s="379" t="s">
        <v>375</v>
      </c>
      <c r="F22" s="409">
        <v>38555</v>
      </c>
      <c r="G22" s="380">
        <v>1049</v>
      </c>
      <c r="H22" s="412" t="s">
        <v>376</v>
      </c>
      <c r="I22" s="380">
        <v>184</v>
      </c>
      <c r="J22" s="390" t="s">
        <v>53</v>
      </c>
      <c r="K22" s="383"/>
      <c r="L22" s="384"/>
      <c r="M22" s="384"/>
      <c r="N22" s="384"/>
      <c r="O22" s="383"/>
      <c r="P22" s="384"/>
      <c r="Q22" s="384"/>
      <c r="R22" s="384"/>
      <c r="S22" s="391"/>
      <c r="T22" s="383"/>
      <c r="U22" s="407"/>
      <c r="V22" s="384"/>
      <c r="W22" s="382"/>
      <c r="X22" s="410" t="s">
        <v>343</v>
      </c>
      <c r="Y22" s="362"/>
      <c r="Z22" s="362"/>
      <c r="AA22" s="362"/>
      <c r="AB22" s="362"/>
      <c r="AC22" s="411"/>
      <c r="AD22" s="411"/>
      <c r="AE22" s="411"/>
      <c r="AF22" s="411"/>
      <c r="AG22" s="410" t="s">
        <v>337</v>
      </c>
      <c r="AH22" s="385"/>
      <c r="AI22" s="385"/>
      <c r="AJ22" s="385"/>
      <c r="AK22" s="385"/>
      <c r="AL22" s="385"/>
      <c r="AM22" s="387"/>
      <c r="AN22" s="387"/>
    </row>
    <row r="23" spans="1:40" ht="22.5" hidden="1" customHeight="1" x14ac:dyDescent="0.2">
      <c r="A23" s="376">
        <v>45691.432052245371</v>
      </c>
      <c r="B23" s="377" t="s">
        <v>56</v>
      </c>
      <c r="C23" s="377" t="s">
        <v>352</v>
      </c>
      <c r="D23" s="378" t="str">
        <f t="shared" si="0"/>
        <v>2004</v>
      </c>
      <c r="E23" s="379" t="s">
        <v>377</v>
      </c>
      <c r="F23" s="380">
        <v>9040</v>
      </c>
      <c r="G23" s="380">
        <v>8626</v>
      </c>
      <c r="H23" s="381" t="s">
        <v>378</v>
      </c>
      <c r="I23" s="380">
        <v>1458</v>
      </c>
      <c r="J23" s="390" t="s">
        <v>53</v>
      </c>
      <c r="K23" s="383"/>
      <c r="L23" s="384"/>
      <c r="M23" s="384"/>
      <c r="N23" s="384"/>
      <c r="O23" s="383"/>
      <c r="P23" s="384"/>
      <c r="Q23" s="384"/>
      <c r="R23" s="384"/>
      <c r="S23" s="391"/>
      <c r="T23" s="383"/>
      <c r="U23" s="384"/>
      <c r="V23" s="384"/>
      <c r="W23" s="382"/>
      <c r="X23" s="377" t="s">
        <v>343</v>
      </c>
      <c r="Y23" s="362"/>
      <c r="Z23" s="362"/>
      <c r="AA23" s="362"/>
      <c r="AB23" s="362"/>
      <c r="AC23" s="385"/>
      <c r="AD23" s="385"/>
      <c r="AE23" s="385"/>
      <c r="AF23" s="385"/>
      <c r="AG23" s="377" t="s">
        <v>337</v>
      </c>
      <c r="AH23" s="385"/>
      <c r="AI23" s="385"/>
      <c r="AJ23" s="385"/>
      <c r="AK23" s="385"/>
      <c r="AL23" s="385"/>
      <c r="AM23" s="387"/>
      <c r="AN23" s="387"/>
    </row>
    <row r="24" spans="1:40" ht="22.5" hidden="1" customHeight="1" x14ac:dyDescent="0.2">
      <c r="A24" s="376">
        <v>45691.441009386574</v>
      </c>
      <c r="B24" s="377" t="s">
        <v>56</v>
      </c>
      <c r="C24" s="377" t="s">
        <v>352</v>
      </c>
      <c r="D24" s="378" t="str">
        <f t="shared" si="0"/>
        <v>2003</v>
      </c>
      <c r="E24" s="379" t="s">
        <v>379</v>
      </c>
      <c r="F24" s="380">
        <v>7878</v>
      </c>
      <c r="G24" s="380">
        <v>2586</v>
      </c>
      <c r="H24" s="381" t="s">
        <v>380</v>
      </c>
      <c r="I24" s="380">
        <v>439</v>
      </c>
      <c r="J24" s="390" t="s">
        <v>53</v>
      </c>
      <c r="K24" s="383"/>
      <c r="L24" s="384"/>
      <c r="M24" s="384"/>
      <c r="N24" s="384"/>
      <c r="O24" s="383"/>
      <c r="P24" s="384"/>
      <c r="Q24" s="384"/>
      <c r="R24" s="384"/>
      <c r="S24" s="391"/>
      <c r="T24" s="383"/>
      <c r="U24" s="384"/>
      <c r="V24" s="384"/>
      <c r="W24" s="382"/>
      <c r="X24" s="377" t="s">
        <v>343</v>
      </c>
      <c r="Y24" s="362"/>
      <c r="Z24" s="362"/>
      <c r="AA24" s="362"/>
      <c r="AB24" s="362"/>
      <c r="AC24" s="385"/>
      <c r="AD24" s="385"/>
      <c r="AE24" s="385"/>
      <c r="AF24" s="385"/>
      <c r="AG24" s="377" t="s">
        <v>337</v>
      </c>
      <c r="AH24" s="385"/>
      <c r="AI24" s="385"/>
      <c r="AJ24" s="385"/>
      <c r="AK24" s="385"/>
      <c r="AL24" s="385"/>
      <c r="AM24" s="387"/>
      <c r="AN24" s="387"/>
    </row>
    <row r="25" spans="1:40" ht="22.5" hidden="1" customHeight="1" x14ac:dyDescent="0.2">
      <c r="A25" s="376">
        <v>45692.711323506941</v>
      </c>
      <c r="B25" s="377" t="s">
        <v>56</v>
      </c>
      <c r="C25" s="377" t="s">
        <v>381</v>
      </c>
      <c r="D25" s="378" t="str">
        <f t="shared" si="0"/>
        <v>2022</v>
      </c>
      <c r="E25" s="379" t="s">
        <v>382</v>
      </c>
      <c r="F25" s="380">
        <v>62704</v>
      </c>
      <c r="G25" s="380">
        <v>2282</v>
      </c>
      <c r="H25" s="381" t="s">
        <v>383</v>
      </c>
      <c r="I25" s="380">
        <v>450</v>
      </c>
      <c r="J25" s="390" t="s">
        <v>53</v>
      </c>
      <c r="K25" s="383"/>
      <c r="L25" s="384"/>
      <c r="M25" s="384"/>
      <c r="N25" s="384"/>
      <c r="O25" s="383"/>
      <c r="P25" s="384"/>
      <c r="Q25" s="384"/>
      <c r="R25" s="384"/>
      <c r="S25" s="391"/>
      <c r="T25" s="383"/>
      <c r="U25" s="384"/>
      <c r="V25" s="384"/>
      <c r="W25" s="382"/>
      <c r="X25" s="377" t="s">
        <v>343</v>
      </c>
      <c r="Y25" s="362"/>
      <c r="Z25" s="362"/>
      <c r="AA25" s="362"/>
      <c r="AB25" s="362"/>
      <c r="AC25" s="385"/>
      <c r="AD25" s="385"/>
      <c r="AE25" s="385"/>
      <c r="AF25" s="385"/>
      <c r="AG25" s="377" t="s">
        <v>337</v>
      </c>
      <c r="AH25" s="385"/>
      <c r="AI25" s="385"/>
      <c r="AJ25" s="385"/>
      <c r="AK25" s="385"/>
      <c r="AL25" s="385"/>
      <c r="AM25" s="387"/>
      <c r="AN25" s="387"/>
    </row>
    <row r="26" spans="1:40" ht="22.5" hidden="1" customHeight="1" x14ac:dyDescent="0.2">
      <c r="A26" s="376">
        <v>45695.718988854162</v>
      </c>
      <c r="B26" s="377" t="s">
        <v>291</v>
      </c>
      <c r="C26" s="377" t="s">
        <v>381</v>
      </c>
      <c r="D26" s="383" t="str">
        <f t="shared" si="0"/>
        <v/>
      </c>
      <c r="E26" s="384"/>
      <c r="F26" s="384"/>
      <c r="G26" s="384"/>
      <c r="H26" s="388"/>
      <c r="I26" s="384"/>
      <c r="J26" s="382"/>
      <c r="K26" s="383"/>
      <c r="L26" s="384"/>
      <c r="M26" s="384"/>
      <c r="N26" s="384"/>
      <c r="O26" s="383"/>
      <c r="P26" s="384"/>
      <c r="Q26" s="384"/>
      <c r="R26" s="384"/>
      <c r="S26" s="385"/>
      <c r="T26" s="389" t="s">
        <v>384</v>
      </c>
      <c r="U26" s="380">
        <v>1868</v>
      </c>
      <c r="V26" s="380">
        <v>47931</v>
      </c>
      <c r="W26" s="390">
        <v>9568</v>
      </c>
      <c r="X26" s="377" t="s">
        <v>385</v>
      </c>
      <c r="Y26" s="370"/>
      <c r="Z26" s="370"/>
      <c r="AA26" s="370"/>
      <c r="AB26" s="370"/>
      <c r="AC26" s="385"/>
      <c r="AD26" s="385"/>
      <c r="AE26" s="385"/>
      <c r="AF26" s="385"/>
      <c r="AG26" s="377" t="s">
        <v>337</v>
      </c>
      <c r="AH26" s="385"/>
      <c r="AI26" s="385"/>
      <c r="AJ26" s="385"/>
      <c r="AK26" s="385"/>
      <c r="AL26" s="385"/>
      <c r="AM26" s="387"/>
      <c r="AN26" s="387"/>
    </row>
    <row r="27" spans="1:40" ht="22.5" hidden="1" customHeight="1" x14ac:dyDescent="0.2">
      <c r="A27" s="376">
        <v>45695.719497349535</v>
      </c>
      <c r="B27" s="377" t="s">
        <v>291</v>
      </c>
      <c r="C27" s="377" t="s">
        <v>381</v>
      </c>
      <c r="D27" s="383" t="str">
        <f t="shared" si="0"/>
        <v/>
      </c>
      <c r="E27" s="384"/>
      <c r="F27" s="384"/>
      <c r="G27" s="384"/>
      <c r="H27" s="388"/>
      <c r="I27" s="384"/>
      <c r="J27" s="382"/>
      <c r="K27" s="383"/>
      <c r="L27" s="384"/>
      <c r="M27" s="384"/>
      <c r="N27" s="384"/>
      <c r="O27" s="383"/>
      <c r="P27" s="384"/>
      <c r="Q27" s="384"/>
      <c r="R27" s="384"/>
      <c r="S27" s="385"/>
      <c r="T27" s="389" t="s">
        <v>386</v>
      </c>
      <c r="U27" s="380">
        <v>2630</v>
      </c>
      <c r="V27" s="380">
        <v>48886</v>
      </c>
      <c r="W27" s="390">
        <v>13672</v>
      </c>
      <c r="X27" s="377" t="s">
        <v>385</v>
      </c>
      <c r="Y27" s="370"/>
      <c r="Z27" s="370"/>
      <c r="AA27" s="370"/>
      <c r="AB27" s="370"/>
      <c r="AC27" s="385"/>
      <c r="AD27" s="385"/>
      <c r="AE27" s="385"/>
      <c r="AF27" s="385"/>
      <c r="AG27" s="377" t="s">
        <v>337</v>
      </c>
      <c r="AH27" s="385"/>
      <c r="AI27" s="385"/>
      <c r="AJ27" s="385"/>
      <c r="AK27" s="385"/>
      <c r="AL27" s="385"/>
      <c r="AM27" s="387"/>
      <c r="AN27" s="387"/>
    </row>
    <row r="28" spans="1:40" ht="22.5" hidden="1" customHeight="1" x14ac:dyDescent="0.2">
      <c r="A28" s="376">
        <v>45698.354694641203</v>
      </c>
      <c r="B28" s="377" t="s">
        <v>56</v>
      </c>
      <c r="C28" s="377" t="s">
        <v>381</v>
      </c>
      <c r="D28" s="378" t="str">
        <f t="shared" si="0"/>
        <v>2014</v>
      </c>
      <c r="E28" s="379" t="s">
        <v>387</v>
      </c>
      <c r="F28" s="380">
        <v>38730</v>
      </c>
      <c r="G28" s="380">
        <v>1964</v>
      </c>
      <c r="H28" s="381" t="s">
        <v>388</v>
      </c>
      <c r="I28" s="380">
        <v>344</v>
      </c>
      <c r="J28" s="390" t="s">
        <v>53</v>
      </c>
      <c r="K28" s="383"/>
      <c r="L28" s="384"/>
      <c r="M28" s="384"/>
      <c r="N28" s="384"/>
      <c r="O28" s="383"/>
      <c r="P28" s="384"/>
      <c r="Q28" s="384"/>
      <c r="R28" s="384"/>
      <c r="S28" s="391"/>
      <c r="T28" s="383"/>
      <c r="U28" s="384"/>
      <c r="V28" s="384"/>
      <c r="W28" s="382"/>
      <c r="X28" s="377" t="s">
        <v>343</v>
      </c>
      <c r="Y28" s="362"/>
      <c r="Z28" s="362"/>
      <c r="AA28" s="362"/>
      <c r="AB28" s="362"/>
      <c r="AC28" s="385"/>
      <c r="AD28" s="385"/>
      <c r="AE28" s="385"/>
      <c r="AF28" s="385"/>
      <c r="AG28" s="377" t="s">
        <v>337</v>
      </c>
      <c r="AH28" s="385"/>
      <c r="AI28" s="385"/>
      <c r="AJ28" s="385"/>
      <c r="AK28" s="385"/>
      <c r="AL28" s="385"/>
      <c r="AM28" s="387"/>
      <c r="AN28" s="387"/>
    </row>
    <row r="29" spans="1:40" ht="22.5" hidden="1" customHeight="1" x14ac:dyDescent="0.2">
      <c r="A29" s="376">
        <v>45698.374768136578</v>
      </c>
      <c r="B29" s="377" t="s">
        <v>56</v>
      </c>
      <c r="C29" s="377" t="s">
        <v>352</v>
      </c>
      <c r="D29" s="378" t="str">
        <f t="shared" si="0"/>
        <v>2017</v>
      </c>
      <c r="E29" s="379" t="s">
        <v>384</v>
      </c>
      <c r="F29" s="380">
        <v>47931</v>
      </c>
      <c r="G29" s="380">
        <v>9568</v>
      </c>
      <c r="H29" s="381" t="s">
        <v>389</v>
      </c>
      <c r="I29" s="380">
        <v>1868</v>
      </c>
      <c r="J29" s="390" t="s">
        <v>53</v>
      </c>
      <c r="K29" s="383"/>
      <c r="L29" s="384"/>
      <c r="M29" s="384"/>
      <c r="N29" s="384"/>
      <c r="O29" s="383"/>
      <c r="P29" s="384"/>
      <c r="Q29" s="384"/>
      <c r="R29" s="384"/>
      <c r="S29" s="391"/>
      <c r="T29" s="383"/>
      <c r="U29" s="384"/>
      <c r="V29" s="384"/>
      <c r="W29" s="382"/>
      <c r="X29" s="377" t="s">
        <v>343</v>
      </c>
      <c r="Y29" s="362"/>
      <c r="Z29" s="362"/>
      <c r="AA29" s="362"/>
      <c r="AB29" s="362"/>
      <c r="AC29" s="385"/>
      <c r="AD29" s="385"/>
      <c r="AE29" s="385"/>
      <c r="AF29" s="385"/>
      <c r="AG29" s="377" t="s">
        <v>337</v>
      </c>
      <c r="AH29" s="385"/>
      <c r="AI29" s="385"/>
      <c r="AJ29" s="385"/>
      <c r="AK29" s="385"/>
      <c r="AL29" s="385"/>
      <c r="AM29" s="387"/>
      <c r="AN29" s="387"/>
    </row>
    <row r="30" spans="1:40" ht="22.5" hidden="1" customHeight="1" x14ac:dyDescent="0.2">
      <c r="A30" s="376">
        <v>45698.376014016205</v>
      </c>
      <c r="B30" s="377" t="s">
        <v>56</v>
      </c>
      <c r="C30" s="377" t="s">
        <v>381</v>
      </c>
      <c r="D30" s="378" t="str">
        <f t="shared" si="0"/>
        <v>2017</v>
      </c>
      <c r="E30" s="379" t="s">
        <v>386</v>
      </c>
      <c r="F30" s="380">
        <v>48886</v>
      </c>
      <c r="G30" s="380">
        <v>13672</v>
      </c>
      <c r="H30" s="381" t="s">
        <v>390</v>
      </c>
      <c r="I30" s="380">
        <v>2630</v>
      </c>
      <c r="J30" s="390" t="s">
        <v>53</v>
      </c>
      <c r="K30" s="383"/>
      <c r="L30" s="384"/>
      <c r="M30" s="384"/>
      <c r="N30" s="384"/>
      <c r="O30" s="383"/>
      <c r="P30" s="384"/>
      <c r="Q30" s="384"/>
      <c r="R30" s="384"/>
      <c r="S30" s="391"/>
      <c r="T30" s="383"/>
      <c r="U30" s="384"/>
      <c r="V30" s="384"/>
      <c r="W30" s="382"/>
      <c r="X30" s="377" t="s">
        <v>343</v>
      </c>
      <c r="Y30" s="362"/>
      <c r="Z30" s="362"/>
      <c r="AA30" s="362"/>
      <c r="AB30" s="362"/>
      <c r="AC30" s="385"/>
      <c r="AD30" s="385"/>
      <c r="AE30" s="385"/>
      <c r="AF30" s="385"/>
      <c r="AG30" s="377" t="s">
        <v>337</v>
      </c>
      <c r="AH30" s="385"/>
      <c r="AI30" s="385"/>
      <c r="AJ30" s="385"/>
      <c r="AK30" s="385"/>
      <c r="AL30" s="385"/>
      <c r="AM30" s="387"/>
      <c r="AN30" s="387"/>
    </row>
    <row r="31" spans="1:40" ht="22.5" hidden="1" customHeight="1" x14ac:dyDescent="0.2">
      <c r="A31" s="413">
        <v>45700.645273090282</v>
      </c>
      <c r="B31" s="414" t="s">
        <v>56</v>
      </c>
      <c r="C31" s="414" t="s">
        <v>381</v>
      </c>
      <c r="D31" s="415" t="str">
        <f t="shared" si="0"/>
        <v>2021</v>
      </c>
      <c r="E31" s="416" t="s">
        <v>391</v>
      </c>
      <c r="F31" s="417">
        <v>60399</v>
      </c>
      <c r="G31" s="417">
        <v>2712</v>
      </c>
      <c r="H31" s="418" t="s">
        <v>392</v>
      </c>
      <c r="I31" s="417">
        <v>553</v>
      </c>
      <c r="J31" s="419" t="s">
        <v>53</v>
      </c>
      <c r="K31" s="420"/>
      <c r="L31" s="421"/>
      <c r="M31" s="421"/>
      <c r="N31" s="421"/>
      <c r="O31" s="420"/>
      <c r="P31" s="421"/>
      <c r="Q31" s="421"/>
      <c r="R31" s="421"/>
      <c r="S31" s="422"/>
      <c r="T31" s="420"/>
      <c r="U31" s="421"/>
      <c r="V31" s="421"/>
      <c r="W31" s="423"/>
      <c r="X31" s="414" t="s">
        <v>343</v>
      </c>
      <c r="Y31" s="424"/>
      <c r="Z31" s="424"/>
      <c r="AA31" s="424"/>
      <c r="AB31" s="424"/>
      <c r="AC31" s="425"/>
      <c r="AD31" s="425"/>
      <c r="AE31" s="425"/>
      <c r="AF31" s="425"/>
      <c r="AG31" s="414" t="s">
        <v>337</v>
      </c>
      <c r="AH31" s="425"/>
      <c r="AI31" s="425"/>
      <c r="AJ31" s="425"/>
      <c r="AK31" s="425"/>
      <c r="AL31" s="425"/>
      <c r="AM31" s="259"/>
      <c r="AN31" s="259"/>
    </row>
    <row r="32" spans="1:40" ht="22.5" hidden="1" customHeight="1" x14ac:dyDescent="0.2">
      <c r="A32" s="376">
        <v>45700.728311747684</v>
      </c>
      <c r="B32" s="377" t="s">
        <v>56</v>
      </c>
      <c r="C32" s="377" t="s">
        <v>381</v>
      </c>
      <c r="D32" s="378" t="str">
        <f t="shared" si="0"/>
        <v>2016</v>
      </c>
      <c r="E32" s="379" t="s">
        <v>393</v>
      </c>
      <c r="F32" s="380">
        <v>43672</v>
      </c>
      <c r="G32" s="380">
        <v>8322</v>
      </c>
      <c r="H32" s="381" t="s">
        <v>394</v>
      </c>
      <c r="I32" s="380">
        <v>1477</v>
      </c>
      <c r="J32" s="390" t="s">
        <v>53</v>
      </c>
      <c r="K32" s="383"/>
      <c r="L32" s="384"/>
      <c r="M32" s="384"/>
      <c r="N32" s="384"/>
      <c r="O32" s="383"/>
      <c r="P32" s="384"/>
      <c r="Q32" s="384"/>
      <c r="R32" s="384"/>
      <c r="S32" s="391"/>
      <c r="T32" s="383"/>
      <c r="U32" s="384"/>
      <c r="V32" s="384"/>
      <c r="W32" s="382"/>
      <c r="X32" s="377" t="s">
        <v>343</v>
      </c>
      <c r="Y32" s="362"/>
      <c r="Z32" s="362"/>
      <c r="AA32" s="362"/>
      <c r="AB32" s="362"/>
      <c r="AC32" s="385"/>
      <c r="AD32" s="385"/>
      <c r="AE32" s="385"/>
      <c r="AF32" s="385"/>
      <c r="AG32" s="377" t="s">
        <v>337</v>
      </c>
      <c r="AH32" s="385"/>
      <c r="AI32" s="385"/>
      <c r="AJ32" s="385"/>
      <c r="AK32" s="385"/>
      <c r="AL32" s="385"/>
      <c r="AM32" s="387"/>
      <c r="AN32" s="387"/>
    </row>
    <row r="33" spans="1:40" ht="22.5" hidden="1" customHeight="1" x14ac:dyDescent="0.2">
      <c r="A33" s="426">
        <v>45701.647276053242</v>
      </c>
      <c r="B33" s="427" t="s">
        <v>56</v>
      </c>
      <c r="C33" s="427" t="s">
        <v>381</v>
      </c>
      <c r="D33" s="428" t="str">
        <f t="shared" si="0"/>
        <v>2022</v>
      </c>
      <c r="E33" s="429" t="s">
        <v>395</v>
      </c>
      <c r="F33" s="430">
        <v>63597</v>
      </c>
      <c r="G33" s="430">
        <v>2989</v>
      </c>
      <c r="H33" s="431" t="s">
        <v>396</v>
      </c>
      <c r="I33" s="430" t="s">
        <v>359</v>
      </c>
      <c r="J33" s="432" t="s">
        <v>53</v>
      </c>
      <c r="K33" s="433"/>
      <c r="L33" s="434"/>
      <c r="M33" s="434"/>
      <c r="N33" s="434"/>
      <c r="O33" s="433"/>
      <c r="P33" s="434"/>
      <c r="Q33" s="434"/>
      <c r="R33" s="434"/>
      <c r="S33" s="435"/>
      <c r="T33" s="433"/>
      <c r="U33" s="434"/>
      <c r="V33" s="434"/>
      <c r="W33" s="436"/>
      <c r="X33" s="427" t="s">
        <v>343</v>
      </c>
      <c r="Y33" s="362"/>
      <c r="Z33" s="362"/>
      <c r="AA33" s="362"/>
      <c r="AB33" s="362"/>
      <c r="AC33" s="437"/>
      <c r="AD33" s="437"/>
      <c r="AE33" s="437"/>
      <c r="AF33" s="437"/>
      <c r="AG33" s="427" t="s">
        <v>337</v>
      </c>
      <c r="AH33" s="437"/>
      <c r="AI33" s="437"/>
      <c r="AJ33" s="437"/>
      <c r="AK33" s="437"/>
      <c r="AL33" s="437"/>
      <c r="AM33" s="387"/>
      <c r="AN33" s="387"/>
    </row>
    <row r="34" spans="1:40" ht="22.5" hidden="1" customHeight="1" x14ac:dyDescent="0.2">
      <c r="A34" s="376">
        <v>45702.715361967596</v>
      </c>
      <c r="B34" s="377" t="s">
        <v>56</v>
      </c>
      <c r="C34" s="377" t="s">
        <v>352</v>
      </c>
      <c r="D34" s="378" t="str">
        <f t="shared" si="0"/>
        <v>2001</v>
      </c>
      <c r="E34" s="379" t="s">
        <v>397</v>
      </c>
      <c r="F34" s="380">
        <v>5050</v>
      </c>
      <c r="G34" s="380">
        <v>665</v>
      </c>
      <c r="H34" s="381" t="s">
        <v>398</v>
      </c>
      <c r="I34" s="380">
        <v>104</v>
      </c>
      <c r="J34" s="390" t="s">
        <v>53</v>
      </c>
      <c r="K34" s="383"/>
      <c r="L34" s="384"/>
      <c r="M34" s="384"/>
      <c r="N34" s="384"/>
      <c r="O34" s="383"/>
      <c r="P34" s="384"/>
      <c r="Q34" s="384"/>
      <c r="R34" s="384"/>
      <c r="S34" s="391"/>
      <c r="T34" s="383"/>
      <c r="U34" s="384"/>
      <c r="V34" s="384"/>
      <c r="W34" s="382"/>
      <c r="X34" s="377" t="s">
        <v>343</v>
      </c>
      <c r="Y34" s="362"/>
      <c r="Z34" s="362"/>
      <c r="AA34" s="362"/>
      <c r="AB34" s="362"/>
      <c r="AC34" s="385"/>
      <c r="AD34" s="385"/>
      <c r="AE34" s="385"/>
      <c r="AF34" s="385"/>
      <c r="AG34" s="377" t="s">
        <v>337</v>
      </c>
      <c r="AH34" s="385"/>
      <c r="AI34" s="385"/>
      <c r="AJ34" s="385"/>
      <c r="AK34" s="385"/>
      <c r="AL34" s="385"/>
      <c r="AM34" s="387"/>
      <c r="AN34" s="387"/>
    </row>
    <row r="35" spans="1:40" ht="22.5" hidden="1" customHeight="1" x14ac:dyDescent="0.2">
      <c r="A35" s="376">
        <v>45706.368803518519</v>
      </c>
      <c r="B35" s="377" t="s">
        <v>351</v>
      </c>
      <c r="C35" s="377" t="s">
        <v>381</v>
      </c>
      <c r="D35" s="383" t="str">
        <f t="shared" si="0"/>
        <v/>
      </c>
      <c r="E35" s="384"/>
      <c r="F35" s="384"/>
      <c r="G35" s="384"/>
      <c r="H35" s="388"/>
      <c r="I35" s="384"/>
      <c r="J35" s="382"/>
      <c r="K35" s="389" t="s">
        <v>399</v>
      </c>
      <c r="L35" s="380">
        <v>16692</v>
      </c>
      <c r="M35" s="380">
        <v>522</v>
      </c>
      <c r="N35" s="380">
        <v>419</v>
      </c>
      <c r="O35" s="383"/>
      <c r="P35" s="384"/>
      <c r="Q35" s="384"/>
      <c r="R35" s="384"/>
      <c r="S35" s="385"/>
      <c r="T35" s="383"/>
      <c r="U35" s="384"/>
      <c r="V35" s="384"/>
      <c r="W35" s="382"/>
      <c r="X35" s="377" t="s">
        <v>343</v>
      </c>
      <c r="Y35" s="370"/>
      <c r="Z35" s="370"/>
      <c r="AA35" s="370"/>
      <c r="AB35" s="370"/>
      <c r="AC35" s="385"/>
      <c r="AD35" s="385"/>
      <c r="AE35" s="385"/>
      <c r="AF35" s="385"/>
      <c r="AG35" s="377" t="s">
        <v>337</v>
      </c>
      <c r="AH35" s="385"/>
      <c r="AI35" s="385"/>
      <c r="AJ35" s="385"/>
      <c r="AK35" s="385"/>
      <c r="AL35" s="385"/>
      <c r="AM35" s="387"/>
      <c r="AN35" s="387"/>
    </row>
    <row r="36" spans="1:40" ht="22.5" hidden="1" customHeight="1" x14ac:dyDescent="0.2">
      <c r="A36" s="376">
        <v>45707.644496215275</v>
      </c>
      <c r="B36" s="377" t="s">
        <v>56</v>
      </c>
      <c r="C36" s="377" t="s">
        <v>381</v>
      </c>
      <c r="D36" s="378" t="str">
        <f t="shared" si="0"/>
        <v>2014</v>
      </c>
      <c r="E36" s="379" t="s">
        <v>400</v>
      </c>
      <c r="F36" s="380">
        <v>37141</v>
      </c>
      <c r="G36" s="380">
        <v>19415</v>
      </c>
      <c r="H36" s="381" t="s">
        <v>401</v>
      </c>
      <c r="I36" s="380">
        <v>1876</v>
      </c>
      <c r="J36" s="390" t="s">
        <v>53</v>
      </c>
      <c r="K36" s="383"/>
      <c r="L36" s="384"/>
      <c r="M36" s="384"/>
      <c r="N36" s="384"/>
      <c r="O36" s="383"/>
      <c r="P36" s="384"/>
      <c r="Q36" s="384"/>
      <c r="R36" s="384"/>
      <c r="S36" s="391"/>
      <c r="T36" s="383"/>
      <c r="U36" s="384"/>
      <c r="V36" s="384"/>
      <c r="W36" s="382"/>
      <c r="X36" s="377" t="s">
        <v>343</v>
      </c>
      <c r="Y36" s="362"/>
      <c r="Z36" s="362"/>
      <c r="AA36" s="362"/>
      <c r="AB36" s="362"/>
      <c r="AC36" s="385"/>
      <c r="AD36" s="385"/>
      <c r="AE36" s="385"/>
      <c r="AF36" s="385"/>
      <c r="AG36" s="377" t="s">
        <v>337</v>
      </c>
      <c r="AH36" s="385"/>
      <c r="AI36" s="385"/>
      <c r="AJ36" s="385"/>
      <c r="AK36" s="385"/>
      <c r="AL36" s="385"/>
      <c r="AM36" s="387"/>
      <c r="AN36" s="387"/>
    </row>
    <row r="37" spans="1:40" ht="22.5" customHeight="1" x14ac:dyDescent="0.2">
      <c r="A37" s="376">
        <v>45707.64515384259</v>
      </c>
      <c r="B37" s="377" t="s">
        <v>56</v>
      </c>
      <c r="C37" s="377" t="s">
        <v>381</v>
      </c>
      <c r="D37" s="378" t="str">
        <f t="shared" si="0"/>
        <v>2013</v>
      </c>
      <c r="E37" s="379" t="s">
        <v>402</v>
      </c>
      <c r="F37" s="380">
        <v>32003</v>
      </c>
      <c r="G37" s="380">
        <v>5683</v>
      </c>
      <c r="H37" s="381" t="s">
        <v>403</v>
      </c>
      <c r="I37" s="380">
        <v>587</v>
      </c>
      <c r="J37" s="390" t="s">
        <v>53</v>
      </c>
      <c r="K37" s="383"/>
      <c r="L37" s="384"/>
      <c r="M37" s="384"/>
      <c r="N37" s="384"/>
      <c r="O37" s="383"/>
      <c r="P37" s="384"/>
      <c r="Q37" s="384"/>
      <c r="R37" s="384"/>
      <c r="S37" s="391"/>
      <c r="T37" s="383"/>
      <c r="U37" s="384"/>
      <c r="V37" s="384"/>
      <c r="W37" s="382"/>
      <c r="X37" s="377" t="s">
        <v>343</v>
      </c>
      <c r="Y37" s="362"/>
      <c r="Z37" s="362"/>
      <c r="AA37" s="362"/>
      <c r="AB37" s="362"/>
      <c r="AC37" s="385"/>
      <c r="AD37" s="385"/>
      <c r="AE37" s="385"/>
      <c r="AF37" s="385"/>
      <c r="AG37" s="377" t="s">
        <v>337</v>
      </c>
      <c r="AH37" s="385"/>
      <c r="AI37" s="385"/>
      <c r="AJ37" s="385"/>
      <c r="AK37" s="385"/>
      <c r="AL37" s="385"/>
      <c r="AM37" s="387"/>
      <c r="AN37" s="387"/>
    </row>
    <row r="38" spans="1:40" ht="22.5" hidden="1" customHeight="1" x14ac:dyDescent="0.2">
      <c r="A38" s="376">
        <v>45708.594689756945</v>
      </c>
      <c r="B38" s="377" t="s">
        <v>56</v>
      </c>
      <c r="C38" s="377" t="s">
        <v>369</v>
      </c>
      <c r="D38" s="378" t="str">
        <f t="shared" si="0"/>
        <v>2017</v>
      </c>
      <c r="E38" s="379" t="s">
        <v>404</v>
      </c>
      <c r="F38" s="380">
        <v>47698</v>
      </c>
      <c r="G38" s="380">
        <v>9276</v>
      </c>
      <c r="H38" s="381" t="s">
        <v>405</v>
      </c>
      <c r="I38" s="380">
        <v>1806</v>
      </c>
      <c r="J38" s="390" t="s">
        <v>53</v>
      </c>
      <c r="K38" s="383"/>
      <c r="L38" s="384"/>
      <c r="M38" s="384"/>
      <c r="N38" s="384"/>
      <c r="O38" s="383"/>
      <c r="P38" s="384"/>
      <c r="Q38" s="384"/>
      <c r="R38" s="384"/>
      <c r="S38" s="391"/>
      <c r="T38" s="383"/>
      <c r="U38" s="384"/>
      <c r="V38" s="384"/>
      <c r="W38" s="382"/>
      <c r="X38" s="377" t="s">
        <v>343</v>
      </c>
      <c r="Y38" s="362"/>
      <c r="Z38" s="362"/>
      <c r="AA38" s="362"/>
      <c r="AB38" s="362"/>
      <c r="AC38" s="385"/>
      <c r="AD38" s="385"/>
      <c r="AE38" s="385"/>
      <c r="AF38" s="385"/>
      <c r="AG38" s="377" t="s">
        <v>337</v>
      </c>
      <c r="AH38" s="385"/>
      <c r="AI38" s="385"/>
      <c r="AJ38" s="385"/>
      <c r="AK38" s="385"/>
      <c r="AL38" s="385"/>
      <c r="AM38" s="387"/>
      <c r="AN38" s="387"/>
    </row>
    <row r="39" spans="1:40" ht="22.5" hidden="1" customHeight="1" x14ac:dyDescent="0.2">
      <c r="A39" s="376">
        <v>45709.519215949069</v>
      </c>
      <c r="B39" s="377" t="s">
        <v>56</v>
      </c>
      <c r="C39" s="377" t="s">
        <v>381</v>
      </c>
      <c r="D39" s="378" t="str">
        <f t="shared" si="0"/>
        <v>2016</v>
      </c>
      <c r="E39" s="379" t="s">
        <v>406</v>
      </c>
      <c r="F39" s="380">
        <v>42195</v>
      </c>
      <c r="G39" s="380">
        <v>2564</v>
      </c>
      <c r="H39" s="381" t="s">
        <v>407</v>
      </c>
      <c r="I39" s="380">
        <v>400</v>
      </c>
      <c r="J39" s="390" t="s">
        <v>53</v>
      </c>
      <c r="K39" s="383"/>
      <c r="L39" s="384"/>
      <c r="M39" s="384"/>
      <c r="N39" s="384"/>
      <c r="O39" s="383"/>
      <c r="P39" s="384"/>
      <c r="Q39" s="384"/>
      <c r="R39" s="384"/>
      <c r="S39" s="391"/>
      <c r="T39" s="383"/>
      <c r="U39" s="384"/>
      <c r="V39" s="384"/>
      <c r="W39" s="382"/>
      <c r="X39" s="377" t="s">
        <v>343</v>
      </c>
      <c r="Y39" s="362"/>
      <c r="Z39" s="362"/>
      <c r="AA39" s="362"/>
      <c r="AB39" s="362"/>
      <c r="AC39" s="385"/>
      <c r="AD39" s="385"/>
      <c r="AE39" s="385"/>
      <c r="AF39" s="385"/>
      <c r="AG39" s="377" t="s">
        <v>337</v>
      </c>
      <c r="AH39" s="385"/>
      <c r="AI39" s="385"/>
      <c r="AJ39" s="385"/>
      <c r="AK39" s="385"/>
      <c r="AL39" s="385"/>
      <c r="AM39" s="387"/>
      <c r="AN39" s="387"/>
    </row>
    <row r="40" spans="1:40" ht="22.5" hidden="1" customHeight="1" x14ac:dyDescent="0.2">
      <c r="A40" s="376">
        <v>45710.430753287037</v>
      </c>
      <c r="B40" s="377" t="s">
        <v>56</v>
      </c>
      <c r="C40" s="377" t="s">
        <v>381</v>
      </c>
      <c r="D40" s="378" t="str">
        <f t="shared" si="0"/>
        <v>2019</v>
      </c>
      <c r="E40" s="379" t="s">
        <v>408</v>
      </c>
      <c r="F40" s="380">
        <v>53356</v>
      </c>
      <c r="G40" s="380">
        <v>14796</v>
      </c>
      <c r="H40" s="381" t="s">
        <v>409</v>
      </c>
      <c r="I40" s="380">
        <v>2921</v>
      </c>
      <c r="J40" s="390" t="s">
        <v>53</v>
      </c>
      <c r="K40" s="383"/>
      <c r="L40" s="384"/>
      <c r="M40" s="384"/>
      <c r="N40" s="384"/>
      <c r="O40" s="383"/>
      <c r="P40" s="384"/>
      <c r="Q40" s="384"/>
      <c r="R40" s="384"/>
      <c r="S40" s="391"/>
      <c r="T40" s="383"/>
      <c r="U40" s="384"/>
      <c r="V40" s="384"/>
      <c r="W40" s="382"/>
      <c r="X40" s="377" t="s">
        <v>343</v>
      </c>
      <c r="Y40" s="362"/>
      <c r="Z40" s="362"/>
      <c r="AA40" s="362"/>
      <c r="AB40" s="362"/>
      <c r="AC40" s="385"/>
      <c r="AD40" s="385"/>
      <c r="AE40" s="385"/>
      <c r="AF40" s="385"/>
      <c r="AG40" s="377" t="s">
        <v>337</v>
      </c>
      <c r="AH40" s="385"/>
      <c r="AI40" s="385"/>
      <c r="AJ40" s="385"/>
      <c r="AK40" s="385"/>
      <c r="AL40" s="385"/>
      <c r="AM40" s="387"/>
      <c r="AN40" s="387"/>
    </row>
    <row r="41" spans="1:40" ht="22.5" hidden="1" customHeight="1" x14ac:dyDescent="0.2">
      <c r="A41" s="376">
        <v>45712.523376666664</v>
      </c>
      <c r="B41" s="377" t="s">
        <v>56</v>
      </c>
      <c r="C41" s="377" t="s">
        <v>381</v>
      </c>
      <c r="D41" s="378" t="str">
        <f t="shared" si="0"/>
        <v>2005</v>
      </c>
      <c r="E41" s="379" t="s">
        <v>410</v>
      </c>
      <c r="F41" s="380">
        <v>10702</v>
      </c>
      <c r="G41" s="380">
        <v>936</v>
      </c>
      <c r="H41" s="381" t="s">
        <v>411</v>
      </c>
      <c r="I41" s="380">
        <v>110</v>
      </c>
      <c r="J41" s="390" t="s">
        <v>53</v>
      </c>
      <c r="K41" s="383"/>
      <c r="L41" s="384"/>
      <c r="M41" s="384"/>
      <c r="N41" s="384"/>
      <c r="O41" s="383"/>
      <c r="P41" s="384"/>
      <c r="Q41" s="384"/>
      <c r="R41" s="384"/>
      <c r="S41" s="391"/>
      <c r="T41" s="383"/>
      <c r="U41" s="384"/>
      <c r="V41" s="384"/>
      <c r="W41" s="382"/>
      <c r="X41" s="377" t="s">
        <v>343</v>
      </c>
      <c r="Y41" s="362"/>
      <c r="Z41" s="362"/>
      <c r="AA41" s="362"/>
      <c r="AB41" s="362"/>
      <c r="AC41" s="385"/>
      <c r="AD41" s="385"/>
      <c r="AE41" s="385"/>
      <c r="AF41" s="385"/>
      <c r="AG41" s="377" t="s">
        <v>337</v>
      </c>
      <c r="AH41" s="385"/>
      <c r="AI41" s="385"/>
      <c r="AJ41" s="385"/>
      <c r="AK41" s="385"/>
      <c r="AL41" s="385"/>
      <c r="AM41" s="387"/>
      <c r="AN41" s="387"/>
    </row>
    <row r="42" spans="1:40" ht="22.5" customHeight="1" x14ac:dyDescent="0.2">
      <c r="A42" s="376">
        <v>45712.524072245375</v>
      </c>
      <c r="B42" s="377" t="s">
        <v>56</v>
      </c>
      <c r="C42" s="377" t="s">
        <v>381</v>
      </c>
      <c r="D42" s="378" t="str">
        <f t="shared" si="0"/>
        <v>2013</v>
      </c>
      <c r="E42" s="379" t="s">
        <v>412</v>
      </c>
      <c r="F42" s="438">
        <v>33416</v>
      </c>
      <c r="G42" s="380">
        <v>17745</v>
      </c>
      <c r="H42" s="381" t="s">
        <v>413</v>
      </c>
      <c r="I42" s="380">
        <v>1843</v>
      </c>
      <c r="J42" s="390" t="s">
        <v>53</v>
      </c>
      <c r="K42" s="383"/>
      <c r="L42" s="384"/>
      <c r="M42" s="384"/>
      <c r="N42" s="384"/>
      <c r="O42" s="383"/>
      <c r="P42" s="384"/>
      <c r="Q42" s="384"/>
      <c r="R42" s="384"/>
      <c r="S42" s="391"/>
      <c r="T42" s="383"/>
      <c r="U42" s="384"/>
      <c r="V42" s="384"/>
      <c r="W42" s="382"/>
      <c r="X42" s="377" t="s">
        <v>343</v>
      </c>
      <c r="Y42" s="362"/>
      <c r="Z42" s="362"/>
      <c r="AA42" s="362"/>
      <c r="AB42" s="362"/>
      <c r="AC42" s="385"/>
      <c r="AD42" s="385"/>
      <c r="AE42" s="385"/>
      <c r="AF42" s="385"/>
      <c r="AG42" s="377" t="s">
        <v>337</v>
      </c>
      <c r="AH42" s="385"/>
      <c r="AI42" s="385"/>
      <c r="AJ42" s="385"/>
      <c r="AK42" s="385"/>
      <c r="AL42" s="385"/>
      <c r="AM42" s="387"/>
      <c r="AN42" s="387"/>
    </row>
    <row r="43" spans="1:40" ht="22.5" hidden="1" customHeight="1" x14ac:dyDescent="0.2">
      <c r="A43" s="376">
        <v>45712.524684178235</v>
      </c>
      <c r="B43" s="377" t="s">
        <v>56</v>
      </c>
      <c r="C43" s="377" t="s">
        <v>381</v>
      </c>
      <c r="D43" s="378" t="str">
        <f t="shared" si="0"/>
        <v>2016</v>
      </c>
      <c r="E43" s="379" t="s">
        <v>414</v>
      </c>
      <c r="F43" s="380">
        <v>44735</v>
      </c>
      <c r="G43" s="380">
        <v>11770</v>
      </c>
      <c r="H43" s="381" t="s">
        <v>415</v>
      </c>
      <c r="I43" s="380" t="s">
        <v>359</v>
      </c>
      <c r="J43" s="390" t="s">
        <v>53</v>
      </c>
      <c r="K43" s="383"/>
      <c r="L43" s="384"/>
      <c r="M43" s="384"/>
      <c r="N43" s="384"/>
      <c r="O43" s="383"/>
      <c r="P43" s="384"/>
      <c r="Q43" s="384"/>
      <c r="R43" s="384"/>
      <c r="S43" s="391"/>
      <c r="T43" s="383"/>
      <c r="U43" s="384"/>
      <c r="V43" s="384"/>
      <c r="W43" s="382"/>
      <c r="X43" s="377" t="s">
        <v>343</v>
      </c>
      <c r="Y43" s="362"/>
      <c r="Z43" s="362"/>
      <c r="AA43" s="362"/>
      <c r="AB43" s="362"/>
      <c r="AC43" s="385"/>
      <c r="AD43" s="385"/>
      <c r="AE43" s="385"/>
      <c r="AF43" s="385"/>
      <c r="AG43" s="377" t="s">
        <v>337</v>
      </c>
      <c r="AH43" s="385"/>
      <c r="AI43" s="385"/>
      <c r="AJ43" s="385"/>
      <c r="AK43" s="385"/>
      <c r="AL43" s="385"/>
      <c r="AM43" s="387"/>
      <c r="AN43" s="387"/>
    </row>
    <row r="44" spans="1:40" ht="22.5" hidden="1" customHeight="1" x14ac:dyDescent="0.2">
      <c r="A44" s="376">
        <v>45712.5295759375</v>
      </c>
      <c r="B44" s="377" t="s">
        <v>56</v>
      </c>
      <c r="C44" s="377" t="s">
        <v>338</v>
      </c>
      <c r="D44" s="378" t="str">
        <f t="shared" si="0"/>
        <v>2015</v>
      </c>
      <c r="E44" s="379" t="s">
        <v>416</v>
      </c>
      <c r="F44" s="380">
        <v>40665</v>
      </c>
      <c r="G44" s="380">
        <v>11812</v>
      </c>
      <c r="H44" s="381" t="s">
        <v>417</v>
      </c>
      <c r="I44" s="380">
        <v>1989</v>
      </c>
      <c r="J44" s="390" t="s">
        <v>53</v>
      </c>
      <c r="K44" s="383"/>
      <c r="L44" s="384"/>
      <c r="M44" s="384"/>
      <c r="N44" s="384"/>
      <c r="O44" s="383"/>
      <c r="P44" s="384"/>
      <c r="Q44" s="384"/>
      <c r="R44" s="384"/>
      <c r="S44" s="391"/>
      <c r="T44" s="383"/>
      <c r="U44" s="384"/>
      <c r="V44" s="384"/>
      <c r="W44" s="382"/>
      <c r="X44" s="377" t="s">
        <v>343</v>
      </c>
      <c r="Y44" s="362"/>
      <c r="Z44" s="362"/>
      <c r="AA44" s="362"/>
      <c r="AB44" s="362"/>
      <c r="AC44" s="385"/>
      <c r="AD44" s="385"/>
      <c r="AE44" s="385"/>
      <c r="AF44" s="385"/>
      <c r="AG44" s="377" t="s">
        <v>337</v>
      </c>
      <c r="AH44" s="385"/>
      <c r="AI44" s="385"/>
      <c r="AJ44" s="385"/>
      <c r="AK44" s="385"/>
      <c r="AL44" s="385"/>
      <c r="AM44" s="387"/>
      <c r="AN44" s="387"/>
    </row>
    <row r="45" spans="1:40" ht="22.5" hidden="1" customHeight="1" x14ac:dyDescent="0.2">
      <c r="A45" s="376">
        <v>45712.530315891199</v>
      </c>
      <c r="B45" s="377" t="s">
        <v>56</v>
      </c>
      <c r="C45" s="377" t="s">
        <v>338</v>
      </c>
      <c r="D45" s="378" t="str">
        <f t="shared" si="0"/>
        <v>2010</v>
      </c>
      <c r="E45" s="379" t="s">
        <v>418</v>
      </c>
      <c r="F45" s="380">
        <v>22530</v>
      </c>
      <c r="G45" s="380">
        <v>8835</v>
      </c>
      <c r="H45" s="381" t="s">
        <v>419</v>
      </c>
      <c r="I45" s="380">
        <v>995</v>
      </c>
      <c r="J45" s="390" t="s">
        <v>53</v>
      </c>
      <c r="K45" s="383"/>
      <c r="L45" s="384"/>
      <c r="M45" s="384"/>
      <c r="N45" s="384"/>
      <c r="O45" s="383"/>
      <c r="P45" s="384"/>
      <c r="Q45" s="384"/>
      <c r="R45" s="384"/>
      <c r="S45" s="391"/>
      <c r="T45" s="383"/>
      <c r="U45" s="384"/>
      <c r="V45" s="384"/>
      <c r="W45" s="382"/>
      <c r="X45" s="377" t="s">
        <v>343</v>
      </c>
      <c r="Y45" s="362"/>
      <c r="Z45" s="362"/>
      <c r="AA45" s="362"/>
      <c r="AB45" s="362"/>
      <c r="AC45" s="385"/>
      <c r="AD45" s="385"/>
      <c r="AE45" s="385"/>
      <c r="AF45" s="385"/>
      <c r="AG45" s="377" t="s">
        <v>337</v>
      </c>
      <c r="AH45" s="385"/>
      <c r="AI45" s="385"/>
      <c r="AJ45" s="385"/>
      <c r="AK45" s="385"/>
      <c r="AL45" s="385"/>
      <c r="AM45" s="387"/>
      <c r="AN45" s="387"/>
    </row>
    <row r="46" spans="1:40" ht="22.5" hidden="1" customHeight="1" x14ac:dyDescent="0.2">
      <c r="A46" s="376">
        <v>45712.530972858796</v>
      </c>
      <c r="B46" s="377" t="s">
        <v>56</v>
      </c>
      <c r="C46" s="377" t="s">
        <v>338</v>
      </c>
      <c r="D46" s="378" t="str">
        <f t="shared" si="0"/>
        <v>2018</v>
      </c>
      <c r="E46" s="379" t="s">
        <v>420</v>
      </c>
      <c r="F46" s="380">
        <v>5211</v>
      </c>
      <c r="G46" s="380">
        <v>10431</v>
      </c>
      <c r="H46" s="381" t="s">
        <v>421</v>
      </c>
      <c r="I46" s="380">
        <v>2107</v>
      </c>
      <c r="J46" s="390" t="s">
        <v>53</v>
      </c>
      <c r="K46" s="383"/>
      <c r="L46" s="384"/>
      <c r="M46" s="384"/>
      <c r="N46" s="384"/>
      <c r="O46" s="383"/>
      <c r="P46" s="384"/>
      <c r="Q46" s="384"/>
      <c r="R46" s="384"/>
      <c r="S46" s="391"/>
      <c r="T46" s="383"/>
      <c r="U46" s="384"/>
      <c r="V46" s="384"/>
      <c r="W46" s="382"/>
      <c r="X46" s="377" t="s">
        <v>343</v>
      </c>
      <c r="Y46" s="362"/>
      <c r="Z46" s="362"/>
      <c r="AA46" s="362"/>
      <c r="AB46" s="362"/>
      <c r="AC46" s="385"/>
      <c r="AD46" s="385"/>
      <c r="AE46" s="385"/>
      <c r="AF46" s="385"/>
      <c r="AG46" s="377" t="s">
        <v>337</v>
      </c>
      <c r="AH46" s="385"/>
      <c r="AI46" s="385"/>
      <c r="AJ46" s="385"/>
      <c r="AK46" s="385"/>
      <c r="AL46" s="385"/>
      <c r="AM46" s="387"/>
      <c r="AN46" s="387"/>
    </row>
    <row r="47" spans="1:40" ht="22.5" hidden="1" customHeight="1" x14ac:dyDescent="0.2">
      <c r="A47" s="376">
        <v>45712.531783136576</v>
      </c>
      <c r="B47" s="377" t="s">
        <v>56</v>
      </c>
      <c r="C47" s="377" t="s">
        <v>338</v>
      </c>
      <c r="D47" s="378" t="str">
        <f t="shared" si="0"/>
        <v>2016</v>
      </c>
      <c r="E47" s="379" t="s">
        <v>422</v>
      </c>
      <c r="F47" s="380">
        <v>45258</v>
      </c>
      <c r="G47" s="380">
        <v>14474</v>
      </c>
      <c r="H47" s="381" t="s">
        <v>423</v>
      </c>
      <c r="I47" s="380">
        <v>2769</v>
      </c>
      <c r="J47" s="390" t="s">
        <v>53</v>
      </c>
      <c r="K47" s="383"/>
      <c r="L47" s="384"/>
      <c r="M47" s="384"/>
      <c r="N47" s="384"/>
      <c r="O47" s="383"/>
      <c r="P47" s="384"/>
      <c r="Q47" s="384"/>
      <c r="R47" s="384"/>
      <c r="S47" s="391"/>
      <c r="T47" s="383"/>
      <c r="U47" s="384"/>
      <c r="V47" s="384"/>
      <c r="W47" s="382"/>
      <c r="X47" s="377" t="s">
        <v>343</v>
      </c>
      <c r="Y47" s="362"/>
      <c r="Z47" s="362"/>
      <c r="AA47" s="362"/>
      <c r="AB47" s="362"/>
      <c r="AC47" s="385"/>
      <c r="AD47" s="385"/>
      <c r="AE47" s="385"/>
      <c r="AF47" s="385"/>
      <c r="AG47" s="377" t="s">
        <v>337</v>
      </c>
      <c r="AH47" s="385"/>
      <c r="AI47" s="385"/>
      <c r="AJ47" s="385"/>
      <c r="AK47" s="385"/>
      <c r="AL47" s="385"/>
      <c r="AM47" s="387"/>
      <c r="AN47" s="387"/>
    </row>
    <row r="48" spans="1:40" ht="22.5" hidden="1" customHeight="1" x14ac:dyDescent="0.2">
      <c r="A48" s="376">
        <v>45712.532414768517</v>
      </c>
      <c r="B48" s="377" t="s">
        <v>56</v>
      </c>
      <c r="C48" s="377" t="s">
        <v>338</v>
      </c>
      <c r="D48" s="378" t="str">
        <f t="shared" si="0"/>
        <v>2016</v>
      </c>
      <c r="E48" s="379" t="s">
        <v>424</v>
      </c>
      <c r="F48" s="380">
        <v>43042</v>
      </c>
      <c r="G48" s="380">
        <v>5118</v>
      </c>
      <c r="H48" s="381" t="s">
        <v>425</v>
      </c>
      <c r="I48" s="380" t="s">
        <v>359</v>
      </c>
      <c r="J48" s="390" t="s">
        <v>53</v>
      </c>
      <c r="K48" s="383"/>
      <c r="L48" s="384"/>
      <c r="M48" s="384"/>
      <c r="N48" s="384"/>
      <c r="O48" s="383"/>
      <c r="P48" s="384"/>
      <c r="Q48" s="384"/>
      <c r="R48" s="384"/>
      <c r="S48" s="391"/>
      <c r="T48" s="383"/>
      <c r="U48" s="384"/>
      <c r="V48" s="384"/>
      <c r="W48" s="382"/>
      <c r="X48" s="377" t="s">
        <v>343</v>
      </c>
      <c r="Y48" s="362"/>
      <c r="Z48" s="362"/>
      <c r="AA48" s="362"/>
      <c r="AB48" s="362"/>
      <c r="AC48" s="385"/>
      <c r="AD48" s="385"/>
      <c r="AE48" s="385"/>
      <c r="AF48" s="385"/>
      <c r="AG48" s="377" t="s">
        <v>337</v>
      </c>
      <c r="AH48" s="385"/>
      <c r="AI48" s="385"/>
      <c r="AJ48" s="385"/>
      <c r="AK48" s="385"/>
      <c r="AL48" s="385"/>
      <c r="AM48" s="387"/>
      <c r="AN48" s="387"/>
    </row>
    <row r="49" spans="1:40" ht="22.5" hidden="1" customHeight="1" x14ac:dyDescent="0.2">
      <c r="A49" s="376">
        <v>45712.533083703704</v>
      </c>
      <c r="B49" s="377" t="s">
        <v>56</v>
      </c>
      <c r="C49" s="377" t="s">
        <v>338</v>
      </c>
      <c r="D49" s="378" t="str">
        <f t="shared" si="0"/>
        <v>2017</v>
      </c>
      <c r="E49" s="379" t="s">
        <v>426</v>
      </c>
      <c r="F49" s="380">
        <v>46083</v>
      </c>
      <c r="G49" s="380">
        <v>2295</v>
      </c>
      <c r="H49" s="381" t="s">
        <v>427</v>
      </c>
      <c r="I49" s="380">
        <v>454</v>
      </c>
      <c r="J49" s="390" t="s">
        <v>53</v>
      </c>
      <c r="K49" s="383"/>
      <c r="L49" s="384"/>
      <c r="M49" s="384"/>
      <c r="N49" s="384"/>
      <c r="O49" s="383"/>
      <c r="P49" s="384"/>
      <c r="Q49" s="384"/>
      <c r="R49" s="384"/>
      <c r="S49" s="391"/>
      <c r="T49" s="383"/>
      <c r="U49" s="384"/>
      <c r="V49" s="384"/>
      <c r="W49" s="382"/>
      <c r="X49" s="377" t="s">
        <v>343</v>
      </c>
      <c r="Y49" s="362"/>
      <c r="Z49" s="362"/>
      <c r="AA49" s="362"/>
      <c r="AB49" s="362"/>
      <c r="AC49" s="385"/>
      <c r="AD49" s="385"/>
      <c r="AE49" s="385"/>
      <c r="AF49" s="385"/>
      <c r="AG49" s="377" t="s">
        <v>337</v>
      </c>
      <c r="AH49" s="385"/>
      <c r="AI49" s="385"/>
      <c r="AJ49" s="385"/>
      <c r="AK49" s="385"/>
      <c r="AL49" s="385"/>
      <c r="AM49" s="387"/>
      <c r="AN49" s="387"/>
    </row>
    <row r="50" spans="1:40" ht="22.5" hidden="1" customHeight="1" x14ac:dyDescent="0.2">
      <c r="A50" s="376">
        <v>45712.533763321757</v>
      </c>
      <c r="B50" s="377" t="s">
        <v>56</v>
      </c>
      <c r="C50" s="377" t="s">
        <v>338</v>
      </c>
      <c r="D50" s="378" t="str">
        <f t="shared" si="0"/>
        <v>2015</v>
      </c>
      <c r="E50" s="379" t="s">
        <v>428</v>
      </c>
      <c r="F50" s="380">
        <v>40642</v>
      </c>
      <c r="G50" s="380">
        <v>11679</v>
      </c>
      <c r="H50" s="381" t="s">
        <v>429</v>
      </c>
      <c r="I50" s="380">
        <v>1970</v>
      </c>
      <c r="J50" s="390" t="s">
        <v>53</v>
      </c>
      <c r="K50" s="383"/>
      <c r="L50" s="384"/>
      <c r="M50" s="384"/>
      <c r="N50" s="384"/>
      <c r="O50" s="383"/>
      <c r="P50" s="384"/>
      <c r="Q50" s="384"/>
      <c r="R50" s="384"/>
      <c r="S50" s="391"/>
      <c r="T50" s="383"/>
      <c r="U50" s="384"/>
      <c r="V50" s="384"/>
      <c r="W50" s="382"/>
      <c r="X50" s="377" t="s">
        <v>343</v>
      </c>
      <c r="Y50" s="362"/>
      <c r="Z50" s="362"/>
      <c r="AA50" s="362"/>
      <c r="AB50" s="362"/>
      <c r="AC50" s="385"/>
      <c r="AD50" s="385"/>
      <c r="AE50" s="385"/>
      <c r="AF50" s="385"/>
      <c r="AG50" s="377" t="s">
        <v>337</v>
      </c>
      <c r="AH50" s="385"/>
      <c r="AI50" s="385"/>
      <c r="AJ50" s="385"/>
      <c r="AK50" s="385"/>
      <c r="AL50" s="385"/>
      <c r="AM50" s="387"/>
      <c r="AN50" s="387"/>
    </row>
    <row r="51" spans="1:40" ht="22.5" hidden="1" customHeight="1" x14ac:dyDescent="0.2">
      <c r="A51" s="376">
        <v>45712.534352523144</v>
      </c>
      <c r="B51" s="377" t="s">
        <v>56</v>
      </c>
      <c r="C51" s="377" t="s">
        <v>338</v>
      </c>
      <c r="D51" s="378" t="str">
        <f t="shared" si="0"/>
        <v>2019</v>
      </c>
      <c r="E51" s="379" t="s">
        <v>430</v>
      </c>
      <c r="F51" s="380">
        <v>54464</v>
      </c>
      <c r="G51" s="380">
        <v>2776</v>
      </c>
      <c r="H51" s="381" t="s">
        <v>431</v>
      </c>
      <c r="I51" s="380">
        <v>568</v>
      </c>
      <c r="J51" s="390" t="s">
        <v>53</v>
      </c>
      <c r="K51" s="383"/>
      <c r="L51" s="384"/>
      <c r="M51" s="384"/>
      <c r="N51" s="384"/>
      <c r="O51" s="383"/>
      <c r="P51" s="384"/>
      <c r="Q51" s="384"/>
      <c r="R51" s="384"/>
      <c r="S51" s="391"/>
      <c r="T51" s="383"/>
      <c r="U51" s="384"/>
      <c r="V51" s="384"/>
      <c r="W51" s="382"/>
      <c r="X51" s="377" t="s">
        <v>343</v>
      </c>
      <c r="Y51" s="362"/>
      <c r="Z51" s="362"/>
      <c r="AA51" s="362"/>
      <c r="AB51" s="362"/>
      <c r="AC51" s="385"/>
      <c r="AD51" s="385"/>
      <c r="AE51" s="385"/>
      <c r="AF51" s="385"/>
      <c r="AG51" s="377" t="s">
        <v>337</v>
      </c>
      <c r="AH51" s="385"/>
      <c r="AI51" s="385"/>
      <c r="AJ51" s="385"/>
      <c r="AK51" s="385"/>
      <c r="AL51" s="385"/>
      <c r="AM51" s="387"/>
      <c r="AN51" s="387"/>
    </row>
    <row r="52" spans="1:40" ht="22.5" hidden="1" customHeight="1" x14ac:dyDescent="0.2">
      <c r="A52" s="376">
        <v>45712.58302578704</v>
      </c>
      <c r="B52" s="377" t="s">
        <v>56</v>
      </c>
      <c r="C52" s="377" t="s">
        <v>381</v>
      </c>
      <c r="D52" s="378" t="str">
        <f t="shared" si="0"/>
        <v>2021</v>
      </c>
      <c r="E52" s="380" t="s">
        <v>432</v>
      </c>
      <c r="F52" s="380">
        <v>57704</v>
      </c>
      <c r="G52" s="380">
        <v>5593</v>
      </c>
      <c r="H52" s="381" t="s">
        <v>433</v>
      </c>
      <c r="I52" s="380">
        <v>1134</v>
      </c>
      <c r="J52" s="390" t="s">
        <v>53</v>
      </c>
      <c r="K52" s="383"/>
      <c r="L52" s="384"/>
      <c r="M52" s="384"/>
      <c r="N52" s="384"/>
      <c r="O52" s="383"/>
      <c r="P52" s="384"/>
      <c r="Q52" s="384"/>
      <c r="R52" s="384"/>
      <c r="S52" s="391"/>
      <c r="T52" s="383"/>
      <c r="U52" s="384"/>
      <c r="V52" s="384"/>
      <c r="W52" s="382"/>
      <c r="X52" s="377" t="s">
        <v>343</v>
      </c>
      <c r="Y52" s="362"/>
      <c r="Z52" s="362"/>
      <c r="AA52" s="362"/>
      <c r="AB52" s="362"/>
      <c r="AC52" s="385"/>
      <c r="AD52" s="385"/>
      <c r="AE52" s="385"/>
      <c r="AF52" s="385"/>
      <c r="AG52" s="377" t="s">
        <v>337</v>
      </c>
      <c r="AH52" s="385"/>
      <c r="AI52" s="385"/>
      <c r="AJ52" s="385"/>
      <c r="AK52" s="385"/>
      <c r="AL52" s="385"/>
      <c r="AM52" s="387"/>
      <c r="AN52" s="387"/>
    </row>
    <row r="53" spans="1:40" ht="22.5" hidden="1" customHeight="1" x14ac:dyDescent="0.2">
      <c r="A53" s="376">
        <v>45712.586355752312</v>
      </c>
      <c r="B53" s="377" t="s">
        <v>56</v>
      </c>
      <c r="C53" s="377" t="s">
        <v>381</v>
      </c>
      <c r="D53" s="378" t="str">
        <f t="shared" si="0"/>
        <v>2008</v>
      </c>
      <c r="E53" s="379" t="s">
        <v>434</v>
      </c>
      <c r="F53" s="439">
        <v>18615</v>
      </c>
      <c r="G53" s="380">
        <v>33199</v>
      </c>
      <c r="H53" s="381" t="s">
        <v>435</v>
      </c>
      <c r="I53" s="380">
        <v>3939</v>
      </c>
      <c r="J53" s="390" t="s">
        <v>53</v>
      </c>
      <c r="K53" s="383"/>
      <c r="L53" s="384"/>
      <c r="M53" s="384"/>
      <c r="N53" s="384"/>
      <c r="O53" s="383"/>
      <c r="P53" s="384"/>
      <c r="Q53" s="384"/>
      <c r="R53" s="384"/>
      <c r="S53" s="391"/>
      <c r="T53" s="383"/>
      <c r="U53" s="384"/>
      <c r="V53" s="384"/>
      <c r="W53" s="382"/>
      <c r="X53" s="377" t="s">
        <v>343</v>
      </c>
      <c r="Y53" s="362"/>
      <c r="Z53" s="362"/>
      <c r="AA53" s="362"/>
      <c r="AB53" s="362"/>
      <c r="AC53" s="385"/>
      <c r="AD53" s="385"/>
      <c r="AE53" s="385"/>
      <c r="AF53" s="385"/>
      <c r="AG53" s="377" t="s">
        <v>337</v>
      </c>
      <c r="AH53" s="385"/>
      <c r="AI53" s="385"/>
      <c r="AJ53" s="385"/>
      <c r="AK53" s="385"/>
      <c r="AL53" s="385"/>
      <c r="AM53" s="387"/>
      <c r="AN53" s="387"/>
    </row>
    <row r="54" spans="1:40" ht="22.5" hidden="1" customHeight="1" x14ac:dyDescent="0.2">
      <c r="A54" s="426">
        <v>45713.341717337964</v>
      </c>
      <c r="B54" s="427" t="s">
        <v>436</v>
      </c>
      <c r="C54" s="427" t="s">
        <v>437</v>
      </c>
      <c r="D54" s="433" t="str">
        <f t="shared" si="0"/>
        <v/>
      </c>
      <c r="E54" s="434"/>
      <c r="F54" s="434"/>
      <c r="G54" s="434"/>
      <c r="H54" s="440"/>
      <c r="I54" s="434"/>
      <c r="J54" s="436"/>
      <c r="K54" s="433"/>
      <c r="L54" s="434"/>
      <c r="M54" s="434"/>
      <c r="N54" s="434"/>
      <c r="O54" s="441" t="s">
        <v>438</v>
      </c>
      <c r="P54" s="430">
        <v>4177</v>
      </c>
      <c r="Q54" s="430">
        <v>244</v>
      </c>
      <c r="R54" s="430">
        <v>152</v>
      </c>
      <c r="S54" s="437"/>
      <c r="T54" s="433"/>
      <c r="U54" s="434"/>
      <c r="V54" s="434"/>
      <c r="W54" s="436"/>
      <c r="X54" s="427" t="s">
        <v>343</v>
      </c>
      <c r="Y54" s="442"/>
      <c r="Z54" s="442"/>
      <c r="AA54" s="370"/>
      <c r="AB54" s="370"/>
      <c r="AC54" s="437"/>
      <c r="AD54" s="437"/>
      <c r="AE54" s="437"/>
      <c r="AF54" s="437"/>
      <c r="AG54" s="427" t="s">
        <v>337</v>
      </c>
      <c r="AH54" s="437"/>
      <c r="AI54" s="437"/>
      <c r="AJ54" s="437"/>
      <c r="AK54" s="437"/>
      <c r="AL54" s="437"/>
      <c r="AM54" s="341"/>
      <c r="AN54" s="341"/>
    </row>
    <row r="55" spans="1:40" ht="22.5" hidden="1" customHeight="1" x14ac:dyDescent="0.2">
      <c r="A55" s="376">
        <v>45713.494690104169</v>
      </c>
      <c r="B55" s="377" t="s">
        <v>56</v>
      </c>
      <c r="C55" s="377" t="s">
        <v>352</v>
      </c>
      <c r="D55" s="378" t="str">
        <f t="shared" si="0"/>
        <v>2002</v>
      </c>
      <c r="E55" s="379" t="s">
        <v>439</v>
      </c>
      <c r="F55" s="380">
        <v>6530</v>
      </c>
      <c r="G55" s="380">
        <v>8169</v>
      </c>
      <c r="H55" s="381" t="s">
        <v>440</v>
      </c>
      <c r="I55" s="380">
        <v>1348</v>
      </c>
      <c r="J55" s="390" t="s">
        <v>53</v>
      </c>
      <c r="K55" s="383"/>
      <c r="L55" s="384"/>
      <c r="M55" s="384"/>
      <c r="N55" s="384"/>
      <c r="O55" s="383"/>
      <c r="P55" s="384"/>
      <c r="Q55" s="384"/>
      <c r="R55" s="384"/>
      <c r="S55" s="391"/>
      <c r="T55" s="383"/>
      <c r="U55" s="384"/>
      <c r="V55" s="384"/>
      <c r="W55" s="382"/>
      <c r="X55" s="377" t="s">
        <v>343</v>
      </c>
      <c r="Y55" s="362"/>
      <c r="Z55" s="362"/>
      <c r="AA55" s="362"/>
      <c r="AB55" s="362"/>
      <c r="AC55" s="385"/>
      <c r="AD55" s="385"/>
      <c r="AE55" s="385"/>
      <c r="AF55" s="385"/>
      <c r="AG55" s="377" t="s">
        <v>337</v>
      </c>
      <c r="AH55" s="385"/>
      <c r="AI55" s="385"/>
      <c r="AJ55" s="385"/>
      <c r="AK55" s="385"/>
      <c r="AL55" s="385"/>
      <c r="AM55" s="387"/>
      <c r="AN55" s="387"/>
    </row>
    <row r="56" spans="1:40" ht="22.5" hidden="1" customHeight="1" x14ac:dyDescent="0.2">
      <c r="A56" s="376">
        <v>45714.369321435181</v>
      </c>
      <c r="B56" s="377" t="s">
        <v>56</v>
      </c>
      <c r="C56" s="377" t="s">
        <v>381</v>
      </c>
      <c r="D56" s="378" t="str">
        <f t="shared" si="0"/>
        <v>2011</v>
      </c>
      <c r="E56" s="379" t="s">
        <v>441</v>
      </c>
      <c r="F56" s="380">
        <v>26314</v>
      </c>
      <c r="G56" s="380">
        <v>15855</v>
      </c>
      <c r="H56" s="381" t="s">
        <v>442</v>
      </c>
      <c r="I56" s="380" t="s">
        <v>359</v>
      </c>
      <c r="J56" s="390" t="s">
        <v>53</v>
      </c>
      <c r="K56" s="383"/>
      <c r="L56" s="384"/>
      <c r="M56" s="384"/>
      <c r="N56" s="384"/>
      <c r="O56" s="383"/>
      <c r="P56" s="384"/>
      <c r="Q56" s="384"/>
      <c r="R56" s="384"/>
      <c r="S56" s="391"/>
      <c r="T56" s="383"/>
      <c r="U56" s="384"/>
      <c r="V56" s="384"/>
      <c r="W56" s="382"/>
      <c r="X56" s="377" t="s">
        <v>343</v>
      </c>
      <c r="Y56" s="362"/>
      <c r="Z56" s="362"/>
      <c r="AA56" s="362"/>
      <c r="AB56" s="362"/>
      <c r="AC56" s="385"/>
      <c r="AD56" s="385"/>
      <c r="AE56" s="385"/>
      <c r="AF56" s="385"/>
      <c r="AG56" s="377" t="s">
        <v>337</v>
      </c>
      <c r="AH56" s="385"/>
      <c r="AI56" s="385"/>
      <c r="AJ56" s="385"/>
      <c r="AK56" s="385"/>
      <c r="AL56" s="385"/>
      <c r="AM56" s="387"/>
      <c r="AN56" s="387"/>
    </row>
    <row r="57" spans="1:40" ht="22.5" hidden="1" customHeight="1" x14ac:dyDescent="0.2">
      <c r="A57" s="376">
        <v>45714.429518634264</v>
      </c>
      <c r="B57" s="377" t="s">
        <v>56</v>
      </c>
      <c r="C57" s="377" t="s">
        <v>381</v>
      </c>
      <c r="D57" s="378" t="str">
        <f t="shared" si="0"/>
        <v>2012</v>
      </c>
      <c r="E57" s="379" t="s">
        <v>443</v>
      </c>
      <c r="F57" s="380">
        <v>29656</v>
      </c>
      <c r="G57" s="380">
        <v>15472</v>
      </c>
      <c r="H57" s="381" t="s">
        <v>444</v>
      </c>
      <c r="I57" s="380">
        <v>1796</v>
      </c>
      <c r="J57" s="390" t="s">
        <v>53</v>
      </c>
      <c r="K57" s="383"/>
      <c r="L57" s="384"/>
      <c r="M57" s="384"/>
      <c r="N57" s="384"/>
      <c r="O57" s="383"/>
      <c r="P57" s="384"/>
      <c r="Q57" s="384"/>
      <c r="R57" s="384"/>
      <c r="S57" s="391"/>
      <c r="T57" s="383"/>
      <c r="U57" s="384"/>
      <c r="V57" s="384"/>
      <c r="W57" s="382"/>
      <c r="X57" s="377" t="s">
        <v>343</v>
      </c>
      <c r="Y57" s="362"/>
      <c r="Z57" s="362"/>
      <c r="AA57" s="362"/>
      <c r="AB57" s="362"/>
      <c r="AC57" s="385"/>
      <c r="AD57" s="385"/>
      <c r="AE57" s="385"/>
      <c r="AF57" s="385"/>
      <c r="AG57" s="377" t="s">
        <v>337</v>
      </c>
      <c r="AH57" s="385"/>
      <c r="AI57" s="385"/>
      <c r="AJ57" s="385"/>
      <c r="AK57" s="385"/>
      <c r="AL57" s="385"/>
      <c r="AM57" s="341"/>
      <c r="AN57" s="341"/>
    </row>
    <row r="58" spans="1:40" ht="22.5" hidden="1" customHeight="1" x14ac:dyDescent="0.2">
      <c r="A58" s="426">
        <v>45716.495866249999</v>
      </c>
      <c r="B58" s="426" t="s">
        <v>56</v>
      </c>
      <c r="C58" s="426" t="s">
        <v>381</v>
      </c>
      <c r="D58" s="443" t="str">
        <f t="shared" si="0"/>
        <v>2021</v>
      </c>
      <c r="E58" s="444" t="s">
        <v>445</v>
      </c>
      <c r="F58" s="445">
        <v>60507</v>
      </c>
      <c r="G58" s="430">
        <v>2858</v>
      </c>
      <c r="H58" s="431" t="s">
        <v>446</v>
      </c>
      <c r="I58" s="446">
        <v>586</v>
      </c>
      <c r="J58" s="447" t="s">
        <v>53</v>
      </c>
      <c r="K58" s="443"/>
      <c r="L58" s="446"/>
      <c r="M58" s="446"/>
      <c r="N58" s="446"/>
      <c r="O58" s="443"/>
      <c r="P58" s="446"/>
      <c r="Q58" s="446"/>
      <c r="R58" s="446"/>
      <c r="S58" s="435"/>
      <c r="T58" s="443"/>
      <c r="U58" s="446"/>
      <c r="V58" s="446"/>
      <c r="W58" s="447"/>
      <c r="X58" s="426" t="s">
        <v>343</v>
      </c>
      <c r="Y58" s="448"/>
      <c r="Z58" s="448"/>
      <c r="AA58" s="449"/>
      <c r="AB58" s="449"/>
      <c r="AC58" s="426"/>
      <c r="AD58" s="426"/>
      <c r="AE58" s="426"/>
      <c r="AF58" s="426"/>
      <c r="AG58" s="426" t="s">
        <v>337</v>
      </c>
      <c r="AH58" s="426"/>
      <c r="AI58" s="426"/>
      <c r="AJ58" s="426"/>
      <c r="AK58" s="426"/>
      <c r="AL58" s="426"/>
      <c r="AM58" s="450"/>
      <c r="AN58" s="450"/>
    </row>
    <row r="59" spans="1:40" ht="22.5" hidden="1" customHeight="1" x14ac:dyDescent="0.2">
      <c r="A59" s="426">
        <v>45716.734385289354</v>
      </c>
      <c r="B59" s="427" t="s">
        <v>56</v>
      </c>
      <c r="C59" s="427" t="s">
        <v>381</v>
      </c>
      <c r="D59" s="428" t="str">
        <f t="shared" si="0"/>
        <v>2021</v>
      </c>
      <c r="E59" s="429" t="s">
        <v>447</v>
      </c>
      <c r="F59" s="451">
        <v>61404</v>
      </c>
      <c r="G59" s="430">
        <v>6878</v>
      </c>
      <c r="H59" s="431" t="s">
        <v>448</v>
      </c>
      <c r="I59" s="430">
        <v>1417</v>
      </c>
      <c r="J59" s="432" t="s">
        <v>53</v>
      </c>
      <c r="K59" s="433"/>
      <c r="L59" s="434"/>
      <c r="M59" s="434"/>
      <c r="N59" s="434"/>
      <c r="O59" s="433"/>
      <c r="P59" s="434"/>
      <c r="Q59" s="434"/>
      <c r="R59" s="434"/>
      <c r="S59" s="435"/>
      <c r="T59" s="433"/>
      <c r="U59" s="434"/>
      <c r="V59" s="434"/>
      <c r="W59" s="436"/>
      <c r="X59" s="427" t="s">
        <v>343</v>
      </c>
      <c r="Y59" s="452"/>
      <c r="Z59" s="452"/>
      <c r="AA59" s="362"/>
      <c r="AB59" s="362"/>
      <c r="AC59" s="437"/>
      <c r="AD59" s="437"/>
      <c r="AE59" s="437"/>
      <c r="AF59" s="437"/>
      <c r="AG59" s="427" t="s">
        <v>337</v>
      </c>
      <c r="AH59" s="437"/>
      <c r="AI59" s="437"/>
      <c r="AJ59" s="437"/>
      <c r="AK59" s="437"/>
      <c r="AL59" s="437"/>
      <c r="AM59" s="387"/>
      <c r="AN59" s="387"/>
    </row>
    <row r="60" spans="1:40" ht="22.5" hidden="1" customHeight="1" x14ac:dyDescent="0.2">
      <c r="A60" s="376">
        <v>45720.667620925931</v>
      </c>
      <c r="B60" s="376" t="s">
        <v>436</v>
      </c>
      <c r="C60" s="376" t="s">
        <v>381</v>
      </c>
      <c r="D60" s="453" t="str">
        <f t="shared" si="0"/>
        <v/>
      </c>
      <c r="E60" s="454"/>
      <c r="F60" s="454"/>
      <c r="G60" s="454"/>
      <c r="H60" s="381"/>
      <c r="I60" s="454"/>
      <c r="J60" s="455"/>
      <c r="K60" s="453"/>
      <c r="L60" s="454"/>
      <c r="M60" s="454"/>
      <c r="N60" s="454"/>
      <c r="O60" s="456" t="s">
        <v>449</v>
      </c>
      <c r="P60" s="380">
        <v>2902</v>
      </c>
      <c r="Q60" s="380">
        <v>217</v>
      </c>
      <c r="R60" s="380">
        <v>65</v>
      </c>
      <c r="S60" s="391"/>
      <c r="T60" s="453"/>
      <c r="U60" s="454"/>
      <c r="V60" s="454"/>
      <c r="W60" s="455"/>
      <c r="X60" s="376" t="s">
        <v>343</v>
      </c>
      <c r="Y60" s="449"/>
      <c r="Z60" s="449"/>
      <c r="AA60" s="449"/>
      <c r="AB60" s="449"/>
      <c r="AC60" s="376"/>
      <c r="AD60" s="376"/>
      <c r="AE60" s="376"/>
      <c r="AF60" s="376"/>
      <c r="AG60" s="376" t="s">
        <v>337</v>
      </c>
      <c r="AH60" s="376"/>
      <c r="AI60" s="376"/>
      <c r="AJ60" s="376"/>
      <c r="AK60" s="376"/>
      <c r="AL60" s="376"/>
      <c r="AM60" s="450"/>
      <c r="AN60" s="450"/>
    </row>
    <row r="61" spans="1:40" ht="22.5" hidden="1" customHeight="1" x14ac:dyDescent="0.2">
      <c r="A61" s="376">
        <v>45722.545949131949</v>
      </c>
      <c r="B61" s="376" t="s">
        <v>56</v>
      </c>
      <c r="C61" s="376" t="s">
        <v>381</v>
      </c>
      <c r="D61" s="453" t="str">
        <f t="shared" si="0"/>
        <v>2017</v>
      </c>
      <c r="E61" s="457" t="s">
        <v>450</v>
      </c>
      <c r="F61" s="458">
        <v>46426</v>
      </c>
      <c r="G61" s="459">
        <v>3509</v>
      </c>
      <c r="H61" s="381" t="s">
        <v>451</v>
      </c>
      <c r="I61" s="459">
        <v>700</v>
      </c>
      <c r="J61" s="455" t="s">
        <v>53</v>
      </c>
      <c r="K61" s="453"/>
      <c r="L61" s="454"/>
      <c r="M61" s="454"/>
      <c r="N61" s="454"/>
      <c r="O61" s="453"/>
      <c r="P61" s="454"/>
      <c r="Q61" s="454"/>
      <c r="R61" s="454"/>
      <c r="S61" s="391"/>
      <c r="T61" s="453"/>
      <c r="U61" s="454"/>
      <c r="V61" s="454"/>
      <c r="W61" s="455"/>
      <c r="X61" s="376" t="s">
        <v>343</v>
      </c>
      <c r="Y61" s="449"/>
      <c r="Z61" s="449"/>
      <c r="AA61" s="449"/>
      <c r="AB61" s="449"/>
      <c r="AC61" s="376"/>
      <c r="AD61" s="376"/>
      <c r="AE61" s="376"/>
      <c r="AF61" s="376"/>
      <c r="AG61" s="376" t="s">
        <v>337</v>
      </c>
      <c r="AH61" s="376"/>
      <c r="AI61" s="376"/>
      <c r="AJ61" s="376"/>
      <c r="AK61" s="376"/>
      <c r="AL61" s="376"/>
      <c r="AM61" s="450"/>
      <c r="AN61" s="450"/>
    </row>
    <row r="62" spans="1:40" ht="22.5" hidden="1" customHeight="1" x14ac:dyDescent="0.2">
      <c r="A62" s="376">
        <v>45723.570032094911</v>
      </c>
      <c r="B62" s="376" t="s">
        <v>56</v>
      </c>
      <c r="C62" s="376" t="s">
        <v>381</v>
      </c>
      <c r="D62" s="453" t="str">
        <f t="shared" si="0"/>
        <v>2017</v>
      </c>
      <c r="E62" s="457" t="s">
        <v>452</v>
      </c>
      <c r="F62" s="458">
        <v>48482</v>
      </c>
      <c r="G62" s="460">
        <v>11842</v>
      </c>
      <c r="H62" s="381" t="s">
        <v>453</v>
      </c>
      <c r="I62" s="460">
        <v>2296</v>
      </c>
      <c r="J62" s="455" t="s">
        <v>53</v>
      </c>
      <c r="K62" s="453"/>
      <c r="L62" s="454"/>
      <c r="M62" s="454"/>
      <c r="N62" s="454"/>
      <c r="O62" s="453"/>
      <c r="P62" s="454"/>
      <c r="Q62" s="454"/>
      <c r="R62" s="454"/>
      <c r="S62" s="391"/>
      <c r="T62" s="453"/>
      <c r="U62" s="454"/>
      <c r="V62" s="454"/>
      <c r="W62" s="455"/>
      <c r="X62" s="376" t="s">
        <v>343</v>
      </c>
      <c r="Y62" s="449"/>
      <c r="Z62" s="449"/>
      <c r="AA62" s="449"/>
      <c r="AB62" s="449"/>
      <c r="AC62" s="376"/>
      <c r="AD62" s="376"/>
      <c r="AE62" s="376"/>
      <c r="AF62" s="376"/>
      <c r="AG62" s="376" t="s">
        <v>337</v>
      </c>
      <c r="AH62" s="376"/>
      <c r="AI62" s="376"/>
      <c r="AJ62" s="376"/>
      <c r="AK62" s="376"/>
      <c r="AL62" s="376"/>
      <c r="AM62" s="461"/>
      <c r="AN62" s="461"/>
    </row>
    <row r="63" spans="1:40" ht="22.5" hidden="1" customHeight="1" x14ac:dyDescent="0.2">
      <c r="A63" s="376">
        <v>45726.450081712959</v>
      </c>
      <c r="B63" s="376" t="s">
        <v>56</v>
      </c>
      <c r="C63" s="376" t="s">
        <v>381</v>
      </c>
      <c r="D63" s="453" t="str">
        <f t="shared" si="0"/>
        <v>2005</v>
      </c>
      <c r="E63" s="457" t="s">
        <v>454</v>
      </c>
      <c r="F63" s="460">
        <v>10819</v>
      </c>
      <c r="G63" s="460">
        <v>2459</v>
      </c>
      <c r="H63" s="381" t="s">
        <v>455</v>
      </c>
      <c r="I63" s="460">
        <v>329</v>
      </c>
      <c r="J63" s="455" t="s">
        <v>53</v>
      </c>
      <c r="K63" s="453"/>
      <c r="L63" s="454"/>
      <c r="M63" s="454"/>
      <c r="N63" s="454"/>
      <c r="O63" s="453"/>
      <c r="P63" s="454"/>
      <c r="Q63" s="454"/>
      <c r="R63" s="454"/>
      <c r="S63" s="391"/>
      <c r="T63" s="453"/>
      <c r="U63" s="454"/>
      <c r="V63" s="454"/>
      <c r="W63" s="455"/>
      <c r="X63" s="376" t="s">
        <v>343</v>
      </c>
      <c r="Y63" s="449"/>
      <c r="Z63" s="449"/>
      <c r="AA63" s="449"/>
      <c r="AB63" s="449"/>
      <c r="AC63" s="376"/>
      <c r="AD63" s="376"/>
      <c r="AE63" s="376"/>
      <c r="AF63" s="376"/>
      <c r="AG63" s="376" t="s">
        <v>337</v>
      </c>
      <c r="AH63" s="376"/>
      <c r="AI63" s="376"/>
      <c r="AJ63" s="376"/>
      <c r="AK63" s="376"/>
      <c r="AL63" s="376"/>
      <c r="AM63" s="450"/>
      <c r="AN63" s="450"/>
    </row>
    <row r="64" spans="1:40" ht="22.5" hidden="1" customHeight="1" x14ac:dyDescent="0.2">
      <c r="A64" s="376">
        <v>45726.450991180551</v>
      </c>
      <c r="B64" s="376" t="s">
        <v>56</v>
      </c>
      <c r="C64" s="376" t="s">
        <v>352</v>
      </c>
      <c r="D64" s="453" t="str">
        <f t="shared" si="0"/>
        <v>2/99</v>
      </c>
      <c r="E64" s="457" t="s">
        <v>456</v>
      </c>
      <c r="F64" s="380">
        <v>3333</v>
      </c>
      <c r="G64" s="460">
        <v>7361</v>
      </c>
      <c r="H64" s="381" t="s">
        <v>457</v>
      </c>
      <c r="I64" s="460">
        <v>1007</v>
      </c>
      <c r="J64" s="455" t="s">
        <v>53</v>
      </c>
      <c r="K64" s="453"/>
      <c r="L64" s="454"/>
      <c r="M64" s="454"/>
      <c r="N64" s="454"/>
      <c r="O64" s="453"/>
      <c r="P64" s="454"/>
      <c r="Q64" s="454"/>
      <c r="R64" s="454"/>
      <c r="S64" s="391"/>
      <c r="T64" s="453"/>
      <c r="U64" s="454"/>
      <c r="V64" s="454"/>
      <c r="W64" s="455"/>
      <c r="X64" s="376" t="s">
        <v>343</v>
      </c>
      <c r="Y64" s="449"/>
      <c r="Z64" s="449"/>
      <c r="AA64" s="449"/>
      <c r="AB64" s="449"/>
      <c r="AC64" s="376"/>
      <c r="AD64" s="376"/>
      <c r="AE64" s="376"/>
      <c r="AF64" s="376"/>
      <c r="AG64" s="376" t="s">
        <v>337</v>
      </c>
      <c r="AH64" s="376"/>
      <c r="AI64" s="376"/>
      <c r="AJ64" s="376"/>
      <c r="AK64" s="376"/>
      <c r="AL64" s="376"/>
      <c r="AM64" s="450"/>
      <c r="AN64" s="450"/>
    </row>
    <row r="65" spans="1:40" ht="22.5" hidden="1" customHeight="1" x14ac:dyDescent="0.2">
      <c r="A65" s="376">
        <v>45727.461927916665</v>
      </c>
      <c r="B65" s="376" t="s">
        <v>56</v>
      </c>
      <c r="C65" s="376" t="s">
        <v>352</v>
      </c>
      <c r="D65" s="453" t="str">
        <f t="shared" si="0"/>
        <v>2022</v>
      </c>
      <c r="E65" s="457" t="s">
        <v>458</v>
      </c>
      <c r="F65" s="459">
        <v>66434</v>
      </c>
      <c r="G65" s="460">
        <v>15654</v>
      </c>
      <c r="H65" s="381" t="s">
        <v>459</v>
      </c>
      <c r="I65" s="460">
        <v>2938</v>
      </c>
      <c r="J65" s="455" t="s">
        <v>53</v>
      </c>
      <c r="K65" s="453"/>
      <c r="L65" s="454"/>
      <c r="M65" s="454"/>
      <c r="N65" s="454"/>
      <c r="O65" s="453"/>
      <c r="P65" s="454"/>
      <c r="Q65" s="454"/>
      <c r="R65" s="454"/>
      <c r="S65" s="391"/>
      <c r="T65" s="453"/>
      <c r="U65" s="454"/>
      <c r="V65" s="454"/>
      <c r="W65" s="455"/>
      <c r="X65" s="376" t="s">
        <v>343</v>
      </c>
      <c r="Y65" s="449"/>
      <c r="Z65" s="449"/>
      <c r="AA65" s="449"/>
      <c r="AB65" s="449"/>
      <c r="AC65" s="376"/>
      <c r="AD65" s="376"/>
      <c r="AE65" s="376"/>
      <c r="AF65" s="376"/>
      <c r="AG65" s="376" t="s">
        <v>337</v>
      </c>
      <c r="AH65" s="376"/>
      <c r="AI65" s="376"/>
      <c r="AJ65" s="376"/>
      <c r="AK65" s="376"/>
      <c r="AL65" s="376"/>
      <c r="AM65" s="450"/>
      <c r="AN65" s="450"/>
    </row>
    <row r="66" spans="1:40" ht="22.5" hidden="1" customHeight="1" x14ac:dyDescent="0.2">
      <c r="A66" s="376">
        <v>45727.539774212964</v>
      </c>
      <c r="B66" s="376" t="s">
        <v>56</v>
      </c>
      <c r="C66" s="376" t="s">
        <v>352</v>
      </c>
      <c r="D66" s="453" t="str">
        <f t="shared" si="0"/>
        <v>2019</v>
      </c>
      <c r="E66" s="457" t="s">
        <v>460</v>
      </c>
      <c r="F66" s="460">
        <v>57301</v>
      </c>
      <c r="G66" s="460">
        <v>14666</v>
      </c>
      <c r="H66" s="381" t="s">
        <v>461</v>
      </c>
      <c r="I66" s="460">
        <v>2903</v>
      </c>
      <c r="J66" s="455" t="s">
        <v>53</v>
      </c>
      <c r="K66" s="453"/>
      <c r="L66" s="454"/>
      <c r="M66" s="454"/>
      <c r="N66" s="454"/>
      <c r="O66" s="453"/>
      <c r="P66" s="454"/>
      <c r="Q66" s="454"/>
      <c r="R66" s="454"/>
      <c r="S66" s="391"/>
      <c r="T66" s="453"/>
      <c r="U66" s="454"/>
      <c r="V66" s="454"/>
      <c r="W66" s="455"/>
      <c r="X66" s="376" t="s">
        <v>343</v>
      </c>
      <c r="Y66" s="449"/>
      <c r="Z66" s="449"/>
      <c r="AA66" s="449"/>
      <c r="AB66" s="449"/>
      <c r="AC66" s="376"/>
      <c r="AD66" s="376"/>
      <c r="AE66" s="376"/>
      <c r="AF66" s="376"/>
      <c r="AG66" s="376" t="s">
        <v>337</v>
      </c>
      <c r="AH66" s="376"/>
      <c r="AI66" s="376"/>
      <c r="AJ66" s="376"/>
      <c r="AK66" s="376"/>
      <c r="AL66" s="376"/>
      <c r="AM66" s="450"/>
      <c r="AN66" s="450"/>
    </row>
    <row r="67" spans="1:40" ht="22.5" hidden="1" customHeight="1" x14ac:dyDescent="0.2">
      <c r="A67" s="376">
        <v>45727.703804618053</v>
      </c>
      <c r="B67" s="376" t="s">
        <v>56</v>
      </c>
      <c r="C67" s="376" t="s">
        <v>381</v>
      </c>
      <c r="D67" s="453" t="str">
        <f t="shared" si="0"/>
        <v>2022</v>
      </c>
      <c r="E67" s="457" t="s">
        <v>462</v>
      </c>
      <c r="F67" s="458">
        <v>63626</v>
      </c>
      <c r="G67" s="460">
        <v>3083</v>
      </c>
      <c r="H67" s="381" t="s">
        <v>463</v>
      </c>
      <c r="I67" s="454" t="s">
        <v>359</v>
      </c>
      <c r="J67" s="455" t="s">
        <v>53</v>
      </c>
      <c r="K67" s="453"/>
      <c r="L67" s="454"/>
      <c r="M67" s="454"/>
      <c r="N67" s="454"/>
      <c r="O67" s="453"/>
      <c r="P67" s="454"/>
      <c r="Q67" s="454"/>
      <c r="R67" s="454"/>
      <c r="S67" s="391"/>
      <c r="T67" s="453"/>
      <c r="U67" s="454"/>
      <c r="V67" s="454"/>
      <c r="W67" s="455"/>
      <c r="X67" s="376" t="s">
        <v>343</v>
      </c>
      <c r="Y67" s="449"/>
      <c r="Z67" s="449"/>
      <c r="AA67" s="449"/>
      <c r="AB67" s="449"/>
      <c r="AC67" s="376"/>
      <c r="AD67" s="376"/>
      <c r="AE67" s="376"/>
      <c r="AF67" s="376"/>
      <c r="AG67" s="376" t="s">
        <v>337</v>
      </c>
      <c r="AH67" s="376"/>
      <c r="AI67" s="376"/>
      <c r="AJ67" s="376"/>
      <c r="AK67" s="376"/>
      <c r="AL67" s="376"/>
      <c r="AM67" s="450"/>
      <c r="AN67" s="450"/>
    </row>
    <row r="68" spans="1:40" ht="22.5" hidden="1" customHeight="1" x14ac:dyDescent="0.2">
      <c r="A68" s="376">
        <v>45728.674270416668</v>
      </c>
      <c r="B68" s="377" t="s">
        <v>291</v>
      </c>
      <c r="C68" s="377" t="s">
        <v>464</v>
      </c>
      <c r="D68" s="383" t="str">
        <f t="shared" si="0"/>
        <v/>
      </c>
      <c r="E68" s="384"/>
      <c r="F68" s="384"/>
      <c r="G68" s="384"/>
      <c r="H68" s="388"/>
      <c r="I68" s="384"/>
      <c r="J68" s="382"/>
      <c r="K68" s="383"/>
      <c r="L68" s="384"/>
      <c r="M68" s="384"/>
      <c r="N68" s="384"/>
      <c r="O68" s="383"/>
      <c r="P68" s="384"/>
      <c r="Q68" s="384"/>
      <c r="R68" s="384"/>
      <c r="S68" s="385"/>
      <c r="T68" s="389" t="s">
        <v>465</v>
      </c>
      <c r="U68" s="380">
        <v>329</v>
      </c>
      <c r="V68" s="380">
        <v>10819</v>
      </c>
      <c r="W68" s="390">
        <v>2459</v>
      </c>
      <c r="X68" s="377" t="s">
        <v>343</v>
      </c>
      <c r="Y68" s="370"/>
      <c r="Z68" s="370"/>
      <c r="AA68" s="370"/>
      <c r="AB68" s="370"/>
      <c r="AC68" s="385"/>
      <c r="AD68" s="385"/>
      <c r="AE68" s="385"/>
      <c r="AF68" s="385"/>
      <c r="AG68" s="377" t="s">
        <v>337</v>
      </c>
      <c r="AH68" s="385"/>
      <c r="AI68" s="385"/>
      <c r="AJ68" s="385"/>
      <c r="AK68" s="385"/>
      <c r="AL68" s="385"/>
      <c r="AM68" s="387"/>
      <c r="AN68" s="387"/>
    </row>
    <row r="69" spans="1:40" ht="22.5" hidden="1" customHeight="1" x14ac:dyDescent="0.2">
      <c r="A69" s="376">
        <v>45729.511418124996</v>
      </c>
      <c r="B69" s="377" t="s">
        <v>56</v>
      </c>
      <c r="C69" s="377" t="s">
        <v>381</v>
      </c>
      <c r="D69" s="378" t="str">
        <f t="shared" si="0"/>
        <v>2/99</v>
      </c>
      <c r="E69" s="379" t="s">
        <v>456</v>
      </c>
      <c r="F69" s="380">
        <v>3333</v>
      </c>
      <c r="G69" s="380">
        <v>7361</v>
      </c>
      <c r="H69" s="381" t="s">
        <v>466</v>
      </c>
      <c r="I69" s="380">
        <v>1007</v>
      </c>
      <c r="J69" s="390" t="s">
        <v>53</v>
      </c>
      <c r="K69" s="383"/>
      <c r="L69" s="384"/>
      <c r="M69" s="384"/>
      <c r="N69" s="384"/>
      <c r="O69" s="383"/>
      <c r="P69" s="384"/>
      <c r="Q69" s="384"/>
      <c r="R69" s="384"/>
      <c r="S69" s="391"/>
      <c r="T69" s="383"/>
      <c r="U69" s="384"/>
      <c r="V69" s="384"/>
      <c r="W69" s="382"/>
      <c r="X69" s="377" t="s">
        <v>343</v>
      </c>
      <c r="Y69" s="362"/>
      <c r="Z69" s="362"/>
      <c r="AA69" s="362"/>
      <c r="AB69" s="362"/>
      <c r="AC69" s="385"/>
      <c r="AD69" s="385"/>
      <c r="AE69" s="385"/>
      <c r="AF69" s="385"/>
      <c r="AG69" s="377" t="s">
        <v>337</v>
      </c>
      <c r="AH69" s="385"/>
      <c r="AI69" s="385"/>
      <c r="AJ69" s="385"/>
      <c r="AK69" s="385"/>
      <c r="AL69" s="385"/>
      <c r="AM69" s="387"/>
      <c r="AN69" s="387"/>
    </row>
    <row r="70" spans="1:40" ht="22.5" hidden="1" customHeight="1" x14ac:dyDescent="0.2">
      <c r="A70" s="376">
        <v>45731.362819849535</v>
      </c>
      <c r="B70" s="377" t="s">
        <v>56</v>
      </c>
      <c r="C70" s="377" t="s">
        <v>352</v>
      </c>
      <c r="D70" s="378" t="str">
        <f t="shared" si="0"/>
        <v>4/02</v>
      </c>
      <c r="E70" s="379" t="s">
        <v>467</v>
      </c>
      <c r="F70" s="380">
        <v>6530</v>
      </c>
      <c r="G70" s="380">
        <v>8169</v>
      </c>
      <c r="H70" s="381" t="s">
        <v>440</v>
      </c>
      <c r="I70" s="380">
        <v>1348</v>
      </c>
      <c r="J70" s="390" t="s">
        <v>53</v>
      </c>
      <c r="K70" s="383"/>
      <c r="L70" s="384"/>
      <c r="M70" s="384"/>
      <c r="N70" s="384"/>
      <c r="O70" s="383"/>
      <c r="P70" s="384"/>
      <c r="Q70" s="384"/>
      <c r="R70" s="384"/>
      <c r="S70" s="391"/>
      <c r="T70" s="383"/>
      <c r="U70" s="384"/>
      <c r="V70" s="384"/>
      <c r="W70" s="382"/>
      <c r="X70" s="377" t="s">
        <v>343</v>
      </c>
      <c r="Y70" s="362"/>
      <c r="Z70" s="362"/>
      <c r="AA70" s="362"/>
      <c r="AB70" s="362"/>
      <c r="AC70" s="385"/>
      <c r="AD70" s="385"/>
      <c r="AE70" s="385"/>
      <c r="AF70" s="385"/>
      <c r="AG70" s="377" t="s">
        <v>337</v>
      </c>
      <c r="AH70" s="385"/>
      <c r="AI70" s="385"/>
      <c r="AJ70" s="385"/>
      <c r="AK70" s="385"/>
      <c r="AL70" s="385"/>
      <c r="AM70" s="387"/>
      <c r="AN70" s="387"/>
    </row>
    <row r="71" spans="1:40" ht="22.5" hidden="1" customHeight="1" x14ac:dyDescent="0.2">
      <c r="A71" s="376">
        <v>45734.489426886576</v>
      </c>
      <c r="B71" s="377" t="s">
        <v>56</v>
      </c>
      <c r="C71" s="377" t="s">
        <v>381</v>
      </c>
      <c r="D71" s="378" t="str">
        <f t="shared" si="0"/>
        <v>2003</v>
      </c>
      <c r="E71" s="379" t="s">
        <v>468</v>
      </c>
      <c r="F71" s="380">
        <v>8078</v>
      </c>
      <c r="G71" s="380">
        <v>3472</v>
      </c>
      <c r="H71" s="381" t="s">
        <v>469</v>
      </c>
      <c r="I71" s="380">
        <v>592</v>
      </c>
      <c r="J71" s="390" t="s">
        <v>53</v>
      </c>
      <c r="K71" s="383"/>
      <c r="L71" s="384"/>
      <c r="M71" s="384"/>
      <c r="N71" s="384"/>
      <c r="O71" s="383"/>
      <c r="P71" s="384"/>
      <c r="Q71" s="384"/>
      <c r="R71" s="384"/>
      <c r="S71" s="391"/>
      <c r="T71" s="383"/>
      <c r="U71" s="384"/>
      <c r="V71" s="384"/>
      <c r="W71" s="382"/>
      <c r="X71" s="377" t="s">
        <v>343</v>
      </c>
      <c r="Y71" s="362"/>
      <c r="Z71" s="362"/>
      <c r="AA71" s="362"/>
      <c r="AB71" s="362"/>
      <c r="AC71" s="385"/>
      <c r="AD71" s="385"/>
      <c r="AE71" s="385"/>
      <c r="AF71" s="385"/>
      <c r="AG71" s="377" t="s">
        <v>337</v>
      </c>
      <c r="AH71" s="385"/>
      <c r="AI71" s="385"/>
      <c r="AJ71" s="385"/>
      <c r="AK71" s="385"/>
      <c r="AL71" s="385"/>
      <c r="AM71" s="387"/>
      <c r="AN71" s="387"/>
    </row>
    <row r="72" spans="1:40" ht="22.5" hidden="1" customHeight="1" x14ac:dyDescent="0.2">
      <c r="A72" s="376">
        <v>45734.490060682874</v>
      </c>
      <c r="B72" s="377" t="s">
        <v>56</v>
      </c>
      <c r="C72" s="377" t="s">
        <v>381</v>
      </c>
      <c r="D72" s="378" t="str">
        <f t="shared" si="0"/>
        <v>2003</v>
      </c>
      <c r="E72" s="379" t="s">
        <v>470</v>
      </c>
      <c r="F72" s="380">
        <v>7420</v>
      </c>
      <c r="G72" s="380">
        <v>155</v>
      </c>
      <c r="H72" s="381" t="s">
        <v>471</v>
      </c>
      <c r="I72" s="380">
        <v>26</v>
      </c>
      <c r="J72" s="390" t="s">
        <v>53</v>
      </c>
      <c r="K72" s="383"/>
      <c r="L72" s="384"/>
      <c r="M72" s="384"/>
      <c r="N72" s="384"/>
      <c r="O72" s="383"/>
      <c r="P72" s="384"/>
      <c r="Q72" s="384"/>
      <c r="R72" s="384"/>
      <c r="S72" s="391"/>
      <c r="T72" s="383"/>
      <c r="U72" s="384"/>
      <c r="V72" s="384"/>
      <c r="W72" s="382"/>
      <c r="X72" s="377" t="s">
        <v>343</v>
      </c>
      <c r="Y72" s="362"/>
      <c r="Z72" s="362"/>
      <c r="AA72" s="362"/>
      <c r="AB72" s="362"/>
      <c r="AC72" s="385"/>
      <c r="AD72" s="385"/>
      <c r="AE72" s="385"/>
      <c r="AF72" s="385"/>
      <c r="AG72" s="377" t="s">
        <v>337</v>
      </c>
      <c r="AH72" s="385"/>
      <c r="AI72" s="385"/>
      <c r="AJ72" s="385"/>
      <c r="AK72" s="385"/>
      <c r="AL72" s="385"/>
      <c r="AM72" s="387"/>
      <c r="AN72" s="387"/>
    </row>
    <row r="73" spans="1:40" ht="22.5" hidden="1" customHeight="1" x14ac:dyDescent="0.2">
      <c r="A73" s="376">
        <v>45734.490665324076</v>
      </c>
      <c r="B73" s="377" t="s">
        <v>56</v>
      </c>
      <c r="C73" s="377" t="s">
        <v>381</v>
      </c>
      <c r="D73" s="378" t="str">
        <f t="shared" si="0"/>
        <v>2005</v>
      </c>
      <c r="E73" s="379" t="s">
        <v>472</v>
      </c>
      <c r="F73" s="380">
        <v>11636</v>
      </c>
      <c r="G73" s="380">
        <v>7750</v>
      </c>
      <c r="H73" s="381" t="s">
        <v>345</v>
      </c>
      <c r="I73" s="380">
        <v>979</v>
      </c>
      <c r="J73" s="390" t="s">
        <v>53</v>
      </c>
      <c r="K73" s="383"/>
      <c r="L73" s="384"/>
      <c r="M73" s="384"/>
      <c r="N73" s="384"/>
      <c r="O73" s="383"/>
      <c r="P73" s="384"/>
      <c r="Q73" s="384"/>
      <c r="R73" s="384"/>
      <c r="S73" s="391"/>
      <c r="T73" s="383"/>
      <c r="U73" s="384"/>
      <c r="V73" s="384"/>
      <c r="W73" s="382"/>
      <c r="X73" s="377" t="s">
        <v>343</v>
      </c>
      <c r="Y73" s="362"/>
      <c r="Z73" s="362"/>
      <c r="AA73" s="362"/>
      <c r="AB73" s="362"/>
      <c r="AC73" s="385"/>
      <c r="AD73" s="385"/>
      <c r="AE73" s="385"/>
      <c r="AF73" s="385"/>
      <c r="AG73" s="377" t="s">
        <v>337</v>
      </c>
      <c r="AH73" s="385"/>
      <c r="AI73" s="385"/>
      <c r="AJ73" s="385"/>
      <c r="AK73" s="385"/>
      <c r="AL73" s="385"/>
      <c r="AM73" s="387"/>
      <c r="AN73" s="387"/>
    </row>
    <row r="74" spans="1:40" ht="22.5" hidden="1" customHeight="1" x14ac:dyDescent="0.2">
      <c r="A74" s="376">
        <v>45734.491550555555</v>
      </c>
      <c r="B74" s="377" t="s">
        <v>56</v>
      </c>
      <c r="C74" s="377" t="s">
        <v>381</v>
      </c>
      <c r="D74" s="378" t="str">
        <f t="shared" si="0"/>
        <v>2006</v>
      </c>
      <c r="E74" s="379" t="s">
        <v>473</v>
      </c>
      <c r="F74" s="380">
        <v>12321</v>
      </c>
      <c r="G74" s="380">
        <v>11652</v>
      </c>
      <c r="H74" s="381" t="s">
        <v>474</v>
      </c>
      <c r="I74" s="380">
        <v>1441</v>
      </c>
      <c r="J74" s="390" t="s">
        <v>53</v>
      </c>
      <c r="K74" s="383"/>
      <c r="L74" s="384"/>
      <c r="M74" s="384"/>
      <c r="N74" s="384"/>
      <c r="O74" s="383"/>
      <c r="P74" s="384"/>
      <c r="Q74" s="384"/>
      <c r="R74" s="384"/>
      <c r="S74" s="391"/>
      <c r="T74" s="383"/>
      <c r="U74" s="384"/>
      <c r="V74" s="384"/>
      <c r="W74" s="382"/>
      <c r="X74" s="377" t="s">
        <v>343</v>
      </c>
      <c r="Y74" s="362"/>
      <c r="Z74" s="362"/>
      <c r="AA74" s="362"/>
      <c r="AB74" s="362"/>
      <c r="AC74" s="385"/>
      <c r="AD74" s="385"/>
      <c r="AE74" s="385"/>
      <c r="AF74" s="385"/>
      <c r="AG74" s="377" t="s">
        <v>337</v>
      </c>
      <c r="AH74" s="385"/>
      <c r="AI74" s="385"/>
      <c r="AJ74" s="385"/>
      <c r="AK74" s="385"/>
      <c r="AL74" s="385"/>
      <c r="AM74" s="387"/>
      <c r="AN74" s="387"/>
    </row>
    <row r="75" spans="1:40" ht="22.5" hidden="1" customHeight="1" x14ac:dyDescent="0.2">
      <c r="A75" s="376">
        <v>45734.528525601854</v>
      </c>
      <c r="B75" s="377" t="s">
        <v>56</v>
      </c>
      <c r="C75" s="377" t="s">
        <v>381</v>
      </c>
      <c r="D75" s="378" t="str">
        <f t="shared" si="0"/>
        <v>2015</v>
      </c>
      <c r="E75" s="379" t="s">
        <v>475</v>
      </c>
      <c r="F75" s="439">
        <v>39258</v>
      </c>
      <c r="G75" s="380">
        <v>4710</v>
      </c>
      <c r="H75" s="381" t="s">
        <v>476</v>
      </c>
      <c r="I75" s="380">
        <v>810</v>
      </c>
      <c r="J75" s="390" t="s">
        <v>53</v>
      </c>
      <c r="K75" s="383"/>
      <c r="L75" s="384"/>
      <c r="M75" s="384"/>
      <c r="N75" s="384"/>
      <c r="O75" s="383"/>
      <c r="P75" s="384"/>
      <c r="Q75" s="384"/>
      <c r="R75" s="384"/>
      <c r="S75" s="391"/>
      <c r="T75" s="383"/>
      <c r="U75" s="384"/>
      <c r="V75" s="384"/>
      <c r="W75" s="382"/>
      <c r="X75" s="377" t="s">
        <v>343</v>
      </c>
      <c r="Y75" s="362"/>
      <c r="Z75" s="362"/>
      <c r="AA75" s="362"/>
      <c r="AB75" s="362"/>
      <c r="AC75" s="385"/>
      <c r="AD75" s="385"/>
      <c r="AE75" s="385"/>
      <c r="AF75" s="385"/>
      <c r="AG75" s="377" t="s">
        <v>337</v>
      </c>
      <c r="AH75" s="385"/>
      <c r="AI75" s="385"/>
      <c r="AJ75" s="385"/>
      <c r="AK75" s="385"/>
      <c r="AL75" s="385"/>
      <c r="AM75" s="341"/>
      <c r="AN75" s="341"/>
    </row>
    <row r="76" spans="1:40" ht="22.5" hidden="1" customHeight="1" x14ac:dyDescent="0.2">
      <c r="A76" s="376">
        <v>45735.435944062498</v>
      </c>
      <c r="B76" s="377" t="s">
        <v>56</v>
      </c>
      <c r="C76" s="377" t="s">
        <v>352</v>
      </c>
      <c r="D76" s="378" t="str">
        <f t="shared" si="0"/>
        <v>2012</v>
      </c>
      <c r="E76" s="379" t="s">
        <v>477</v>
      </c>
      <c r="F76" s="380">
        <v>30673</v>
      </c>
      <c r="G76" s="380">
        <v>24154</v>
      </c>
      <c r="H76" s="381" t="s">
        <v>478</v>
      </c>
      <c r="I76" s="380">
        <v>2728</v>
      </c>
      <c r="J76" s="390" t="s">
        <v>53</v>
      </c>
      <c r="K76" s="383"/>
      <c r="L76" s="384"/>
      <c r="M76" s="384"/>
      <c r="N76" s="384"/>
      <c r="O76" s="383"/>
      <c r="P76" s="384"/>
      <c r="Q76" s="384"/>
      <c r="R76" s="384"/>
      <c r="S76" s="391"/>
      <c r="T76" s="383"/>
      <c r="U76" s="384"/>
      <c r="V76" s="384"/>
      <c r="W76" s="382"/>
      <c r="X76" s="377" t="s">
        <v>343</v>
      </c>
      <c r="Y76" s="362"/>
      <c r="Z76" s="362"/>
      <c r="AA76" s="362"/>
      <c r="AB76" s="362"/>
      <c r="AC76" s="385"/>
      <c r="AD76" s="385"/>
      <c r="AE76" s="385"/>
      <c r="AF76" s="385"/>
      <c r="AG76" s="377" t="s">
        <v>337</v>
      </c>
      <c r="AH76" s="385"/>
      <c r="AI76" s="385"/>
      <c r="AJ76" s="385"/>
      <c r="AK76" s="385"/>
      <c r="AL76" s="385"/>
      <c r="AM76" s="387"/>
      <c r="AN76" s="387"/>
    </row>
    <row r="77" spans="1:40" ht="22.5" hidden="1" customHeight="1" x14ac:dyDescent="0.2">
      <c r="A77" s="376">
        <v>45737.686605879629</v>
      </c>
      <c r="B77" s="377" t="s">
        <v>351</v>
      </c>
      <c r="C77" s="377" t="s">
        <v>338</v>
      </c>
      <c r="D77" s="383" t="str">
        <f t="shared" si="0"/>
        <v/>
      </c>
      <c r="E77" s="384"/>
      <c r="F77" s="384"/>
      <c r="G77" s="384"/>
      <c r="H77" s="388"/>
      <c r="I77" s="384"/>
      <c r="J77" s="382"/>
      <c r="K77" s="389" t="s">
        <v>479</v>
      </c>
      <c r="L77" s="380">
        <v>9024</v>
      </c>
      <c r="M77" s="380">
        <v>2039</v>
      </c>
      <c r="N77" s="380">
        <v>746</v>
      </c>
      <c r="O77" s="383"/>
      <c r="P77" s="384"/>
      <c r="Q77" s="384"/>
      <c r="R77" s="384"/>
      <c r="S77" s="385"/>
      <c r="T77" s="383"/>
      <c r="U77" s="384"/>
      <c r="V77" s="384"/>
      <c r="W77" s="382"/>
      <c r="X77" s="377" t="s">
        <v>343</v>
      </c>
      <c r="Y77" s="370"/>
      <c r="Z77" s="370"/>
      <c r="AA77" s="370"/>
      <c r="AB77" s="370"/>
      <c r="AC77" s="385"/>
      <c r="AD77" s="385"/>
      <c r="AE77" s="385"/>
      <c r="AF77" s="385"/>
      <c r="AG77" s="377" t="s">
        <v>337</v>
      </c>
      <c r="AH77" s="385"/>
      <c r="AI77" s="385"/>
      <c r="AJ77" s="385"/>
      <c r="AK77" s="385"/>
      <c r="AL77" s="385"/>
      <c r="AM77" s="387"/>
      <c r="AN77" s="387"/>
    </row>
    <row r="78" spans="1:40" ht="22.5" hidden="1" customHeight="1" x14ac:dyDescent="0.2">
      <c r="A78" s="376">
        <v>45737.687207673611</v>
      </c>
      <c r="B78" s="377" t="s">
        <v>351</v>
      </c>
      <c r="C78" s="377" t="s">
        <v>338</v>
      </c>
      <c r="D78" s="383" t="str">
        <f t="shared" si="0"/>
        <v/>
      </c>
      <c r="E78" s="384"/>
      <c r="F78" s="384"/>
      <c r="G78" s="384"/>
      <c r="H78" s="388"/>
      <c r="I78" s="384"/>
      <c r="J78" s="382"/>
      <c r="K78" s="389" t="s">
        <v>480</v>
      </c>
      <c r="L78" s="380">
        <v>9025</v>
      </c>
      <c r="M78" s="380">
        <v>2042</v>
      </c>
      <c r="N78" s="380">
        <v>747</v>
      </c>
      <c r="O78" s="383"/>
      <c r="P78" s="384"/>
      <c r="Q78" s="384"/>
      <c r="R78" s="384"/>
      <c r="S78" s="385"/>
      <c r="T78" s="383"/>
      <c r="U78" s="384"/>
      <c r="V78" s="384"/>
      <c r="W78" s="382"/>
      <c r="X78" s="377" t="s">
        <v>343</v>
      </c>
      <c r="Y78" s="370"/>
      <c r="Z78" s="370"/>
      <c r="AA78" s="370"/>
      <c r="AB78" s="370"/>
      <c r="AC78" s="385"/>
      <c r="AD78" s="385"/>
      <c r="AE78" s="385"/>
      <c r="AF78" s="385"/>
      <c r="AG78" s="377" t="s">
        <v>337</v>
      </c>
      <c r="AH78" s="385"/>
      <c r="AI78" s="385"/>
      <c r="AJ78" s="385"/>
      <c r="AK78" s="385"/>
      <c r="AL78" s="385"/>
      <c r="AM78" s="387"/>
      <c r="AN78" s="387"/>
    </row>
    <row r="79" spans="1:40" ht="22.5" hidden="1" customHeight="1" x14ac:dyDescent="0.2">
      <c r="A79" s="376">
        <v>45737.688279351853</v>
      </c>
      <c r="B79" s="377" t="s">
        <v>351</v>
      </c>
      <c r="C79" s="377" t="s">
        <v>338</v>
      </c>
      <c r="D79" s="383" t="str">
        <f t="shared" si="0"/>
        <v/>
      </c>
      <c r="E79" s="384"/>
      <c r="F79" s="384"/>
      <c r="G79" s="384"/>
      <c r="H79" s="388"/>
      <c r="I79" s="384"/>
      <c r="J79" s="382"/>
      <c r="K79" s="389" t="s">
        <v>479</v>
      </c>
      <c r="L79" s="380">
        <v>9027</v>
      </c>
      <c r="M79" s="380">
        <v>2058</v>
      </c>
      <c r="N79" s="380">
        <v>752</v>
      </c>
      <c r="O79" s="383"/>
      <c r="P79" s="384"/>
      <c r="Q79" s="384"/>
      <c r="R79" s="384"/>
      <c r="S79" s="385"/>
      <c r="T79" s="383"/>
      <c r="U79" s="384"/>
      <c r="V79" s="384"/>
      <c r="W79" s="382"/>
      <c r="X79" s="377" t="s">
        <v>343</v>
      </c>
      <c r="Y79" s="370"/>
      <c r="Z79" s="370"/>
      <c r="AA79" s="370"/>
      <c r="AB79" s="370"/>
      <c r="AC79" s="385"/>
      <c r="AD79" s="385"/>
      <c r="AE79" s="385"/>
      <c r="AF79" s="385"/>
      <c r="AG79" s="377" t="s">
        <v>337</v>
      </c>
      <c r="AH79" s="385"/>
      <c r="AI79" s="385"/>
      <c r="AJ79" s="385"/>
      <c r="AK79" s="385"/>
      <c r="AL79" s="385"/>
      <c r="AM79" s="387"/>
      <c r="AN79" s="387"/>
    </row>
    <row r="80" spans="1:40" ht="22.5" hidden="1" customHeight="1" x14ac:dyDescent="0.2">
      <c r="A80" s="376">
        <v>45737.689348506945</v>
      </c>
      <c r="B80" s="377" t="s">
        <v>351</v>
      </c>
      <c r="C80" s="377" t="s">
        <v>338</v>
      </c>
      <c r="D80" s="383" t="str">
        <f t="shared" si="0"/>
        <v/>
      </c>
      <c r="E80" s="384"/>
      <c r="F80" s="384"/>
      <c r="G80" s="384"/>
      <c r="H80" s="388"/>
      <c r="I80" s="384"/>
      <c r="J80" s="382"/>
      <c r="K80" s="389" t="s">
        <v>480</v>
      </c>
      <c r="L80" s="380">
        <v>9028</v>
      </c>
      <c r="M80" s="380">
        <v>2061</v>
      </c>
      <c r="N80" s="380">
        <v>753</v>
      </c>
      <c r="O80" s="383"/>
      <c r="P80" s="384"/>
      <c r="Q80" s="384"/>
      <c r="R80" s="384"/>
      <c r="S80" s="385"/>
      <c r="T80" s="383"/>
      <c r="U80" s="384"/>
      <c r="V80" s="384"/>
      <c r="W80" s="382"/>
      <c r="X80" s="377" t="s">
        <v>343</v>
      </c>
      <c r="Y80" s="370"/>
      <c r="Z80" s="370"/>
      <c r="AA80" s="370"/>
      <c r="AB80" s="370"/>
      <c r="AC80" s="385"/>
      <c r="AD80" s="385"/>
      <c r="AE80" s="385"/>
      <c r="AF80" s="385"/>
      <c r="AG80" s="377" t="s">
        <v>337</v>
      </c>
      <c r="AH80" s="385"/>
      <c r="AI80" s="385"/>
      <c r="AJ80" s="385"/>
      <c r="AK80" s="385"/>
      <c r="AL80" s="385"/>
      <c r="AM80" s="387"/>
      <c r="AN80" s="387"/>
    </row>
    <row r="81" spans="1:40" ht="22.5" hidden="1" customHeight="1" x14ac:dyDescent="0.2">
      <c r="A81" s="376">
        <v>45737.690365682865</v>
      </c>
      <c r="B81" s="377" t="s">
        <v>56</v>
      </c>
      <c r="C81" s="377" t="s">
        <v>338</v>
      </c>
      <c r="D81" s="378" t="str">
        <f t="shared" si="0"/>
        <v>2022</v>
      </c>
      <c r="E81" s="379" t="s">
        <v>481</v>
      </c>
      <c r="F81" s="380">
        <v>64881</v>
      </c>
      <c r="G81" s="380">
        <v>8737</v>
      </c>
      <c r="H81" s="381" t="s">
        <v>482</v>
      </c>
      <c r="I81" s="380">
        <v>1684</v>
      </c>
      <c r="J81" s="390" t="s">
        <v>53</v>
      </c>
      <c r="K81" s="383"/>
      <c r="L81" s="384"/>
      <c r="M81" s="384"/>
      <c r="N81" s="384"/>
      <c r="O81" s="383"/>
      <c r="P81" s="384"/>
      <c r="Q81" s="384"/>
      <c r="R81" s="384"/>
      <c r="S81" s="391"/>
      <c r="T81" s="383"/>
      <c r="U81" s="384"/>
      <c r="V81" s="384"/>
      <c r="W81" s="382"/>
      <c r="X81" s="377" t="s">
        <v>343</v>
      </c>
      <c r="Y81" s="362"/>
      <c r="Z81" s="362"/>
      <c r="AA81" s="362"/>
      <c r="AB81" s="362"/>
      <c r="AC81" s="385"/>
      <c r="AD81" s="385"/>
      <c r="AE81" s="385"/>
      <c r="AF81" s="385"/>
      <c r="AG81" s="377" t="s">
        <v>337</v>
      </c>
      <c r="AH81" s="385"/>
      <c r="AI81" s="385"/>
      <c r="AJ81" s="385"/>
      <c r="AK81" s="385"/>
      <c r="AL81" s="385"/>
      <c r="AM81" s="387"/>
      <c r="AN81" s="387"/>
    </row>
    <row r="82" spans="1:40" ht="22.5" hidden="1" customHeight="1" x14ac:dyDescent="0.2">
      <c r="A82" s="376">
        <v>45737.691026631946</v>
      </c>
      <c r="B82" s="377" t="s">
        <v>351</v>
      </c>
      <c r="C82" s="377" t="s">
        <v>338</v>
      </c>
      <c r="D82" s="383" t="str">
        <f t="shared" si="0"/>
        <v/>
      </c>
      <c r="E82" s="384"/>
      <c r="F82" s="384"/>
      <c r="G82" s="384"/>
      <c r="H82" s="388"/>
      <c r="I82" s="384"/>
      <c r="J82" s="382"/>
      <c r="K82" s="389" t="s">
        <v>479</v>
      </c>
      <c r="L82" s="380">
        <v>9029</v>
      </c>
      <c r="M82" s="380">
        <v>2049</v>
      </c>
      <c r="N82" s="380">
        <v>749</v>
      </c>
      <c r="O82" s="383"/>
      <c r="P82" s="384"/>
      <c r="Q82" s="384"/>
      <c r="R82" s="384"/>
      <c r="S82" s="385"/>
      <c r="T82" s="383"/>
      <c r="U82" s="384"/>
      <c r="V82" s="384"/>
      <c r="W82" s="382"/>
      <c r="X82" s="377" t="s">
        <v>343</v>
      </c>
      <c r="Y82" s="370"/>
      <c r="Z82" s="370"/>
      <c r="AA82" s="370"/>
      <c r="AB82" s="370"/>
      <c r="AC82" s="385"/>
      <c r="AD82" s="385"/>
      <c r="AE82" s="385"/>
      <c r="AF82" s="385"/>
      <c r="AG82" s="377" t="s">
        <v>337</v>
      </c>
      <c r="AH82" s="385"/>
      <c r="AI82" s="385"/>
      <c r="AJ82" s="385"/>
      <c r="AK82" s="385"/>
      <c r="AL82" s="385"/>
      <c r="AM82" s="387"/>
      <c r="AN82" s="387"/>
    </row>
    <row r="83" spans="1:40" ht="22.5" hidden="1" customHeight="1" x14ac:dyDescent="0.2">
      <c r="A83" s="376">
        <v>45737.691613287039</v>
      </c>
      <c r="B83" s="377" t="s">
        <v>351</v>
      </c>
      <c r="C83" s="377" t="s">
        <v>338</v>
      </c>
      <c r="D83" s="383" t="str">
        <f t="shared" si="0"/>
        <v/>
      </c>
      <c r="E83" s="384"/>
      <c r="F83" s="384"/>
      <c r="G83" s="384"/>
      <c r="H83" s="388"/>
      <c r="I83" s="384"/>
      <c r="J83" s="382"/>
      <c r="K83" s="389" t="s">
        <v>479</v>
      </c>
      <c r="L83" s="380">
        <v>9030</v>
      </c>
      <c r="M83" s="380">
        <v>2052</v>
      </c>
      <c r="N83" s="380">
        <v>750</v>
      </c>
      <c r="O83" s="383"/>
      <c r="P83" s="384"/>
      <c r="Q83" s="384"/>
      <c r="R83" s="384"/>
      <c r="S83" s="385"/>
      <c r="T83" s="383"/>
      <c r="U83" s="384"/>
      <c r="V83" s="384"/>
      <c r="W83" s="382"/>
      <c r="X83" s="377" t="s">
        <v>343</v>
      </c>
      <c r="Y83" s="370"/>
      <c r="Z83" s="370"/>
      <c r="AA83" s="370"/>
      <c r="AB83" s="370"/>
      <c r="AC83" s="385"/>
      <c r="AD83" s="385"/>
      <c r="AE83" s="385"/>
      <c r="AF83" s="385"/>
      <c r="AG83" s="377" t="s">
        <v>337</v>
      </c>
      <c r="AH83" s="385"/>
      <c r="AI83" s="385"/>
      <c r="AJ83" s="385"/>
      <c r="AK83" s="385"/>
      <c r="AL83" s="385"/>
      <c r="AM83" s="387"/>
      <c r="AN83" s="387"/>
    </row>
    <row r="84" spans="1:40" ht="22.5" hidden="1" customHeight="1" x14ac:dyDescent="0.2">
      <c r="A84" s="376">
        <v>45737.692671377314</v>
      </c>
      <c r="B84" s="377" t="s">
        <v>351</v>
      </c>
      <c r="C84" s="377" t="s">
        <v>338</v>
      </c>
      <c r="D84" s="383" t="str">
        <f t="shared" si="0"/>
        <v/>
      </c>
      <c r="E84" s="384"/>
      <c r="F84" s="384"/>
      <c r="G84" s="384"/>
      <c r="H84" s="388"/>
      <c r="I84" s="384"/>
      <c r="J84" s="382"/>
      <c r="K84" s="389" t="s">
        <v>480</v>
      </c>
      <c r="L84" s="380">
        <v>9031</v>
      </c>
      <c r="M84" s="380">
        <v>2055</v>
      </c>
      <c r="N84" s="380">
        <v>751</v>
      </c>
      <c r="O84" s="383"/>
      <c r="P84" s="384"/>
      <c r="Q84" s="384"/>
      <c r="R84" s="384"/>
      <c r="S84" s="385"/>
      <c r="T84" s="383"/>
      <c r="U84" s="384"/>
      <c r="V84" s="384"/>
      <c r="W84" s="382"/>
      <c r="X84" s="377" t="s">
        <v>343</v>
      </c>
      <c r="Y84" s="370"/>
      <c r="Z84" s="370"/>
      <c r="AA84" s="370"/>
      <c r="AB84" s="370"/>
      <c r="AC84" s="385"/>
      <c r="AD84" s="385"/>
      <c r="AE84" s="385"/>
      <c r="AF84" s="385"/>
      <c r="AG84" s="377" t="s">
        <v>337</v>
      </c>
      <c r="AH84" s="385"/>
      <c r="AI84" s="385"/>
      <c r="AJ84" s="385"/>
      <c r="AK84" s="385"/>
      <c r="AL84" s="385"/>
      <c r="AM84" s="387"/>
      <c r="AN84" s="387"/>
    </row>
    <row r="85" spans="1:40" ht="22.5" hidden="1" customHeight="1" x14ac:dyDescent="0.2">
      <c r="A85" s="376">
        <v>45737.693526238421</v>
      </c>
      <c r="B85" s="377" t="s">
        <v>56</v>
      </c>
      <c r="C85" s="377" t="s">
        <v>338</v>
      </c>
      <c r="D85" s="378" t="str">
        <f t="shared" si="0"/>
        <v>2010</v>
      </c>
      <c r="E85" s="379" t="s">
        <v>483</v>
      </c>
      <c r="F85" s="380">
        <v>22940</v>
      </c>
      <c r="G85" s="380">
        <v>12039</v>
      </c>
      <c r="H85" s="381" t="s">
        <v>484</v>
      </c>
      <c r="I85" s="380">
        <v>1367</v>
      </c>
      <c r="J85" s="390" t="s">
        <v>53</v>
      </c>
      <c r="K85" s="383"/>
      <c r="L85" s="384"/>
      <c r="M85" s="384"/>
      <c r="N85" s="384"/>
      <c r="O85" s="383"/>
      <c r="P85" s="384"/>
      <c r="Q85" s="384"/>
      <c r="R85" s="384"/>
      <c r="S85" s="391"/>
      <c r="T85" s="383"/>
      <c r="U85" s="384"/>
      <c r="V85" s="384"/>
      <c r="W85" s="382"/>
      <c r="X85" s="377" t="s">
        <v>343</v>
      </c>
      <c r="Y85" s="362"/>
      <c r="Z85" s="362"/>
      <c r="AA85" s="362"/>
      <c r="AB85" s="362"/>
      <c r="AC85" s="385"/>
      <c r="AD85" s="385"/>
      <c r="AE85" s="385"/>
      <c r="AF85" s="385"/>
      <c r="AG85" s="377" t="s">
        <v>337</v>
      </c>
      <c r="AH85" s="385"/>
      <c r="AI85" s="385"/>
      <c r="AJ85" s="385"/>
      <c r="AK85" s="385"/>
      <c r="AL85" s="385"/>
      <c r="AM85" s="387"/>
      <c r="AN85" s="387"/>
    </row>
    <row r="86" spans="1:40" ht="22.5" hidden="1" customHeight="1" x14ac:dyDescent="0.2">
      <c r="A86" s="376">
        <v>45737.694664652779</v>
      </c>
      <c r="B86" s="377" t="s">
        <v>56</v>
      </c>
      <c r="C86" s="377" t="s">
        <v>338</v>
      </c>
      <c r="D86" s="378" t="str">
        <f t="shared" si="0"/>
        <v>2022</v>
      </c>
      <c r="E86" s="379" t="s">
        <v>485</v>
      </c>
      <c r="F86" s="380">
        <v>64477</v>
      </c>
      <c r="G86" s="380">
        <v>6811</v>
      </c>
      <c r="H86" s="381" t="s">
        <v>486</v>
      </c>
      <c r="I86" s="380">
        <v>1318</v>
      </c>
      <c r="J86" s="390" t="s">
        <v>53</v>
      </c>
      <c r="K86" s="383"/>
      <c r="L86" s="384"/>
      <c r="M86" s="384"/>
      <c r="N86" s="384"/>
      <c r="O86" s="383"/>
      <c r="P86" s="384"/>
      <c r="Q86" s="384"/>
      <c r="R86" s="384"/>
      <c r="S86" s="391"/>
      <c r="T86" s="383"/>
      <c r="U86" s="384"/>
      <c r="V86" s="384"/>
      <c r="W86" s="382"/>
      <c r="X86" s="377" t="s">
        <v>343</v>
      </c>
      <c r="Y86" s="362"/>
      <c r="Z86" s="362"/>
      <c r="AA86" s="362"/>
      <c r="AB86" s="362"/>
      <c r="AC86" s="385"/>
      <c r="AD86" s="385"/>
      <c r="AE86" s="385"/>
      <c r="AF86" s="385"/>
      <c r="AG86" s="377" t="s">
        <v>337</v>
      </c>
      <c r="AH86" s="385"/>
      <c r="AI86" s="385"/>
      <c r="AJ86" s="385"/>
      <c r="AK86" s="385"/>
      <c r="AL86" s="385"/>
      <c r="AM86" s="387"/>
      <c r="AN86" s="387"/>
    </row>
    <row r="87" spans="1:40" ht="22.5" hidden="1" customHeight="1" x14ac:dyDescent="0.2">
      <c r="A87" s="376">
        <v>45737.695278865736</v>
      </c>
      <c r="B87" s="377" t="s">
        <v>56</v>
      </c>
      <c r="C87" s="377" t="s">
        <v>338</v>
      </c>
      <c r="D87" s="378" t="str">
        <f t="shared" si="0"/>
        <v>2022</v>
      </c>
      <c r="E87" s="379" t="s">
        <v>487</v>
      </c>
      <c r="F87" s="380">
        <v>65812</v>
      </c>
      <c r="G87" s="380">
        <v>12719</v>
      </c>
      <c r="H87" s="381" t="s">
        <v>488</v>
      </c>
      <c r="I87" s="380">
        <v>2431</v>
      </c>
      <c r="J87" s="390" t="s">
        <v>53</v>
      </c>
      <c r="K87" s="383"/>
      <c r="L87" s="384"/>
      <c r="M87" s="384"/>
      <c r="N87" s="384"/>
      <c r="O87" s="383"/>
      <c r="P87" s="384"/>
      <c r="Q87" s="384"/>
      <c r="R87" s="384"/>
      <c r="S87" s="391"/>
      <c r="T87" s="383"/>
      <c r="U87" s="384"/>
      <c r="V87" s="384"/>
      <c r="W87" s="382"/>
      <c r="X87" s="377" t="s">
        <v>343</v>
      </c>
      <c r="Y87" s="362"/>
      <c r="Z87" s="362"/>
      <c r="AA87" s="362"/>
      <c r="AB87" s="362"/>
      <c r="AC87" s="385"/>
      <c r="AD87" s="385"/>
      <c r="AE87" s="385"/>
      <c r="AF87" s="385"/>
      <c r="AG87" s="377" t="s">
        <v>337</v>
      </c>
      <c r="AH87" s="385"/>
      <c r="AI87" s="385"/>
      <c r="AJ87" s="385"/>
      <c r="AK87" s="385"/>
      <c r="AL87" s="385"/>
      <c r="AM87" s="387"/>
      <c r="AN87" s="387"/>
    </row>
    <row r="88" spans="1:40" ht="22.5" hidden="1" customHeight="1" x14ac:dyDescent="0.2">
      <c r="A88" s="376">
        <v>45737.696296365742</v>
      </c>
      <c r="B88" s="377" t="s">
        <v>351</v>
      </c>
      <c r="C88" s="377" t="s">
        <v>338</v>
      </c>
      <c r="D88" s="383" t="str">
        <f t="shared" si="0"/>
        <v/>
      </c>
      <c r="E88" s="384"/>
      <c r="F88" s="384"/>
      <c r="G88" s="384"/>
      <c r="H88" s="388"/>
      <c r="I88" s="384"/>
      <c r="J88" s="382"/>
      <c r="K88" s="389" t="s">
        <v>489</v>
      </c>
      <c r="L88" s="380">
        <v>15240</v>
      </c>
      <c r="M88" s="379" t="s">
        <v>350</v>
      </c>
      <c r="N88" s="379" t="s">
        <v>490</v>
      </c>
      <c r="O88" s="383"/>
      <c r="P88" s="384"/>
      <c r="Q88" s="384"/>
      <c r="R88" s="384"/>
      <c r="S88" s="385"/>
      <c r="T88" s="383"/>
      <c r="U88" s="384"/>
      <c r="V88" s="384"/>
      <c r="W88" s="382"/>
      <c r="X88" s="377" t="s">
        <v>343</v>
      </c>
      <c r="Y88" s="370"/>
      <c r="Z88" s="370"/>
      <c r="AA88" s="370"/>
      <c r="AB88" s="370"/>
      <c r="AC88" s="385"/>
      <c r="AD88" s="385"/>
      <c r="AE88" s="385"/>
      <c r="AF88" s="385"/>
      <c r="AG88" s="377" t="s">
        <v>337</v>
      </c>
      <c r="AH88" s="385"/>
      <c r="AI88" s="385"/>
      <c r="AJ88" s="385"/>
      <c r="AK88" s="385"/>
      <c r="AL88" s="385"/>
      <c r="AM88" s="387"/>
      <c r="AN88" s="387"/>
    </row>
    <row r="89" spans="1:40" ht="22.5" hidden="1" customHeight="1" x14ac:dyDescent="0.2">
      <c r="A89" s="376">
        <v>45737.69756479167</v>
      </c>
      <c r="B89" s="377" t="s">
        <v>56</v>
      </c>
      <c r="C89" s="377" t="s">
        <v>338</v>
      </c>
      <c r="D89" s="378" t="str">
        <f t="shared" si="0"/>
        <v>2021</v>
      </c>
      <c r="E89" s="379" t="s">
        <v>491</v>
      </c>
      <c r="F89" s="380">
        <v>62711</v>
      </c>
      <c r="G89" s="380">
        <v>11925</v>
      </c>
      <c r="H89" s="381" t="s">
        <v>492</v>
      </c>
      <c r="I89" s="380">
        <v>2470</v>
      </c>
      <c r="J89" s="390" t="s">
        <v>53</v>
      </c>
      <c r="K89" s="383"/>
      <c r="L89" s="384"/>
      <c r="M89" s="384"/>
      <c r="N89" s="384"/>
      <c r="O89" s="383"/>
      <c r="P89" s="384"/>
      <c r="Q89" s="384"/>
      <c r="R89" s="384"/>
      <c r="S89" s="391"/>
      <c r="T89" s="383"/>
      <c r="U89" s="384"/>
      <c r="V89" s="384"/>
      <c r="W89" s="382"/>
      <c r="X89" s="377" t="s">
        <v>343</v>
      </c>
      <c r="Y89" s="362"/>
      <c r="Z89" s="362"/>
      <c r="AA89" s="362"/>
      <c r="AB89" s="362"/>
      <c r="AC89" s="385"/>
      <c r="AD89" s="385"/>
      <c r="AE89" s="385"/>
      <c r="AF89" s="385"/>
      <c r="AG89" s="377" t="s">
        <v>337</v>
      </c>
      <c r="AH89" s="385"/>
      <c r="AI89" s="385"/>
      <c r="AJ89" s="385"/>
      <c r="AK89" s="385"/>
      <c r="AL89" s="385"/>
      <c r="AM89" s="387"/>
      <c r="AN89" s="387"/>
    </row>
    <row r="90" spans="1:40" ht="22.5" hidden="1" customHeight="1" x14ac:dyDescent="0.2">
      <c r="A90" s="376">
        <v>45737.698581493052</v>
      </c>
      <c r="B90" s="377" t="s">
        <v>56</v>
      </c>
      <c r="C90" s="377" t="s">
        <v>338</v>
      </c>
      <c r="D90" s="378" t="str">
        <f t="shared" si="0"/>
        <v>2015</v>
      </c>
      <c r="E90" s="379" t="s">
        <v>493</v>
      </c>
      <c r="F90" s="380">
        <v>39500</v>
      </c>
      <c r="G90" s="380">
        <v>10280</v>
      </c>
      <c r="H90" s="381" t="s">
        <v>494</v>
      </c>
      <c r="I90" s="380">
        <v>1731</v>
      </c>
      <c r="J90" s="390" t="s">
        <v>53</v>
      </c>
      <c r="K90" s="383"/>
      <c r="L90" s="384"/>
      <c r="M90" s="384"/>
      <c r="N90" s="384"/>
      <c r="O90" s="383"/>
      <c r="P90" s="384"/>
      <c r="Q90" s="384"/>
      <c r="R90" s="384"/>
      <c r="S90" s="391"/>
      <c r="T90" s="383"/>
      <c r="U90" s="384"/>
      <c r="V90" s="384"/>
      <c r="W90" s="382"/>
      <c r="X90" s="377" t="s">
        <v>343</v>
      </c>
      <c r="Y90" s="362"/>
      <c r="Z90" s="362"/>
      <c r="AA90" s="362"/>
      <c r="AB90" s="362"/>
      <c r="AC90" s="385"/>
      <c r="AD90" s="385"/>
      <c r="AE90" s="385"/>
      <c r="AF90" s="385"/>
      <c r="AG90" s="377" t="s">
        <v>337</v>
      </c>
      <c r="AH90" s="385"/>
      <c r="AI90" s="385"/>
      <c r="AJ90" s="385"/>
      <c r="AK90" s="385"/>
      <c r="AL90" s="385"/>
      <c r="AM90" s="387"/>
      <c r="AN90" s="387"/>
    </row>
    <row r="91" spans="1:40" ht="22.5" hidden="1" customHeight="1" x14ac:dyDescent="0.2">
      <c r="A91" s="376">
        <v>45737.727358113421</v>
      </c>
      <c r="B91" s="377" t="s">
        <v>56</v>
      </c>
      <c r="C91" s="377" t="s">
        <v>338</v>
      </c>
      <c r="D91" s="378" t="str">
        <f t="shared" si="0"/>
        <v>2015</v>
      </c>
      <c r="E91" s="379" t="s">
        <v>495</v>
      </c>
      <c r="F91" s="380">
        <v>39501</v>
      </c>
      <c r="G91" s="380">
        <v>10274</v>
      </c>
      <c r="H91" s="381" t="s">
        <v>496</v>
      </c>
      <c r="I91" s="380">
        <v>1730</v>
      </c>
      <c r="J91" s="390" t="s">
        <v>53</v>
      </c>
      <c r="K91" s="383"/>
      <c r="L91" s="384"/>
      <c r="M91" s="384"/>
      <c r="N91" s="384"/>
      <c r="O91" s="383"/>
      <c r="P91" s="384"/>
      <c r="Q91" s="384"/>
      <c r="R91" s="384"/>
      <c r="S91" s="391"/>
      <c r="T91" s="383"/>
      <c r="U91" s="384"/>
      <c r="V91" s="384"/>
      <c r="W91" s="382"/>
      <c r="X91" s="377" t="s">
        <v>343</v>
      </c>
      <c r="Y91" s="362"/>
      <c r="Z91" s="362"/>
      <c r="AA91" s="362"/>
      <c r="AB91" s="362"/>
      <c r="AC91" s="385"/>
      <c r="AD91" s="385"/>
      <c r="AE91" s="385"/>
      <c r="AF91" s="385"/>
      <c r="AG91" s="377" t="s">
        <v>337</v>
      </c>
      <c r="AH91" s="385"/>
      <c r="AI91" s="385"/>
      <c r="AJ91" s="385"/>
      <c r="AK91" s="385"/>
      <c r="AL91" s="385"/>
      <c r="AM91" s="387"/>
      <c r="AN91" s="387"/>
    </row>
    <row r="92" spans="1:40" ht="22.5" hidden="1" customHeight="1" x14ac:dyDescent="0.2">
      <c r="A92" s="376">
        <v>45737.728017048612</v>
      </c>
      <c r="B92" s="377" t="s">
        <v>56</v>
      </c>
      <c r="C92" s="377" t="s">
        <v>338</v>
      </c>
      <c r="D92" s="378" t="str">
        <f t="shared" si="0"/>
        <v>2010</v>
      </c>
      <c r="E92" s="379" t="s">
        <v>497</v>
      </c>
      <c r="F92" s="380">
        <v>22889</v>
      </c>
      <c r="G92" s="380">
        <v>11549</v>
      </c>
      <c r="H92" s="381" t="s">
        <v>498</v>
      </c>
      <c r="I92" s="380">
        <v>1322</v>
      </c>
      <c r="J92" s="390" t="s">
        <v>53</v>
      </c>
      <c r="K92" s="383"/>
      <c r="L92" s="384"/>
      <c r="M92" s="384"/>
      <c r="N92" s="384"/>
      <c r="O92" s="383"/>
      <c r="P92" s="384"/>
      <c r="Q92" s="384"/>
      <c r="R92" s="384"/>
      <c r="S92" s="391"/>
      <c r="T92" s="383"/>
      <c r="U92" s="384"/>
      <c r="V92" s="384"/>
      <c r="W92" s="382"/>
      <c r="X92" s="377" t="s">
        <v>343</v>
      </c>
      <c r="Y92" s="362"/>
      <c r="Z92" s="362"/>
      <c r="AA92" s="362"/>
      <c r="AB92" s="362"/>
      <c r="AC92" s="385"/>
      <c r="AD92" s="385"/>
      <c r="AE92" s="385"/>
      <c r="AF92" s="385"/>
      <c r="AG92" s="377" t="s">
        <v>337</v>
      </c>
      <c r="AH92" s="385"/>
      <c r="AI92" s="385"/>
      <c r="AJ92" s="385"/>
      <c r="AK92" s="385"/>
      <c r="AL92" s="385"/>
      <c r="AM92" s="387"/>
      <c r="AN92" s="387"/>
    </row>
    <row r="93" spans="1:40" ht="22.5" hidden="1" customHeight="1" x14ac:dyDescent="0.2">
      <c r="A93" s="376">
        <v>45737.728647696757</v>
      </c>
      <c r="B93" s="377" t="s">
        <v>56</v>
      </c>
      <c r="C93" s="377" t="s">
        <v>338</v>
      </c>
      <c r="D93" s="378" t="str">
        <f t="shared" si="0"/>
        <v>2011</v>
      </c>
      <c r="E93" s="379" t="s">
        <v>499</v>
      </c>
      <c r="F93" s="380">
        <v>24606</v>
      </c>
      <c r="G93" s="380">
        <v>1618</v>
      </c>
      <c r="H93" s="381" t="s">
        <v>500</v>
      </c>
      <c r="I93" s="380">
        <v>184</v>
      </c>
      <c r="J93" s="390" t="s">
        <v>53</v>
      </c>
      <c r="K93" s="383"/>
      <c r="L93" s="384"/>
      <c r="M93" s="384"/>
      <c r="N93" s="384"/>
      <c r="O93" s="383"/>
      <c r="P93" s="384"/>
      <c r="Q93" s="384"/>
      <c r="R93" s="384"/>
      <c r="S93" s="391"/>
      <c r="T93" s="383"/>
      <c r="U93" s="384"/>
      <c r="V93" s="384"/>
      <c r="W93" s="382"/>
      <c r="X93" s="377" t="s">
        <v>343</v>
      </c>
      <c r="Y93" s="362"/>
      <c r="Z93" s="362"/>
      <c r="AA93" s="362"/>
      <c r="AB93" s="362"/>
      <c r="AC93" s="385"/>
      <c r="AD93" s="385"/>
      <c r="AE93" s="385"/>
      <c r="AF93" s="385"/>
      <c r="AG93" s="377" t="s">
        <v>337</v>
      </c>
      <c r="AH93" s="385"/>
      <c r="AI93" s="385"/>
      <c r="AJ93" s="385"/>
      <c r="AK93" s="385"/>
      <c r="AL93" s="385"/>
      <c r="AM93" s="387"/>
      <c r="AN93" s="387"/>
    </row>
    <row r="94" spans="1:40" ht="23.25" hidden="1" customHeight="1" x14ac:dyDescent="0.2">
      <c r="A94" s="376">
        <v>45737.729725694444</v>
      </c>
      <c r="B94" s="377" t="s">
        <v>56</v>
      </c>
      <c r="C94" s="377" t="s">
        <v>338</v>
      </c>
      <c r="D94" s="378" t="str">
        <f t="shared" si="0"/>
        <v>2012</v>
      </c>
      <c r="E94" s="379" t="s">
        <v>501</v>
      </c>
      <c r="F94" s="380">
        <v>29334</v>
      </c>
      <c r="G94" s="380">
        <v>14567</v>
      </c>
      <c r="H94" s="381" t="s">
        <v>502</v>
      </c>
      <c r="I94" s="380">
        <v>1691</v>
      </c>
      <c r="J94" s="390" t="s">
        <v>53</v>
      </c>
      <c r="K94" s="383"/>
      <c r="L94" s="384"/>
      <c r="M94" s="384"/>
      <c r="N94" s="384"/>
      <c r="O94" s="383"/>
      <c r="P94" s="384"/>
      <c r="Q94" s="384"/>
      <c r="R94" s="384"/>
      <c r="S94" s="391"/>
      <c r="T94" s="383"/>
      <c r="U94" s="384"/>
      <c r="V94" s="384"/>
      <c r="W94" s="382"/>
      <c r="X94" s="377" t="s">
        <v>343</v>
      </c>
      <c r="Y94" s="362"/>
      <c r="Z94" s="362"/>
      <c r="AA94" s="362"/>
      <c r="AB94" s="362"/>
      <c r="AC94" s="385"/>
      <c r="AD94" s="385"/>
      <c r="AE94" s="385"/>
      <c r="AF94" s="385"/>
      <c r="AG94" s="377" t="s">
        <v>337</v>
      </c>
      <c r="AH94" s="385"/>
      <c r="AI94" s="385"/>
      <c r="AJ94" s="385"/>
      <c r="AK94" s="385"/>
      <c r="AL94" s="385"/>
      <c r="AM94" s="387"/>
      <c r="AN94" s="387"/>
    </row>
    <row r="95" spans="1:40" ht="22.5" hidden="1" customHeight="1" x14ac:dyDescent="0.2">
      <c r="A95" s="376">
        <v>45737.730437152779</v>
      </c>
      <c r="B95" s="377" t="s">
        <v>56</v>
      </c>
      <c r="C95" s="377" t="s">
        <v>338</v>
      </c>
      <c r="D95" s="378" t="str">
        <f t="shared" si="0"/>
        <v>2011</v>
      </c>
      <c r="E95" s="379" t="s">
        <v>503</v>
      </c>
      <c r="F95" s="380">
        <v>27413</v>
      </c>
      <c r="G95" s="380">
        <v>25913</v>
      </c>
      <c r="H95" s="381" t="s">
        <v>504</v>
      </c>
      <c r="I95" s="380">
        <v>2888</v>
      </c>
      <c r="J95" s="390" t="s">
        <v>53</v>
      </c>
      <c r="K95" s="383"/>
      <c r="L95" s="384"/>
      <c r="M95" s="384"/>
      <c r="N95" s="384"/>
      <c r="O95" s="383"/>
      <c r="P95" s="384"/>
      <c r="Q95" s="384"/>
      <c r="R95" s="384"/>
      <c r="S95" s="391"/>
      <c r="T95" s="383"/>
      <c r="U95" s="384"/>
      <c r="V95" s="384"/>
      <c r="W95" s="382"/>
      <c r="X95" s="377" t="s">
        <v>343</v>
      </c>
      <c r="Y95" s="362"/>
      <c r="Z95" s="362"/>
      <c r="AA95" s="362"/>
      <c r="AB95" s="362"/>
      <c r="AC95" s="385"/>
      <c r="AD95" s="385"/>
      <c r="AE95" s="385"/>
      <c r="AF95" s="385"/>
      <c r="AG95" s="377" t="s">
        <v>337</v>
      </c>
      <c r="AH95" s="385"/>
      <c r="AI95" s="385"/>
      <c r="AJ95" s="385"/>
      <c r="AK95" s="385"/>
      <c r="AL95" s="385"/>
      <c r="AM95" s="387"/>
      <c r="AN95" s="387"/>
    </row>
    <row r="96" spans="1:40" ht="22.5" hidden="1" customHeight="1" x14ac:dyDescent="0.2">
      <c r="A96" s="376">
        <v>45737.730999120366</v>
      </c>
      <c r="B96" s="377" t="s">
        <v>351</v>
      </c>
      <c r="C96" s="377" t="s">
        <v>338</v>
      </c>
      <c r="D96" s="383" t="str">
        <f t="shared" si="0"/>
        <v/>
      </c>
      <c r="E96" s="384"/>
      <c r="F96" s="384"/>
      <c r="G96" s="384"/>
      <c r="H96" s="388"/>
      <c r="I96" s="384"/>
      <c r="J96" s="382"/>
      <c r="K96" s="389" t="s">
        <v>505</v>
      </c>
      <c r="L96" s="380">
        <v>17338</v>
      </c>
      <c r="M96" s="380">
        <v>662</v>
      </c>
      <c r="N96" s="380">
        <v>478</v>
      </c>
      <c r="O96" s="383"/>
      <c r="P96" s="384"/>
      <c r="Q96" s="384"/>
      <c r="R96" s="384"/>
      <c r="S96" s="385"/>
      <c r="T96" s="383"/>
      <c r="U96" s="384"/>
      <c r="V96" s="384"/>
      <c r="W96" s="382"/>
      <c r="X96" s="377" t="s">
        <v>343</v>
      </c>
      <c r="Y96" s="370"/>
      <c r="Z96" s="370"/>
      <c r="AA96" s="370"/>
      <c r="AB96" s="370"/>
      <c r="AC96" s="385"/>
      <c r="AD96" s="385"/>
      <c r="AE96" s="385"/>
      <c r="AF96" s="385"/>
      <c r="AG96" s="377" t="s">
        <v>337</v>
      </c>
      <c r="AH96" s="385"/>
      <c r="AI96" s="385"/>
      <c r="AJ96" s="385"/>
      <c r="AK96" s="385"/>
      <c r="AL96" s="385"/>
      <c r="AM96" s="387"/>
      <c r="AN96" s="387"/>
    </row>
    <row r="97" spans="1:40" ht="22.5" hidden="1" customHeight="1" x14ac:dyDescent="0.2">
      <c r="A97" s="376">
        <v>45740.519919548606</v>
      </c>
      <c r="B97" s="377" t="s">
        <v>56</v>
      </c>
      <c r="C97" s="377" t="s">
        <v>381</v>
      </c>
      <c r="D97" s="378" t="str">
        <f t="shared" si="0"/>
        <v>2021</v>
      </c>
      <c r="E97" s="379" t="s">
        <v>506</v>
      </c>
      <c r="F97" s="380">
        <v>61666</v>
      </c>
      <c r="G97" s="380">
        <v>7923</v>
      </c>
      <c r="H97" s="381" t="s">
        <v>507</v>
      </c>
      <c r="I97" s="380">
        <v>1632</v>
      </c>
      <c r="J97" s="390" t="s">
        <v>53</v>
      </c>
      <c r="K97" s="383"/>
      <c r="L97" s="384"/>
      <c r="M97" s="384"/>
      <c r="N97" s="384"/>
      <c r="O97" s="383"/>
      <c r="P97" s="384"/>
      <c r="Q97" s="384"/>
      <c r="R97" s="384"/>
      <c r="S97" s="391"/>
      <c r="T97" s="383"/>
      <c r="U97" s="384"/>
      <c r="V97" s="384"/>
      <c r="W97" s="382"/>
      <c r="X97" s="377" t="s">
        <v>343</v>
      </c>
      <c r="Y97" s="362"/>
      <c r="Z97" s="362"/>
      <c r="AA97" s="362"/>
      <c r="AB97" s="362"/>
      <c r="AC97" s="385"/>
      <c r="AD97" s="385"/>
      <c r="AE97" s="385"/>
      <c r="AF97" s="385"/>
      <c r="AG97" s="377" t="s">
        <v>337</v>
      </c>
      <c r="AH97" s="385"/>
      <c r="AI97" s="385"/>
      <c r="AJ97" s="385"/>
      <c r="AK97" s="385"/>
      <c r="AL97" s="385"/>
      <c r="AM97" s="387"/>
      <c r="AN97" s="387"/>
    </row>
    <row r="98" spans="1:40" ht="22.5" hidden="1" customHeight="1" x14ac:dyDescent="0.2">
      <c r="A98" s="376">
        <v>45743.402369247684</v>
      </c>
      <c r="B98" s="377" t="s">
        <v>56</v>
      </c>
      <c r="C98" s="377" t="s">
        <v>381</v>
      </c>
      <c r="D98" s="378" t="str">
        <f t="shared" si="0"/>
        <v>2015</v>
      </c>
      <c r="E98" s="379" t="s">
        <v>508</v>
      </c>
      <c r="F98" s="380">
        <v>38811</v>
      </c>
      <c r="G98" s="380">
        <v>2467</v>
      </c>
      <c r="H98" s="381" t="s">
        <v>509</v>
      </c>
      <c r="I98" s="380" t="s">
        <v>359</v>
      </c>
      <c r="J98" s="390" t="s">
        <v>53</v>
      </c>
      <c r="K98" s="383"/>
      <c r="L98" s="384"/>
      <c r="M98" s="384"/>
      <c r="N98" s="384"/>
      <c r="O98" s="383"/>
      <c r="P98" s="384"/>
      <c r="Q98" s="384"/>
      <c r="R98" s="384"/>
      <c r="S98" s="391"/>
      <c r="T98" s="383"/>
      <c r="U98" s="384"/>
      <c r="V98" s="384"/>
      <c r="W98" s="382"/>
      <c r="X98" s="377" t="s">
        <v>343</v>
      </c>
      <c r="Y98" s="362"/>
      <c r="Z98" s="362"/>
      <c r="AA98" s="362"/>
      <c r="AB98" s="362"/>
      <c r="AC98" s="385"/>
      <c r="AD98" s="385"/>
      <c r="AE98" s="385"/>
      <c r="AF98" s="385"/>
      <c r="AG98" s="377" t="s">
        <v>337</v>
      </c>
      <c r="AH98" s="385"/>
      <c r="AI98" s="385"/>
      <c r="AJ98" s="385"/>
      <c r="AK98" s="385"/>
      <c r="AL98" s="385"/>
      <c r="AM98" s="387"/>
      <c r="AN98" s="387"/>
    </row>
    <row r="99" spans="1:40" ht="22.5" hidden="1" customHeight="1" x14ac:dyDescent="0.2">
      <c r="A99" s="376">
        <v>45743.520143194444</v>
      </c>
      <c r="B99" s="377" t="s">
        <v>56</v>
      </c>
      <c r="C99" s="377" t="s">
        <v>381</v>
      </c>
      <c r="D99" s="378" t="str">
        <f t="shared" si="0"/>
        <v>2005</v>
      </c>
      <c r="E99" s="379" t="s">
        <v>510</v>
      </c>
      <c r="F99" s="380">
        <v>11514</v>
      </c>
      <c r="G99" s="380">
        <v>6109</v>
      </c>
      <c r="H99" s="381" t="s">
        <v>511</v>
      </c>
      <c r="I99" s="380">
        <v>781</v>
      </c>
      <c r="J99" s="390" t="s">
        <v>53</v>
      </c>
      <c r="K99" s="383"/>
      <c r="L99" s="384"/>
      <c r="M99" s="384"/>
      <c r="N99" s="384"/>
      <c r="O99" s="383"/>
      <c r="P99" s="384"/>
      <c r="Q99" s="384"/>
      <c r="R99" s="384"/>
      <c r="S99" s="391"/>
      <c r="T99" s="383"/>
      <c r="U99" s="384"/>
      <c r="V99" s="384"/>
      <c r="W99" s="382"/>
      <c r="X99" s="377" t="s">
        <v>343</v>
      </c>
      <c r="Y99" s="362"/>
      <c r="Z99" s="362"/>
      <c r="AA99" s="362"/>
      <c r="AB99" s="362"/>
      <c r="AC99" s="385"/>
      <c r="AD99" s="385"/>
      <c r="AE99" s="385"/>
      <c r="AF99" s="385"/>
      <c r="AG99" s="377" t="s">
        <v>337</v>
      </c>
      <c r="AH99" s="385"/>
      <c r="AI99" s="385"/>
      <c r="AJ99" s="385"/>
      <c r="AK99" s="385"/>
      <c r="AL99" s="385"/>
      <c r="AM99" s="387"/>
      <c r="AN99" s="387"/>
    </row>
    <row r="100" spans="1:40" ht="22.5" hidden="1" customHeight="1" x14ac:dyDescent="0.2">
      <c r="A100" s="376">
        <v>45744.557305289352</v>
      </c>
      <c r="B100" s="377" t="s">
        <v>56</v>
      </c>
      <c r="C100" s="377" t="s">
        <v>381</v>
      </c>
      <c r="D100" s="378" t="str">
        <f t="shared" si="0"/>
        <v>2018</v>
      </c>
      <c r="E100" s="379" t="s">
        <v>512</v>
      </c>
      <c r="F100" s="380">
        <v>49394</v>
      </c>
      <c r="G100" s="380">
        <v>174</v>
      </c>
      <c r="H100" s="381" t="s">
        <v>513</v>
      </c>
      <c r="I100" s="380">
        <v>40</v>
      </c>
      <c r="J100" s="390" t="s">
        <v>53</v>
      </c>
      <c r="K100" s="383"/>
      <c r="L100" s="384"/>
      <c r="M100" s="384"/>
      <c r="N100" s="384"/>
      <c r="O100" s="383"/>
      <c r="P100" s="384"/>
      <c r="Q100" s="384"/>
      <c r="R100" s="384"/>
      <c r="S100" s="391"/>
      <c r="T100" s="383"/>
      <c r="U100" s="384"/>
      <c r="V100" s="384"/>
      <c r="W100" s="382"/>
      <c r="X100" s="377" t="s">
        <v>343</v>
      </c>
      <c r="Y100" s="362"/>
      <c r="Z100" s="362"/>
      <c r="AA100" s="362"/>
      <c r="AB100" s="362"/>
      <c r="AC100" s="385"/>
      <c r="AD100" s="385"/>
      <c r="AE100" s="385"/>
      <c r="AF100" s="385"/>
      <c r="AG100" s="377" t="s">
        <v>337</v>
      </c>
      <c r="AH100" s="385"/>
      <c r="AI100" s="385"/>
      <c r="AJ100" s="385"/>
      <c r="AK100" s="385"/>
      <c r="AL100" s="385"/>
      <c r="AM100" s="387"/>
      <c r="AN100" s="387"/>
    </row>
    <row r="101" spans="1:40" ht="22.5" hidden="1" customHeight="1" x14ac:dyDescent="0.2">
      <c r="A101" s="376">
        <v>45744.557838935187</v>
      </c>
      <c r="B101" s="377" t="s">
        <v>56</v>
      </c>
      <c r="C101" s="377" t="s">
        <v>381</v>
      </c>
      <c r="D101" s="378" t="str">
        <f t="shared" si="0"/>
        <v>2018</v>
      </c>
      <c r="E101" s="379" t="s">
        <v>514</v>
      </c>
      <c r="F101" s="380">
        <v>49395</v>
      </c>
      <c r="G101" s="380">
        <v>172</v>
      </c>
      <c r="H101" s="381" t="s">
        <v>515</v>
      </c>
      <c r="I101" s="380">
        <v>39</v>
      </c>
      <c r="J101" s="390" t="s">
        <v>53</v>
      </c>
      <c r="K101" s="383"/>
      <c r="L101" s="384"/>
      <c r="M101" s="384"/>
      <c r="N101" s="384"/>
      <c r="O101" s="383"/>
      <c r="P101" s="384"/>
      <c r="Q101" s="384"/>
      <c r="R101" s="384"/>
      <c r="S101" s="391"/>
      <c r="T101" s="383"/>
      <c r="U101" s="384"/>
      <c r="V101" s="384"/>
      <c r="W101" s="382"/>
      <c r="X101" s="377" t="s">
        <v>343</v>
      </c>
      <c r="Y101" s="362"/>
      <c r="Z101" s="362"/>
      <c r="AA101" s="362"/>
      <c r="AB101" s="362"/>
      <c r="AC101" s="385"/>
      <c r="AD101" s="385"/>
      <c r="AE101" s="385"/>
      <c r="AF101" s="385"/>
      <c r="AG101" s="377" t="s">
        <v>337</v>
      </c>
      <c r="AH101" s="385"/>
      <c r="AI101" s="385"/>
      <c r="AJ101" s="385"/>
      <c r="AK101" s="385"/>
      <c r="AL101" s="385"/>
      <c r="AM101" s="387"/>
      <c r="AN101" s="387"/>
    </row>
    <row r="102" spans="1:40" ht="22.5" hidden="1" customHeight="1" x14ac:dyDescent="0.2">
      <c r="A102" s="376">
        <v>45745.401748668985</v>
      </c>
      <c r="B102" s="377" t="s">
        <v>56</v>
      </c>
      <c r="C102" s="377" t="s">
        <v>352</v>
      </c>
      <c r="D102" s="378" t="str">
        <f t="shared" si="0"/>
        <v>2001</v>
      </c>
      <c r="E102" s="379" t="s">
        <v>516</v>
      </c>
      <c r="F102" s="380">
        <v>5879</v>
      </c>
      <c r="G102" s="380">
        <v>5495</v>
      </c>
      <c r="H102" s="381" t="s">
        <v>517</v>
      </c>
      <c r="I102" s="380">
        <v>920</v>
      </c>
      <c r="J102" s="390" t="s">
        <v>53</v>
      </c>
      <c r="K102" s="383"/>
      <c r="L102" s="384"/>
      <c r="M102" s="384"/>
      <c r="N102" s="384"/>
      <c r="O102" s="383"/>
      <c r="P102" s="384"/>
      <c r="Q102" s="384"/>
      <c r="R102" s="384"/>
      <c r="S102" s="391"/>
      <c r="T102" s="383"/>
      <c r="U102" s="384"/>
      <c r="V102" s="384"/>
      <c r="W102" s="382"/>
      <c r="X102" s="377" t="s">
        <v>343</v>
      </c>
      <c r="Y102" s="362"/>
      <c r="Z102" s="362"/>
      <c r="AA102" s="362"/>
      <c r="AB102" s="362"/>
      <c r="AC102" s="385"/>
      <c r="AD102" s="385"/>
      <c r="AE102" s="385"/>
      <c r="AF102" s="385"/>
      <c r="AG102" s="377" t="s">
        <v>337</v>
      </c>
      <c r="AH102" s="385"/>
      <c r="AI102" s="385"/>
      <c r="AJ102" s="385"/>
      <c r="AK102" s="385"/>
      <c r="AL102" s="385"/>
      <c r="AM102" s="387"/>
      <c r="AN102" s="387"/>
    </row>
    <row r="103" spans="1:40" ht="22.5" hidden="1" customHeight="1" x14ac:dyDescent="0.2">
      <c r="A103" s="376">
        <v>45748.664116527776</v>
      </c>
      <c r="B103" s="377" t="s">
        <v>56</v>
      </c>
      <c r="C103" s="377" t="s">
        <v>381</v>
      </c>
      <c r="D103" s="378" t="str">
        <f t="shared" si="0"/>
        <v>2015</v>
      </c>
      <c r="E103" s="379" t="s">
        <v>518</v>
      </c>
      <c r="F103" s="380">
        <v>39258</v>
      </c>
      <c r="G103" s="380">
        <v>4710</v>
      </c>
      <c r="H103" s="381" t="s">
        <v>476</v>
      </c>
      <c r="I103" s="380">
        <v>810</v>
      </c>
      <c r="J103" s="390" t="s">
        <v>53</v>
      </c>
      <c r="K103" s="383"/>
      <c r="L103" s="384"/>
      <c r="M103" s="384"/>
      <c r="N103" s="384"/>
      <c r="O103" s="383"/>
      <c r="P103" s="384"/>
      <c r="Q103" s="384"/>
      <c r="R103" s="384"/>
      <c r="S103" s="391"/>
      <c r="T103" s="383"/>
      <c r="U103" s="384"/>
      <c r="V103" s="384"/>
      <c r="W103" s="382"/>
      <c r="X103" s="377" t="s">
        <v>343</v>
      </c>
      <c r="Y103" s="362"/>
      <c r="Z103" s="362"/>
      <c r="AA103" s="362"/>
      <c r="AB103" s="362"/>
      <c r="AC103" s="385"/>
      <c r="AD103" s="385"/>
      <c r="AE103" s="385"/>
      <c r="AF103" s="385"/>
      <c r="AG103" s="377" t="s">
        <v>337</v>
      </c>
      <c r="AH103" s="385"/>
      <c r="AI103" s="385"/>
      <c r="AJ103" s="385"/>
      <c r="AK103" s="385"/>
      <c r="AL103" s="385"/>
      <c r="AM103" s="387"/>
      <c r="AN103" s="387"/>
    </row>
    <row r="104" spans="1:40" ht="22.5" hidden="1" customHeight="1" x14ac:dyDescent="0.2">
      <c r="A104" s="376">
        <v>45748.689045995372</v>
      </c>
      <c r="B104" s="377" t="s">
        <v>56</v>
      </c>
      <c r="C104" s="377" t="s">
        <v>381</v>
      </c>
      <c r="D104" s="378" t="str">
        <f t="shared" si="0"/>
        <v>2010</v>
      </c>
      <c r="E104" s="379" t="s">
        <v>519</v>
      </c>
      <c r="F104" s="380">
        <v>22952</v>
      </c>
      <c r="G104" s="380">
        <v>12171</v>
      </c>
      <c r="H104" s="381" t="s">
        <v>520</v>
      </c>
      <c r="I104" s="380">
        <v>1381</v>
      </c>
      <c r="J104" s="390" t="s">
        <v>53</v>
      </c>
      <c r="K104" s="383"/>
      <c r="L104" s="384"/>
      <c r="M104" s="384"/>
      <c r="N104" s="384"/>
      <c r="O104" s="383"/>
      <c r="P104" s="384"/>
      <c r="Q104" s="384"/>
      <c r="R104" s="384"/>
      <c r="S104" s="391"/>
      <c r="T104" s="383"/>
      <c r="U104" s="384"/>
      <c r="V104" s="384"/>
      <c r="W104" s="382"/>
      <c r="X104" s="377" t="s">
        <v>343</v>
      </c>
      <c r="Y104" s="362"/>
      <c r="Z104" s="362"/>
      <c r="AA104" s="362"/>
      <c r="AB104" s="362"/>
      <c r="AC104" s="385"/>
      <c r="AD104" s="385"/>
      <c r="AE104" s="385"/>
      <c r="AF104" s="385"/>
      <c r="AG104" s="377" t="s">
        <v>337</v>
      </c>
      <c r="AH104" s="385"/>
      <c r="AI104" s="385"/>
      <c r="AJ104" s="385"/>
      <c r="AK104" s="385"/>
      <c r="AL104" s="385"/>
      <c r="AM104" s="387"/>
      <c r="AN104" s="387"/>
    </row>
    <row r="105" spans="1:40" ht="22.5" hidden="1" customHeight="1" x14ac:dyDescent="0.2">
      <c r="A105" s="376">
        <v>45750.496368773151</v>
      </c>
      <c r="B105" s="377" t="s">
        <v>56</v>
      </c>
      <c r="C105" s="377" t="s">
        <v>381</v>
      </c>
      <c r="D105" s="378" t="str">
        <f t="shared" si="0"/>
        <v>2002</v>
      </c>
      <c r="E105" s="379" t="s">
        <v>521</v>
      </c>
      <c r="F105" s="380">
        <v>7180</v>
      </c>
      <c r="G105" s="380">
        <v>11626</v>
      </c>
      <c r="H105" s="381" t="s">
        <v>522</v>
      </c>
      <c r="I105" s="380">
        <v>1903</v>
      </c>
      <c r="J105" s="390" t="s">
        <v>53</v>
      </c>
      <c r="K105" s="383"/>
      <c r="L105" s="384"/>
      <c r="M105" s="384"/>
      <c r="N105" s="384"/>
      <c r="O105" s="383"/>
      <c r="P105" s="384"/>
      <c r="Q105" s="384"/>
      <c r="R105" s="384"/>
      <c r="S105" s="391"/>
      <c r="T105" s="383"/>
      <c r="U105" s="384"/>
      <c r="V105" s="384"/>
      <c r="W105" s="382"/>
      <c r="X105" s="377" t="s">
        <v>343</v>
      </c>
      <c r="Y105" s="362"/>
      <c r="Z105" s="362"/>
      <c r="AA105" s="362"/>
      <c r="AB105" s="362"/>
      <c r="AC105" s="385"/>
      <c r="AD105" s="385"/>
      <c r="AE105" s="385"/>
      <c r="AF105" s="385"/>
      <c r="AG105" s="377" t="s">
        <v>337</v>
      </c>
      <c r="AH105" s="385"/>
      <c r="AI105" s="385"/>
      <c r="AJ105" s="385"/>
      <c r="AK105" s="385"/>
      <c r="AL105" s="385"/>
      <c r="AM105" s="387"/>
      <c r="AN105" s="387"/>
    </row>
    <row r="106" spans="1:40" ht="22.5" hidden="1" customHeight="1" x14ac:dyDescent="0.2">
      <c r="A106" s="376">
        <v>45750.497037847221</v>
      </c>
      <c r="B106" s="377" t="s">
        <v>56</v>
      </c>
      <c r="C106" s="377" t="s">
        <v>381</v>
      </c>
      <c r="D106" s="378" t="str">
        <f t="shared" si="0"/>
        <v>2022</v>
      </c>
      <c r="E106" s="379" t="s">
        <v>523</v>
      </c>
      <c r="F106" s="380">
        <v>64796</v>
      </c>
      <c r="G106" s="380">
        <v>8351</v>
      </c>
      <c r="H106" s="381" t="s">
        <v>524</v>
      </c>
      <c r="I106" s="380">
        <v>1606</v>
      </c>
      <c r="J106" s="390" t="s">
        <v>53</v>
      </c>
      <c r="K106" s="383"/>
      <c r="L106" s="384"/>
      <c r="M106" s="384"/>
      <c r="N106" s="384"/>
      <c r="O106" s="383"/>
      <c r="P106" s="384"/>
      <c r="Q106" s="384"/>
      <c r="R106" s="384"/>
      <c r="S106" s="391"/>
      <c r="T106" s="383"/>
      <c r="U106" s="384"/>
      <c r="V106" s="384"/>
      <c r="W106" s="382"/>
      <c r="X106" s="377" t="s">
        <v>343</v>
      </c>
      <c r="Y106" s="362"/>
      <c r="Z106" s="362"/>
      <c r="AA106" s="362"/>
      <c r="AB106" s="362"/>
      <c r="AC106" s="385"/>
      <c r="AD106" s="385"/>
      <c r="AE106" s="385"/>
      <c r="AF106" s="385"/>
      <c r="AG106" s="377" t="s">
        <v>337</v>
      </c>
      <c r="AH106" s="385"/>
      <c r="AI106" s="385"/>
      <c r="AJ106" s="385"/>
      <c r="AK106" s="385"/>
      <c r="AL106" s="385"/>
      <c r="AM106" s="387"/>
      <c r="AN106" s="387"/>
    </row>
    <row r="107" spans="1:40" ht="22.5" hidden="1" customHeight="1" x14ac:dyDescent="0.2">
      <c r="A107" s="376">
        <v>45751.429785740736</v>
      </c>
      <c r="B107" s="377" t="s">
        <v>56</v>
      </c>
      <c r="C107" s="377" t="s">
        <v>381</v>
      </c>
      <c r="D107" s="383" t="str">
        <f t="shared" si="0"/>
        <v>2012</v>
      </c>
      <c r="E107" s="379" t="s">
        <v>525</v>
      </c>
      <c r="F107" s="380">
        <v>29475</v>
      </c>
      <c r="G107" s="380">
        <v>13977</v>
      </c>
      <c r="H107" s="381" t="s">
        <v>526</v>
      </c>
      <c r="I107" s="380">
        <v>1620</v>
      </c>
      <c r="J107" s="390" t="s">
        <v>53</v>
      </c>
      <c r="K107" s="383"/>
      <c r="L107" s="384"/>
      <c r="M107" s="384"/>
      <c r="N107" s="384"/>
      <c r="O107" s="383"/>
      <c r="P107" s="384"/>
      <c r="Q107" s="384"/>
      <c r="R107" s="384"/>
      <c r="S107" s="391"/>
      <c r="T107" s="383"/>
      <c r="U107" s="384"/>
      <c r="V107" s="384"/>
      <c r="W107" s="382"/>
      <c r="X107" s="377" t="s">
        <v>343</v>
      </c>
      <c r="Y107" s="362"/>
      <c r="Z107" s="362"/>
      <c r="AA107" s="362"/>
      <c r="AB107" s="362"/>
      <c r="AC107" s="385"/>
      <c r="AD107" s="385"/>
      <c r="AE107" s="385"/>
      <c r="AF107" s="385"/>
      <c r="AG107" s="377" t="s">
        <v>337</v>
      </c>
      <c r="AH107" s="385"/>
      <c r="AI107" s="385"/>
      <c r="AJ107" s="385"/>
      <c r="AK107" s="385"/>
      <c r="AL107" s="385"/>
      <c r="AM107" s="387"/>
      <c r="AN107" s="387"/>
    </row>
    <row r="108" spans="1:40" ht="22.5" hidden="1" customHeight="1" x14ac:dyDescent="0.2">
      <c r="A108" s="376">
        <v>45751.430506122684</v>
      </c>
      <c r="B108" s="377" t="s">
        <v>56</v>
      </c>
      <c r="C108" s="377" t="s">
        <v>381</v>
      </c>
      <c r="D108" s="383" t="str">
        <f t="shared" si="0"/>
        <v>2012</v>
      </c>
      <c r="E108" s="379" t="s">
        <v>527</v>
      </c>
      <c r="F108" s="380">
        <v>29002</v>
      </c>
      <c r="G108" s="380">
        <v>10580</v>
      </c>
      <c r="H108" s="381" t="s">
        <v>528</v>
      </c>
      <c r="I108" s="380">
        <v>1234</v>
      </c>
      <c r="J108" s="390" t="s">
        <v>53</v>
      </c>
      <c r="K108" s="383"/>
      <c r="L108" s="384"/>
      <c r="M108" s="384"/>
      <c r="N108" s="384"/>
      <c r="O108" s="383"/>
      <c r="P108" s="384"/>
      <c r="Q108" s="384"/>
      <c r="R108" s="384"/>
      <c r="S108" s="391"/>
      <c r="T108" s="383"/>
      <c r="U108" s="384"/>
      <c r="V108" s="384"/>
      <c r="W108" s="382"/>
      <c r="X108" s="377" t="s">
        <v>343</v>
      </c>
      <c r="Y108" s="362"/>
      <c r="Z108" s="362"/>
      <c r="AA108" s="362"/>
      <c r="AB108" s="362"/>
      <c r="AC108" s="385"/>
      <c r="AD108" s="385"/>
      <c r="AE108" s="385"/>
      <c r="AF108" s="385"/>
      <c r="AG108" s="377" t="s">
        <v>337</v>
      </c>
      <c r="AH108" s="385"/>
      <c r="AI108" s="385"/>
      <c r="AJ108" s="385"/>
      <c r="AK108" s="385"/>
      <c r="AL108" s="385"/>
      <c r="AM108" s="387"/>
      <c r="AN108" s="387"/>
    </row>
    <row r="109" spans="1:40" ht="22.5" hidden="1" customHeight="1" x14ac:dyDescent="0.2">
      <c r="A109" s="376">
        <v>45751.431142789355</v>
      </c>
      <c r="B109" s="377" t="s">
        <v>56</v>
      </c>
      <c r="C109" s="377" t="s">
        <v>381</v>
      </c>
      <c r="D109" s="383" t="str">
        <f t="shared" si="0"/>
        <v>2014</v>
      </c>
      <c r="E109" s="379" t="s">
        <v>529</v>
      </c>
      <c r="F109" s="380">
        <v>37053</v>
      </c>
      <c r="G109" s="380">
        <v>18544</v>
      </c>
      <c r="H109" s="381" t="s">
        <v>530</v>
      </c>
      <c r="I109" s="380">
        <v>1717</v>
      </c>
      <c r="J109" s="390" t="s">
        <v>53</v>
      </c>
      <c r="K109" s="383"/>
      <c r="L109" s="384"/>
      <c r="M109" s="384"/>
      <c r="N109" s="384"/>
      <c r="O109" s="383"/>
      <c r="P109" s="384"/>
      <c r="Q109" s="384"/>
      <c r="R109" s="384"/>
      <c r="S109" s="391"/>
      <c r="T109" s="383"/>
      <c r="U109" s="384"/>
      <c r="V109" s="384"/>
      <c r="W109" s="382"/>
      <c r="X109" s="377" t="s">
        <v>343</v>
      </c>
      <c r="Y109" s="362"/>
      <c r="Z109" s="362"/>
      <c r="AA109" s="362"/>
      <c r="AB109" s="362"/>
      <c r="AC109" s="385"/>
      <c r="AD109" s="385"/>
      <c r="AE109" s="385"/>
      <c r="AF109" s="385"/>
      <c r="AG109" s="377" t="s">
        <v>337</v>
      </c>
      <c r="AH109" s="385"/>
      <c r="AI109" s="385"/>
      <c r="AJ109" s="385"/>
      <c r="AK109" s="385"/>
      <c r="AL109" s="385"/>
      <c r="AM109" s="387"/>
      <c r="AN109" s="387"/>
    </row>
    <row r="110" spans="1:40" ht="22.5" hidden="1" customHeight="1" x14ac:dyDescent="0.2">
      <c r="A110" s="376">
        <v>45751.431815833334</v>
      </c>
      <c r="B110" s="377" t="s">
        <v>56</v>
      </c>
      <c r="C110" s="377" t="s">
        <v>381</v>
      </c>
      <c r="D110" s="383" t="str">
        <f t="shared" si="0"/>
        <v>2021</v>
      </c>
      <c r="E110" s="379" t="s">
        <v>531</v>
      </c>
      <c r="F110" s="380">
        <v>61212</v>
      </c>
      <c r="G110" s="380">
        <v>5925</v>
      </c>
      <c r="H110" s="381" t="s">
        <v>532</v>
      </c>
      <c r="I110" s="380">
        <v>1204</v>
      </c>
      <c r="J110" s="390" t="s">
        <v>53</v>
      </c>
      <c r="K110" s="383"/>
      <c r="L110" s="384"/>
      <c r="M110" s="384"/>
      <c r="N110" s="384"/>
      <c r="O110" s="383"/>
      <c r="P110" s="384"/>
      <c r="Q110" s="384"/>
      <c r="R110" s="384"/>
      <c r="S110" s="391"/>
      <c r="T110" s="383"/>
      <c r="U110" s="384"/>
      <c r="V110" s="384"/>
      <c r="W110" s="382"/>
      <c r="X110" s="377" t="s">
        <v>343</v>
      </c>
      <c r="Y110" s="362"/>
      <c r="Z110" s="362"/>
      <c r="AA110" s="362"/>
      <c r="AB110" s="362"/>
      <c r="AC110" s="385"/>
      <c r="AD110" s="385"/>
      <c r="AE110" s="385"/>
      <c r="AF110" s="385"/>
      <c r="AG110" s="377" t="s">
        <v>337</v>
      </c>
      <c r="AH110" s="385"/>
      <c r="AI110" s="385"/>
      <c r="AJ110" s="385"/>
      <c r="AK110" s="385"/>
      <c r="AL110" s="385"/>
      <c r="AM110" s="387"/>
      <c r="AN110" s="387"/>
    </row>
    <row r="111" spans="1:40" ht="22.5" hidden="1" customHeight="1" x14ac:dyDescent="0.2">
      <c r="A111" s="376">
        <v>45751.47402775463</v>
      </c>
      <c r="B111" s="377" t="s">
        <v>56</v>
      </c>
      <c r="C111" s="377" t="s">
        <v>338</v>
      </c>
      <c r="D111" s="383" t="str">
        <f t="shared" si="0"/>
        <v>2019</v>
      </c>
      <c r="E111" s="379" t="s">
        <v>533</v>
      </c>
      <c r="F111" s="380">
        <v>56643</v>
      </c>
      <c r="G111" s="380">
        <v>11612</v>
      </c>
      <c r="H111" s="381" t="s">
        <v>534</v>
      </c>
      <c r="I111" s="380">
        <v>2324</v>
      </c>
      <c r="J111" s="390" t="s">
        <v>53</v>
      </c>
      <c r="K111" s="383"/>
      <c r="L111" s="384"/>
      <c r="M111" s="384"/>
      <c r="N111" s="384"/>
      <c r="O111" s="383"/>
      <c r="P111" s="384"/>
      <c r="Q111" s="384"/>
      <c r="R111" s="384"/>
      <c r="S111" s="391"/>
      <c r="T111" s="383"/>
      <c r="U111" s="384"/>
      <c r="V111" s="384"/>
      <c r="W111" s="382"/>
      <c r="X111" s="377" t="s">
        <v>343</v>
      </c>
      <c r="Y111" s="362"/>
      <c r="Z111" s="362"/>
      <c r="AA111" s="362"/>
      <c r="AB111" s="362"/>
      <c r="AC111" s="385"/>
      <c r="AD111" s="385"/>
      <c r="AE111" s="385"/>
      <c r="AF111" s="385"/>
      <c r="AG111" s="377" t="s">
        <v>337</v>
      </c>
      <c r="AH111" s="385"/>
      <c r="AI111" s="385"/>
      <c r="AJ111" s="385"/>
      <c r="AK111" s="385"/>
      <c r="AL111" s="385"/>
      <c r="AM111" s="387"/>
      <c r="AN111" s="387"/>
    </row>
    <row r="112" spans="1:40" ht="22.5" hidden="1" customHeight="1" x14ac:dyDescent="0.2">
      <c r="A112" s="376">
        <v>45751.474719120371</v>
      </c>
      <c r="B112" s="377" t="s">
        <v>56</v>
      </c>
      <c r="C112" s="377" t="s">
        <v>338</v>
      </c>
      <c r="D112" s="383" t="str">
        <f t="shared" si="0"/>
        <v>2010</v>
      </c>
      <c r="E112" s="379" t="s">
        <v>535</v>
      </c>
      <c r="F112" s="380">
        <v>23143</v>
      </c>
      <c r="G112" s="380">
        <v>15093</v>
      </c>
      <c r="H112" s="381" t="s">
        <v>536</v>
      </c>
      <c r="I112" s="380">
        <v>1698</v>
      </c>
      <c r="J112" s="390" t="s">
        <v>53</v>
      </c>
      <c r="K112" s="383"/>
      <c r="L112" s="384"/>
      <c r="M112" s="384"/>
      <c r="N112" s="384"/>
      <c r="O112" s="383"/>
      <c r="P112" s="384"/>
      <c r="Q112" s="384"/>
      <c r="R112" s="384"/>
      <c r="S112" s="391"/>
      <c r="T112" s="383"/>
      <c r="U112" s="384"/>
      <c r="V112" s="384"/>
      <c r="W112" s="382"/>
      <c r="X112" s="377" t="s">
        <v>343</v>
      </c>
      <c r="Y112" s="362"/>
      <c r="Z112" s="362"/>
      <c r="AA112" s="362"/>
      <c r="AB112" s="362"/>
      <c r="AC112" s="385"/>
      <c r="AD112" s="385"/>
      <c r="AE112" s="385"/>
      <c r="AF112" s="385"/>
      <c r="AG112" s="377" t="s">
        <v>337</v>
      </c>
      <c r="AH112" s="385"/>
      <c r="AI112" s="385"/>
      <c r="AJ112" s="385"/>
      <c r="AK112" s="385"/>
      <c r="AL112" s="385"/>
      <c r="AM112" s="387"/>
      <c r="AN112" s="387"/>
    </row>
    <row r="113" spans="1:40" ht="22.5" hidden="1" customHeight="1" x14ac:dyDescent="0.2">
      <c r="A113" s="376">
        <v>45751.475491331017</v>
      </c>
      <c r="B113" s="377" t="s">
        <v>56</v>
      </c>
      <c r="C113" s="377" t="s">
        <v>338</v>
      </c>
      <c r="D113" s="383" t="str">
        <f t="shared" si="0"/>
        <v>2010</v>
      </c>
      <c r="E113" s="379" t="s">
        <v>537</v>
      </c>
      <c r="F113" s="380">
        <v>22411</v>
      </c>
      <c r="G113" s="380">
        <v>7966</v>
      </c>
      <c r="H113" s="381" t="s">
        <v>538</v>
      </c>
      <c r="I113" s="380">
        <v>883</v>
      </c>
      <c r="J113" s="390" t="s">
        <v>53</v>
      </c>
      <c r="K113" s="383"/>
      <c r="L113" s="384"/>
      <c r="M113" s="384"/>
      <c r="N113" s="384"/>
      <c r="O113" s="383"/>
      <c r="P113" s="384"/>
      <c r="Q113" s="384"/>
      <c r="R113" s="384"/>
      <c r="S113" s="391"/>
      <c r="T113" s="383"/>
      <c r="U113" s="384"/>
      <c r="V113" s="384"/>
      <c r="W113" s="382"/>
      <c r="X113" s="377" t="s">
        <v>343</v>
      </c>
      <c r="Y113" s="362"/>
      <c r="Z113" s="362"/>
      <c r="AA113" s="362"/>
      <c r="AB113" s="362"/>
      <c r="AC113" s="385"/>
      <c r="AD113" s="385"/>
      <c r="AE113" s="385"/>
      <c r="AF113" s="385"/>
      <c r="AG113" s="377" t="s">
        <v>337</v>
      </c>
      <c r="AH113" s="385"/>
      <c r="AI113" s="385"/>
      <c r="AJ113" s="385"/>
      <c r="AK113" s="385"/>
      <c r="AL113" s="385"/>
      <c r="AM113" s="387"/>
      <c r="AN113" s="387"/>
    </row>
    <row r="114" spans="1:40" ht="22.5" hidden="1" customHeight="1" x14ac:dyDescent="0.2">
      <c r="A114" s="376">
        <v>45751.505601689816</v>
      </c>
      <c r="B114" s="377" t="s">
        <v>56</v>
      </c>
      <c r="C114" s="377" t="s">
        <v>338</v>
      </c>
      <c r="D114" s="383" t="str">
        <f t="shared" si="0"/>
        <v>2022</v>
      </c>
      <c r="E114" s="379" t="s">
        <v>539</v>
      </c>
      <c r="F114" s="380">
        <v>66282</v>
      </c>
      <c r="G114" s="380">
        <v>14671</v>
      </c>
      <c r="H114" s="381" t="s">
        <v>540</v>
      </c>
      <c r="I114" s="380" t="s">
        <v>359</v>
      </c>
      <c r="J114" s="390" t="s">
        <v>53</v>
      </c>
      <c r="K114" s="383"/>
      <c r="L114" s="384"/>
      <c r="M114" s="384"/>
      <c r="N114" s="384"/>
      <c r="O114" s="383"/>
      <c r="P114" s="384"/>
      <c r="Q114" s="384"/>
      <c r="R114" s="384"/>
      <c r="S114" s="391"/>
      <c r="T114" s="383"/>
      <c r="U114" s="384"/>
      <c r="V114" s="384"/>
      <c r="W114" s="382"/>
      <c r="X114" s="377" t="s">
        <v>343</v>
      </c>
      <c r="Y114" s="362"/>
      <c r="Z114" s="362"/>
      <c r="AA114" s="362"/>
      <c r="AB114" s="362"/>
      <c r="AC114" s="385"/>
      <c r="AD114" s="385"/>
      <c r="AE114" s="385"/>
      <c r="AF114" s="385"/>
      <c r="AG114" s="377" t="s">
        <v>337</v>
      </c>
      <c r="AH114" s="385"/>
      <c r="AI114" s="385"/>
      <c r="AJ114" s="385"/>
      <c r="AK114" s="385"/>
      <c r="AL114" s="385"/>
      <c r="AM114" s="387"/>
      <c r="AN114" s="387"/>
    </row>
    <row r="115" spans="1:40" ht="22.5" hidden="1" customHeight="1" x14ac:dyDescent="0.2">
      <c r="A115" s="376">
        <v>45751.50655766204</v>
      </c>
      <c r="B115" s="377" t="s">
        <v>351</v>
      </c>
      <c r="C115" s="377" t="s">
        <v>338</v>
      </c>
      <c r="D115" s="383" t="str">
        <f t="shared" si="0"/>
        <v/>
      </c>
      <c r="E115" s="384"/>
      <c r="F115" s="384"/>
      <c r="G115" s="384"/>
      <c r="H115" s="388"/>
      <c r="I115" s="384"/>
      <c r="J115" s="382"/>
      <c r="K115" s="389" t="s">
        <v>541</v>
      </c>
      <c r="L115" s="380">
        <v>6887</v>
      </c>
      <c r="M115" s="380">
        <v>799</v>
      </c>
      <c r="N115" s="380">
        <v>414</v>
      </c>
      <c r="O115" s="383"/>
      <c r="P115" s="384"/>
      <c r="Q115" s="384"/>
      <c r="R115" s="384"/>
      <c r="S115" s="385"/>
      <c r="T115" s="383"/>
      <c r="U115" s="384"/>
      <c r="V115" s="384"/>
      <c r="W115" s="382"/>
      <c r="X115" s="377" t="s">
        <v>343</v>
      </c>
      <c r="Y115" s="370"/>
      <c r="Z115" s="370"/>
      <c r="AA115" s="370"/>
      <c r="AB115" s="370"/>
      <c r="AC115" s="385"/>
      <c r="AD115" s="385"/>
      <c r="AE115" s="385"/>
      <c r="AF115" s="385"/>
      <c r="AG115" s="377" t="s">
        <v>337</v>
      </c>
      <c r="AH115" s="385"/>
      <c r="AI115" s="385"/>
      <c r="AJ115" s="385"/>
      <c r="AK115" s="385"/>
      <c r="AL115" s="385"/>
      <c r="AM115" s="387"/>
      <c r="AN115" s="387"/>
    </row>
    <row r="116" spans="1:40" ht="22.5" hidden="1" customHeight="1" x14ac:dyDescent="0.2">
      <c r="A116" s="376">
        <v>45751.507316342591</v>
      </c>
      <c r="B116" s="377" t="s">
        <v>56</v>
      </c>
      <c r="C116" s="377" t="s">
        <v>338</v>
      </c>
      <c r="D116" s="383" t="str">
        <f t="shared" si="0"/>
        <v>2020</v>
      </c>
      <c r="E116" s="379" t="s">
        <v>542</v>
      </c>
      <c r="F116" s="380">
        <v>59177</v>
      </c>
      <c r="G116" s="380">
        <v>6347</v>
      </c>
      <c r="H116" s="381" t="s">
        <v>543</v>
      </c>
      <c r="I116" s="380" t="s">
        <v>359</v>
      </c>
      <c r="J116" s="390" t="s">
        <v>53</v>
      </c>
      <c r="K116" s="383"/>
      <c r="L116" s="384"/>
      <c r="M116" s="384"/>
      <c r="N116" s="384"/>
      <c r="O116" s="383"/>
      <c r="P116" s="384"/>
      <c r="Q116" s="384"/>
      <c r="R116" s="384"/>
      <c r="S116" s="391"/>
      <c r="T116" s="383"/>
      <c r="U116" s="384"/>
      <c r="V116" s="384"/>
      <c r="W116" s="382"/>
      <c r="X116" s="377" t="s">
        <v>343</v>
      </c>
      <c r="Y116" s="362"/>
      <c r="Z116" s="362"/>
      <c r="AA116" s="362"/>
      <c r="AB116" s="362"/>
      <c r="AC116" s="385"/>
      <c r="AD116" s="385"/>
      <c r="AE116" s="385"/>
      <c r="AF116" s="385"/>
      <c r="AG116" s="377" t="s">
        <v>337</v>
      </c>
      <c r="AH116" s="385"/>
      <c r="AI116" s="385"/>
      <c r="AJ116" s="385"/>
      <c r="AK116" s="385"/>
      <c r="AL116" s="385"/>
      <c r="AM116" s="387"/>
      <c r="AN116" s="387"/>
    </row>
    <row r="117" spans="1:40" ht="22.5" hidden="1" customHeight="1" x14ac:dyDescent="0.2">
      <c r="A117" s="376">
        <v>45751.507908194442</v>
      </c>
      <c r="B117" s="377" t="s">
        <v>351</v>
      </c>
      <c r="C117" s="377" t="s">
        <v>338</v>
      </c>
      <c r="D117" s="383" t="str">
        <f t="shared" si="0"/>
        <v/>
      </c>
      <c r="E117" s="384"/>
      <c r="F117" s="384"/>
      <c r="G117" s="384"/>
      <c r="H117" s="388"/>
      <c r="I117" s="384"/>
      <c r="J117" s="382"/>
      <c r="K117" s="389" t="s">
        <v>544</v>
      </c>
      <c r="L117" s="380">
        <v>6530</v>
      </c>
      <c r="M117" s="380">
        <v>85</v>
      </c>
      <c r="N117" s="380">
        <v>58</v>
      </c>
      <c r="O117" s="383"/>
      <c r="P117" s="384"/>
      <c r="Q117" s="384"/>
      <c r="R117" s="384"/>
      <c r="S117" s="385"/>
      <c r="T117" s="383"/>
      <c r="U117" s="384"/>
      <c r="V117" s="384"/>
      <c r="W117" s="382"/>
      <c r="X117" s="377" t="s">
        <v>343</v>
      </c>
      <c r="Y117" s="370"/>
      <c r="Z117" s="370"/>
      <c r="AA117" s="370"/>
      <c r="AB117" s="370"/>
      <c r="AC117" s="385"/>
      <c r="AD117" s="385"/>
      <c r="AE117" s="385"/>
      <c r="AF117" s="385"/>
      <c r="AG117" s="377" t="s">
        <v>337</v>
      </c>
      <c r="AH117" s="385"/>
      <c r="AI117" s="385"/>
      <c r="AJ117" s="385"/>
      <c r="AK117" s="385"/>
      <c r="AL117" s="385"/>
      <c r="AM117" s="387"/>
      <c r="AN117" s="387"/>
    </row>
    <row r="118" spans="1:40" ht="22.5" hidden="1" customHeight="1" x14ac:dyDescent="0.2">
      <c r="A118" s="376">
        <v>45751.508482187499</v>
      </c>
      <c r="B118" s="377" t="s">
        <v>351</v>
      </c>
      <c r="C118" s="377" t="s">
        <v>338</v>
      </c>
      <c r="D118" s="383" t="str">
        <f t="shared" si="0"/>
        <v/>
      </c>
      <c r="E118" s="384"/>
      <c r="F118" s="384"/>
      <c r="G118" s="384"/>
      <c r="H118" s="388"/>
      <c r="I118" s="384"/>
      <c r="J118" s="382"/>
      <c r="K118" s="389" t="s">
        <v>545</v>
      </c>
      <c r="L118" s="380">
        <v>9599</v>
      </c>
      <c r="M118" s="380">
        <v>758</v>
      </c>
      <c r="N118" s="380">
        <v>248</v>
      </c>
      <c r="O118" s="383"/>
      <c r="P118" s="384"/>
      <c r="Q118" s="384"/>
      <c r="R118" s="384"/>
      <c r="S118" s="385"/>
      <c r="T118" s="383"/>
      <c r="U118" s="384"/>
      <c r="V118" s="384"/>
      <c r="W118" s="382"/>
      <c r="X118" s="377" t="s">
        <v>343</v>
      </c>
      <c r="Y118" s="370"/>
      <c r="Z118" s="370"/>
      <c r="AA118" s="370"/>
      <c r="AB118" s="370"/>
      <c r="AC118" s="385"/>
      <c r="AD118" s="385"/>
      <c r="AE118" s="385"/>
      <c r="AF118" s="385"/>
      <c r="AG118" s="377" t="s">
        <v>337</v>
      </c>
      <c r="AH118" s="385"/>
      <c r="AI118" s="385"/>
      <c r="AJ118" s="385"/>
      <c r="AK118" s="385"/>
      <c r="AL118" s="385"/>
      <c r="AM118" s="387"/>
      <c r="AN118" s="387"/>
    </row>
    <row r="119" spans="1:40" ht="22.5" hidden="1" customHeight="1" x14ac:dyDescent="0.2">
      <c r="A119" s="376">
        <v>45751.509140115741</v>
      </c>
      <c r="B119" s="377" t="s">
        <v>56</v>
      </c>
      <c r="C119" s="377" t="s">
        <v>338</v>
      </c>
      <c r="D119" s="383" t="str">
        <f t="shared" si="0"/>
        <v>2012</v>
      </c>
      <c r="E119" s="379" t="s">
        <v>546</v>
      </c>
      <c r="F119" s="380">
        <v>30774</v>
      </c>
      <c r="G119" s="380">
        <v>25072</v>
      </c>
      <c r="H119" s="381" t="s">
        <v>547</v>
      </c>
      <c r="I119" s="380">
        <v>2828</v>
      </c>
      <c r="J119" s="390" t="s">
        <v>53</v>
      </c>
      <c r="K119" s="383"/>
      <c r="L119" s="384"/>
      <c r="M119" s="384"/>
      <c r="N119" s="384"/>
      <c r="O119" s="383"/>
      <c r="P119" s="384"/>
      <c r="Q119" s="384"/>
      <c r="R119" s="384"/>
      <c r="S119" s="391"/>
      <c r="T119" s="383"/>
      <c r="U119" s="384"/>
      <c r="V119" s="384"/>
      <c r="W119" s="382"/>
      <c r="X119" s="377" t="s">
        <v>343</v>
      </c>
      <c r="Y119" s="362"/>
      <c r="Z119" s="362"/>
      <c r="AA119" s="362"/>
      <c r="AB119" s="362"/>
      <c r="AC119" s="385"/>
      <c r="AD119" s="385"/>
      <c r="AE119" s="385"/>
      <c r="AF119" s="385"/>
      <c r="AG119" s="377" t="s">
        <v>337</v>
      </c>
      <c r="AH119" s="385"/>
      <c r="AI119" s="385"/>
      <c r="AJ119" s="385"/>
      <c r="AK119" s="385"/>
      <c r="AL119" s="385"/>
      <c r="AM119" s="387"/>
      <c r="AN119" s="387"/>
    </row>
    <row r="120" spans="1:40" ht="22.5" hidden="1" customHeight="1" x14ac:dyDescent="0.2">
      <c r="A120" s="376">
        <v>45751.509813622688</v>
      </c>
      <c r="B120" s="377" t="s">
        <v>56</v>
      </c>
      <c r="C120" s="377" t="s">
        <v>338</v>
      </c>
      <c r="D120" s="383" t="str">
        <f t="shared" si="0"/>
        <v>2012</v>
      </c>
      <c r="E120" s="379" t="s">
        <v>548</v>
      </c>
      <c r="F120" s="380">
        <v>29722</v>
      </c>
      <c r="G120" s="380">
        <v>15733</v>
      </c>
      <c r="H120" s="381" t="s">
        <v>549</v>
      </c>
      <c r="I120" s="380">
        <v>1829</v>
      </c>
      <c r="J120" s="390" t="s">
        <v>53</v>
      </c>
      <c r="K120" s="383"/>
      <c r="L120" s="384"/>
      <c r="M120" s="384"/>
      <c r="N120" s="384"/>
      <c r="O120" s="383"/>
      <c r="P120" s="384"/>
      <c r="Q120" s="384"/>
      <c r="R120" s="384"/>
      <c r="S120" s="391"/>
      <c r="T120" s="383"/>
      <c r="U120" s="384"/>
      <c r="V120" s="384"/>
      <c r="W120" s="382"/>
      <c r="X120" s="377" t="s">
        <v>343</v>
      </c>
      <c r="Y120" s="362"/>
      <c r="Z120" s="362"/>
      <c r="AA120" s="362"/>
      <c r="AB120" s="362"/>
      <c r="AC120" s="385"/>
      <c r="AD120" s="385"/>
      <c r="AE120" s="385"/>
      <c r="AF120" s="385"/>
      <c r="AG120" s="377" t="s">
        <v>337</v>
      </c>
      <c r="AH120" s="385"/>
      <c r="AI120" s="385"/>
      <c r="AJ120" s="385"/>
      <c r="AK120" s="385"/>
      <c r="AL120" s="385"/>
      <c r="AM120" s="387"/>
      <c r="AN120" s="387"/>
    </row>
    <row r="121" spans="1:40" ht="22.5" hidden="1" customHeight="1" x14ac:dyDescent="0.2">
      <c r="A121" s="376">
        <v>45751.510641562505</v>
      </c>
      <c r="B121" s="377" t="s">
        <v>56</v>
      </c>
      <c r="C121" s="377" t="s">
        <v>338</v>
      </c>
      <c r="D121" s="383" t="str">
        <f t="shared" si="0"/>
        <v>2014</v>
      </c>
      <c r="E121" s="379" t="s">
        <v>550</v>
      </c>
      <c r="F121" s="380">
        <v>37437</v>
      </c>
      <c r="G121" s="380">
        <v>20330</v>
      </c>
      <c r="H121" s="381" t="s">
        <v>551</v>
      </c>
      <c r="I121" s="380" t="s">
        <v>359</v>
      </c>
      <c r="J121" s="390" t="s">
        <v>53</v>
      </c>
      <c r="K121" s="383"/>
      <c r="L121" s="384"/>
      <c r="M121" s="384"/>
      <c r="N121" s="384"/>
      <c r="O121" s="383"/>
      <c r="P121" s="384"/>
      <c r="Q121" s="384"/>
      <c r="R121" s="384"/>
      <c r="S121" s="391"/>
      <c r="T121" s="383"/>
      <c r="U121" s="384"/>
      <c r="V121" s="384"/>
      <c r="W121" s="382"/>
      <c r="X121" s="377" t="s">
        <v>343</v>
      </c>
      <c r="Y121" s="362"/>
      <c r="Z121" s="362"/>
      <c r="AA121" s="362"/>
      <c r="AB121" s="362"/>
      <c r="AC121" s="385"/>
      <c r="AD121" s="385"/>
      <c r="AE121" s="385"/>
      <c r="AF121" s="385"/>
      <c r="AG121" s="377" t="s">
        <v>337</v>
      </c>
      <c r="AH121" s="385"/>
      <c r="AI121" s="385"/>
      <c r="AJ121" s="385"/>
      <c r="AK121" s="385"/>
      <c r="AL121" s="385"/>
      <c r="AM121" s="387"/>
      <c r="AN121" s="387"/>
    </row>
    <row r="122" spans="1:40" ht="22.5" hidden="1" customHeight="1" x14ac:dyDescent="0.2">
      <c r="A122" s="376">
        <v>45751.511257071761</v>
      </c>
      <c r="B122" s="377" t="s">
        <v>351</v>
      </c>
      <c r="C122" s="377" t="s">
        <v>338</v>
      </c>
      <c r="D122" s="383" t="str">
        <f t="shared" si="0"/>
        <v/>
      </c>
      <c r="E122" s="384"/>
      <c r="F122" s="384"/>
      <c r="G122" s="384"/>
      <c r="H122" s="388"/>
      <c r="I122" s="384"/>
      <c r="J122" s="382"/>
      <c r="K122" s="389" t="s">
        <v>355</v>
      </c>
      <c r="L122" s="380">
        <v>8088</v>
      </c>
      <c r="M122" s="380">
        <v>1826</v>
      </c>
      <c r="N122" s="380">
        <v>763</v>
      </c>
      <c r="O122" s="383"/>
      <c r="P122" s="384"/>
      <c r="Q122" s="384"/>
      <c r="R122" s="384"/>
      <c r="S122" s="385"/>
      <c r="T122" s="383"/>
      <c r="U122" s="384"/>
      <c r="V122" s="384"/>
      <c r="W122" s="382"/>
      <c r="X122" s="377" t="s">
        <v>343</v>
      </c>
      <c r="Y122" s="370"/>
      <c r="Z122" s="370"/>
      <c r="AA122" s="370"/>
      <c r="AB122" s="370"/>
      <c r="AC122" s="385"/>
      <c r="AD122" s="385"/>
      <c r="AE122" s="385"/>
      <c r="AF122" s="385"/>
      <c r="AG122" s="377" t="s">
        <v>337</v>
      </c>
      <c r="AH122" s="385"/>
      <c r="AI122" s="385"/>
      <c r="AJ122" s="385"/>
      <c r="AK122" s="385"/>
      <c r="AL122" s="385"/>
      <c r="AM122" s="387"/>
      <c r="AN122" s="387"/>
    </row>
    <row r="123" spans="1:40" ht="22.5" hidden="1" customHeight="1" x14ac:dyDescent="0.2">
      <c r="A123" s="376">
        <v>45754.704947604172</v>
      </c>
      <c r="B123" s="377" t="s">
        <v>56</v>
      </c>
      <c r="C123" s="377" t="s">
        <v>381</v>
      </c>
      <c r="D123" s="383" t="str">
        <f t="shared" si="0"/>
        <v>2015</v>
      </c>
      <c r="E123" s="379" t="s">
        <v>552</v>
      </c>
      <c r="F123" s="380">
        <v>39952</v>
      </c>
      <c r="G123" s="380">
        <v>8285</v>
      </c>
      <c r="H123" s="381" t="s">
        <v>553</v>
      </c>
      <c r="I123" s="380">
        <v>1392</v>
      </c>
      <c r="J123" s="390" t="s">
        <v>53</v>
      </c>
      <c r="K123" s="383"/>
      <c r="L123" s="384"/>
      <c r="M123" s="384"/>
      <c r="N123" s="384"/>
      <c r="O123" s="383"/>
      <c r="P123" s="384"/>
      <c r="Q123" s="384"/>
      <c r="R123" s="384"/>
      <c r="S123" s="391"/>
      <c r="T123" s="383"/>
      <c r="U123" s="384"/>
      <c r="V123" s="384"/>
      <c r="W123" s="382"/>
      <c r="X123" s="377" t="s">
        <v>343</v>
      </c>
      <c r="Y123" s="362"/>
      <c r="Z123" s="362"/>
      <c r="AA123" s="362"/>
      <c r="AB123" s="362"/>
      <c r="AC123" s="385"/>
      <c r="AD123" s="385"/>
      <c r="AE123" s="385"/>
      <c r="AF123" s="385"/>
      <c r="AG123" s="377" t="s">
        <v>337</v>
      </c>
      <c r="AH123" s="385"/>
      <c r="AI123" s="385"/>
      <c r="AJ123" s="385"/>
      <c r="AK123" s="385"/>
      <c r="AL123" s="385"/>
      <c r="AM123" s="387"/>
      <c r="AN123" s="387"/>
    </row>
    <row r="124" spans="1:40" ht="22.5" hidden="1" customHeight="1" x14ac:dyDescent="0.2">
      <c r="A124" s="376">
        <v>45755.499027777776</v>
      </c>
      <c r="B124" s="377" t="s">
        <v>56</v>
      </c>
      <c r="C124" s="377" t="s">
        <v>381</v>
      </c>
      <c r="D124" s="383" t="str">
        <f t="shared" si="0"/>
        <v>2017</v>
      </c>
      <c r="E124" s="379" t="s">
        <v>554</v>
      </c>
      <c r="F124" s="380">
        <v>48396</v>
      </c>
      <c r="G124" s="380">
        <v>11462</v>
      </c>
      <c r="H124" s="381" t="s">
        <v>555</v>
      </c>
      <c r="I124" s="380" t="s">
        <v>359</v>
      </c>
      <c r="J124" s="390" t="s">
        <v>53</v>
      </c>
      <c r="K124" s="383"/>
      <c r="L124" s="384"/>
      <c r="M124" s="384"/>
      <c r="N124" s="384"/>
      <c r="O124" s="383"/>
      <c r="P124" s="384"/>
      <c r="Q124" s="384"/>
      <c r="R124" s="384"/>
      <c r="S124" s="391"/>
      <c r="T124" s="383"/>
      <c r="U124" s="384"/>
      <c r="V124" s="384"/>
      <c r="W124" s="382"/>
      <c r="X124" s="377" t="s">
        <v>343</v>
      </c>
      <c r="Y124" s="362"/>
      <c r="Z124" s="362"/>
      <c r="AA124" s="362"/>
      <c r="AB124" s="362"/>
      <c r="AC124" s="385"/>
      <c r="AD124" s="385"/>
      <c r="AE124" s="385"/>
      <c r="AF124" s="385"/>
      <c r="AG124" s="377" t="s">
        <v>337</v>
      </c>
      <c r="AH124" s="385"/>
      <c r="AI124" s="385"/>
      <c r="AJ124" s="385"/>
      <c r="AK124" s="385"/>
      <c r="AL124" s="385"/>
      <c r="AM124" s="387"/>
      <c r="AN124" s="387"/>
    </row>
    <row r="125" spans="1:40" ht="22.5" hidden="1" customHeight="1" x14ac:dyDescent="0.2">
      <c r="A125" s="376">
        <v>45756.499026342593</v>
      </c>
      <c r="B125" s="377" t="s">
        <v>56</v>
      </c>
      <c r="C125" s="377" t="s">
        <v>381</v>
      </c>
      <c r="D125" s="383" t="str">
        <f t="shared" si="0"/>
        <v>2012</v>
      </c>
      <c r="E125" s="379" t="s">
        <v>556</v>
      </c>
      <c r="F125" s="380">
        <v>30209</v>
      </c>
      <c r="G125" s="380">
        <v>19987</v>
      </c>
      <c r="H125" s="381" t="s">
        <v>557</v>
      </c>
      <c r="I125" s="380">
        <v>2285</v>
      </c>
      <c r="J125" s="390" t="s">
        <v>53</v>
      </c>
      <c r="K125" s="383"/>
      <c r="L125" s="384"/>
      <c r="M125" s="384"/>
      <c r="N125" s="384"/>
      <c r="O125" s="383"/>
      <c r="P125" s="384"/>
      <c r="Q125" s="384"/>
      <c r="R125" s="384"/>
      <c r="S125" s="391"/>
      <c r="T125" s="383"/>
      <c r="U125" s="384"/>
      <c r="V125" s="384"/>
      <c r="W125" s="382"/>
      <c r="X125" s="377" t="s">
        <v>343</v>
      </c>
      <c r="Y125" s="362"/>
      <c r="Z125" s="362"/>
      <c r="AA125" s="362"/>
      <c r="AB125" s="362"/>
      <c r="AC125" s="385"/>
      <c r="AD125" s="385"/>
      <c r="AE125" s="385"/>
      <c r="AF125" s="385"/>
      <c r="AG125" s="377" t="s">
        <v>337</v>
      </c>
      <c r="AH125" s="385"/>
      <c r="AI125" s="385"/>
      <c r="AJ125" s="385"/>
      <c r="AK125" s="385"/>
      <c r="AL125" s="385"/>
      <c r="AM125" s="387"/>
      <c r="AN125" s="387"/>
    </row>
    <row r="126" spans="1:40" ht="22.5" hidden="1" customHeight="1" x14ac:dyDescent="0.2">
      <c r="A126" s="376">
        <v>45762.36630613426</v>
      </c>
      <c r="B126" s="377" t="s">
        <v>56</v>
      </c>
      <c r="C126" s="377" t="s">
        <v>381</v>
      </c>
      <c r="D126" s="383" t="str">
        <f t="shared" si="0"/>
        <v>2018</v>
      </c>
      <c r="E126" s="379" t="s">
        <v>558</v>
      </c>
      <c r="F126" s="380">
        <v>50536</v>
      </c>
      <c r="G126" s="380">
        <v>3562</v>
      </c>
      <c r="H126" s="381" t="s">
        <v>559</v>
      </c>
      <c r="I126" s="380">
        <v>682</v>
      </c>
      <c r="J126" s="390" t="s">
        <v>53</v>
      </c>
      <c r="K126" s="383"/>
      <c r="L126" s="384"/>
      <c r="M126" s="384"/>
      <c r="N126" s="384"/>
      <c r="O126" s="383"/>
      <c r="P126" s="384"/>
      <c r="Q126" s="384"/>
      <c r="R126" s="384"/>
      <c r="S126" s="391"/>
      <c r="T126" s="383"/>
      <c r="U126" s="384"/>
      <c r="V126" s="384"/>
      <c r="W126" s="382"/>
      <c r="X126" s="377" t="s">
        <v>343</v>
      </c>
      <c r="Y126" s="362"/>
      <c r="Z126" s="362"/>
      <c r="AA126" s="362"/>
      <c r="AB126" s="362"/>
      <c r="AC126" s="385"/>
      <c r="AD126" s="385"/>
      <c r="AE126" s="385"/>
      <c r="AF126" s="385"/>
      <c r="AG126" s="377" t="s">
        <v>337</v>
      </c>
      <c r="AH126" s="385"/>
      <c r="AI126" s="385"/>
      <c r="AJ126" s="385"/>
      <c r="AK126" s="385"/>
      <c r="AL126" s="385"/>
      <c r="AM126" s="387"/>
      <c r="AN126" s="387"/>
    </row>
    <row r="127" spans="1:40" ht="22.5" hidden="1" customHeight="1" x14ac:dyDescent="0.2">
      <c r="A127" s="376">
        <v>45762.480849074069</v>
      </c>
      <c r="B127" s="377" t="s">
        <v>56</v>
      </c>
      <c r="C127" s="377" t="s">
        <v>352</v>
      </c>
      <c r="D127" s="383" t="str">
        <f t="shared" si="0"/>
        <v>2000</v>
      </c>
      <c r="E127" s="379" t="s">
        <v>560</v>
      </c>
      <c r="F127" s="380">
        <v>4164</v>
      </c>
      <c r="G127" s="380">
        <v>10175</v>
      </c>
      <c r="H127" s="381" t="s">
        <v>561</v>
      </c>
      <c r="I127" s="380">
        <v>1474</v>
      </c>
      <c r="J127" s="390" t="s">
        <v>53</v>
      </c>
      <c r="K127" s="383"/>
      <c r="L127" s="384"/>
      <c r="M127" s="384"/>
      <c r="N127" s="384"/>
      <c r="O127" s="383"/>
      <c r="P127" s="384"/>
      <c r="Q127" s="384"/>
      <c r="R127" s="384"/>
      <c r="S127" s="391"/>
      <c r="T127" s="383"/>
      <c r="U127" s="384"/>
      <c r="V127" s="384"/>
      <c r="W127" s="382"/>
      <c r="X127" s="377" t="s">
        <v>343</v>
      </c>
      <c r="Y127" s="362"/>
      <c r="Z127" s="362"/>
      <c r="AA127" s="362"/>
      <c r="AB127" s="362"/>
      <c r="AC127" s="385"/>
      <c r="AD127" s="385"/>
      <c r="AE127" s="385"/>
      <c r="AF127" s="385"/>
      <c r="AG127" s="377" t="s">
        <v>337</v>
      </c>
      <c r="AH127" s="385"/>
      <c r="AI127" s="385"/>
      <c r="AJ127" s="385"/>
      <c r="AK127" s="385"/>
      <c r="AL127" s="385"/>
      <c r="AM127" s="387"/>
      <c r="AN127" s="387"/>
    </row>
    <row r="128" spans="1:40" ht="22.5" hidden="1" customHeight="1" x14ac:dyDescent="0.2">
      <c r="A128" s="376">
        <v>45762.481468738421</v>
      </c>
      <c r="B128" s="377" t="s">
        <v>56</v>
      </c>
      <c r="C128" s="377" t="s">
        <v>352</v>
      </c>
      <c r="D128" s="383" t="str">
        <f t="shared" si="0"/>
        <v>2001</v>
      </c>
      <c r="E128" s="379" t="s">
        <v>562</v>
      </c>
      <c r="F128" s="380">
        <v>5009</v>
      </c>
      <c r="G128" s="380">
        <v>305</v>
      </c>
      <c r="H128" s="381" t="s">
        <v>563</v>
      </c>
      <c r="I128" s="380">
        <v>51</v>
      </c>
      <c r="J128" s="390" t="s">
        <v>53</v>
      </c>
      <c r="K128" s="383"/>
      <c r="L128" s="384"/>
      <c r="M128" s="384"/>
      <c r="N128" s="384"/>
      <c r="O128" s="383"/>
      <c r="P128" s="384"/>
      <c r="Q128" s="384"/>
      <c r="R128" s="384"/>
      <c r="S128" s="391"/>
      <c r="T128" s="383"/>
      <c r="U128" s="384"/>
      <c r="V128" s="384"/>
      <c r="W128" s="382"/>
      <c r="X128" s="377" t="s">
        <v>343</v>
      </c>
      <c r="Y128" s="362"/>
      <c r="Z128" s="362"/>
      <c r="AA128" s="362"/>
      <c r="AB128" s="362"/>
      <c r="AC128" s="385"/>
      <c r="AD128" s="385"/>
      <c r="AE128" s="385"/>
      <c r="AF128" s="385"/>
      <c r="AG128" s="377" t="s">
        <v>337</v>
      </c>
      <c r="AH128" s="385"/>
      <c r="AI128" s="385"/>
      <c r="AJ128" s="385"/>
      <c r="AK128" s="385"/>
      <c r="AL128" s="385"/>
      <c r="AM128" s="387"/>
      <c r="AN128" s="387"/>
    </row>
    <row r="129" spans="1:40" ht="22.5" hidden="1" customHeight="1" x14ac:dyDescent="0.2">
      <c r="A129" s="376">
        <v>45762.684197546296</v>
      </c>
      <c r="B129" s="377" t="s">
        <v>56</v>
      </c>
      <c r="C129" s="377" t="s">
        <v>338</v>
      </c>
      <c r="D129" s="383" t="str">
        <f t="shared" si="0"/>
        <v>2015</v>
      </c>
      <c r="E129" s="379" t="s">
        <v>564</v>
      </c>
      <c r="F129" s="380">
        <v>39830</v>
      </c>
      <c r="G129" s="380">
        <v>7641</v>
      </c>
      <c r="H129" s="381" t="s">
        <v>565</v>
      </c>
      <c r="I129" s="380" t="s">
        <v>359</v>
      </c>
      <c r="J129" s="390" t="s">
        <v>53</v>
      </c>
      <c r="K129" s="383"/>
      <c r="L129" s="384"/>
      <c r="M129" s="384"/>
      <c r="N129" s="384"/>
      <c r="O129" s="383"/>
      <c r="P129" s="384"/>
      <c r="Q129" s="384"/>
      <c r="R129" s="384"/>
      <c r="S129" s="391"/>
      <c r="T129" s="383"/>
      <c r="U129" s="384"/>
      <c r="V129" s="384"/>
      <c r="W129" s="382"/>
      <c r="X129" s="377" t="s">
        <v>343</v>
      </c>
      <c r="Y129" s="362"/>
      <c r="Z129" s="362"/>
      <c r="AA129" s="362"/>
      <c r="AB129" s="362"/>
      <c r="AC129" s="385"/>
      <c r="AD129" s="385"/>
      <c r="AE129" s="385"/>
      <c r="AF129" s="385"/>
      <c r="AG129" s="377" t="s">
        <v>337</v>
      </c>
      <c r="AH129" s="385"/>
      <c r="AI129" s="385"/>
      <c r="AJ129" s="385"/>
      <c r="AK129" s="385"/>
      <c r="AL129" s="385"/>
      <c r="AM129" s="387"/>
      <c r="AN129" s="387"/>
    </row>
    <row r="130" spans="1:40" ht="22.5" hidden="1" customHeight="1" x14ac:dyDescent="0.2">
      <c r="A130" s="376">
        <v>45762.684870324076</v>
      </c>
      <c r="B130" s="377" t="s">
        <v>56</v>
      </c>
      <c r="C130" s="377" t="s">
        <v>338</v>
      </c>
      <c r="D130" s="383" t="str">
        <f t="shared" si="0"/>
        <v>2017</v>
      </c>
      <c r="E130" s="379" t="s">
        <v>566</v>
      </c>
      <c r="F130" s="380">
        <v>45256</v>
      </c>
      <c r="G130" s="380">
        <v>11</v>
      </c>
      <c r="H130" s="381" t="s">
        <v>567</v>
      </c>
      <c r="I130" s="380" t="s">
        <v>359</v>
      </c>
      <c r="J130" s="390" t="s">
        <v>53</v>
      </c>
      <c r="K130" s="383"/>
      <c r="L130" s="384"/>
      <c r="M130" s="384"/>
      <c r="N130" s="384"/>
      <c r="O130" s="383"/>
      <c r="P130" s="384"/>
      <c r="Q130" s="384"/>
      <c r="R130" s="384"/>
      <c r="S130" s="391"/>
      <c r="T130" s="383"/>
      <c r="U130" s="384"/>
      <c r="V130" s="384"/>
      <c r="W130" s="382"/>
      <c r="X130" s="377" t="s">
        <v>343</v>
      </c>
      <c r="Y130" s="362"/>
      <c r="Z130" s="362"/>
      <c r="AA130" s="362"/>
      <c r="AB130" s="362"/>
      <c r="AC130" s="385"/>
      <c r="AD130" s="385"/>
      <c r="AE130" s="385"/>
      <c r="AF130" s="385"/>
      <c r="AG130" s="377" t="s">
        <v>337</v>
      </c>
      <c r="AH130" s="385"/>
      <c r="AI130" s="385"/>
      <c r="AJ130" s="385"/>
      <c r="AK130" s="385"/>
      <c r="AL130" s="385"/>
      <c r="AM130" s="387"/>
      <c r="AN130" s="387"/>
    </row>
    <row r="131" spans="1:40" ht="22.5" hidden="1" customHeight="1" x14ac:dyDescent="0.2">
      <c r="A131" s="376">
        <v>45762.685512708333</v>
      </c>
      <c r="B131" s="377" t="s">
        <v>351</v>
      </c>
      <c r="C131" s="377" t="s">
        <v>338</v>
      </c>
      <c r="D131" s="383" t="str">
        <f t="shared" si="0"/>
        <v/>
      </c>
      <c r="E131" s="384"/>
      <c r="F131" s="384"/>
      <c r="G131" s="384"/>
      <c r="H131" s="388"/>
      <c r="I131" s="384"/>
      <c r="J131" s="382"/>
      <c r="K131" s="389" t="s">
        <v>568</v>
      </c>
      <c r="L131" s="380">
        <v>11358</v>
      </c>
      <c r="M131" s="380">
        <v>95</v>
      </c>
      <c r="N131" s="380">
        <v>80</v>
      </c>
      <c r="O131" s="383"/>
      <c r="P131" s="384"/>
      <c r="Q131" s="384"/>
      <c r="R131" s="384"/>
      <c r="S131" s="385"/>
      <c r="T131" s="383"/>
      <c r="U131" s="384"/>
      <c r="V131" s="384"/>
      <c r="W131" s="382"/>
      <c r="X131" s="377" t="s">
        <v>343</v>
      </c>
      <c r="Y131" s="370"/>
      <c r="Z131" s="370"/>
      <c r="AA131" s="370"/>
      <c r="AB131" s="370"/>
      <c r="AC131" s="385"/>
      <c r="AD131" s="385"/>
      <c r="AE131" s="385"/>
      <c r="AF131" s="385"/>
      <c r="AG131" s="377" t="s">
        <v>337</v>
      </c>
      <c r="AH131" s="385"/>
      <c r="AI131" s="385"/>
      <c r="AJ131" s="385"/>
      <c r="AK131" s="385"/>
      <c r="AL131" s="385"/>
      <c r="AM131" s="387"/>
      <c r="AN131" s="387"/>
    </row>
    <row r="132" spans="1:40" ht="22.5" hidden="1" customHeight="1" x14ac:dyDescent="0.2">
      <c r="A132" s="376">
        <v>45762.685997314817</v>
      </c>
      <c r="B132" s="377" t="s">
        <v>351</v>
      </c>
      <c r="C132" s="377" t="s">
        <v>338</v>
      </c>
      <c r="D132" s="383" t="str">
        <f t="shared" si="0"/>
        <v/>
      </c>
      <c r="E132" s="384"/>
      <c r="F132" s="384"/>
      <c r="G132" s="384"/>
      <c r="H132" s="388"/>
      <c r="I132" s="384"/>
      <c r="J132" s="382"/>
      <c r="K132" s="389" t="s">
        <v>569</v>
      </c>
      <c r="L132" s="380">
        <v>11774</v>
      </c>
      <c r="M132" s="380">
        <v>610</v>
      </c>
      <c r="N132" s="380">
        <v>500</v>
      </c>
      <c r="O132" s="383"/>
      <c r="P132" s="384"/>
      <c r="Q132" s="384"/>
      <c r="R132" s="384"/>
      <c r="S132" s="385"/>
      <c r="T132" s="383"/>
      <c r="U132" s="384"/>
      <c r="V132" s="384"/>
      <c r="W132" s="382"/>
      <c r="X132" s="377" t="s">
        <v>343</v>
      </c>
      <c r="Y132" s="370"/>
      <c r="Z132" s="370"/>
      <c r="AA132" s="370"/>
      <c r="AB132" s="370"/>
      <c r="AC132" s="385"/>
      <c r="AD132" s="385"/>
      <c r="AE132" s="385"/>
      <c r="AF132" s="385"/>
      <c r="AG132" s="377" t="s">
        <v>337</v>
      </c>
      <c r="AH132" s="385"/>
      <c r="AI132" s="385"/>
      <c r="AJ132" s="385"/>
      <c r="AK132" s="385"/>
      <c r="AL132" s="385"/>
      <c r="AM132" s="387"/>
      <c r="AN132" s="387"/>
    </row>
    <row r="133" spans="1:40" ht="22.5" hidden="1" customHeight="1" x14ac:dyDescent="0.2">
      <c r="A133" s="376">
        <v>45762.686533530097</v>
      </c>
      <c r="B133" s="377" t="s">
        <v>351</v>
      </c>
      <c r="C133" s="377" t="s">
        <v>338</v>
      </c>
      <c r="D133" s="383" t="str">
        <f t="shared" si="0"/>
        <v/>
      </c>
      <c r="E133" s="384"/>
      <c r="F133" s="384"/>
      <c r="G133" s="384"/>
      <c r="H133" s="388"/>
      <c r="I133" s="384"/>
      <c r="J133" s="382"/>
      <c r="K133" s="389" t="s">
        <v>570</v>
      </c>
      <c r="L133" s="380">
        <v>15450</v>
      </c>
      <c r="M133" s="380">
        <v>340</v>
      </c>
      <c r="N133" s="380">
        <v>211</v>
      </c>
      <c r="O133" s="383"/>
      <c r="P133" s="384"/>
      <c r="Q133" s="384"/>
      <c r="R133" s="384"/>
      <c r="S133" s="385"/>
      <c r="T133" s="383"/>
      <c r="U133" s="384"/>
      <c r="V133" s="384"/>
      <c r="W133" s="382"/>
      <c r="X133" s="377" t="s">
        <v>343</v>
      </c>
      <c r="Y133" s="370"/>
      <c r="Z133" s="370"/>
      <c r="AA133" s="370"/>
      <c r="AB133" s="370"/>
      <c r="AC133" s="385"/>
      <c r="AD133" s="385"/>
      <c r="AE133" s="385"/>
      <c r="AF133" s="385"/>
      <c r="AG133" s="377" t="s">
        <v>337</v>
      </c>
      <c r="AH133" s="385"/>
      <c r="AI133" s="385"/>
      <c r="AJ133" s="385"/>
      <c r="AK133" s="385"/>
      <c r="AL133" s="385"/>
      <c r="AM133" s="387"/>
      <c r="AN133" s="387"/>
    </row>
    <row r="134" spans="1:40" ht="22.5" hidden="1" customHeight="1" x14ac:dyDescent="0.2">
      <c r="A134" s="376">
        <v>45762.687147673612</v>
      </c>
      <c r="B134" s="377" t="s">
        <v>56</v>
      </c>
      <c r="C134" s="377" t="s">
        <v>338</v>
      </c>
      <c r="D134" s="383" t="str">
        <f t="shared" si="0"/>
        <v>2014</v>
      </c>
      <c r="E134" s="379" t="s">
        <v>341</v>
      </c>
      <c r="F134" s="380">
        <v>34844</v>
      </c>
      <c r="G134" s="380">
        <v>932</v>
      </c>
      <c r="H134" s="381" t="s">
        <v>342</v>
      </c>
      <c r="I134" s="380">
        <v>97</v>
      </c>
      <c r="J134" s="390" t="s">
        <v>53</v>
      </c>
      <c r="K134" s="383"/>
      <c r="L134" s="384"/>
      <c r="M134" s="384"/>
      <c r="N134" s="384"/>
      <c r="O134" s="383"/>
      <c r="P134" s="384"/>
      <c r="Q134" s="384"/>
      <c r="R134" s="384"/>
      <c r="S134" s="391"/>
      <c r="T134" s="383"/>
      <c r="U134" s="384"/>
      <c r="V134" s="384"/>
      <c r="W134" s="382"/>
      <c r="X134" s="377" t="s">
        <v>343</v>
      </c>
      <c r="Y134" s="362"/>
      <c r="Z134" s="362"/>
      <c r="AA134" s="362"/>
      <c r="AB134" s="362"/>
      <c r="AC134" s="385"/>
      <c r="AD134" s="385"/>
      <c r="AE134" s="385"/>
      <c r="AF134" s="385"/>
      <c r="AG134" s="377" t="s">
        <v>337</v>
      </c>
      <c r="AH134" s="385"/>
      <c r="AI134" s="385"/>
      <c r="AJ134" s="385"/>
      <c r="AK134" s="385"/>
      <c r="AL134" s="385"/>
      <c r="AM134" s="387"/>
      <c r="AN134" s="387"/>
    </row>
    <row r="135" spans="1:40" ht="22.5" hidden="1" customHeight="1" x14ac:dyDescent="0.2">
      <c r="A135" s="376">
        <v>45762.68779512732</v>
      </c>
      <c r="B135" s="377" t="s">
        <v>56</v>
      </c>
      <c r="C135" s="377" t="s">
        <v>338</v>
      </c>
      <c r="D135" s="383" t="str">
        <f t="shared" si="0"/>
        <v>2014</v>
      </c>
      <c r="E135" s="379" t="s">
        <v>571</v>
      </c>
      <c r="F135" s="380">
        <v>35899</v>
      </c>
      <c r="G135" s="380">
        <v>11011</v>
      </c>
      <c r="H135" s="381" t="s">
        <v>345</v>
      </c>
      <c r="I135" s="380">
        <v>950</v>
      </c>
      <c r="J135" s="390" t="s">
        <v>53</v>
      </c>
      <c r="K135" s="383"/>
      <c r="L135" s="384"/>
      <c r="M135" s="384"/>
      <c r="N135" s="384"/>
      <c r="O135" s="383"/>
      <c r="P135" s="384"/>
      <c r="Q135" s="384"/>
      <c r="R135" s="384"/>
      <c r="S135" s="391"/>
      <c r="T135" s="383"/>
      <c r="U135" s="384"/>
      <c r="V135" s="384"/>
      <c r="W135" s="382"/>
      <c r="X135" s="377" t="s">
        <v>343</v>
      </c>
      <c r="Y135" s="362"/>
      <c r="Z135" s="362"/>
      <c r="AA135" s="362"/>
      <c r="AB135" s="362"/>
      <c r="AC135" s="385"/>
      <c r="AD135" s="385"/>
      <c r="AE135" s="385"/>
      <c r="AF135" s="385"/>
      <c r="AG135" s="377" t="s">
        <v>337</v>
      </c>
      <c r="AH135" s="385"/>
      <c r="AI135" s="385"/>
      <c r="AJ135" s="385"/>
      <c r="AK135" s="385"/>
      <c r="AL135" s="385"/>
      <c r="AM135" s="387"/>
      <c r="AN135" s="387"/>
    </row>
    <row r="136" spans="1:40" ht="22.5" hidden="1" customHeight="1" x14ac:dyDescent="0.2">
      <c r="A136" s="376">
        <v>45762.688462152779</v>
      </c>
      <c r="B136" s="377" t="s">
        <v>56</v>
      </c>
      <c r="C136" s="377" t="s">
        <v>338</v>
      </c>
      <c r="D136" s="383" t="str">
        <f t="shared" si="0"/>
        <v>2018</v>
      </c>
      <c r="E136" s="379" t="s">
        <v>572</v>
      </c>
      <c r="F136" s="380">
        <v>51659</v>
      </c>
      <c r="G136" s="380">
        <v>8228</v>
      </c>
      <c r="H136" s="381" t="s">
        <v>358</v>
      </c>
      <c r="I136" s="380" t="s">
        <v>359</v>
      </c>
      <c r="J136" s="390" t="s">
        <v>53</v>
      </c>
      <c r="K136" s="383"/>
      <c r="L136" s="384"/>
      <c r="M136" s="384"/>
      <c r="N136" s="384"/>
      <c r="O136" s="383"/>
      <c r="P136" s="384"/>
      <c r="Q136" s="384"/>
      <c r="R136" s="384"/>
      <c r="S136" s="391"/>
      <c r="T136" s="383"/>
      <c r="U136" s="384"/>
      <c r="V136" s="384"/>
      <c r="W136" s="382"/>
      <c r="X136" s="377" t="s">
        <v>343</v>
      </c>
      <c r="Y136" s="362"/>
      <c r="Z136" s="362"/>
      <c r="AA136" s="362"/>
      <c r="AB136" s="362"/>
      <c r="AC136" s="385"/>
      <c r="AD136" s="385"/>
      <c r="AE136" s="385"/>
      <c r="AF136" s="385"/>
      <c r="AG136" s="377" t="s">
        <v>337</v>
      </c>
      <c r="AH136" s="385"/>
      <c r="AI136" s="385"/>
      <c r="AJ136" s="385"/>
      <c r="AK136" s="385"/>
      <c r="AL136" s="385"/>
      <c r="AM136" s="387"/>
      <c r="AN136" s="387"/>
    </row>
    <row r="137" spans="1:40" ht="22.5" hidden="1" customHeight="1" x14ac:dyDescent="0.2">
      <c r="A137" s="376">
        <v>45762.689041712962</v>
      </c>
      <c r="B137" s="377" t="s">
        <v>56</v>
      </c>
      <c r="C137" s="377" t="s">
        <v>338</v>
      </c>
      <c r="D137" s="383" t="str">
        <f t="shared" si="0"/>
        <v>2017</v>
      </c>
      <c r="E137" s="379" t="s">
        <v>348</v>
      </c>
      <c r="F137" s="380">
        <v>45534</v>
      </c>
      <c r="G137" s="380">
        <v>26</v>
      </c>
      <c r="H137" s="381" t="s">
        <v>349</v>
      </c>
      <c r="I137" s="379" t="s">
        <v>350</v>
      </c>
      <c r="J137" s="390" t="s">
        <v>53</v>
      </c>
      <c r="K137" s="383"/>
      <c r="L137" s="384"/>
      <c r="M137" s="384"/>
      <c r="N137" s="384"/>
      <c r="O137" s="383"/>
      <c r="P137" s="384"/>
      <c r="Q137" s="384"/>
      <c r="R137" s="384"/>
      <c r="S137" s="391"/>
      <c r="T137" s="383"/>
      <c r="U137" s="384"/>
      <c r="V137" s="384"/>
      <c r="W137" s="382"/>
      <c r="X137" s="377" t="s">
        <v>343</v>
      </c>
      <c r="Y137" s="362"/>
      <c r="Z137" s="362"/>
      <c r="AA137" s="362"/>
      <c r="AB137" s="362"/>
      <c r="AC137" s="385"/>
      <c r="AD137" s="385"/>
      <c r="AE137" s="385"/>
      <c r="AF137" s="385"/>
      <c r="AG137" s="377" t="s">
        <v>337</v>
      </c>
      <c r="AH137" s="385"/>
      <c r="AI137" s="385"/>
      <c r="AJ137" s="385"/>
      <c r="AK137" s="385"/>
      <c r="AL137" s="385"/>
      <c r="AM137" s="387"/>
      <c r="AN137" s="387"/>
    </row>
    <row r="138" spans="1:40" ht="22.5" hidden="1" customHeight="1" x14ac:dyDescent="0.2">
      <c r="A138" s="376">
        <v>45762.689533356483</v>
      </c>
      <c r="B138" s="377" t="s">
        <v>351</v>
      </c>
      <c r="C138" s="377" t="s">
        <v>338</v>
      </c>
      <c r="D138" s="383" t="str">
        <f t="shared" si="0"/>
        <v/>
      </c>
      <c r="E138" s="384"/>
      <c r="F138" s="384"/>
      <c r="G138" s="384"/>
      <c r="H138" s="388"/>
      <c r="I138" s="384"/>
      <c r="J138" s="382"/>
      <c r="K138" s="389" t="s">
        <v>356</v>
      </c>
      <c r="L138" s="380">
        <v>11085</v>
      </c>
      <c r="M138" s="380">
        <v>2115</v>
      </c>
      <c r="N138" s="380">
        <v>725</v>
      </c>
      <c r="O138" s="383"/>
      <c r="P138" s="384"/>
      <c r="Q138" s="384"/>
      <c r="R138" s="384"/>
      <c r="S138" s="385"/>
      <c r="T138" s="383"/>
      <c r="U138" s="384"/>
      <c r="V138" s="384"/>
      <c r="W138" s="382"/>
      <c r="X138" s="377" t="s">
        <v>343</v>
      </c>
      <c r="Y138" s="370"/>
      <c r="Z138" s="370"/>
      <c r="AA138" s="370"/>
      <c r="AB138" s="370"/>
      <c r="AC138" s="385"/>
      <c r="AD138" s="385"/>
      <c r="AE138" s="385"/>
      <c r="AF138" s="385"/>
      <c r="AG138" s="377" t="s">
        <v>337</v>
      </c>
      <c r="AH138" s="385"/>
      <c r="AI138" s="385"/>
      <c r="AJ138" s="385"/>
      <c r="AK138" s="385"/>
      <c r="AL138" s="385"/>
      <c r="AM138" s="387"/>
      <c r="AN138" s="387"/>
    </row>
    <row r="139" spans="1:40" ht="22.5" hidden="1" customHeight="1" x14ac:dyDescent="0.2">
      <c r="A139" s="376">
        <v>45762.690265925921</v>
      </c>
      <c r="B139" s="377" t="s">
        <v>56</v>
      </c>
      <c r="C139" s="377" t="s">
        <v>338</v>
      </c>
      <c r="D139" s="383" t="str">
        <f t="shared" si="0"/>
        <v>2012</v>
      </c>
      <c r="E139" s="379" t="s">
        <v>573</v>
      </c>
      <c r="F139" s="380">
        <v>31321</v>
      </c>
      <c r="G139" s="380">
        <v>29438</v>
      </c>
      <c r="H139" s="381" t="s">
        <v>574</v>
      </c>
      <c r="I139" s="380">
        <v>3294</v>
      </c>
      <c r="J139" s="390" t="s">
        <v>53</v>
      </c>
      <c r="K139" s="383"/>
      <c r="L139" s="384"/>
      <c r="M139" s="384"/>
      <c r="N139" s="384"/>
      <c r="O139" s="383"/>
      <c r="P139" s="384"/>
      <c r="Q139" s="384"/>
      <c r="R139" s="384"/>
      <c r="S139" s="391"/>
      <c r="T139" s="383"/>
      <c r="U139" s="384"/>
      <c r="V139" s="384"/>
      <c r="W139" s="382"/>
      <c r="X139" s="377" t="s">
        <v>343</v>
      </c>
      <c r="Y139" s="362"/>
      <c r="Z139" s="362"/>
      <c r="AA139" s="362"/>
      <c r="AB139" s="362"/>
      <c r="AC139" s="385"/>
      <c r="AD139" s="385"/>
      <c r="AE139" s="385"/>
      <c r="AF139" s="385"/>
      <c r="AG139" s="377" t="s">
        <v>337</v>
      </c>
      <c r="AH139" s="385"/>
      <c r="AI139" s="385"/>
      <c r="AJ139" s="385"/>
      <c r="AK139" s="385"/>
      <c r="AL139" s="385"/>
      <c r="AM139" s="387"/>
      <c r="AN139" s="387"/>
    </row>
    <row r="140" spans="1:40" ht="22.5" hidden="1" customHeight="1" x14ac:dyDescent="0.2">
      <c r="A140" s="376">
        <v>45762.690865277778</v>
      </c>
      <c r="B140" s="377" t="s">
        <v>56</v>
      </c>
      <c r="C140" s="377" t="s">
        <v>338</v>
      </c>
      <c r="D140" s="383" t="str">
        <f t="shared" si="0"/>
        <v>2017</v>
      </c>
      <c r="E140" s="379" t="s">
        <v>575</v>
      </c>
      <c r="F140" s="380">
        <v>47172</v>
      </c>
      <c r="G140" s="380">
        <v>6481</v>
      </c>
      <c r="H140" s="381" t="s">
        <v>576</v>
      </c>
      <c r="I140" s="380">
        <v>1248</v>
      </c>
      <c r="J140" s="390" t="s">
        <v>53</v>
      </c>
      <c r="K140" s="383"/>
      <c r="L140" s="384"/>
      <c r="M140" s="384"/>
      <c r="N140" s="384"/>
      <c r="O140" s="383"/>
      <c r="P140" s="384"/>
      <c r="Q140" s="384"/>
      <c r="R140" s="384"/>
      <c r="S140" s="391"/>
      <c r="T140" s="383"/>
      <c r="U140" s="384"/>
      <c r="V140" s="384"/>
      <c r="W140" s="382"/>
      <c r="X140" s="377" t="s">
        <v>343</v>
      </c>
      <c r="Y140" s="362"/>
      <c r="Z140" s="362"/>
      <c r="AA140" s="362"/>
      <c r="AB140" s="362"/>
      <c r="AC140" s="385"/>
      <c r="AD140" s="385"/>
      <c r="AE140" s="385"/>
      <c r="AF140" s="385"/>
      <c r="AG140" s="377" t="s">
        <v>337</v>
      </c>
      <c r="AH140" s="385"/>
      <c r="AI140" s="385"/>
      <c r="AJ140" s="385"/>
      <c r="AK140" s="385"/>
      <c r="AL140" s="385"/>
      <c r="AM140" s="387"/>
      <c r="AN140" s="387"/>
    </row>
    <row r="141" spans="1:40" ht="22.5" hidden="1" customHeight="1" x14ac:dyDescent="0.2">
      <c r="A141" s="376">
        <v>45762.691604490741</v>
      </c>
      <c r="B141" s="377" t="s">
        <v>436</v>
      </c>
      <c r="C141" s="377" t="s">
        <v>338</v>
      </c>
      <c r="D141" s="383" t="str">
        <f t="shared" si="0"/>
        <v/>
      </c>
      <c r="E141" s="384"/>
      <c r="F141" s="384"/>
      <c r="G141" s="384"/>
      <c r="H141" s="388"/>
      <c r="I141" s="384"/>
      <c r="J141" s="382"/>
      <c r="K141" s="383"/>
      <c r="L141" s="384"/>
      <c r="M141" s="384"/>
      <c r="N141" s="384"/>
      <c r="O141" s="389" t="s">
        <v>577</v>
      </c>
      <c r="P141" s="380">
        <v>3505</v>
      </c>
      <c r="Q141" s="380">
        <v>233</v>
      </c>
      <c r="R141" s="380">
        <v>154</v>
      </c>
      <c r="S141" s="385"/>
      <c r="T141" s="383"/>
      <c r="U141" s="384"/>
      <c r="V141" s="384"/>
      <c r="W141" s="382"/>
      <c r="X141" s="377" t="s">
        <v>343</v>
      </c>
      <c r="Y141" s="370"/>
      <c r="Z141" s="370"/>
      <c r="AA141" s="370"/>
      <c r="AB141" s="370"/>
      <c r="AC141" s="385"/>
      <c r="AD141" s="385"/>
      <c r="AE141" s="385"/>
      <c r="AF141" s="385"/>
      <c r="AG141" s="377" t="s">
        <v>337</v>
      </c>
      <c r="AH141" s="385"/>
      <c r="AI141" s="385"/>
      <c r="AJ141" s="385"/>
      <c r="AK141" s="385"/>
      <c r="AL141" s="385"/>
      <c r="AM141" s="387"/>
      <c r="AN141" s="387"/>
    </row>
    <row r="142" spans="1:40" ht="22.5" hidden="1" customHeight="1" x14ac:dyDescent="0.2">
      <c r="A142" s="376">
        <v>45762.692289039347</v>
      </c>
      <c r="B142" s="377" t="s">
        <v>436</v>
      </c>
      <c r="C142" s="377" t="s">
        <v>338</v>
      </c>
      <c r="D142" s="383" t="str">
        <f t="shared" si="0"/>
        <v/>
      </c>
      <c r="E142" s="384"/>
      <c r="F142" s="384"/>
      <c r="G142" s="384"/>
      <c r="H142" s="388"/>
      <c r="I142" s="384"/>
      <c r="J142" s="382"/>
      <c r="K142" s="383"/>
      <c r="L142" s="384"/>
      <c r="M142" s="384"/>
      <c r="N142" s="384"/>
      <c r="O142" s="389" t="s">
        <v>578</v>
      </c>
      <c r="P142" s="380">
        <v>3811</v>
      </c>
      <c r="Q142" s="380">
        <v>163</v>
      </c>
      <c r="R142" s="380">
        <v>106</v>
      </c>
      <c r="S142" s="385"/>
      <c r="T142" s="383"/>
      <c r="U142" s="384"/>
      <c r="V142" s="384"/>
      <c r="W142" s="382"/>
      <c r="X142" s="377" t="s">
        <v>343</v>
      </c>
      <c r="Y142" s="370"/>
      <c r="Z142" s="370"/>
      <c r="AA142" s="370"/>
      <c r="AB142" s="370"/>
      <c r="AC142" s="385"/>
      <c r="AD142" s="385"/>
      <c r="AE142" s="385"/>
      <c r="AF142" s="385"/>
      <c r="AG142" s="377" t="s">
        <v>337</v>
      </c>
      <c r="AH142" s="385"/>
      <c r="AI142" s="385"/>
      <c r="AJ142" s="385"/>
      <c r="AK142" s="385"/>
      <c r="AL142" s="385"/>
      <c r="AM142" s="387"/>
      <c r="AN142" s="387"/>
    </row>
    <row r="143" spans="1:40" ht="22.5" hidden="1" customHeight="1" x14ac:dyDescent="0.2">
      <c r="A143" s="376">
        <v>45762.692702627319</v>
      </c>
      <c r="B143" s="377" t="s">
        <v>436</v>
      </c>
      <c r="C143" s="377" t="s">
        <v>338</v>
      </c>
      <c r="D143" s="383" t="str">
        <f t="shared" si="0"/>
        <v/>
      </c>
      <c r="E143" s="384"/>
      <c r="F143" s="384"/>
      <c r="G143" s="384"/>
      <c r="H143" s="388"/>
      <c r="I143" s="384"/>
      <c r="J143" s="382"/>
      <c r="K143" s="383"/>
      <c r="L143" s="384"/>
      <c r="M143" s="384"/>
      <c r="N143" s="384"/>
      <c r="O143" s="389" t="s">
        <v>579</v>
      </c>
      <c r="P143" s="380">
        <v>4418</v>
      </c>
      <c r="Q143" s="379" t="s">
        <v>490</v>
      </c>
      <c r="R143" s="379" t="s">
        <v>580</v>
      </c>
      <c r="S143" s="385"/>
      <c r="T143" s="383"/>
      <c r="U143" s="384"/>
      <c r="V143" s="384"/>
      <c r="W143" s="382"/>
      <c r="X143" s="377" t="s">
        <v>343</v>
      </c>
      <c r="Y143" s="370"/>
      <c r="Z143" s="370"/>
      <c r="AA143" s="370"/>
      <c r="AB143" s="370"/>
      <c r="AC143" s="385"/>
      <c r="AD143" s="385"/>
      <c r="AE143" s="385"/>
      <c r="AF143" s="385"/>
      <c r="AG143" s="377" t="s">
        <v>337</v>
      </c>
      <c r="AH143" s="385"/>
      <c r="AI143" s="385"/>
      <c r="AJ143" s="385"/>
      <c r="AK143" s="385"/>
      <c r="AL143" s="385"/>
      <c r="AM143" s="387"/>
      <c r="AN143" s="387"/>
    </row>
    <row r="144" spans="1:40" ht="22.5" hidden="1" customHeight="1" x14ac:dyDescent="0.2">
      <c r="A144" s="376">
        <v>45763.468879791668</v>
      </c>
      <c r="B144" s="377" t="s">
        <v>56</v>
      </c>
      <c r="C144" s="377" t="s">
        <v>381</v>
      </c>
      <c r="D144" s="383" t="str">
        <f t="shared" si="0"/>
        <v>2016</v>
      </c>
      <c r="E144" s="379" t="s">
        <v>581</v>
      </c>
      <c r="F144" s="380">
        <v>42884</v>
      </c>
      <c r="G144" s="380">
        <v>4462</v>
      </c>
      <c r="H144" s="381" t="s">
        <v>476</v>
      </c>
      <c r="I144" s="380">
        <v>710</v>
      </c>
      <c r="J144" s="390" t="s">
        <v>53</v>
      </c>
      <c r="K144" s="383"/>
      <c r="L144" s="384"/>
      <c r="M144" s="384"/>
      <c r="N144" s="384"/>
      <c r="O144" s="383"/>
      <c r="P144" s="384"/>
      <c r="Q144" s="384"/>
      <c r="R144" s="384"/>
      <c r="S144" s="391"/>
      <c r="T144" s="383"/>
      <c r="U144" s="384"/>
      <c r="V144" s="384"/>
      <c r="W144" s="382"/>
      <c r="X144" s="377" t="s">
        <v>343</v>
      </c>
      <c r="Y144" s="362"/>
      <c r="Z144" s="362"/>
      <c r="AA144" s="362"/>
      <c r="AB144" s="362"/>
      <c r="AC144" s="385"/>
      <c r="AD144" s="385"/>
      <c r="AE144" s="385"/>
      <c r="AF144" s="385"/>
      <c r="AG144" s="377" t="s">
        <v>337</v>
      </c>
      <c r="AH144" s="385"/>
      <c r="AI144" s="385"/>
      <c r="AJ144" s="385"/>
      <c r="AK144" s="385"/>
      <c r="AL144" s="385"/>
      <c r="AM144" s="387"/>
      <c r="AN144" s="387"/>
    </row>
    <row r="145" spans="1:40" ht="22.5" hidden="1" customHeight="1" x14ac:dyDescent="0.2">
      <c r="A145" s="376">
        <v>45763.691927754626</v>
      </c>
      <c r="B145" s="377" t="s">
        <v>56</v>
      </c>
      <c r="C145" s="377" t="s">
        <v>381</v>
      </c>
      <c r="D145" s="383" t="str">
        <f t="shared" si="0"/>
        <v>2023</v>
      </c>
      <c r="E145" s="379" t="s">
        <v>582</v>
      </c>
      <c r="F145" s="380">
        <v>68851</v>
      </c>
      <c r="G145" s="380">
        <v>10551</v>
      </c>
      <c r="H145" s="381" t="s">
        <v>583</v>
      </c>
      <c r="I145" s="380">
        <v>2062</v>
      </c>
      <c r="J145" s="390" t="s">
        <v>53</v>
      </c>
      <c r="K145" s="383"/>
      <c r="L145" s="384"/>
      <c r="M145" s="384"/>
      <c r="N145" s="384"/>
      <c r="O145" s="383"/>
      <c r="P145" s="384"/>
      <c r="Q145" s="384"/>
      <c r="R145" s="384"/>
      <c r="S145" s="391"/>
      <c r="T145" s="383"/>
      <c r="U145" s="384"/>
      <c r="V145" s="384"/>
      <c r="W145" s="382"/>
      <c r="X145" s="377" t="s">
        <v>343</v>
      </c>
      <c r="Y145" s="362"/>
      <c r="Z145" s="362"/>
      <c r="AA145" s="362"/>
      <c r="AB145" s="362"/>
      <c r="AC145" s="385"/>
      <c r="AD145" s="385"/>
      <c r="AE145" s="385"/>
      <c r="AF145" s="385"/>
      <c r="AG145" s="377" t="s">
        <v>337</v>
      </c>
      <c r="AH145" s="385"/>
      <c r="AI145" s="385"/>
      <c r="AJ145" s="385"/>
      <c r="AK145" s="385"/>
      <c r="AL145" s="385"/>
      <c r="AM145" s="387"/>
      <c r="AN145" s="387"/>
    </row>
    <row r="146" spans="1:40" ht="22.5" hidden="1" customHeight="1" x14ac:dyDescent="0.2">
      <c r="A146" s="376">
        <v>45770.383190127315</v>
      </c>
      <c r="B146" s="377" t="s">
        <v>56</v>
      </c>
      <c r="C146" s="377" t="s">
        <v>381</v>
      </c>
      <c r="D146" s="383" t="str">
        <f t="shared" si="0"/>
        <v>2018</v>
      </c>
      <c r="E146" s="379" t="s">
        <v>584</v>
      </c>
      <c r="F146" s="380">
        <v>50652</v>
      </c>
      <c r="G146" s="380">
        <v>8053</v>
      </c>
      <c r="H146" s="381" t="s">
        <v>585</v>
      </c>
      <c r="I146" s="380">
        <v>1596</v>
      </c>
      <c r="J146" s="390" t="s">
        <v>53</v>
      </c>
      <c r="K146" s="383"/>
      <c r="L146" s="384"/>
      <c r="M146" s="384"/>
      <c r="N146" s="384"/>
      <c r="O146" s="383"/>
      <c r="P146" s="384"/>
      <c r="Q146" s="384"/>
      <c r="R146" s="384"/>
      <c r="S146" s="391"/>
      <c r="T146" s="383"/>
      <c r="U146" s="384"/>
      <c r="V146" s="384"/>
      <c r="W146" s="382"/>
      <c r="X146" s="377" t="s">
        <v>343</v>
      </c>
      <c r="Y146" s="362"/>
      <c r="Z146" s="362"/>
      <c r="AA146" s="362"/>
      <c r="AB146" s="362"/>
      <c r="AC146" s="385"/>
      <c r="AD146" s="385"/>
      <c r="AE146" s="385"/>
      <c r="AF146" s="385"/>
      <c r="AG146" s="377" t="s">
        <v>337</v>
      </c>
      <c r="AH146" s="385"/>
      <c r="AI146" s="385"/>
      <c r="AJ146" s="385"/>
      <c r="AK146" s="385"/>
      <c r="AL146" s="385"/>
      <c r="AM146" s="387"/>
      <c r="AN146" s="387"/>
    </row>
    <row r="147" spans="1:40" ht="22.5" hidden="1" customHeight="1" x14ac:dyDescent="0.2">
      <c r="A147" s="376">
        <v>45770.606973437505</v>
      </c>
      <c r="B147" s="377" t="s">
        <v>56</v>
      </c>
      <c r="C147" s="377" t="s">
        <v>381</v>
      </c>
      <c r="D147" s="383" t="str">
        <f t="shared" si="0"/>
        <v>2014</v>
      </c>
      <c r="E147" s="379" t="s">
        <v>586</v>
      </c>
      <c r="F147" s="380">
        <v>35074</v>
      </c>
      <c r="G147" s="380">
        <v>974</v>
      </c>
      <c r="H147" s="381" t="s">
        <v>587</v>
      </c>
      <c r="I147" s="380">
        <v>102</v>
      </c>
      <c r="J147" s="390" t="s">
        <v>53</v>
      </c>
      <c r="K147" s="383"/>
      <c r="L147" s="384"/>
      <c r="M147" s="384"/>
      <c r="N147" s="384"/>
      <c r="O147" s="383"/>
      <c r="P147" s="384"/>
      <c r="Q147" s="384"/>
      <c r="R147" s="384"/>
      <c r="S147" s="391"/>
      <c r="T147" s="383"/>
      <c r="U147" s="384"/>
      <c r="V147" s="384"/>
      <c r="W147" s="382"/>
      <c r="X147" s="377" t="s">
        <v>343</v>
      </c>
      <c r="Y147" s="362"/>
      <c r="Z147" s="362"/>
      <c r="AA147" s="362"/>
      <c r="AB147" s="362"/>
      <c r="AC147" s="385"/>
      <c r="AD147" s="385"/>
      <c r="AE147" s="385"/>
      <c r="AF147" s="385"/>
      <c r="AG147" s="377" t="s">
        <v>337</v>
      </c>
      <c r="AH147" s="385"/>
      <c r="AI147" s="385"/>
      <c r="AJ147" s="385"/>
      <c r="AK147" s="385"/>
      <c r="AL147" s="385"/>
      <c r="AM147" s="387"/>
      <c r="AN147" s="387"/>
    </row>
    <row r="148" spans="1:40" ht="22.5" hidden="1" customHeight="1" x14ac:dyDescent="0.2">
      <c r="A148" s="376">
        <v>45771.39706949074</v>
      </c>
      <c r="B148" s="377" t="s">
        <v>56</v>
      </c>
      <c r="C148" s="377" t="s">
        <v>381</v>
      </c>
      <c r="D148" s="383" t="str">
        <f t="shared" si="0"/>
        <v>2023</v>
      </c>
      <c r="E148" s="379" t="s">
        <v>588</v>
      </c>
      <c r="F148" s="380">
        <v>66772</v>
      </c>
      <c r="G148" s="380">
        <v>1052</v>
      </c>
      <c r="H148" s="381" t="s">
        <v>589</v>
      </c>
      <c r="I148" s="380">
        <v>199</v>
      </c>
      <c r="J148" s="390" t="s">
        <v>53</v>
      </c>
      <c r="K148" s="383"/>
      <c r="L148" s="384"/>
      <c r="M148" s="384"/>
      <c r="N148" s="384"/>
      <c r="O148" s="383"/>
      <c r="P148" s="384"/>
      <c r="Q148" s="384"/>
      <c r="R148" s="384"/>
      <c r="S148" s="391"/>
      <c r="T148" s="383"/>
      <c r="U148" s="384"/>
      <c r="V148" s="384"/>
      <c r="W148" s="382"/>
      <c r="X148" s="377" t="s">
        <v>343</v>
      </c>
      <c r="Y148" s="362"/>
      <c r="Z148" s="362"/>
      <c r="AA148" s="362"/>
      <c r="AB148" s="362"/>
      <c r="AC148" s="385"/>
      <c r="AD148" s="385"/>
      <c r="AE148" s="385"/>
      <c r="AF148" s="385"/>
      <c r="AG148" s="377" t="s">
        <v>337</v>
      </c>
      <c r="AH148" s="385"/>
      <c r="AI148" s="385"/>
      <c r="AJ148" s="385"/>
      <c r="AK148" s="385"/>
      <c r="AL148" s="385"/>
      <c r="AM148" s="387"/>
      <c r="AN148" s="387"/>
    </row>
    <row r="149" spans="1:40" ht="22.5" hidden="1" customHeight="1" x14ac:dyDescent="0.2">
      <c r="A149" s="376">
        <v>45771.398371979165</v>
      </c>
      <c r="B149" s="377" t="s">
        <v>56</v>
      </c>
      <c r="C149" s="377" t="s">
        <v>381</v>
      </c>
      <c r="D149" s="383" t="str">
        <f t="shared" si="0"/>
        <v>2022</v>
      </c>
      <c r="E149" s="379" t="s">
        <v>590</v>
      </c>
      <c r="F149" s="380">
        <v>66356</v>
      </c>
      <c r="G149" s="380">
        <v>15346</v>
      </c>
      <c r="H149" s="381" t="s">
        <v>591</v>
      </c>
      <c r="I149" s="380">
        <v>2873</v>
      </c>
      <c r="J149" s="390" t="s">
        <v>53</v>
      </c>
      <c r="K149" s="383"/>
      <c r="L149" s="384"/>
      <c r="M149" s="384"/>
      <c r="N149" s="384"/>
      <c r="O149" s="383"/>
      <c r="P149" s="384"/>
      <c r="Q149" s="384"/>
      <c r="R149" s="384"/>
      <c r="S149" s="391"/>
      <c r="T149" s="383"/>
      <c r="U149" s="384"/>
      <c r="V149" s="384"/>
      <c r="W149" s="382"/>
      <c r="X149" s="377" t="s">
        <v>343</v>
      </c>
      <c r="Y149" s="362"/>
      <c r="Z149" s="362"/>
      <c r="AA149" s="362"/>
      <c r="AB149" s="362"/>
      <c r="AC149" s="385"/>
      <c r="AD149" s="385"/>
      <c r="AE149" s="385"/>
      <c r="AF149" s="385"/>
      <c r="AG149" s="377" t="s">
        <v>337</v>
      </c>
      <c r="AH149" s="385"/>
      <c r="AI149" s="385"/>
      <c r="AJ149" s="385"/>
      <c r="AK149" s="385"/>
      <c r="AL149" s="385"/>
      <c r="AM149" s="387"/>
      <c r="AN149" s="387"/>
    </row>
    <row r="150" spans="1:40" ht="22.5" hidden="1" customHeight="1" x14ac:dyDescent="0.2">
      <c r="A150" s="376">
        <v>45771.562576064811</v>
      </c>
      <c r="B150" s="377" t="s">
        <v>351</v>
      </c>
      <c r="C150" s="377" t="s">
        <v>338</v>
      </c>
      <c r="D150" s="383" t="str">
        <f t="shared" si="0"/>
        <v/>
      </c>
      <c r="E150" s="384"/>
      <c r="F150" s="384"/>
      <c r="G150" s="384"/>
      <c r="H150" s="388"/>
      <c r="I150" s="384"/>
      <c r="J150" s="382"/>
      <c r="K150" s="389" t="s">
        <v>592</v>
      </c>
      <c r="L150" s="380">
        <v>12318</v>
      </c>
      <c r="M150" s="380">
        <v>38</v>
      </c>
      <c r="N150" s="380">
        <v>31</v>
      </c>
      <c r="O150" s="383"/>
      <c r="P150" s="384"/>
      <c r="Q150" s="384"/>
      <c r="R150" s="384"/>
      <c r="S150" s="385"/>
      <c r="T150" s="383"/>
      <c r="U150" s="384"/>
      <c r="V150" s="384"/>
      <c r="W150" s="382"/>
      <c r="X150" s="377" t="s">
        <v>343</v>
      </c>
      <c r="Y150" s="370"/>
      <c r="Z150" s="370"/>
      <c r="AA150" s="370"/>
      <c r="AB150" s="370"/>
      <c r="AC150" s="385"/>
      <c r="AD150" s="385"/>
      <c r="AE150" s="385"/>
      <c r="AF150" s="385"/>
      <c r="AG150" s="377" t="s">
        <v>337</v>
      </c>
      <c r="AH150" s="385"/>
      <c r="AI150" s="385"/>
      <c r="AJ150" s="385"/>
      <c r="AK150" s="385"/>
      <c r="AL150" s="385"/>
      <c r="AM150" s="387"/>
      <c r="AN150" s="387"/>
    </row>
    <row r="151" spans="1:40" ht="22.5" hidden="1" customHeight="1" x14ac:dyDescent="0.2">
      <c r="A151" s="376">
        <v>45771.564000532409</v>
      </c>
      <c r="B151" s="377" t="s">
        <v>56</v>
      </c>
      <c r="C151" s="377" t="s">
        <v>338</v>
      </c>
      <c r="D151" s="383" t="str">
        <f t="shared" si="0"/>
        <v>2023</v>
      </c>
      <c r="E151" s="379" t="s">
        <v>593</v>
      </c>
      <c r="F151" s="380">
        <v>67427</v>
      </c>
      <c r="G151" s="380">
        <v>3648</v>
      </c>
      <c r="H151" s="381" t="s">
        <v>594</v>
      </c>
      <c r="I151" s="380">
        <v>683</v>
      </c>
      <c r="J151" s="390" t="s">
        <v>53</v>
      </c>
      <c r="K151" s="383"/>
      <c r="L151" s="384"/>
      <c r="M151" s="384"/>
      <c r="N151" s="384"/>
      <c r="O151" s="383"/>
      <c r="P151" s="384"/>
      <c r="Q151" s="384"/>
      <c r="R151" s="384"/>
      <c r="S151" s="391"/>
      <c r="T151" s="383"/>
      <c r="U151" s="384"/>
      <c r="V151" s="384"/>
      <c r="W151" s="382"/>
      <c r="X151" s="377" t="s">
        <v>343</v>
      </c>
      <c r="Y151" s="362"/>
      <c r="Z151" s="362"/>
      <c r="AA151" s="362"/>
      <c r="AB151" s="362"/>
      <c r="AC151" s="385"/>
      <c r="AD151" s="385"/>
      <c r="AE151" s="385"/>
      <c r="AF151" s="385"/>
      <c r="AG151" s="377" t="s">
        <v>337</v>
      </c>
      <c r="AH151" s="385"/>
      <c r="AI151" s="385"/>
      <c r="AJ151" s="385"/>
      <c r="AK151" s="385"/>
      <c r="AL151" s="385"/>
      <c r="AM151" s="387"/>
      <c r="AN151" s="387"/>
    </row>
    <row r="152" spans="1:40" ht="22.5" hidden="1" customHeight="1" x14ac:dyDescent="0.2">
      <c r="A152" s="376">
        <v>45771.564620046294</v>
      </c>
      <c r="B152" s="377" t="s">
        <v>56</v>
      </c>
      <c r="C152" s="377" t="s">
        <v>338</v>
      </c>
      <c r="D152" s="383" t="str">
        <f t="shared" si="0"/>
        <v>2008</v>
      </c>
      <c r="E152" s="379" t="s">
        <v>595</v>
      </c>
      <c r="F152" s="380">
        <v>16745</v>
      </c>
      <c r="G152" s="380">
        <v>19028</v>
      </c>
      <c r="H152" s="381" t="s">
        <v>596</v>
      </c>
      <c r="I152" s="380">
        <v>2343</v>
      </c>
      <c r="J152" s="390" t="s">
        <v>53</v>
      </c>
      <c r="K152" s="383"/>
      <c r="L152" s="384"/>
      <c r="M152" s="384"/>
      <c r="N152" s="384"/>
      <c r="O152" s="383"/>
      <c r="P152" s="384"/>
      <c r="Q152" s="384"/>
      <c r="R152" s="384"/>
      <c r="S152" s="391"/>
      <c r="T152" s="383"/>
      <c r="U152" s="384"/>
      <c r="V152" s="384"/>
      <c r="W152" s="382"/>
      <c r="X152" s="377" t="s">
        <v>343</v>
      </c>
      <c r="Y152" s="362"/>
      <c r="Z152" s="362"/>
      <c r="AA152" s="362"/>
      <c r="AB152" s="362"/>
      <c r="AC152" s="385"/>
      <c r="AD152" s="385"/>
      <c r="AE152" s="385"/>
      <c r="AF152" s="385"/>
      <c r="AG152" s="377" t="s">
        <v>337</v>
      </c>
      <c r="AH152" s="385"/>
      <c r="AI152" s="385"/>
      <c r="AJ152" s="385"/>
      <c r="AK152" s="385"/>
      <c r="AL152" s="385"/>
      <c r="AM152" s="387"/>
      <c r="AN152" s="387"/>
    </row>
    <row r="153" spans="1:40" ht="22.5" hidden="1" customHeight="1" x14ac:dyDescent="0.2">
      <c r="A153" s="376">
        <v>45771.565245069447</v>
      </c>
      <c r="B153" s="377" t="s">
        <v>56</v>
      </c>
      <c r="C153" s="377" t="s">
        <v>338</v>
      </c>
      <c r="D153" s="383" t="str">
        <f t="shared" si="0"/>
        <v>2018</v>
      </c>
      <c r="E153" s="379" t="s">
        <v>597</v>
      </c>
      <c r="F153" s="380">
        <v>51142</v>
      </c>
      <c r="G153" s="380">
        <v>6134</v>
      </c>
      <c r="H153" s="381" t="s">
        <v>598</v>
      </c>
      <c r="I153" s="380">
        <v>1195</v>
      </c>
      <c r="J153" s="390" t="s">
        <v>53</v>
      </c>
      <c r="K153" s="383"/>
      <c r="L153" s="384"/>
      <c r="M153" s="384"/>
      <c r="N153" s="384"/>
      <c r="O153" s="383"/>
      <c r="P153" s="384"/>
      <c r="Q153" s="384"/>
      <c r="R153" s="384"/>
      <c r="S153" s="391"/>
      <c r="T153" s="383"/>
      <c r="U153" s="384"/>
      <c r="V153" s="384"/>
      <c r="W153" s="382"/>
      <c r="X153" s="377" t="s">
        <v>343</v>
      </c>
      <c r="Y153" s="362"/>
      <c r="Z153" s="362"/>
      <c r="AA153" s="362"/>
      <c r="AB153" s="362"/>
      <c r="AC153" s="385"/>
      <c r="AD153" s="385"/>
      <c r="AE153" s="385"/>
      <c r="AF153" s="385"/>
      <c r="AG153" s="377" t="s">
        <v>337</v>
      </c>
      <c r="AH153" s="385"/>
      <c r="AI153" s="385"/>
      <c r="AJ153" s="385"/>
      <c r="AK153" s="385"/>
      <c r="AL153" s="385"/>
      <c r="AM153" s="387"/>
      <c r="AN153" s="387"/>
    </row>
    <row r="154" spans="1:40" ht="22.5" hidden="1" customHeight="1" x14ac:dyDescent="0.2">
      <c r="A154" s="376">
        <v>45771.565848379629</v>
      </c>
      <c r="B154" s="377" t="s">
        <v>56</v>
      </c>
      <c r="C154" s="377" t="s">
        <v>338</v>
      </c>
      <c r="D154" s="383" t="str">
        <f t="shared" si="0"/>
        <v>2018</v>
      </c>
      <c r="E154" s="379" t="s">
        <v>599</v>
      </c>
      <c r="F154" s="380">
        <v>52001</v>
      </c>
      <c r="G154" s="380">
        <v>11858</v>
      </c>
      <c r="H154" s="381" t="s">
        <v>600</v>
      </c>
      <c r="I154" s="380">
        <v>2379</v>
      </c>
      <c r="J154" s="390" t="s">
        <v>53</v>
      </c>
      <c r="K154" s="383"/>
      <c r="L154" s="384"/>
      <c r="M154" s="384"/>
      <c r="N154" s="384"/>
      <c r="O154" s="383"/>
      <c r="P154" s="384"/>
      <c r="Q154" s="384"/>
      <c r="R154" s="384"/>
      <c r="S154" s="391"/>
      <c r="T154" s="383"/>
      <c r="U154" s="384"/>
      <c r="V154" s="384"/>
      <c r="W154" s="382"/>
      <c r="X154" s="377" t="s">
        <v>343</v>
      </c>
      <c r="Y154" s="362"/>
      <c r="Z154" s="362"/>
      <c r="AA154" s="362"/>
      <c r="AB154" s="362"/>
      <c r="AC154" s="385"/>
      <c r="AD154" s="385"/>
      <c r="AE154" s="385"/>
      <c r="AF154" s="385"/>
      <c r="AG154" s="377" t="s">
        <v>337</v>
      </c>
      <c r="AH154" s="385"/>
      <c r="AI154" s="385"/>
      <c r="AJ154" s="385"/>
      <c r="AK154" s="385"/>
      <c r="AL154" s="385"/>
      <c r="AM154" s="387"/>
      <c r="AN154" s="387"/>
    </row>
    <row r="155" spans="1:40" ht="22.5" hidden="1" customHeight="1" x14ac:dyDescent="0.2">
      <c r="A155" s="393">
        <v>45771.566576168982</v>
      </c>
      <c r="B155" s="394" t="s">
        <v>351</v>
      </c>
      <c r="C155" s="394" t="s">
        <v>338</v>
      </c>
      <c r="D155" s="400" t="str">
        <f t="shared" si="0"/>
        <v/>
      </c>
      <c r="E155" s="401"/>
      <c r="F155" s="468" t="s">
        <v>601</v>
      </c>
      <c r="G155" s="401"/>
      <c r="H155" s="469"/>
      <c r="I155" s="401"/>
      <c r="J155" s="403"/>
      <c r="K155" s="470" t="s">
        <v>602</v>
      </c>
      <c r="L155" s="397">
        <v>17338</v>
      </c>
      <c r="M155" s="397">
        <v>662</v>
      </c>
      <c r="N155" s="397">
        <v>478</v>
      </c>
      <c r="O155" s="400"/>
      <c r="P155" s="401"/>
      <c r="Q155" s="401"/>
      <c r="R155" s="401"/>
      <c r="S155" s="404"/>
      <c r="T155" s="400"/>
      <c r="U155" s="401"/>
      <c r="V155" s="401"/>
      <c r="W155" s="403"/>
      <c r="X155" s="394" t="s">
        <v>343</v>
      </c>
      <c r="Y155" s="471"/>
      <c r="Z155" s="471"/>
      <c r="AA155" s="471"/>
      <c r="AB155" s="471"/>
      <c r="AC155" s="404"/>
      <c r="AD155" s="404"/>
      <c r="AE155" s="404"/>
      <c r="AF155" s="404"/>
      <c r="AG155" s="394" t="s">
        <v>337</v>
      </c>
      <c r="AH155" s="404"/>
      <c r="AI155" s="404"/>
      <c r="AJ155" s="404"/>
      <c r="AK155" s="404"/>
      <c r="AL155" s="404"/>
      <c r="AM155" s="405"/>
      <c r="AN155" s="405"/>
    </row>
    <row r="156" spans="1:40" ht="22.5" hidden="1" customHeight="1" x14ac:dyDescent="0.2">
      <c r="A156" s="376">
        <v>45771.567190752314</v>
      </c>
      <c r="B156" s="377" t="s">
        <v>56</v>
      </c>
      <c r="C156" s="377" t="s">
        <v>338</v>
      </c>
      <c r="D156" s="383" t="str">
        <f t="shared" si="0"/>
        <v>2020</v>
      </c>
      <c r="E156" s="379" t="s">
        <v>603</v>
      </c>
      <c r="F156" s="380">
        <v>59107</v>
      </c>
      <c r="G156" s="380">
        <v>5904</v>
      </c>
      <c r="H156" s="381" t="s">
        <v>604</v>
      </c>
      <c r="I156" s="380">
        <v>1139</v>
      </c>
      <c r="J156" s="390" t="s">
        <v>53</v>
      </c>
      <c r="K156" s="383"/>
      <c r="L156" s="384"/>
      <c r="M156" s="384"/>
      <c r="N156" s="384"/>
      <c r="O156" s="383"/>
      <c r="P156" s="384"/>
      <c r="Q156" s="384"/>
      <c r="R156" s="384"/>
      <c r="S156" s="391"/>
      <c r="T156" s="383"/>
      <c r="U156" s="384"/>
      <c r="V156" s="384"/>
      <c r="W156" s="382"/>
      <c r="X156" s="377" t="s">
        <v>343</v>
      </c>
      <c r="Y156" s="362"/>
      <c r="Z156" s="362"/>
      <c r="AA156" s="362"/>
      <c r="AB156" s="362"/>
      <c r="AC156" s="385"/>
      <c r="AD156" s="385"/>
      <c r="AE156" s="385"/>
      <c r="AF156" s="385"/>
      <c r="AG156" s="377" t="s">
        <v>337</v>
      </c>
      <c r="AH156" s="385"/>
      <c r="AI156" s="385"/>
      <c r="AJ156" s="385"/>
      <c r="AK156" s="385"/>
      <c r="AL156" s="385"/>
      <c r="AM156" s="387"/>
      <c r="AN156" s="387"/>
    </row>
    <row r="157" spans="1:40" ht="22.5" hidden="1" customHeight="1" x14ac:dyDescent="0.2">
      <c r="A157" s="376">
        <v>45771.567788391199</v>
      </c>
      <c r="B157" s="377" t="s">
        <v>56</v>
      </c>
      <c r="C157" s="377" t="s">
        <v>338</v>
      </c>
      <c r="D157" s="383" t="str">
        <f t="shared" si="0"/>
        <v>2011</v>
      </c>
      <c r="E157" s="379" t="s">
        <v>605</v>
      </c>
      <c r="F157" s="380">
        <v>26370</v>
      </c>
      <c r="G157" s="380">
        <v>16374</v>
      </c>
      <c r="H157" s="381" t="s">
        <v>606</v>
      </c>
      <c r="I157" s="380">
        <v>1809</v>
      </c>
      <c r="J157" s="390" t="s">
        <v>53</v>
      </c>
      <c r="K157" s="383"/>
      <c r="L157" s="384"/>
      <c r="M157" s="384"/>
      <c r="N157" s="384"/>
      <c r="O157" s="383"/>
      <c r="P157" s="384"/>
      <c r="Q157" s="384"/>
      <c r="R157" s="384"/>
      <c r="S157" s="391"/>
      <c r="T157" s="383"/>
      <c r="U157" s="384"/>
      <c r="V157" s="384"/>
      <c r="W157" s="382"/>
      <c r="X157" s="377" t="s">
        <v>343</v>
      </c>
      <c r="Y157" s="362"/>
      <c r="Z157" s="362"/>
      <c r="AA157" s="362"/>
      <c r="AB157" s="362"/>
      <c r="AC157" s="385"/>
      <c r="AD157" s="385"/>
      <c r="AE157" s="385"/>
      <c r="AF157" s="385"/>
      <c r="AG157" s="377" t="s">
        <v>337</v>
      </c>
      <c r="AH157" s="385"/>
      <c r="AI157" s="385"/>
      <c r="AJ157" s="385"/>
      <c r="AK157" s="385"/>
      <c r="AL157" s="385"/>
      <c r="AM157" s="387"/>
      <c r="AN157" s="387"/>
    </row>
    <row r="158" spans="1:40" ht="22.5" hidden="1" customHeight="1" x14ac:dyDescent="0.2">
      <c r="A158" s="376">
        <v>45771.568349143519</v>
      </c>
      <c r="B158" s="377" t="s">
        <v>56</v>
      </c>
      <c r="C158" s="377" t="s">
        <v>338</v>
      </c>
      <c r="D158" s="383" t="str">
        <f t="shared" si="0"/>
        <v>2010</v>
      </c>
      <c r="E158" s="379" t="s">
        <v>607</v>
      </c>
      <c r="F158" s="380">
        <v>21807</v>
      </c>
      <c r="G158" s="380">
        <v>3411</v>
      </c>
      <c r="H158" s="381" t="s">
        <v>608</v>
      </c>
      <c r="I158" s="380">
        <v>390</v>
      </c>
      <c r="J158" s="390" t="s">
        <v>53</v>
      </c>
      <c r="K158" s="383"/>
      <c r="L158" s="384"/>
      <c r="M158" s="384"/>
      <c r="N158" s="384"/>
      <c r="O158" s="383"/>
      <c r="P158" s="384"/>
      <c r="Q158" s="384"/>
      <c r="R158" s="384"/>
      <c r="S158" s="391"/>
      <c r="T158" s="383"/>
      <c r="U158" s="384"/>
      <c r="V158" s="384"/>
      <c r="W158" s="382"/>
      <c r="X158" s="377" t="s">
        <v>343</v>
      </c>
      <c r="Y158" s="362"/>
      <c r="Z158" s="362"/>
      <c r="AA158" s="362"/>
      <c r="AB158" s="362"/>
      <c r="AC158" s="385"/>
      <c r="AD158" s="385"/>
      <c r="AE158" s="385"/>
      <c r="AF158" s="385"/>
      <c r="AG158" s="377" t="s">
        <v>337</v>
      </c>
      <c r="AH158" s="385"/>
      <c r="AI158" s="385"/>
      <c r="AJ158" s="385"/>
      <c r="AK158" s="385"/>
      <c r="AL158" s="385"/>
      <c r="AM158" s="387"/>
      <c r="AN158" s="387"/>
    </row>
    <row r="159" spans="1:40" ht="22.5" hidden="1" customHeight="1" x14ac:dyDescent="0.2">
      <c r="A159" s="376">
        <v>45771.568968692125</v>
      </c>
      <c r="B159" s="377" t="s">
        <v>56</v>
      </c>
      <c r="C159" s="377" t="s">
        <v>338</v>
      </c>
      <c r="D159" s="383" t="str">
        <f t="shared" si="0"/>
        <v>2021</v>
      </c>
      <c r="E159" s="379" t="s">
        <v>609</v>
      </c>
      <c r="F159" s="380">
        <v>61632</v>
      </c>
      <c r="G159" s="380">
        <v>7627</v>
      </c>
      <c r="H159" s="381" t="s">
        <v>610</v>
      </c>
      <c r="I159" s="380">
        <v>1584</v>
      </c>
      <c r="J159" s="390" t="s">
        <v>53</v>
      </c>
      <c r="K159" s="383"/>
      <c r="L159" s="384"/>
      <c r="M159" s="384"/>
      <c r="N159" s="384"/>
      <c r="O159" s="383"/>
      <c r="P159" s="384"/>
      <c r="Q159" s="384"/>
      <c r="R159" s="384"/>
      <c r="S159" s="391"/>
      <c r="T159" s="383"/>
      <c r="U159" s="384"/>
      <c r="V159" s="384"/>
      <c r="W159" s="382"/>
      <c r="X159" s="377" t="s">
        <v>343</v>
      </c>
      <c r="Y159" s="362"/>
      <c r="Z159" s="362"/>
      <c r="AA159" s="362"/>
      <c r="AB159" s="362"/>
      <c r="AC159" s="385"/>
      <c r="AD159" s="385"/>
      <c r="AE159" s="385"/>
      <c r="AF159" s="385"/>
      <c r="AG159" s="377" t="s">
        <v>337</v>
      </c>
      <c r="AH159" s="385"/>
      <c r="AI159" s="385"/>
      <c r="AJ159" s="385"/>
      <c r="AK159" s="385"/>
      <c r="AL159" s="385"/>
      <c r="AM159" s="387"/>
      <c r="AN159" s="387"/>
    </row>
    <row r="160" spans="1:40" ht="22.5" hidden="1" customHeight="1" x14ac:dyDescent="0.2">
      <c r="A160" s="376">
        <v>45772.457318449073</v>
      </c>
      <c r="B160" s="377" t="s">
        <v>56</v>
      </c>
      <c r="C160" s="377" t="s">
        <v>352</v>
      </c>
      <c r="D160" s="383" t="str">
        <f t="shared" si="0"/>
        <v>2001</v>
      </c>
      <c r="E160" s="379" t="s">
        <v>611</v>
      </c>
      <c r="F160" s="380">
        <v>5738</v>
      </c>
      <c r="G160" s="380">
        <v>4124</v>
      </c>
      <c r="H160" s="381" t="s">
        <v>612</v>
      </c>
      <c r="I160" s="380">
        <v>676</v>
      </c>
      <c r="J160" s="390" t="s">
        <v>53</v>
      </c>
      <c r="K160" s="383"/>
      <c r="L160" s="384"/>
      <c r="M160" s="384"/>
      <c r="N160" s="384"/>
      <c r="O160" s="383"/>
      <c r="P160" s="384"/>
      <c r="Q160" s="384"/>
      <c r="R160" s="384"/>
      <c r="S160" s="391"/>
      <c r="T160" s="383"/>
      <c r="U160" s="384"/>
      <c r="V160" s="384"/>
      <c r="W160" s="382"/>
      <c r="X160" s="377" t="s">
        <v>343</v>
      </c>
      <c r="Y160" s="362"/>
      <c r="Z160" s="362"/>
      <c r="AA160" s="362"/>
      <c r="AB160" s="362"/>
      <c r="AC160" s="385"/>
      <c r="AD160" s="385"/>
      <c r="AE160" s="385"/>
      <c r="AF160" s="385"/>
      <c r="AG160" s="377" t="s">
        <v>337</v>
      </c>
      <c r="AH160" s="385"/>
      <c r="AI160" s="385"/>
      <c r="AJ160" s="385"/>
      <c r="AK160" s="385"/>
      <c r="AL160" s="385"/>
      <c r="AM160" s="387"/>
      <c r="AN160" s="387"/>
    </row>
    <row r="161" spans="1:40" ht="22.5" hidden="1" customHeight="1" x14ac:dyDescent="0.2">
      <c r="A161" s="376">
        <v>45775.393633611107</v>
      </c>
      <c r="B161" s="377" t="s">
        <v>56</v>
      </c>
      <c r="C161" s="377" t="s">
        <v>381</v>
      </c>
      <c r="D161" s="383" t="str">
        <f t="shared" si="0"/>
        <v>1997</v>
      </c>
      <c r="E161" s="379" t="s">
        <v>613</v>
      </c>
      <c r="F161" s="380">
        <v>1040</v>
      </c>
      <c r="G161" s="380">
        <v>5303</v>
      </c>
      <c r="H161" s="381" t="s">
        <v>614</v>
      </c>
      <c r="I161" s="380">
        <v>932</v>
      </c>
      <c r="J161" s="390" t="s">
        <v>53</v>
      </c>
      <c r="K161" s="383"/>
      <c r="L161" s="384"/>
      <c r="M161" s="384"/>
      <c r="N161" s="384"/>
      <c r="O161" s="383"/>
      <c r="P161" s="384"/>
      <c r="Q161" s="384"/>
      <c r="R161" s="384"/>
      <c r="S161" s="391"/>
      <c r="T161" s="383"/>
      <c r="U161" s="384"/>
      <c r="V161" s="384"/>
      <c r="W161" s="382"/>
      <c r="X161" s="377" t="s">
        <v>343</v>
      </c>
      <c r="Y161" s="362"/>
      <c r="Z161" s="362"/>
      <c r="AA161" s="362"/>
      <c r="AB161" s="362"/>
      <c r="AC161" s="385"/>
      <c r="AD161" s="385"/>
      <c r="AE161" s="385"/>
      <c r="AF161" s="385"/>
      <c r="AG161" s="377" t="s">
        <v>337</v>
      </c>
      <c r="AH161" s="385"/>
      <c r="AI161" s="385"/>
      <c r="AJ161" s="385"/>
      <c r="AK161" s="385"/>
      <c r="AL161" s="385"/>
      <c r="AM161" s="387"/>
      <c r="AN161" s="387"/>
    </row>
    <row r="162" spans="1:40" ht="22.5" hidden="1" customHeight="1" x14ac:dyDescent="0.2">
      <c r="A162" s="376">
        <v>45775.490423101852</v>
      </c>
      <c r="B162" s="377" t="s">
        <v>56</v>
      </c>
      <c r="C162" s="377" t="s">
        <v>381</v>
      </c>
      <c r="D162" s="383" t="str">
        <f t="shared" si="0"/>
        <v>2008</v>
      </c>
      <c r="E162" s="379" t="s">
        <v>615</v>
      </c>
      <c r="F162" s="380">
        <v>17612</v>
      </c>
      <c r="G162" s="380">
        <v>25634</v>
      </c>
      <c r="H162" s="381" t="s">
        <v>616</v>
      </c>
      <c r="I162" s="380">
        <v>3083</v>
      </c>
      <c r="J162" s="390" t="s">
        <v>53</v>
      </c>
      <c r="K162" s="383"/>
      <c r="L162" s="384"/>
      <c r="M162" s="384"/>
      <c r="N162" s="384"/>
      <c r="O162" s="383"/>
      <c r="P162" s="384"/>
      <c r="Q162" s="384"/>
      <c r="R162" s="384"/>
      <c r="S162" s="391"/>
      <c r="T162" s="383"/>
      <c r="U162" s="384"/>
      <c r="V162" s="384"/>
      <c r="W162" s="382"/>
      <c r="X162" s="377" t="s">
        <v>343</v>
      </c>
      <c r="Y162" s="362"/>
      <c r="Z162" s="362"/>
      <c r="AA162" s="362"/>
      <c r="AB162" s="362"/>
      <c r="AC162" s="385"/>
      <c r="AD162" s="385"/>
      <c r="AE162" s="385"/>
      <c r="AF162" s="385"/>
      <c r="AG162" s="377" t="s">
        <v>337</v>
      </c>
      <c r="AH162" s="385"/>
      <c r="AI162" s="385"/>
      <c r="AJ162" s="385"/>
      <c r="AK162" s="385"/>
      <c r="AL162" s="385"/>
      <c r="AM162" s="387"/>
      <c r="AN162" s="387"/>
    </row>
    <row r="163" spans="1:40" ht="22.5" hidden="1" customHeight="1" x14ac:dyDescent="0.2">
      <c r="A163" s="376">
        <v>45775.547606562497</v>
      </c>
      <c r="B163" s="377" t="s">
        <v>56</v>
      </c>
      <c r="C163" s="377" t="s">
        <v>352</v>
      </c>
      <c r="D163" s="383" t="str">
        <f t="shared" si="0"/>
        <v>2023</v>
      </c>
      <c r="E163" s="379" t="s">
        <v>617</v>
      </c>
      <c r="F163" s="380">
        <v>64639</v>
      </c>
      <c r="G163" s="380">
        <v>7013</v>
      </c>
      <c r="H163" s="381" t="s">
        <v>618</v>
      </c>
      <c r="I163" s="380">
        <v>1355</v>
      </c>
      <c r="J163" s="390" t="s">
        <v>54</v>
      </c>
      <c r="K163" s="383"/>
      <c r="L163" s="384"/>
      <c r="M163" s="384"/>
      <c r="N163" s="384"/>
      <c r="O163" s="383"/>
      <c r="P163" s="384"/>
      <c r="Q163" s="384"/>
      <c r="R163" s="384"/>
      <c r="S163" s="391"/>
      <c r="T163" s="383"/>
      <c r="U163" s="384"/>
      <c r="V163" s="384"/>
      <c r="W163" s="382"/>
      <c r="X163" s="377" t="s">
        <v>343</v>
      </c>
      <c r="Y163" s="362"/>
      <c r="Z163" s="362"/>
      <c r="AA163" s="362"/>
      <c r="AB163" s="362"/>
      <c r="AC163" s="385"/>
      <c r="AD163" s="385"/>
      <c r="AE163" s="385"/>
      <c r="AF163" s="385"/>
      <c r="AG163" s="377" t="s">
        <v>337</v>
      </c>
      <c r="AH163" s="385"/>
      <c r="AI163" s="385"/>
      <c r="AJ163" s="385"/>
      <c r="AK163" s="385"/>
      <c r="AL163" s="385"/>
      <c r="AM163" s="387"/>
      <c r="AN163" s="387"/>
    </row>
    <row r="164" spans="1:40" ht="22.5" hidden="1" customHeight="1" x14ac:dyDescent="0.2">
      <c r="A164" s="472">
        <v>45775.548220439814</v>
      </c>
      <c r="B164" s="473" t="s">
        <v>56</v>
      </c>
      <c r="C164" s="473" t="s">
        <v>352</v>
      </c>
      <c r="D164" s="474" t="str">
        <f t="shared" si="0"/>
        <v>2002</v>
      </c>
      <c r="E164" s="475" t="s">
        <v>619</v>
      </c>
      <c r="F164" s="476">
        <v>6859</v>
      </c>
      <c r="G164" s="476">
        <v>19263</v>
      </c>
      <c r="H164" s="477" t="s">
        <v>620</v>
      </c>
      <c r="I164" s="476">
        <v>1676</v>
      </c>
      <c r="J164" s="478" t="s">
        <v>54</v>
      </c>
      <c r="K164" s="474"/>
      <c r="L164" s="479"/>
      <c r="M164" s="479"/>
      <c r="N164" s="479"/>
      <c r="O164" s="474"/>
      <c r="P164" s="479"/>
      <c r="Q164" s="479"/>
      <c r="R164" s="479"/>
      <c r="S164" s="480"/>
      <c r="T164" s="474"/>
      <c r="U164" s="479"/>
      <c r="V164" s="479"/>
      <c r="W164" s="481"/>
      <c r="X164" s="473" t="s">
        <v>343</v>
      </c>
      <c r="Y164" s="482"/>
      <c r="Z164" s="482"/>
      <c r="AA164" s="482"/>
      <c r="AB164" s="482"/>
      <c r="AC164" s="483"/>
      <c r="AD164" s="483"/>
      <c r="AE164" s="483"/>
      <c r="AF164" s="483"/>
      <c r="AG164" s="473" t="s">
        <v>337</v>
      </c>
      <c r="AH164" s="483"/>
      <c r="AI164" s="483"/>
      <c r="AJ164" s="483"/>
      <c r="AK164" s="483"/>
      <c r="AL164" s="483"/>
      <c r="AM164" s="484"/>
      <c r="AN164" s="484"/>
    </row>
    <row r="165" spans="1:40" ht="22.5" hidden="1" customHeight="1" x14ac:dyDescent="0.2">
      <c r="A165" s="472">
        <v>45777.404129780094</v>
      </c>
      <c r="B165" s="473" t="s">
        <v>56</v>
      </c>
      <c r="C165" s="473" t="s">
        <v>352</v>
      </c>
      <c r="D165" s="474" t="str">
        <f t="shared" si="0"/>
        <v>2020</v>
      </c>
      <c r="E165" s="475" t="s">
        <v>621</v>
      </c>
      <c r="F165" s="476">
        <v>58081</v>
      </c>
      <c r="G165" s="476">
        <v>2214</v>
      </c>
      <c r="H165" s="477" t="s">
        <v>622</v>
      </c>
      <c r="I165" s="476">
        <v>420</v>
      </c>
      <c r="J165" s="478" t="s">
        <v>53</v>
      </c>
      <c r="K165" s="474"/>
      <c r="L165" s="479"/>
      <c r="M165" s="479"/>
      <c r="N165" s="479"/>
      <c r="O165" s="474"/>
      <c r="P165" s="479"/>
      <c r="Q165" s="479"/>
      <c r="R165" s="479"/>
      <c r="S165" s="480"/>
      <c r="T165" s="474"/>
      <c r="U165" s="479"/>
      <c r="V165" s="479"/>
      <c r="W165" s="481"/>
      <c r="X165" s="473" t="s">
        <v>343</v>
      </c>
      <c r="Y165" s="482"/>
      <c r="Z165" s="482"/>
      <c r="AA165" s="482"/>
      <c r="AB165" s="482"/>
      <c r="AC165" s="483"/>
      <c r="AD165" s="483"/>
      <c r="AE165" s="483"/>
      <c r="AF165" s="483"/>
      <c r="AG165" s="473" t="s">
        <v>337</v>
      </c>
      <c r="AH165" s="483"/>
      <c r="AI165" s="483"/>
      <c r="AJ165" s="483"/>
      <c r="AK165" s="483"/>
      <c r="AL165" s="483"/>
      <c r="AM165" s="484"/>
      <c r="AN165" s="484"/>
    </row>
    <row r="166" spans="1:40" ht="22.5" customHeight="1" x14ac:dyDescent="0.2">
      <c r="A166" s="472">
        <v>45777.470438819444</v>
      </c>
      <c r="B166" s="473" t="s">
        <v>56</v>
      </c>
      <c r="C166" s="473" t="s">
        <v>381</v>
      </c>
      <c r="D166" s="474" t="str">
        <f t="shared" si="0"/>
        <v>2013</v>
      </c>
      <c r="E166" s="475" t="s">
        <v>623</v>
      </c>
      <c r="F166" s="476">
        <v>32586</v>
      </c>
      <c r="G166" s="476">
        <v>10345</v>
      </c>
      <c r="H166" s="477" t="s">
        <v>624</v>
      </c>
      <c r="I166" s="476">
        <v>1070</v>
      </c>
      <c r="J166" s="478" t="s">
        <v>53</v>
      </c>
      <c r="K166" s="474"/>
      <c r="L166" s="479"/>
      <c r="M166" s="479"/>
      <c r="N166" s="479"/>
      <c r="O166" s="474"/>
      <c r="P166" s="479"/>
      <c r="Q166" s="479"/>
      <c r="R166" s="479"/>
      <c r="S166" s="480"/>
      <c r="T166" s="474"/>
      <c r="U166" s="479"/>
      <c r="V166" s="479"/>
      <c r="W166" s="481"/>
      <c r="X166" s="473" t="s">
        <v>343</v>
      </c>
      <c r="Y166" s="482"/>
      <c r="Z166" s="482"/>
      <c r="AA166" s="482"/>
      <c r="AB166" s="482"/>
      <c r="AC166" s="483"/>
      <c r="AD166" s="483"/>
      <c r="AE166" s="483"/>
      <c r="AF166" s="483"/>
      <c r="AG166" s="473" t="s">
        <v>337</v>
      </c>
      <c r="AH166" s="483"/>
      <c r="AI166" s="483"/>
      <c r="AJ166" s="483"/>
      <c r="AK166" s="483"/>
      <c r="AL166" s="483"/>
      <c r="AM166" s="484"/>
      <c r="AN166" s="484"/>
    </row>
    <row r="167" spans="1:40" ht="22.5" customHeight="1" x14ac:dyDescent="0.2">
      <c r="A167" s="472">
        <v>45777.471105914352</v>
      </c>
      <c r="B167" s="473" t="s">
        <v>56</v>
      </c>
      <c r="C167" s="473" t="s">
        <v>381</v>
      </c>
      <c r="D167" s="474" t="str">
        <f t="shared" si="0"/>
        <v>2013</v>
      </c>
      <c r="E167" s="475" t="s">
        <v>625</v>
      </c>
      <c r="F167" s="476">
        <v>31909</v>
      </c>
      <c r="G167" s="476">
        <v>9439</v>
      </c>
      <c r="H167" s="477" t="s">
        <v>626</v>
      </c>
      <c r="I167" s="476">
        <v>972</v>
      </c>
      <c r="J167" s="478" t="s">
        <v>53</v>
      </c>
      <c r="K167" s="474"/>
      <c r="L167" s="479"/>
      <c r="M167" s="479"/>
      <c r="N167" s="479"/>
      <c r="O167" s="474"/>
      <c r="P167" s="479"/>
      <c r="Q167" s="479"/>
      <c r="R167" s="479"/>
      <c r="S167" s="480"/>
      <c r="T167" s="474"/>
      <c r="U167" s="479"/>
      <c r="V167" s="479"/>
      <c r="W167" s="481"/>
      <c r="X167" s="473" t="s">
        <v>343</v>
      </c>
      <c r="Y167" s="482"/>
      <c r="Z167" s="482"/>
      <c r="AA167" s="482"/>
      <c r="AB167" s="482"/>
      <c r="AC167" s="483"/>
      <c r="AD167" s="483"/>
      <c r="AE167" s="483"/>
      <c r="AF167" s="483"/>
      <c r="AG167" s="473" t="s">
        <v>337</v>
      </c>
      <c r="AH167" s="483"/>
      <c r="AI167" s="483"/>
      <c r="AJ167" s="483"/>
      <c r="AK167" s="483"/>
      <c r="AL167" s="483"/>
      <c r="AM167" s="484"/>
      <c r="AN167" s="484"/>
    </row>
    <row r="168" spans="1:40" ht="22.5" hidden="1" customHeight="1" x14ac:dyDescent="0.2">
      <c r="A168" s="472">
        <v>45777.471664895835</v>
      </c>
      <c r="B168" s="473" t="s">
        <v>56</v>
      </c>
      <c r="C168" s="473" t="s">
        <v>381</v>
      </c>
      <c r="D168" s="474" t="str">
        <f t="shared" si="0"/>
        <v>2010</v>
      </c>
      <c r="E168" s="475" t="s">
        <v>627</v>
      </c>
      <c r="F168" s="476">
        <v>24146</v>
      </c>
      <c r="G168" s="476">
        <v>21260</v>
      </c>
      <c r="H168" s="477" t="s">
        <v>628</v>
      </c>
      <c r="I168" s="476">
        <v>2439</v>
      </c>
      <c r="J168" s="478" t="s">
        <v>53</v>
      </c>
      <c r="K168" s="474"/>
      <c r="L168" s="479"/>
      <c r="M168" s="479"/>
      <c r="N168" s="479"/>
      <c r="O168" s="474"/>
      <c r="P168" s="479"/>
      <c r="Q168" s="479"/>
      <c r="R168" s="479"/>
      <c r="S168" s="480"/>
      <c r="T168" s="474"/>
      <c r="U168" s="479"/>
      <c r="V168" s="479"/>
      <c r="W168" s="481"/>
      <c r="X168" s="473" t="s">
        <v>343</v>
      </c>
      <c r="Y168" s="482"/>
      <c r="Z168" s="482"/>
      <c r="AA168" s="482"/>
      <c r="AB168" s="482"/>
      <c r="AC168" s="483"/>
      <c r="AD168" s="483"/>
      <c r="AE168" s="483"/>
      <c r="AF168" s="483"/>
      <c r="AG168" s="473" t="s">
        <v>337</v>
      </c>
      <c r="AH168" s="483"/>
      <c r="AI168" s="483"/>
      <c r="AJ168" s="483"/>
      <c r="AK168" s="483"/>
      <c r="AL168" s="483"/>
      <c r="AM168" s="484"/>
      <c r="AN168" s="484"/>
    </row>
    <row r="169" spans="1:40" ht="22.5" hidden="1" customHeight="1" x14ac:dyDescent="0.2">
      <c r="A169" s="376">
        <v>45782.471686145829</v>
      </c>
      <c r="B169" s="377" t="s">
        <v>436</v>
      </c>
      <c r="C169" s="377" t="s">
        <v>629</v>
      </c>
      <c r="D169" s="383" t="str">
        <f t="shared" si="0"/>
        <v/>
      </c>
      <c r="E169" s="384"/>
      <c r="F169" s="384"/>
      <c r="G169" s="384"/>
      <c r="H169" s="388"/>
      <c r="I169" s="384"/>
      <c r="J169" s="382"/>
      <c r="K169" s="383"/>
      <c r="L169" s="384"/>
      <c r="M169" s="384"/>
      <c r="N169" s="384"/>
      <c r="O169" s="389" t="s">
        <v>630</v>
      </c>
      <c r="P169" s="380">
        <v>4508</v>
      </c>
      <c r="Q169" s="380">
        <v>260</v>
      </c>
      <c r="R169" s="380">
        <v>117</v>
      </c>
      <c r="S169" s="385"/>
      <c r="T169" s="383"/>
      <c r="U169" s="384"/>
      <c r="V169" s="384"/>
      <c r="W169" s="382"/>
      <c r="X169" s="377" t="s">
        <v>343</v>
      </c>
      <c r="Y169" s="370"/>
      <c r="Z169" s="370"/>
      <c r="AA169" s="370"/>
      <c r="AB169" s="370"/>
      <c r="AC169" s="385"/>
      <c r="AD169" s="385"/>
      <c r="AE169" s="385"/>
      <c r="AF169" s="385"/>
      <c r="AG169" s="377" t="s">
        <v>337</v>
      </c>
      <c r="AH169" s="385"/>
      <c r="AI169" s="385"/>
      <c r="AJ169" s="385"/>
      <c r="AK169" s="385"/>
      <c r="AL169" s="385"/>
      <c r="AM169" s="387"/>
      <c r="AN169" s="387"/>
    </row>
    <row r="170" spans="1:40" ht="22.5" hidden="1" customHeight="1" x14ac:dyDescent="0.2">
      <c r="A170" s="376">
        <v>45782.712924768522</v>
      </c>
      <c r="B170" s="377" t="s">
        <v>56</v>
      </c>
      <c r="C170" s="377" t="s">
        <v>352</v>
      </c>
      <c r="D170" s="383" t="str">
        <f t="shared" si="0"/>
        <v>6/97</v>
      </c>
      <c r="E170" s="379" t="s">
        <v>631</v>
      </c>
      <c r="F170" s="380">
        <v>955</v>
      </c>
      <c r="G170" s="380">
        <v>4885</v>
      </c>
      <c r="H170" s="381" t="s">
        <v>632</v>
      </c>
      <c r="I170" s="380">
        <v>851</v>
      </c>
      <c r="J170" s="390" t="s">
        <v>53</v>
      </c>
      <c r="K170" s="383"/>
      <c r="L170" s="384"/>
      <c r="M170" s="384"/>
      <c r="N170" s="384"/>
      <c r="O170" s="383"/>
      <c r="P170" s="384"/>
      <c r="Q170" s="384"/>
      <c r="R170" s="384"/>
      <c r="S170" s="391"/>
      <c r="T170" s="383"/>
      <c r="U170" s="384"/>
      <c r="V170" s="384"/>
      <c r="W170" s="382"/>
      <c r="X170" s="377" t="s">
        <v>343</v>
      </c>
      <c r="Y170" s="362"/>
      <c r="Z170" s="362"/>
      <c r="AA170" s="362"/>
      <c r="AB170" s="362"/>
      <c r="AC170" s="385"/>
      <c r="AD170" s="385"/>
      <c r="AE170" s="385"/>
      <c r="AF170" s="385"/>
      <c r="AG170" s="377" t="s">
        <v>337</v>
      </c>
      <c r="AH170" s="385"/>
      <c r="AI170" s="385"/>
      <c r="AJ170" s="385"/>
      <c r="AK170" s="385"/>
      <c r="AL170" s="385"/>
      <c r="AM170" s="387"/>
      <c r="AN170" s="387"/>
    </row>
    <row r="171" spans="1:40" ht="22.5" hidden="1" customHeight="1" x14ac:dyDescent="0.2">
      <c r="A171" s="376">
        <v>45783.488257696758</v>
      </c>
      <c r="B171" s="377" t="s">
        <v>436</v>
      </c>
      <c r="C171" s="377" t="s">
        <v>381</v>
      </c>
      <c r="D171" s="383" t="str">
        <f t="shared" si="0"/>
        <v/>
      </c>
      <c r="E171" s="384"/>
      <c r="F171" s="384"/>
      <c r="G171" s="384"/>
      <c r="H171" s="388"/>
      <c r="I171" s="384"/>
      <c r="J171" s="382"/>
      <c r="K171" s="383"/>
      <c r="L171" s="384"/>
      <c r="M171" s="384"/>
      <c r="N171" s="384"/>
      <c r="O171" s="389" t="s">
        <v>633</v>
      </c>
      <c r="P171" s="380">
        <v>1637</v>
      </c>
      <c r="Q171" s="380">
        <v>880</v>
      </c>
      <c r="R171" s="380">
        <v>153</v>
      </c>
      <c r="S171" s="385"/>
      <c r="T171" s="383"/>
      <c r="U171" s="384"/>
      <c r="V171" s="384"/>
      <c r="W171" s="382"/>
      <c r="X171" s="377" t="s">
        <v>343</v>
      </c>
      <c r="Y171" s="370"/>
      <c r="Z171" s="370"/>
      <c r="AA171" s="370"/>
      <c r="AB171" s="370"/>
      <c r="AC171" s="385"/>
      <c r="AD171" s="385"/>
      <c r="AE171" s="385"/>
      <c r="AF171" s="385"/>
      <c r="AG171" s="377" t="s">
        <v>337</v>
      </c>
      <c r="AH171" s="385"/>
      <c r="AI171" s="385"/>
      <c r="AJ171" s="385"/>
      <c r="AK171" s="385"/>
      <c r="AL171" s="385"/>
      <c r="AM171" s="387"/>
      <c r="AN171" s="387"/>
    </row>
    <row r="172" spans="1:40" ht="22.5" hidden="1" customHeight="1" x14ac:dyDescent="0.2">
      <c r="A172" s="376">
        <v>45785.429015289352</v>
      </c>
      <c r="B172" s="377" t="s">
        <v>291</v>
      </c>
      <c r="C172" s="377" t="s">
        <v>464</v>
      </c>
      <c r="D172" s="383" t="str">
        <f t="shared" si="0"/>
        <v/>
      </c>
      <c r="E172" s="384"/>
      <c r="F172" s="384"/>
      <c r="G172" s="384"/>
      <c r="H172" s="388"/>
      <c r="I172" s="384"/>
      <c r="J172" s="382"/>
      <c r="K172" s="383"/>
      <c r="L172" s="384"/>
      <c r="M172" s="384"/>
      <c r="N172" s="384"/>
      <c r="O172" s="383"/>
      <c r="P172" s="384"/>
      <c r="Q172" s="384"/>
      <c r="R172" s="384"/>
      <c r="S172" s="385"/>
      <c r="T172" s="389" t="s">
        <v>617</v>
      </c>
      <c r="U172" s="380">
        <v>1355</v>
      </c>
      <c r="V172" s="380">
        <v>64639</v>
      </c>
      <c r="W172" s="390">
        <v>7013</v>
      </c>
      <c r="X172" s="377" t="s">
        <v>343</v>
      </c>
      <c r="Y172" s="370"/>
      <c r="Z172" s="370"/>
      <c r="AA172" s="370"/>
      <c r="AB172" s="370"/>
      <c r="AC172" s="385"/>
      <c r="AD172" s="385"/>
      <c r="AE172" s="385"/>
      <c r="AF172" s="385"/>
      <c r="AG172" s="377" t="s">
        <v>337</v>
      </c>
      <c r="AH172" s="385"/>
      <c r="AI172" s="385"/>
      <c r="AJ172" s="385"/>
      <c r="AK172" s="385"/>
      <c r="AL172" s="385"/>
      <c r="AM172" s="387"/>
      <c r="AN172" s="387"/>
    </row>
    <row r="173" spans="1:40" ht="22.5" customHeight="1" x14ac:dyDescent="0.2">
      <c r="A173" s="376">
        <v>45785.489196932875</v>
      </c>
      <c r="B173" s="377" t="s">
        <v>56</v>
      </c>
      <c r="C173" s="377" t="s">
        <v>381</v>
      </c>
      <c r="D173" s="383" t="str">
        <f t="shared" si="0"/>
        <v>2013</v>
      </c>
      <c r="E173" s="379" t="s">
        <v>634</v>
      </c>
      <c r="F173" s="380">
        <v>31723</v>
      </c>
      <c r="G173" s="380">
        <v>3240</v>
      </c>
      <c r="H173" s="381" t="s">
        <v>635</v>
      </c>
      <c r="I173" s="380">
        <v>320</v>
      </c>
      <c r="J173" s="390" t="s">
        <v>53</v>
      </c>
      <c r="K173" s="383"/>
      <c r="L173" s="384"/>
      <c r="M173" s="384"/>
      <c r="N173" s="384"/>
      <c r="O173" s="383"/>
      <c r="P173" s="384"/>
      <c r="Q173" s="384"/>
      <c r="R173" s="384"/>
      <c r="S173" s="391"/>
      <c r="T173" s="383"/>
      <c r="U173" s="384"/>
      <c r="V173" s="384"/>
      <c r="W173" s="382"/>
      <c r="X173" s="377" t="s">
        <v>343</v>
      </c>
      <c r="Y173" s="362"/>
      <c r="Z173" s="362"/>
      <c r="AA173" s="362"/>
      <c r="AB173" s="362"/>
      <c r="AC173" s="385"/>
      <c r="AD173" s="385"/>
      <c r="AE173" s="385"/>
      <c r="AF173" s="385"/>
      <c r="AG173" s="377" t="s">
        <v>337</v>
      </c>
      <c r="AH173" s="385"/>
      <c r="AI173" s="385"/>
      <c r="AJ173" s="385"/>
      <c r="AK173" s="385"/>
      <c r="AL173" s="385"/>
      <c r="AM173" s="387"/>
      <c r="AN173" s="387"/>
    </row>
    <row r="174" spans="1:40" ht="22.5" hidden="1" customHeight="1" x14ac:dyDescent="0.2">
      <c r="A174" s="376">
        <v>45790.386009351852</v>
      </c>
      <c r="B174" s="377" t="s">
        <v>56</v>
      </c>
      <c r="C174" s="377" t="s">
        <v>381</v>
      </c>
      <c r="D174" s="383" t="str">
        <f t="shared" si="0"/>
        <v>2023</v>
      </c>
      <c r="E174" s="379" t="s">
        <v>636</v>
      </c>
      <c r="F174" s="380">
        <v>70463</v>
      </c>
      <c r="G174" s="380">
        <v>15801</v>
      </c>
      <c r="H174" s="381" t="s">
        <v>637</v>
      </c>
      <c r="I174" s="380">
        <v>3116</v>
      </c>
      <c r="J174" s="390" t="s">
        <v>53</v>
      </c>
      <c r="K174" s="383"/>
      <c r="L174" s="384"/>
      <c r="M174" s="384"/>
      <c r="N174" s="384"/>
      <c r="O174" s="383"/>
      <c r="P174" s="384"/>
      <c r="Q174" s="384"/>
      <c r="R174" s="384"/>
      <c r="S174" s="391"/>
      <c r="T174" s="383"/>
      <c r="U174" s="384"/>
      <c r="V174" s="384"/>
      <c r="W174" s="382"/>
      <c r="X174" s="377" t="s">
        <v>343</v>
      </c>
      <c r="Y174" s="362"/>
      <c r="Z174" s="362"/>
      <c r="AA174" s="362"/>
      <c r="AB174" s="362"/>
      <c r="AC174" s="385"/>
      <c r="AD174" s="385"/>
      <c r="AE174" s="385"/>
      <c r="AF174" s="385"/>
      <c r="AG174" s="377" t="s">
        <v>337</v>
      </c>
      <c r="AH174" s="385"/>
      <c r="AI174" s="385"/>
      <c r="AJ174" s="385"/>
      <c r="AK174" s="385"/>
      <c r="AL174" s="385"/>
      <c r="AM174" s="387"/>
      <c r="AN174" s="387"/>
    </row>
    <row r="175" spans="1:40" ht="22.5" hidden="1" customHeight="1" x14ac:dyDescent="0.2">
      <c r="A175" s="376">
        <v>45790.408755717595</v>
      </c>
      <c r="B175" s="377" t="s">
        <v>56</v>
      </c>
      <c r="C175" s="377" t="s">
        <v>338</v>
      </c>
      <c r="D175" s="383" t="str">
        <f t="shared" si="0"/>
        <v>2014</v>
      </c>
      <c r="E175" s="379" t="s">
        <v>638</v>
      </c>
      <c r="F175" s="380">
        <v>37444</v>
      </c>
      <c r="G175" s="380">
        <v>20354</v>
      </c>
      <c r="H175" s="381" t="s">
        <v>639</v>
      </c>
      <c r="I175" s="380">
        <v>2031</v>
      </c>
      <c r="J175" s="390" t="s">
        <v>53</v>
      </c>
      <c r="K175" s="383"/>
      <c r="L175" s="384"/>
      <c r="M175" s="384"/>
      <c r="N175" s="384"/>
      <c r="O175" s="383"/>
      <c r="P175" s="384"/>
      <c r="Q175" s="384"/>
      <c r="R175" s="384"/>
      <c r="S175" s="391"/>
      <c r="T175" s="383"/>
      <c r="U175" s="384"/>
      <c r="V175" s="384"/>
      <c r="W175" s="382"/>
      <c r="X175" s="377" t="s">
        <v>343</v>
      </c>
      <c r="Y175" s="362"/>
      <c r="Z175" s="362"/>
      <c r="AA175" s="362"/>
      <c r="AB175" s="362"/>
      <c r="AC175" s="385"/>
      <c r="AD175" s="385"/>
      <c r="AE175" s="385"/>
      <c r="AF175" s="385"/>
      <c r="AG175" s="377" t="s">
        <v>337</v>
      </c>
      <c r="AH175" s="385"/>
      <c r="AI175" s="385"/>
      <c r="AJ175" s="385"/>
      <c r="AK175" s="385"/>
      <c r="AL175" s="385"/>
      <c r="AM175" s="387"/>
      <c r="AN175" s="387"/>
    </row>
    <row r="176" spans="1:40" ht="22.5" hidden="1" customHeight="1" x14ac:dyDescent="0.2">
      <c r="A176" s="376">
        <v>45790.409436412039</v>
      </c>
      <c r="B176" s="377" t="s">
        <v>56</v>
      </c>
      <c r="C176" s="377" t="s">
        <v>338</v>
      </c>
      <c r="D176" s="383" t="str">
        <f t="shared" si="0"/>
        <v>2017</v>
      </c>
      <c r="E176" s="379" t="s">
        <v>640</v>
      </c>
      <c r="F176" s="380">
        <v>48938</v>
      </c>
      <c r="G176" s="380">
        <v>13517</v>
      </c>
      <c r="H176" s="381" t="s">
        <v>641</v>
      </c>
      <c r="I176" s="380">
        <v>2601</v>
      </c>
      <c r="J176" s="390" t="s">
        <v>53</v>
      </c>
      <c r="K176" s="383"/>
      <c r="L176" s="384"/>
      <c r="M176" s="384"/>
      <c r="N176" s="384"/>
      <c r="O176" s="383"/>
      <c r="P176" s="384"/>
      <c r="Q176" s="384"/>
      <c r="R176" s="384"/>
      <c r="S176" s="391"/>
      <c r="T176" s="383"/>
      <c r="U176" s="384"/>
      <c r="V176" s="384"/>
      <c r="W176" s="382"/>
      <c r="X176" s="377" t="s">
        <v>343</v>
      </c>
      <c r="Y176" s="362"/>
      <c r="Z176" s="362"/>
      <c r="AA176" s="362"/>
      <c r="AB176" s="362"/>
      <c r="AC176" s="385"/>
      <c r="AD176" s="385"/>
      <c r="AE176" s="385"/>
      <c r="AF176" s="385"/>
      <c r="AG176" s="377" t="s">
        <v>337</v>
      </c>
      <c r="AH176" s="385"/>
      <c r="AI176" s="385"/>
      <c r="AJ176" s="385"/>
      <c r="AK176" s="385"/>
      <c r="AL176" s="385"/>
      <c r="AM176" s="387"/>
      <c r="AN176" s="387"/>
    </row>
    <row r="177" spans="1:40" ht="22.5" hidden="1" customHeight="1" x14ac:dyDescent="0.2">
      <c r="A177" s="376">
        <v>45790.410126354167</v>
      </c>
      <c r="B177" s="377" t="s">
        <v>56</v>
      </c>
      <c r="C177" s="377" t="s">
        <v>338</v>
      </c>
      <c r="D177" s="383" t="str">
        <f t="shared" si="0"/>
        <v>2010</v>
      </c>
      <c r="E177" s="379" t="s">
        <v>642</v>
      </c>
      <c r="F177" s="380">
        <v>23427</v>
      </c>
      <c r="G177" s="380">
        <v>15961</v>
      </c>
      <c r="H177" s="381" t="s">
        <v>643</v>
      </c>
      <c r="I177" s="380">
        <v>1793</v>
      </c>
      <c r="J177" s="390" t="s">
        <v>53</v>
      </c>
      <c r="K177" s="383"/>
      <c r="L177" s="384"/>
      <c r="M177" s="384"/>
      <c r="N177" s="384"/>
      <c r="O177" s="383"/>
      <c r="P177" s="384"/>
      <c r="Q177" s="384"/>
      <c r="R177" s="384"/>
      <c r="S177" s="391"/>
      <c r="T177" s="383"/>
      <c r="U177" s="384"/>
      <c r="V177" s="384"/>
      <c r="W177" s="382"/>
      <c r="X177" s="377" t="s">
        <v>343</v>
      </c>
      <c r="Y177" s="362"/>
      <c r="Z177" s="362"/>
      <c r="AA177" s="362"/>
      <c r="AB177" s="362"/>
      <c r="AC177" s="385"/>
      <c r="AD177" s="385"/>
      <c r="AE177" s="385"/>
      <c r="AF177" s="385"/>
      <c r="AG177" s="377" t="s">
        <v>337</v>
      </c>
      <c r="AH177" s="385"/>
      <c r="AI177" s="385"/>
      <c r="AJ177" s="385"/>
      <c r="AK177" s="385"/>
      <c r="AL177" s="385"/>
      <c r="AM177" s="387"/>
      <c r="AN177" s="387"/>
    </row>
    <row r="178" spans="1:40" ht="22.5" hidden="1" customHeight="1" x14ac:dyDescent="0.2">
      <c r="A178" s="376">
        <v>45790.410812418981</v>
      </c>
      <c r="B178" s="377" t="s">
        <v>56</v>
      </c>
      <c r="C178" s="377" t="s">
        <v>338</v>
      </c>
      <c r="D178" s="383" t="str">
        <f t="shared" si="0"/>
        <v>2012</v>
      </c>
      <c r="E178" s="379" t="s">
        <v>644</v>
      </c>
      <c r="F178" s="380">
        <v>30377</v>
      </c>
      <c r="G178" s="380">
        <v>21335</v>
      </c>
      <c r="H178" s="381" t="s">
        <v>645</v>
      </c>
      <c r="I178" s="380">
        <v>2435</v>
      </c>
      <c r="J178" s="390" t="s">
        <v>53</v>
      </c>
      <c r="K178" s="383"/>
      <c r="L178" s="384"/>
      <c r="M178" s="384"/>
      <c r="N178" s="384"/>
      <c r="O178" s="383"/>
      <c r="P178" s="384"/>
      <c r="Q178" s="384"/>
      <c r="R178" s="384"/>
      <c r="S178" s="391"/>
      <c r="T178" s="383"/>
      <c r="U178" s="384"/>
      <c r="V178" s="384"/>
      <c r="W178" s="382"/>
      <c r="X178" s="377" t="s">
        <v>343</v>
      </c>
      <c r="Y178" s="362"/>
      <c r="Z178" s="362"/>
      <c r="AA178" s="362"/>
      <c r="AB178" s="362"/>
      <c r="AC178" s="385"/>
      <c r="AD178" s="385"/>
      <c r="AE178" s="385"/>
      <c r="AF178" s="385"/>
      <c r="AG178" s="377" t="s">
        <v>337</v>
      </c>
      <c r="AH178" s="385"/>
      <c r="AI178" s="385"/>
      <c r="AJ178" s="385"/>
      <c r="AK178" s="385"/>
      <c r="AL178" s="385"/>
      <c r="AM178" s="387"/>
      <c r="AN178" s="387"/>
    </row>
    <row r="179" spans="1:40" ht="22.5" hidden="1" customHeight="1" x14ac:dyDescent="0.2">
      <c r="A179" s="376">
        <v>45790.41414857639</v>
      </c>
      <c r="B179" s="377" t="s">
        <v>351</v>
      </c>
      <c r="C179" s="377" t="s">
        <v>338</v>
      </c>
      <c r="D179" s="383" t="str">
        <f t="shared" si="0"/>
        <v/>
      </c>
      <c r="E179" s="384"/>
      <c r="F179" s="384"/>
      <c r="G179" s="384"/>
      <c r="H179" s="388"/>
      <c r="I179" s="384"/>
      <c r="J179" s="382"/>
      <c r="K179" s="389" t="s">
        <v>479</v>
      </c>
      <c r="L179" s="380">
        <v>9024</v>
      </c>
      <c r="M179" s="380">
        <v>2039</v>
      </c>
      <c r="N179" s="380">
        <v>746</v>
      </c>
      <c r="O179" s="383"/>
      <c r="P179" s="384"/>
      <c r="Q179" s="384"/>
      <c r="R179" s="384"/>
      <c r="S179" s="385"/>
      <c r="T179" s="383"/>
      <c r="U179" s="384"/>
      <c r="V179" s="384"/>
      <c r="W179" s="382"/>
      <c r="X179" s="377" t="s">
        <v>343</v>
      </c>
      <c r="Y179" s="370"/>
      <c r="Z179" s="370"/>
      <c r="AA179" s="370"/>
      <c r="AB179" s="370"/>
      <c r="AC179" s="385"/>
      <c r="AD179" s="385"/>
      <c r="AE179" s="385"/>
      <c r="AF179" s="385"/>
      <c r="AG179" s="377" t="s">
        <v>337</v>
      </c>
      <c r="AH179" s="385"/>
      <c r="AI179" s="385"/>
      <c r="AJ179" s="385"/>
      <c r="AK179" s="385"/>
      <c r="AL179" s="385"/>
      <c r="AM179" s="387"/>
      <c r="AN179" s="387"/>
    </row>
    <row r="180" spans="1:40" ht="22.5" hidden="1" customHeight="1" x14ac:dyDescent="0.2">
      <c r="A180" s="376">
        <v>45790.414732534722</v>
      </c>
      <c r="B180" s="377" t="s">
        <v>351</v>
      </c>
      <c r="C180" s="377" t="s">
        <v>338</v>
      </c>
      <c r="D180" s="383" t="str">
        <f t="shared" si="0"/>
        <v/>
      </c>
      <c r="E180" s="384"/>
      <c r="F180" s="384"/>
      <c r="G180" s="384"/>
      <c r="H180" s="388"/>
      <c r="I180" s="384"/>
      <c r="J180" s="382"/>
      <c r="K180" s="389" t="s">
        <v>479</v>
      </c>
      <c r="L180" s="380">
        <v>9025</v>
      </c>
      <c r="M180" s="380">
        <v>2042</v>
      </c>
      <c r="N180" s="380">
        <v>747</v>
      </c>
      <c r="O180" s="383"/>
      <c r="P180" s="384"/>
      <c r="Q180" s="384"/>
      <c r="R180" s="384"/>
      <c r="S180" s="385"/>
      <c r="T180" s="383"/>
      <c r="U180" s="384"/>
      <c r="V180" s="384"/>
      <c r="W180" s="382"/>
      <c r="X180" s="377" t="s">
        <v>343</v>
      </c>
      <c r="Y180" s="370"/>
      <c r="Z180" s="370"/>
      <c r="AA180" s="370"/>
      <c r="AB180" s="370"/>
      <c r="AC180" s="385"/>
      <c r="AD180" s="385"/>
      <c r="AE180" s="385"/>
      <c r="AF180" s="385"/>
      <c r="AG180" s="377" t="s">
        <v>337</v>
      </c>
      <c r="AH180" s="385"/>
      <c r="AI180" s="385"/>
      <c r="AJ180" s="385"/>
      <c r="AK180" s="385"/>
      <c r="AL180" s="385"/>
      <c r="AM180" s="387"/>
      <c r="AN180" s="387"/>
    </row>
    <row r="181" spans="1:40" ht="22.5" hidden="1" customHeight="1" x14ac:dyDescent="0.2">
      <c r="A181" s="376">
        <v>45790.415336724538</v>
      </c>
      <c r="B181" s="377" t="s">
        <v>351</v>
      </c>
      <c r="C181" s="377" t="s">
        <v>338</v>
      </c>
      <c r="D181" s="383" t="str">
        <f t="shared" si="0"/>
        <v/>
      </c>
      <c r="E181" s="384"/>
      <c r="F181" s="384"/>
      <c r="G181" s="384"/>
      <c r="H181" s="388"/>
      <c r="I181" s="384"/>
      <c r="J181" s="382"/>
      <c r="K181" s="389" t="s">
        <v>479</v>
      </c>
      <c r="L181" s="380">
        <v>9026</v>
      </c>
      <c r="M181" s="380">
        <v>2045</v>
      </c>
      <c r="N181" s="380">
        <v>748</v>
      </c>
      <c r="O181" s="383"/>
      <c r="P181" s="384"/>
      <c r="Q181" s="384"/>
      <c r="R181" s="384"/>
      <c r="S181" s="385"/>
      <c r="T181" s="383"/>
      <c r="U181" s="384"/>
      <c r="V181" s="384"/>
      <c r="W181" s="382"/>
      <c r="X181" s="377" t="s">
        <v>343</v>
      </c>
      <c r="Y181" s="370"/>
      <c r="Z181" s="370"/>
      <c r="AA181" s="370"/>
      <c r="AB181" s="370"/>
      <c r="AC181" s="385"/>
      <c r="AD181" s="385"/>
      <c r="AE181" s="385"/>
      <c r="AF181" s="385"/>
      <c r="AG181" s="377" t="s">
        <v>337</v>
      </c>
      <c r="AH181" s="385"/>
      <c r="AI181" s="385"/>
      <c r="AJ181" s="385"/>
      <c r="AK181" s="385"/>
      <c r="AL181" s="385"/>
      <c r="AM181" s="387"/>
      <c r="AN181" s="387"/>
    </row>
    <row r="182" spans="1:40" ht="22.5" hidden="1" customHeight="1" x14ac:dyDescent="0.2">
      <c r="A182" s="376">
        <v>45790.416015856477</v>
      </c>
      <c r="B182" s="377" t="s">
        <v>351</v>
      </c>
      <c r="C182" s="377" t="s">
        <v>338</v>
      </c>
      <c r="D182" s="383" t="str">
        <f t="shared" si="0"/>
        <v/>
      </c>
      <c r="E182" s="384"/>
      <c r="F182" s="384"/>
      <c r="G182" s="384"/>
      <c r="H182" s="388"/>
      <c r="I182" s="384"/>
      <c r="J182" s="382"/>
      <c r="K182" s="389" t="s">
        <v>479</v>
      </c>
      <c r="L182" s="380">
        <v>9027</v>
      </c>
      <c r="M182" s="380">
        <v>2058</v>
      </c>
      <c r="N182" s="380">
        <v>752</v>
      </c>
      <c r="O182" s="383"/>
      <c r="P182" s="384"/>
      <c r="Q182" s="384"/>
      <c r="R182" s="384"/>
      <c r="S182" s="385"/>
      <c r="T182" s="383"/>
      <c r="U182" s="384"/>
      <c r="V182" s="384"/>
      <c r="W182" s="382"/>
      <c r="X182" s="377" t="s">
        <v>343</v>
      </c>
      <c r="Y182" s="370"/>
      <c r="Z182" s="370"/>
      <c r="AA182" s="370"/>
      <c r="AB182" s="370"/>
      <c r="AC182" s="385"/>
      <c r="AD182" s="385"/>
      <c r="AE182" s="385"/>
      <c r="AF182" s="385"/>
      <c r="AG182" s="377" t="s">
        <v>337</v>
      </c>
      <c r="AH182" s="385"/>
      <c r="AI182" s="385"/>
      <c r="AJ182" s="385"/>
      <c r="AK182" s="385"/>
      <c r="AL182" s="385"/>
      <c r="AM182" s="387"/>
      <c r="AN182" s="387"/>
    </row>
    <row r="183" spans="1:40" ht="22.5" hidden="1" customHeight="1" x14ac:dyDescent="0.2">
      <c r="A183" s="376">
        <v>45790.416560868056</v>
      </c>
      <c r="B183" s="377" t="s">
        <v>351</v>
      </c>
      <c r="C183" s="377" t="s">
        <v>338</v>
      </c>
      <c r="D183" s="383" t="str">
        <f t="shared" si="0"/>
        <v/>
      </c>
      <c r="E183" s="384"/>
      <c r="F183" s="384"/>
      <c r="G183" s="384"/>
      <c r="H183" s="388"/>
      <c r="I183" s="384"/>
      <c r="J183" s="382"/>
      <c r="K183" s="389" t="s">
        <v>479</v>
      </c>
      <c r="L183" s="380">
        <v>9028</v>
      </c>
      <c r="M183" s="380">
        <v>2061</v>
      </c>
      <c r="N183" s="380">
        <v>753</v>
      </c>
      <c r="O183" s="383"/>
      <c r="P183" s="384"/>
      <c r="Q183" s="384"/>
      <c r="R183" s="384"/>
      <c r="S183" s="385"/>
      <c r="T183" s="383"/>
      <c r="U183" s="384"/>
      <c r="V183" s="384"/>
      <c r="W183" s="382"/>
      <c r="X183" s="377" t="s">
        <v>343</v>
      </c>
      <c r="Y183" s="370"/>
      <c r="Z183" s="370"/>
      <c r="AA183" s="370"/>
      <c r="AB183" s="370"/>
      <c r="AC183" s="385"/>
      <c r="AD183" s="385"/>
      <c r="AE183" s="385"/>
      <c r="AF183" s="385"/>
      <c r="AG183" s="377" t="s">
        <v>337</v>
      </c>
      <c r="AH183" s="385"/>
      <c r="AI183" s="385"/>
      <c r="AJ183" s="385"/>
      <c r="AK183" s="385"/>
      <c r="AL183" s="385"/>
      <c r="AM183" s="387"/>
      <c r="AN183" s="387"/>
    </row>
    <row r="184" spans="1:40" ht="22.5" hidden="1" customHeight="1" x14ac:dyDescent="0.2">
      <c r="A184" s="376">
        <v>45790.41725456019</v>
      </c>
      <c r="B184" s="377" t="s">
        <v>351</v>
      </c>
      <c r="C184" s="377" t="s">
        <v>338</v>
      </c>
      <c r="D184" s="383" t="str">
        <f t="shared" si="0"/>
        <v/>
      </c>
      <c r="E184" s="384"/>
      <c r="F184" s="384"/>
      <c r="G184" s="384"/>
      <c r="H184" s="388"/>
      <c r="I184" s="384"/>
      <c r="J184" s="382"/>
      <c r="K184" s="389" t="s">
        <v>479</v>
      </c>
      <c r="L184" s="380">
        <v>9029</v>
      </c>
      <c r="M184" s="380">
        <v>2049</v>
      </c>
      <c r="N184" s="380">
        <v>749</v>
      </c>
      <c r="O184" s="383"/>
      <c r="P184" s="384"/>
      <c r="Q184" s="384"/>
      <c r="R184" s="384"/>
      <c r="S184" s="385"/>
      <c r="T184" s="383"/>
      <c r="U184" s="384"/>
      <c r="V184" s="384"/>
      <c r="W184" s="382"/>
      <c r="X184" s="377" t="s">
        <v>343</v>
      </c>
      <c r="Y184" s="370"/>
      <c r="Z184" s="370"/>
      <c r="AA184" s="370"/>
      <c r="AB184" s="370"/>
      <c r="AC184" s="385"/>
      <c r="AD184" s="385"/>
      <c r="AE184" s="385"/>
      <c r="AF184" s="385"/>
      <c r="AG184" s="377" t="s">
        <v>337</v>
      </c>
      <c r="AH184" s="385"/>
      <c r="AI184" s="385"/>
      <c r="AJ184" s="385"/>
      <c r="AK184" s="385"/>
      <c r="AL184" s="385"/>
      <c r="AM184" s="387"/>
      <c r="AN184" s="387"/>
    </row>
    <row r="185" spans="1:40" ht="22.5" hidden="1" customHeight="1" x14ac:dyDescent="0.2">
      <c r="A185" s="376">
        <v>45790.417740150464</v>
      </c>
      <c r="B185" s="377" t="s">
        <v>351</v>
      </c>
      <c r="C185" s="377" t="s">
        <v>338</v>
      </c>
      <c r="D185" s="383" t="str">
        <f t="shared" si="0"/>
        <v/>
      </c>
      <c r="E185" s="384"/>
      <c r="F185" s="384"/>
      <c r="G185" s="384"/>
      <c r="H185" s="388"/>
      <c r="I185" s="384"/>
      <c r="J185" s="382"/>
      <c r="K185" s="389" t="s">
        <v>479</v>
      </c>
      <c r="L185" s="380">
        <v>9030</v>
      </c>
      <c r="M185" s="380">
        <v>2052</v>
      </c>
      <c r="N185" s="380">
        <v>750</v>
      </c>
      <c r="O185" s="383"/>
      <c r="P185" s="384"/>
      <c r="Q185" s="384"/>
      <c r="R185" s="384"/>
      <c r="S185" s="385"/>
      <c r="T185" s="383"/>
      <c r="U185" s="384"/>
      <c r="V185" s="384"/>
      <c r="W185" s="382"/>
      <c r="X185" s="377" t="s">
        <v>343</v>
      </c>
      <c r="Y185" s="370"/>
      <c r="Z185" s="370"/>
      <c r="AA185" s="370"/>
      <c r="AB185" s="370"/>
      <c r="AC185" s="385"/>
      <c r="AD185" s="385"/>
      <c r="AE185" s="385"/>
      <c r="AF185" s="385"/>
      <c r="AG185" s="377" t="s">
        <v>337</v>
      </c>
      <c r="AH185" s="385"/>
      <c r="AI185" s="385"/>
      <c r="AJ185" s="385"/>
      <c r="AK185" s="385"/>
      <c r="AL185" s="385"/>
      <c r="AM185" s="387"/>
      <c r="AN185" s="387"/>
    </row>
    <row r="186" spans="1:40" ht="22.5" hidden="1" customHeight="1" x14ac:dyDescent="0.2">
      <c r="A186" s="376">
        <v>45790.418372847227</v>
      </c>
      <c r="B186" s="377" t="s">
        <v>351</v>
      </c>
      <c r="C186" s="377" t="s">
        <v>338</v>
      </c>
      <c r="D186" s="383" t="str">
        <f t="shared" si="0"/>
        <v/>
      </c>
      <c r="E186" s="384"/>
      <c r="F186" s="384"/>
      <c r="G186" s="384"/>
      <c r="H186" s="388"/>
      <c r="I186" s="384"/>
      <c r="J186" s="382"/>
      <c r="K186" s="389" t="s">
        <v>479</v>
      </c>
      <c r="L186" s="380">
        <v>9031</v>
      </c>
      <c r="M186" s="380">
        <v>2055</v>
      </c>
      <c r="N186" s="380">
        <v>751</v>
      </c>
      <c r="O186" s="383"/>
      <c r="P186" s="384"/>
      <c r="Q186" s="384"/>
      <c r="R186" s="384"/>
      <c r="S186" s="385"/>
      <c r="T186" s="383"/>
      <c r="U186" s="384"/>
      <c r="V186" s="384"/>
      <c r="W186" s="382"/>
      <c r="X186" s="377" t="s">
        <v>343</v>
      </c>
      <c r="Y186" s="370"/>
      <c r="Z186" s="370"/>
      <c r="AA186" s="370"/>
      <c r="AB186" s="370"/>
      <c r="AC186" s="385"/>
      <c r="AD186" s="385"/>
      <c r="AE186" s="385"/>
      <c r="AF186" s="385"/>
      <c r="AG186" s="377" t="s">
        <v>337</v>
      </c>
      <c r="AH186" s="385"/>
      <c r="AI186" s="385"/>
      <c r="AJ186" s="385"/>
      <c r="AK186" s="385"/>
      <c r="AL186" s="385"/>
      <c r="AM186" s="387"/>
      <c r="AN186" s="387"/>
    </row>
    <row r="187" spans="1:40" ht="22.5" hidden="1" customHeight="1" x14ac:dyDescent="0.2">
      <c r="A187" s="376">
        <v>45790.419568414349</v>
      </c>
      <c r="B187" s="377" t="s">
        <v>56</v>
      </c>
      <c r="C187" s="377" t="s">
        <v>338</v>
      </c>
      <c r="D187" s="383" t="str">
        <f t="shared" si="0"/>
        <v>2015</v>
      </c>
      <c r="E187" s="379" t="s">
        <v>646</v>
      </c>
      <c r="F187" s="380">
        <v>40968</v>
      </c>
      <c r="G187" s="380">
        <v>13331</v>
      </c>
      <c r="H187" s="381" t="s">
        <v>647</v>
      </c>
      <c r="I187" s="380">
        <v>2238</v>
      </c>
      <c r="J187" s="390" t="s">
        <v>53</v>
      </c>
      <c r="K187" s="383"/>
      <c r="L187" s="384"/>
      <c r="M187" s="384"/>
      <c r="N187" s="384"/>
      <c r="O187" s="383"/>
      <c r="P187" s="384"/>
      <c r="Q187" s="384"/>
      <c r="R187" s="384"/>
      <c r="S187" s="391"/>
      <c r="T187" s="383"/>
      <c r="U187" s="384"/>
      <c r="V187" s="384"/>
      <c r="W187" s="382"/>
      <c r="X187" s="377" t="s">
        <v>343</v>
      </c>
      <c r="Y187" s="362"/>
      <c r="Z187" s="362"/>
      <c r="AA187" s="362"/>
      <c r="AB187" s="362"/>
      <c r="AC187" s="385"/>
      <c r="AD187" s="385"/>
      <c r="AE187" s="385"/>
      <c r="AF187" s="385"/>
      <c r="AG187" s="377" t="s">
        <v>337</v>
      </c>
      <c r="AH187" s="385"/>
      <c r="AI187" s="385"/>
      <c r="AJ187" s="385"/>
      <c r="AK187" s="385"/>
      <c r="AL187" s="385"/>
      <c r="AM187" s="387"/>
      <c r="AN187" s="387"/>
    </row>
    <row r="188" spans="1:40" ht="22.5" hidden="1" customHeight="1" x14ac:dyDescent="0.2">
      <c r="A188" s="376">
        <v>45790.420305486114</v>
      </c>
      <c r="B188" s="377" t="s">
        <v>56</v>
      </c>
      <c r="C188" s="377" t="s">
        <v>338</v>
      </c>
      <c r="D188" s="383" t="str">
        <f t="shared" si="0"/>
        <v>2017</v>
      </c>
      <c r="E188" s="379" t="s">
        <v>648</v>
      </c>
      <c r="F188" s="380">
        <v>49377</v>
      </c>
      <c r="G188" s="380">
        <v>15314</v>
      </c>
      <c r="H188" s="381" t="s">
        <v>649</v>
      </c>
      <c r="I188" s="380">
        <v>2953</v>
      </c>
      <c r="J188" s="390" t="s">
        <v>53</v>
      </c>
      <c r="K188" s="383"/>
      <c r="L188" s="384"/>
      <c r="M188" s="384"/>
      <c r="N188" s="384"/>
      <c r="O188" s="383"/>
      <c r="P188" s="384"/>
      <c r="Q188" s="384"/>
      <c r="R188" s="384"/>
      <c r="S188" s="391"/>
      <c r="T188" s="383"/>
      <c r="U188" s="384"/>
      <c r="V188" s="384"/>
      <c r="W188" s="382"/>
      <c r="X188" s="377" t="s">
        <v>343</v>
      </c>
      <c r="Y188" s="362"/>
      <c r="Z188" s="362"/>
      <c r="AA188" s="362"/>
      <c r="AB188" s="362"/>
      <c r="AC188" s="385"/>
      <c r="AD188" s="385"/>
      <c r="AE188" s="385"/>
      <c r="AF188" s="385"/>
      <c r="AG188" s="377" t="s">
        <v>337</v>
      </c>
      <c r="AH188" s="385"/>
      <c r="AI188" s="385"/>
      <c r="AJ188" s="385"/>
      <c r="AK188" s="385"/>
      <c r="AL188" s="385"/>
      <c r="AM188" s="387"/>
      <c r="AN188" s="387"/>
    </row>
    <row r="189" spans="1:40" ht="22.5" hidden="1" customHeight="1" x14ac:dyDescent="0.2">
      <c r="A189" s="376">
        <v>45790.420929456013</v>
      </c>
      <c r="B189" s="377" t="s">
        <v>56</v>
      </c>
      <c r="C189" s="377" t="s">
        <v>338</v>
      </c>
      <c r="D189" s="383" t="str">
        <f t="shared" si="0"/>
        <v>2018</v>
      </c>
      <c r="E189" s="379" t="s">
        <v>650</v>
      </c>
      <c r="F189" s="380">
        <v>52770</v>
      </c>
      <c r="G189" s="380">
        <v>13164</v>
      </c>
      <c r="H189" s="381" t="s">
        <v>651</v>
      </c>
      <c r="I189" s="380">
        <v>2646</v>
      </c>
      <c r="J189" s="390" t="s">
        <v>53</v>
      </c>
      <c r="K189" s="383"/>
      <c r="L189" s="384"/>
      <c r="M189" s="384"/>
      <c r="N189" s="384"/>
      <c r="O189" s="383"/>
      <c r="P189" s="384"/>
      <c r="Q189" s="384"/>
      <c r="R189" s="384"/>
      <c r="S189" s="391"/>
      <c r="T189" s="383"/>
      <c r="U189" s="384"/>
      <c r="V189" s="384"/>
      <c r="W189" s="382"/>
      <c r="X189" s="377" t="s">
        <v>343</v>
      </c>
      <c r="Y189" s="362"/>
      <c r="Z189" s="362"/>
      <c r="AA189" s="362"/>
      <c r="AB189" s="362"/>
      <c r="AC189" s="385"/>
      <c r="AD189" s="385"/>
      <c r="AE189" s="385"/>
      <c r="AF189" s="385"/>
      <c r="AG189" s="377" t="s">
        <v>337</v>
      </c>
      <c r="AH189" s="385"/>
      <c r="AI189" s="385"/>
      <c r="AJ189" s="385"/>
      <c r="AK189" s="385"/>
      <c r="AL189" s="385"/>
      <c r="AM189" s="387"/>
      <c r="AN189" s="387"/>
    </row>
    <row r="190" spans="1:40" ht="22.5" hidden="1" customHeight="1" x14ac:dyDescent="0.2">
      <c r="A190" s="376">
        <v>45790.421950358796</v>
      </c>
      <c r="B190" s="377" t="s">
        <v>56</v>
      </c>
      <c r="C190" s="377" t="s">
        <v>338</v>
      </c>
      <c r="D190" s="383" t="str">
        <f t="shared" si="0"/>
        <v>2021</v>
      </c>
      <c r="E190" s="379" t="s">
        <v>652</v>
      </c>
      <c r="F190" s="380">
        <v>61257</v>
      </c>
      <c r="G190" s="380">
        <v>6180</v>
      </c>
      <c r="H190" s="381" t="s">
        <v>653</v>
      </c>
      <c r="I190" s="380">
        <v>1262</v>
      </c>
      <c r="J190" s="390" t="s">
        <v>53</v>
      </c>
      <c r="K190" s="383"/>
      <c r="L190" s="384"/>
      <c r="M190" s="384"/>
      <c r="N190" s="384"/>
      <c r="O190" s="383"/>
      <c r="P190" s="384"/>
      <c r="Q190" s="384"/>
      <c r="R190" s="384"/>
      <c r="S190" s="391"/>
      <c r="T190" s="383"/>
      <c r="U190" s="384"/>
      <c r="V190" s="384"/>
      <c r="W190" s="382"/>
      <c r="X190" s="377" t="s">
        <v>343</v>
      </c>
      <c r="Y190" s="362"/>
      <c r="Z190" s="362"/>
      <c r="AA190" s="362"/>
      <c r="AB190" s="362"/>
      <c r="AC190" s="385"/>
      <c r="AD190" s="385"/>
      <c r="AE190" s="385"/>
      <c r="AF190" s="385"/>
      <c r="AG190" s="377" t="s">
        <v>337</v>
      </c>
      <c r="AH190" s="385"/>
      <c r="AI190" s="385"/>
      <c r="AJ190" s="385"/>
      <c r="AK190" s="385"/>
      <c r="AL190" s="385"/>
      <c r="AM190" s="387"/>
      <c r="AN190" s="387"/>
    </row>
    <row r="191" spans="1:40" ht="22.5" hidden="1" customHeight="1" x14ac:dyDescent="0.2">
      <c r="A191" s="376">
        <v>45793.484332858796</v>
      </c>
      <c r="B191" s="377" t="s">
        <v>56</v>
      </c>
      <c r="C191" s="377" t="s">
        <v>381</v>
      </c>
      <c r="D191" s="383" t="str">
        <f t="shared" si="0"/>
        <v>2020</v>
      </c>
      <c r="E191" s="379" t="s">
        <v>654</v>
      </c>
      <c r="F191" s="380">
        <v>59130</v>
      </c>
      <c r="G191" s="380">
        <v>6194</v>
      </c>
      <c r="H191" s="381" t="s">
        <v>655</v>
      </c>
      <c r="I191" s="380">
        <v>1200</v>
      </c>
      <c r="J191" s="390" t="s">
        <v>53</v>
      </c>
      <c r="K191" s="383"/>
      <c r="L191" s="384"/>
      <c r="M191" s="384"/>
      <c r="N191" s="384"/>
      <c r="O191" s="383"/>
      <c r="P191" s="384"/>
      <c r="Q191" s="384"/>
      <c r="R191" s="384"/>
      <c r="S191" s="391"/>
      <c r="T191" s="383"/>
      <c r="U191" s="384"/>
      <c r="V191" s="384"/>
      <c r="W191" s="382"/>
      <c r="X191" s="377" t="s">
        <v>343</v>
      </c>
      <c r="Y191" s="362"/>
      <c r="Z191" s="362"/>
      <c r="AA191" s="362"/>
      <c r="AB191" s="362"/>
      <c r="AC191" s="385"/>
      <c r="AD191" s="385"/>
      <c r="AE191" s="385"/>
      <c r="AF191" s="385"/>
      <c r="AG191" s="377" t="s">
        <v>337</v>
      </c>
      <c r="AH191" s="385"/>
      <c r="AI191" s="385"/>
      <c r="AJ191" s="385"/>
      <c r="AK191" s="385"/>
      <c r="AL191" s="385"/>
      <c r="AM191" s="387"/>
      <c r="AN191" s="387"/>
    </row>
    <row r="192" spans="1:40" ht="22.5" hidden="1" customHeight="1" x14ac:dyDescent="0.2">
      <c r="A192" s="376">
        <v>45797.352727430552</v>
      </c>
      <c r="B192" s="377" t="s">
        <v>56</v>
      </c>
      <c r="C192" s="377" t="s">
        <v>464</v>
      </c>
      <c r="D192" s="383" t="str">
        <f t="shared" si="0"/>
        <v>2019</v>
      </c>
      <c r="E192" s="379" t="s">
        <v>656</v>
      </c>
      <c r="F192" s="380">
        <v>54251</v>
      </c>
      <c r="G192" s="380">
        <v>1888</v>
      </c>
      <c r="H192" s="381" t="s">
        <v>657</v>
      </c>
      <c r="I192" s="380">
        <v>396</v>
      </c>
      <c r="J192" s="390" t="s">
        <v>54</v>
      </c>
      <c r="K192" s="383"/>
      <c r="L192" s="384"/>
      <c r="M192" s="384"/>
      <c r="N192" s="384"/>
      <c r="O192" s="383"/>
      <c r="P192" s="384"/>
      <c r="Q192" s="384"/>
      <c r="R192" s="384"/>
      <c r="S192" s="391"/>
      <c r="T192" s="383"/>
      <c r="U192" s="384"/>
      <c r="V192" s="384"/>
      <c r="W192" s="382"/>
      <c r="X192" s="377" t="s">
        <v>343</v>
      </c>
      <c r="Y192" s="362"/>
      <c r="Z192" s="362"/>
      <c r="AA192" s="362"/>
      <c r="AB192" s="485"/>
      <c r="AC192" s="385"/>
      <c r="AD192" s="385"/>
      <c r="AE192" s="385"/>
      <c r="AF192" s="385"/>
      <c r="AG192" s="377" t="s">
        <v>337</v>
      </c>
      <c r="AH192" s="385"/>
      <c r="AI192" s="385"/>
      <c r="AJ192" s="385"/>
      <c r="AK192" s="385"/>
      <c r="AL192" s="385"/>
      <c r="AM192" s="387"/>
      <c r="AN192" s="387"/>
    </row>
    <row r="193" spans="1:40" ht="22.5" hidden="1" customHeight="1" x14ac:dyDescent="0.2">
      <c r="A193" s="376">
        <v>45797.394430092594</v>
      </c>
      <c r="B193" s="377" t="s">
        <v>56</v>
      </c>
      <c r="C193" s="377" t="s">
        <v>381</v>
      </c>
      <c r="D193" s="383" t="str">
        <f t="shared" si="0"/>
        <v>2022</v>
      </c>
      <c r="E193" s="379" t="s">
        <v>658</v>
      </c>
      <c r="F193" s="380">
        <v>65771</v>
      </c>
      <c r="G193" s="380">
        <v>12465</v>
      </c>
      <c r="H193" s="381" t="s">
        <v>659</v>
      </c>
      <c r="I193" s="380">
        <v>2379</v>
      </c>
      <c r="J193" s="390" t="s">
        <v>53</v>
      </c>
      <c r="K193" s="383"/>
      <c r="L193" s="384"/>
      <c r="M193" s="384"/>
      <c r="N193" s="384"/>
      <c r="O193" s="383"/>
      <c r="P193" s="384"/>
      <c r="Q193" s="384"/>
      <c r="R193" s="384"/>
      <c r="S193" s="391"/>
      <c r="T193" s="383"/>
      <c r="U193" s="384"/>
      <c r="V193" s="384"/>
      <c r="W193" s="382"/>
      <c r="X193" s="377" t="s">
        <v>343</v>
      </c>
      <c r="Y193" s="362"/>
      <c r="Z193" s="362"/>
      <c r="AA193" s="362"/>
      <c r="AB193" s="362"/>
      <c r="AC193" s="385"/>
      <c r="AD193" s="385"/>
      <c r="AE193" s="385"/>
      <c r="AF193" s="385"/>
      <c r="AG193" s="377" t="s">
        <v>337</v>
      </c>
      <c r="AH193" s="385"/>
      <c r="AI193" s="385"/>
      <c r="AJ193" s="385"/>
      <c r="AK193" s="385"/>
      <c r="AL193" s="385"/>
      <c r="AM193" s="387"/>
      <c r="AN193" s="387"/>
    </row>
    <row r="194" spans="1:40" ht="22.5" hidden="1" customHeight="1" x14ac:dyDescent="0.2">
      <c r="A194" s="376">
        <v>45797.395156122686</v>
      </c>
      <c r="B194" s="377" t="s">
        <v>56</v>
      </c>
      <c r="C194" s="377" t="s">
        <v>381</v>
      </c>
      <c r="D194" s="383" t="str">
        <f t="shared" si="0"/>
        <v>2022</v>
      </c>
      <c r="E194" s="379" t="s">
        <v>660</v>
      </c>
      <c r="F194" s="380">
        <v>63547</v>
      </c>
      <c r="G194" s="380">
        <v>2750</v>
      </c>
      <c r="H194" s="381" t="s">
        <v>661</v>
      </c>
      <c r="I194" s="380">
        <v>539</v>
      </c>
      <c r="J194" s="390" t="s">
        <v>53</v>
      </c>
      <c r="K194" s="383"/>
      <c r="L194" s="384"/>
      <c r="M194" s="384"/>
      <c r="N194" s="384"/>
      <c r="O194" s="383"/>
      <c r="P194" s="384"/>
      <c r="Q194" s="384"/>
      <c r="R194" s="384"/>
      <c r="S194" s="391"/>
      <c r="T194" s="383"/>
      <c r="U194" s="384"/>
      <c r="V194" s="384"/>
      <c r="W194" s="382"/>
      <c r="X194" s="377" t="s">
        <v>343</v>
      </c>
      <c r="Y194" s="362"/>
      <c r="Z194" s="362"/>
      <c r="AA194" s="362"/>
      <c r="AB194" s="362"/>
      <c r="AC194" s="385"/>
      <c r="AD194" s="385"/>
      <c r="AE194" s="385"/>
      <c r="AF194" s="385"/>
      <c r="AG194" s="377" t="s">
        <v>337</v>
      </c>
      <c r="AH194" s="385"/>
      <c r="AI194" s="385"/>
      <c r="AJ194" s="385"/>
      <c r="AK194" s="385"/>
      <c r="AL194" s="385"/>
      <c r="AM194" s="387"/>
      <c r="AN194" s="387"/>
    </row>
    <row r="195" spans="1:40" ht="22.5" hidden="1" customHeight="1" x14ac:dyDescent="0.2">
      <c r="A195" s="376">
        <v>45800.45790069444</v>
      </c>
      <c r="B195" s="377" t="s">
        <v>56</v>
      </c>
      <c r="C195" s="377" t="s">
        <v>464</v>
      </c>
      <c r="D195" s="383" t="str">
        <f t="shared" si="0"/>
        <v>2010</v>
      </c>
      <c r="E195" s="379" t="s">
        <v>519</v>
      </c>
      <c r="F195" s="380">
        <v>22952</v>
      </c>
      <c r="G195" s="380">
        <v>12171</v>
      </c>
      <c r="H195" s="381" t="s">
        <v>520</v>
      </c>
      <c r="I195" s="380">
        <v>1381</v>
      </c>
      <c r="J195" s="390" t="s">
        <v>54</v>
      </c>
      <c r="K195" s="383"/>
      <c r="L195" s="384"/>
      <c r="M195" s="384"/>
      <c r="N195" s="384"/>
      <c r="O195" s="383"/>
      <c r="P195" s="384"/>
      <c r="Q195" s="384"/>
      <c r="R195" s="384"/>
      <c r="S195" s="391"/>
      <c r="T195" s="383"/>
      <c r="U195" s="384"/>
      <c r="V195" s="384"/>
      <c r="W195" s="382"/>
      <c r="X195" s="377" t="s">
        <v>343</v>
      </c>
      <c r="Y195" s="485" t="s">
        <v>662</v>
      </c>
      <c r="Z195" s="485" t="s">
        <v>663</v>
      </c>
      <c r="AA195" s="485">
        <v>25</v>
      </c>
      <c r="AB195" s="485" t="s">
        <v>664</v>
      </c>
      <c r="AC195" s="385"/>
      <c r="AD195" s="385"/>
      <c r="AE195" s="385"/>
      <c r="AF195" s="385"/>
      <c r="AG195" s="377" t="s">
        <v>337</v>
      </c>
      <c r="AH195" s="385"/>
      <c r="AI195" s="385"/>
      <c r="AJ195" s="385"/>
      <c r="AK195" s="385"/>
      <c r="AL195" s="385"/>
      <c r="AM195" s="387"/>
      <c r="AN195" s="387"/>
    </row>
    <row r="196" spans="1:40" ht="22.5" hidden="1" customHeight="1" x14ac:dyDescent="0.2">
      <c r="A196" s="376">
        <v>45800.60192021991</v>
      </c>
      <c r="B196" s="377" t="s">
        <v>56</v>
      </c>
      <c r="C196" s="377" t="s">
        <v>381</v>
      </c>
      <c r="D196" s="383" t="str">
        <f t="shared" si="0"/>
        <v>2023</v>
      </c>
      <c r="E196" s="379" t="s">
        <v>665</v>
      </c>
      <c r="F196" s="380">
        <v>66797</v>
      </c>
      <c r="G196" s="380">
        <v>869</v>
      </c>
      <c r="H196" s="381" t="s">
        <v>666</v>
      </c>
      <c r="I196" s="380">
        <v>164</v>
      </c>
      <c r="J196" s="390" t="s">
        <v>53</v>
      </c>
      <c r="K196" s="383"/>
      <c r="L196" s="384"/>
      <c r="M196" s="384"/>
      <c r="N196" s="384"/>
      <c r="O196" s="383"/>
      <c r="P196" s="384"/>
      <c r="Q196" s="384"/>
      <c r="R196" s="384"/>
      <c r="S196" s="391"/>
      <c r="T196" s="383"/>
      <c r="U196" s="384"/>
      <c r="V196" s="384"/>
      <c r="W196" s="382"/>
      <c r="X196" s="377" t="s">
        <v>343</v>
      </c>
      <c r="Y196" s="485" t="s">
        <v>667</v>
      </c>
      <c r="Z196" s="485" t="s">
        <v>668</v>
      </c>
      <c r="AA196" s="485">
        <v>14</v>
      </c>
      <c r="AB196" s="485" t="s">
        <v>669</v>
      </c>
      <c r="AC196" s="385"/>
      <c r="AD196" s="385"/>
      <c r="AE196" s="385"/>
      <c r="AF196" s="385"/>
      <c r="AG196" s="377" t="s">
        <v>337</v>
      </c>
      <c r="AH196" s="385"/>
      <c r="AI196" s="385"/>
      <c r="AJ196" s="385"/>
      <c r="AK196" s="385"/>
      <c r="AL196" s="385"/>
      <c r="AM196" s="387"/>
      <c r="AN196" s="387"/>
    </row>
    <row r="197" spans="1:40" ht="22.5" hidden="1" customHeight="1" x14ac:dyDescent="0.2">
      <c r="A197" s="376">
        <v>45801.432417199074</v>
      </c>
      <c r="B197" s="377" t="s">
        <v>56</v>
      </c>
      <c r="C197" s="377" t="s">
        <v>338</v>
      </c>
      <c r="D197" s="383" t="str">
        <f t="shared" si="0"/>
        <v>2010</v>
      </c>
      <c r="E197" s="380" t="s">
        <v>670</v>
      </c>
      <c r="F197" s="380">
        <v>23615</v>
      </c>
      <c r="G197" s="380">
        <v>17240</v>
      </c>
      <c r="H197" s="381" t="s">
        <v>671</v>
      </c>
      <c r="I197" s="380">
        <v>1963</v>
      </c>
      <c r="J197" s="390" t="s">
        <v>53</v>
      </c>
      <c r="K197" s="383"/>
      <c r="L197" s="384"/>
      <c r="M197" s="384"/>
      <c r="N197" s="384"/>
      <c r="O197" s="383"/>
      <c r="P197" s="384"/>
      <c r="Q197" s="384"/>
      <c r="R197" s="384"/>
      <c r="S197" s="391"/>
      <c r="T197" s="383"/>
      <c r="U197" s="384"/>
      <c r="V197" s="384"/>
      <c r="W197" s="382"/>
      <c r="X197" s="377" t="s">
        <v>343</v>
      </c>
      <c r="Y197" s="485" t="s">
        <v>662</v>
      </c>
      <c r="Z197" s="485" t="s">
        <v>672</v>
      </c>
      <c r="AA197" s="485">
        <v>6</v>
      </c>
      <c r="AB197" s="485" t="s">
        <v>669</v>
      </c>
      <c r="AC197" s="385"/>
      <c r="AD197" s="385"/>
      <c r="AE197" s="385"/>
      <c r="AF197" s="385"/>
      <c r="AG197" s="377" t="s">
        <v>337</v>
      </c>
      <c r="AH197" s="385"/>
      <c r="AI197" s="385"/>
      <c r="AJ197" s="385"/>
      <c r="AK197" s="385"/>
      <c r="AL197" s="385"/>
      <c r="AM197" s="387"/>
      <c r="AN197" s="387"/>
    </row>
    <row r="198" spans="1:40" ht="22.5" hidden="1" customHeight="1" x14ac:dyDescent="0.2">
      <c r="A198" s="376">
        <v>45801.439414641209</v>
      </c>
      <c r="B198" s="377" t="s">
        <v>56</v>
      </c>
      <c r="C198" s="377" t="s">
        <v>338</v>
      </c>
      <c r="D198" s="383" t="str">
        <f t="shared" si="0"/>
        <v>2017</v>
      </c>
      <c r="E198" s="379" t="s">
        <v>673</v>
      </c>
      <c r="F198" s="380">
        <v>45256</v>
      </c>
      <c r="G198" s="380">
        <v>11</v>
      </c>
      <c r="H198" s="381" t="s">
        <v>567</v>
      </c>
      <c r="I198" s="380" t="s">
        <v>359</v>
      </c>
      <c r="J198" s="390" t="s">
        <v>53</v>
      </c>
      <c r="K198" s="383"/>
      <c r="L198" s="384"/>
      <c r="M198" s="384"/>
      <c r="N198" s="384"/>
      <c r="O198" s="383"/>
      <c r="P198" s="384"/>
      <c r="Q198" s="384"/>
      <c r="R198" s="384"/>
      <c r="S198" s="391"/>
      <c r="T198" s="383"/>
      <c r="U198" s="384"/>
      <c r="V198" s="384"/>
      <c r="W198" s="382"/>
      <c r="X198" s="377" t="s">
        <v>343</v>
      </c>
      <c r="Y198" s="485" t="s">
        <v>662</v>
      </c>
      <c r="Z198" s="485" t="s">
        <v>674</v>
      </c>
      <c r="AA198" s="485">
        <v>6</v>
      </c>
      <c r="AB198" s="485" t="s">
        <v>669</v>
      </c>
      <c r="AC198" s="385"/>
      <c r="AD198" s="385"/>
      <c r="AE198" s="385"/>
      <c r="AF198" s="385"/>
      <c r="AG198" s="377" t="s">
        <v>337</v>
      </c>
      <c r="AH198" s="385"/>
      <c r="AI198" s="385"/>
      <c r="AJ198" s="385"/>
      <c r="AK198" s="385"/>
      <c r="AL198" s="385"/>
      <c r="AM198" s="387"/>
      <c r="AN198" s="387"/>
    </row>
    <row r="199" spans="1:40" ht="22.5" hidden="1" customHeight="1" x14ac:dyDescent="0.2">
      <c r="A199" s="376">
        <v>45801.440239652773</v>
      </c>
      <c r="B199" s="377" t="s">
        <v>351</v>
      </c>
      <c r="C199" s="377" t="s">
        <v>338</v>
      </c>
      <c r="D199" s="383" t="str">
        <f t="shared" si="0"/>
        <v/>
      </c>
      <c r="E199" s="384"/>
      <c r="F199" s="384"/>
      <c r="G199" s="384"/>
      <c r="H199" s="388"/>
      <c r="I199" s="384"/>
      <c r="J199" s="382"/>
      <c r="K199" s="378" t="s">
        <v>675</v>
      </c>
      <c r="L199" s="380">
        <v>15450</v>
      </c>
      <c r="M199" s="380">
        <v>340</v>
      </c>
      <c r="N199" s="380">
        <v>211</v>
      </c>
      <c r="O199" s="383"/>
      <c r="P199" s="384"/>
      <c r="Q199" s="384"/>
      <c r="R199" s="384"/>
      <c r="S199" s="385"/>
      <c r="T199" s="383"/>
      <c r="U199" s="384"/>
      <c r="V199" s="384"/>
      <c r="W199" s="382"/>
      <c r="X199" s="377" t="s">
        <v>343</v>
      </c>
      <c r="Y199" s="485" t="s">
        <v>662</v>
      </c>
      <c r="Z199" s="485" t="s">
        <v>672</v>
      </c>
      <c r="AA199" s="485">
        <v>4</v>
      </c>
      <c r="AB199" s="485" t="s">
        <v>669</v>
      </c>
      <c r="AC199" s="385"/>
      <c r="AD199" s="385"/>
      <c r="AE199" s="385"/>
      <c r="AF199" s="385"/>
      <c r="AG199" s="377" t="s">
        <v>337</v>
      </c>
      <c r="AH199" s="385"/>
      <c r="AI199" s="385"/>
      <c r="AJ199" s="385"/>
      <c r="AK199" s="385"/>
      <c r="AL199" s="385"/>
      <c r="AM199" s="387"/>
      <c r="AN199" s="387"/>
    </row>
    <row r="200" spans="1:40" ht="22.5" hidden="1" customHeight="1" x14ac:dyDescent="0.2">
      <c r="A200" s="376">
        <v>45801.440874236112</v>
      </c>
      <c r="B200" s="377" t="s">
        <v>351</v>
      </c>
      <c r="C200" s="377" t="s">
        <v>338</v>
      </c>
      <c r="D200" s="383" t="str">
        <f t="shared" si="0"/>
        <v/>
      </c>
      <c r="E200" s="384"/>
      <c r="F200" s="384"/>
      <c r="G200" s="384"/>
      <c r="H200" s="388"/>
      <c r="I200" s="384"/>
      <c r="J200" s="382"/>
      <c r="K200" s="389" t="s">
        <v>676</v>
      </c>
      <c r="L200" s="380">
        <v>7323</v>
      </c>
      <c r="M200" s="380">
        <v>1771</v>
      </c>
      <c r="N200" s="380">
        <v>851</v>
      </c>
      <c r="O200" s="383"/>
      <c r="P200" s="384"/>
      <c r="Q200" s="384"/>
      <c r="R200" s="384"/>
      <c r="S200" s="385"/>
      <c r="T200" s="383"/>
      <c r="U200" s="384"/>
      <c r="V200" s="384"/>
      <c r="W200" s="382"/>
      <c r="X200" s="377" t="s">
        <v>343</v>
      </c>
      <c r="Y200" s="485" t="s">
        <v>662</v>
      </c>
      <c r="Z200" s="485" t="s">
        <v>677</v>
      </c>
      <c r="AA200" s="485">
        <v>2</v>
      </c>
      <c r="AB200" s="485" t="s">
        <v>669</v>
      </c>
      <c r="AC200" s="385"/>
      <c r="AD200" s="385"/>
      <c r="AE200" s="385"/>
      <c r="AF200" s="385"/>
      <c r="AG200" s="377" t="s">
        <v>337</v>
      </c>
      <c r="AH200" s="385"/>
      <c r="AI200" s="385"/>
      <c r="AJ200" s="385"/>
      <c r="AK200" s="385"/>
      <c r="AL200" s="385"/>
      <c r="AM200" s="387"/>
      <c r="AN200" s="387"/>
    </row>
    <row r="201" spans="1:40" ht="22.5" hidden="1" customHeight="1" x14ac:dyDescent="0.2">
      <c r="A201" s="376">
        <v>45801.441675185182</v>
      </c>
      <c r="B201" s="377" t="s">
        <v>56</v>
      </c>
      <c r="C201" s="377" t="s">
        <v>338</v>
      </c>
      <c r="D201" s="383" t="str">
        <f t="shared" si="0"/>
        <v>2017</v>
      </c>
      <c r="E201" s="380" t="s">
        <v>678</v>
      </c>
      <c r="F201" s="380">
        <v>46658</v>
      </c>
      <c r="G201" s="380">
        <v>4497</v>
      </c>
      <c r="H201" s="381" t="s">
        <v>679</v>
      </c>
      <c r="I201" s="380">
        <v>881</v>
      </c>
      <c r="J201" s="390" t="s">
        <v>53</v>
      </c>
      <c r="K201" s="383"/>
      <c r="L201" s="384"/>
      <c r="M201" s="384"/>
      <c r="N201" s="384"/>
      <c r="O201" s="383"/>
      <c r="P201" s="384"/>
      <c r="Q201" s="384"/>
      <c r="R201" s="384"/>
      <c r="S201" s="391"/>
      <c r="T201" s="383"/>
      <c r="U201" s="384"/>
      <c r="V201" s="384"/>
      <c r="W201" s="382"/>
      <c r="X201" s="377" t="s">
        <v>343</v>
      </c>
      <c r="Y201" s="485" t="s">
        <v>662</v>
      </c>
      <c r="Z201" s="485" t="s">
        <v>674</v>
      </c>
      <c r="AA201" s="485">
        <v>6</v>
      </c>
      <c r="AB201" s="485" t="s">
        <v>669</v>
      </c>
      <c r="AC201" s="385"/>
      <c r="AD201" s="385"/>
      <c r="AE201" s="385"/>
      <c r="AF201" s="385"/>
      <c r="AG201" s="377" t="s">
        <v>337</v>
      </c>
      <c r="AH201" s="385"/>
      <c r="AI201" s="385"/>
      <c r="AJ201" s="385"/>
      <c r="AK201" s="385"/>
      <c r="AL201" s="385"/>
      <c r="AM201" s="387"/>
      <c r="AN201" s="387"/>
    </row>
    <row r="202" spans="1:40" ht="22.5" hidden="1" customHeight="1" x14ac:dyDescent="0.2">
      <c r="A202" s="376">
        <v>45801.444085462965</v>
      </c>
      <c r="B202" s="377" t="s">
        <v>56</v>
      </c>
      <c r="C202" s="377" t="s">
        <v>338</v>
      </c>
      <c r="D202" s="383" t="str">
        <f t="shared" si="0"/>
        <v>2022</v>
      </c>
      <c r="E202" s="379" t="s">
        <v>680</v>
      </c>
      <c r="F202" s="380">
        <v>62965</v>
      </c>
      <c r="G202" s="380">
        <v>585</v>
      </c>
      <c r="H202" s="381" t="s">
        <v>681</v>
      </c>
      <c r="I202" s="380">
        <v>123</v>
      </c>
      <c r="J202" s="390" t="s">
        <v>53</v>
      </c>
      <c r="K202" s="383"/>
      <c r="L202" s="384"/>
      <c r="M202" s="384"/>
      <c r="N202" s="384"/>
      <c r="O202" s="383"/>
      <c r="P202" s="384"/>
      <c r="Q202" s="384"/>
      <c r="R202" s="384"/>
      <c r="S202" s="391"/>
      <c r="T202" s="383"/>
      <c r="U202" s="384"/>
      <c r="V202" s="384"/>
      <c r="W202" s="382"/>
      <c r="X202" s="377" t="s">
        <v>343</v>
      </c>
      <c r="Y202" s="485" t="s">
        <v>662</v>
      </c>
      <c r="Z202" s="485" t="s">
        <v>672</v>
      </c>
      <c r="AA202" s="485">
        <v>4</v>
      </c>
      <c r="AB202" s="485" t="s">
        <v>669</v>
      </c>
      <c r="AC202" s="385"/>
      <c r="AD202" s="385"/>
      <c r="AE202" s="385"/>
      <c r="AF202" s="385"/>
      <c r="AG202" s="377" t="s">
        <v>337</v>
      </c>
      <c r="AH202" s="385"/>
      <c r="AI202" s="385"/>
      <c r="AJ202" s="385"/>
      <c r="AK202" s="385"/>
      <c r="AL202" s="385"/>
      <c r="AM202" s="387"/>
      <c r="AN202" s="387"/>
    </row>
    <row r="203" spans="1:40" ht="22.5" hidden="1" customHeight="1" x14ac:dyDescent="0.2">
      <c r="A203" s="376">
        <v>45801.445015972218</v>
      </c>
      <c r="B203" s="377" t="s">
        <v>56</v>
      </c>
      <c r="C203" s="377" t="s">
        <v>338</v>
      </c>
      <c r="D203" s="383" t="str">
        <f t="shared" si="0"/>
        <v>2022</v>
      </c>
      <c r="E203" s="380" t="s">
        <v>682</v>
      </c>
      <c r="F203" s="380">
        <v>65123</v>
      </c>
      <c r="G203" s="380">
        <v>9797</v>
      </c>
      <c r="H203" s="381" t="s">
        <v>683</v>
      </c>
      <c r="I203" s="380">
        <v>1867</v>
      </c>
      <c r="J203" s="390" t="s">
        <v>53</v>
      </c>
      <c r="K203" s="383"/>
      <c r="L203" s="384"/>
      <c r="M203" s="384"/>
      <c r="N203" s="384"/>
      <c r="O203" s="383"/>
      <c r="P203" s="384"/>
      <c r="Q203" s="384"/>
      <c r="R203" s="384"/>
      <c r="S203" s="391"/>
      <c r="T203" s="383"/>
      <c r="U203" s="384"/>
      <c r="V203" s="384"/>
      <c r="W203" s="382"/>
      <c r="X203" s="377" t="s">
        <v>343</v>
      </c>
      <c r="Y203" s="485" t="s">
        <v>662</v>
      </c>
      <c r="Z203" s="485" t="s">
        <v>672</v>
      </c>
      <c r="AA203" s="485">
        <v>4</v>
      </c>
      <c r="AB203" s="485" t="s">
        <v>669</v>
      </c>
      <c r="AC203" s="385"/>
      <c r="AD203" s="385"/>
      <c r="AE203" s="385"/>
      <c r="AF203" s="385"/>
      <c r="AG203" s="377" t="s">
        <v>337</v>
      </c>
      <c r="AH203" s="385"/>
      <c r="AI203" s="385"/>
      <c r="AJ203" s="385"/>
      <c r="AK203" s="385"/>
      <c r="AL203" s="385"/>
      <c r="AM203" s="387"/>
      <c r="AN203" s="387"/>
    </row>
    <row r="204" spans="1:40" ht="22.5" hidden="1" customHeight="1" x14ac:dyDescent="0.2">
      <c r="A204" s="376">
        <v>45801.44589930556</v>
      </c>
      <c r="B204" s="377" t="s">
        <v>56</v>
      </c>
      <c r="C204" s="377" t="s">
        <v>338</v>
      </c>
      <c r="D204" s="383" t="str">
        <f t="shared" si="0"/>
        <v>2022</v>
      </c>
      <c r="E204" s="379" t="s">
        <v>684</v>
      </c>
      <c r="F204" s="380">
        <v>65124</v>
      </c>
      <c r="G204" s="380">
        <v>9795</v>
      </c>
      <c r="H204" s="381" t="s">
        <v>685</v>
      </c>
      <c r="I204" s="380">
        <v>1866</v>
      </c>
      <c r="J204" s="390" t="s">
        <v>53</v>
      </c>
      <c r="K204" s="383"/>
      <c r="L204" s="384"/>
      <c r="M204" s="384"/>
      <c r="N204" s="384"/>
      <c r="O204" s="383"/>
      <c r="P204" s="384"/>
      <c r="Q204" s="384"/>
      <c r="R204" s="384"/>
      <c r="S204" s="391"/>
      <c r="T204" s="383"/>
      <c r="U204" s="384"/>
      <c r="V204" s="384"/>
      <c r="W204" s="382"/>
      <c r="X204" s="377" t="s">
        <v>343</v>
      </c>
      <c r="Y204" s="485" t="s">
        <v>662</v>
      </c>
      <c r="Z204" s="485" t="s">
        <v>672</v>
      </c>
      <c r="AA204" s="485">
        <v>4</v>
      </c>
      <c r="AB204" s="485" t="s">
        <v>669</v>
      </c>
      <c r="AC204" s="385"/>
      <c r="AD204" s="385"/>
      <c r="AE204" s="385"/>
      <c r="AF204" s="385"/>
      <c r="AG204" s="377" t="s">
        <v>337</v>
      </c>
      <c r="AH204" s="385"/>
      <c r="AI204" s="385"/>
      <c r="AJ204" s="385"/>
      <c r="AK204" s="385"/>
      <c r="AL204" s="385"/>
      <c r="AM204" s="387"/>
      <c r="AN204" s="387"/>
    </row>
    <row r="205" spans="1:40" ht="22.5" hidden="1" customHeight="1" x14ac:dyDescent="0.2">
      <c r="A205" s="486">
        <v>45804.363016446761</v>
      </c>
      <c r="B205" s="487" t="s">
        <v>56</v>
      </c>
      <c r="C205" s="487" t="s">
        <v>338</v>
      </c>
      <c r="D205" s="488" t="str">
        <f t="shared" si="0"/>
        <v>2023</v>
      </c>
      <c r="E205" s="489" t="s">
        <v>593</v>
      </c>
      <c r="F205" s="490">
        <v>67427</v>
      </c>
      <c r="G205" s="490">
        <v>3648</v>
      </c>
      <c r="H205" s="491" t="s">
        <v>594</v>
      </c>
      <c r="I205" s="490">
        <v>683</v>
      </c>
      <c r="J205" s="492" t="s">
        <v>54</v>
      </c>
      <c r="K205" s="488"/>
      <c r="L205" s="493"/>
      <c r="M205" s="493"/>
      <c r="N205" s="493"/>
      <c r="O205" s="488"/>
      <c r="P205" s="493"/>
      <c r="Q205" s="493"/>
      <c r="R205" s="493"/>
      <c r="S205" s="494"/>
      <c r="T205" s="488"/>
      <c r="U205" s="493"/>
      <c r="V205" s="493"/>
      <c r="W205" s="495"/>
      <c r="X205" s="487" t="s">
        <v>343</v>
      </c>
      <c r="Y205" s="496"/>
      <c r="Z205" s="496"/>
      <c r="AA205" s="496"/>
      <c r="AB205" s="497" t="s">
        <v>686</v>
      </c>
      <c r="AC205" s="498"/>
      <c r="AD205" s="498"/>
      <c r="AE205" s="498"/>
      <c r="AF205" s="498"/>
      <c r="AG205" s="487" t="s">
        <v>337</v>
      </c>
      <c r="AH205" s="498"/>
      <c r="AI205" s="498"/>
      <c r="AJ205" s="498"/>
      <c r="AK205" s="498"/>
      <c r="AL205" s="498"/>
      <c r="AM205" s="499"/>
      <c r="AN205" s="499"/>
    </row>
    <row r="206" spans="1:40" ht="22.5" hidden="1" customHeight="1" x14ac:dyDescent="0.2">
      <c r="A206" s="413">
        <v>45804.465739027779</v>
      </c>
      <c r="B206" s="414" t="s">
        <v>56</v>
      </c>
      <c r="C206" s="414" t="s">
        <v>381</v>
      </c>
      <c r="D206" s="420" t="str">
        <f t="shared" si="0"/>
        <v>2023</v>
      </c>
      <c r="E206" s="416" t="s">
        <v>687</v>
      </c>
      <c r="F206" s="417">
        <v>69988</v>
      </c>
      <c r="G206" s="417">
        <v>14143</v>
      </c>
      <c r="H206" s="418" t="s">
        <v>688</v>
      </c>
      <c r="I206" s="417">
        <v>2777</v>
      </c>
      <c r="J206" s="419" t="s">
        <v>53</v>
      </c>
      <c r="K206" s="420"/>
      <c r="L206" s="421"/>
      <c r="M206" s="421"/>
      <c r="N206" s="421"/>
      <c r="O206" s="420"/>
      <c r="P206" s="421"/>
      <c r="Q206" s="421"/>
      <c r="R206" s="421"/>
      <c r="S206" s="422"/>
      <c r="T206" s="420"/>
      <c r="U206" s="421"/>
      <c r="V206" s="421"/>
      <c r="W206" s="423"/>
      <c r="X206" s="414" t="s">
        <v>343</v>
      </c>
      <c r="Y206" s="500" t="s">
        <v>689</v>
      </c>
      <c r="Z206" s="500" t="s">
        <v>690</v>
      </c>
      <c r="AA206" s="500">
        <v>16</v>
      </c>
      <c r="AB206" s="500" t="s">
        <v>669</v>
      </c>
      <c r="AC206" s="425"/>
      <c r="AD206" s="425"/>
      <c r="AE206" s="425"/>
      <c r="AF206" s="425"/>
      <c r="AG206" s="414" t="s">
        <v>337</v>
      </c>
      <c r="AH206" s="425"/>
      <c r="AI206" s="425"/>
      <c r="AJ206" s="425"/>
      <c r="AK206" s="425"/>
      <c r="AL206" s="425"/>
      <c r="AM206" s="259"/>
      <c r="AN206" s="259"/>
    </row>
    <row r="207" spans="1:40" ht="22.5" hidden="1" customHeight="1" x14ac:dyDescent="0.2">
      <c r="A207" s="413">
        <v>45804.578845393524</v>
      </c>
      <c r="B207" s="414" t="s">
        <v>56</v>
      </c>
      <c r="C207" s="414" t="s">
        <v>352</v>
      </c>
      <c r="D207" s="420" t="str">
        <f t="shared" si="0"/>
        <v>1997</v>
      </c>
      <c r="E207" s="417" t="s">
        <v>691</v>
      </c>
      <c r="F207" s="417">
        <v>1165</v>
      </c>
      <c r="G207" s="417">
        <v>5873</v>
      </c>
      <c r="H207" s="418" t="s">
        <v>692</v>
      </c>
      <c r="I207" s="417">
        <v>1037</v>
      </c>
      <c r="J207" s="419" t="s">
        <v>53</v>
      </c>
      <c r="K207" s="420"/>
      <c r="L207" s="421"/>
      <c r="M207" s="421"/>
      <c r="N207" s="421"/>
      <c r="O207" s="420"/>
      <c r="P207" s="421"/>
      <c r="Q207" s="421"/>
      <c r="R207" s="421"/>
      <c r="S207" s="422"/>
      <c r="T207" s="420"/>
      <c r="U207" s="421"/>
      <c r="V207" s="421"/>
      <c r="W207" s="423"/>
      <c r="X207" s="414" t="s">
        <v>343</v>
      </c>
      <c r="Y207" s="500" t="s">
        <v>689</v>
      </c>
      <c r="Z207" s="500" t="s">
        <v>693</v>
      </c>
      <c r="AA207" s="500">
        <v>10</v>
      </c>
      <c r="AB207" s="500" t="s">
        <v>669</v>
      </c>
      <c r="AC207" s="425"/>
      <c r="AD207" s="425"/>
      <c r="AE207" s="425"/>
      <c r="AF207" s="425"/>
      <c r="AG207" s="414" t="s">
        <v>337</v>
      </c>
      <c r="AH207" s="425"/>
      <c r="AI207" s="425"/>
      <c r="AJ207" s="425"/>
      <c r="AK207" s="425"/>
      <c r="AL207" s="425"/>
      <c r="AM207" s="259"/>
      <c r="AN207" s="259"/>
    </row>
    <row r="208" spans="1:40" ht="22.5" hidden="1" customHeight="1" x14ac:dyDescent="0.2">
      <c r="A208" s="413">
        <v>45805.485273715276</v>
      </c>
      <c r="B208" s="414" t="s">
        <v>56</v>
      </c>
      <c r="C208" s="414" t="s">
        <v>694</v>
      </c>
      <c r="D208" s="420" t="str">
        <f t="shared" si="0"/>
        <v>2022</v>
      </c>
      <c r="E208" s="416" t="s">
        <v>695</v>
      </c>
      <c r="F208" s="417">
        <v>66266</v>
      </c>
      <c r="G208" s="417">
        <v>14630</v>
      </c>
      <c r="H208" s="418" t="s">
        <v>696</v>
      </c>
      <c r="I208" s="417">
        <v>2784</v>
      </c>
      <c r="J208" s="419" t="s">
        <v>53</v>
      </c>
      <c r="K208" s="420"/>
      <c r="L208" s="421"/>
      <c r="M208" s="421"/>
      <c r="N208" s="421"/>
      <c r="O208" s="420"/>
      <c r="P208" s="421"/>
      <c r="Q208" s="421"/>
      <c r="R208" s="421"/>
      <c r="S208" s="422"/>
      <c r="T208" s="420"/>
      <c r="U208" s="421"/>
      <c r="V208" s="421"/>
      <c r="W208" s="423"/>
      <c r="X208" s="414" t="s">
        <v>343</v>
      </c>
      <c r="Y208" s="501"/>
      <c r="Z208" s="501"/>
      <c r="AA208" s="501"/>
      <c r="AB208" s="501"/>
      <c r="AC208" s="425"/>
      <c r="AD208" s="425"/>
      <c r="AE208" s="425"/>
      <c r="AF208" s="425"/>
      <c r="AG208" s="414" t="s">
        <v>337</v>
      </c>
      <c r="AH208" s="425"/>
      <c r="AI208" s="425"/>
      <c r="AJ208" s="425"/>
      <c r="AK208" s="425"/>
      <c r="AL208" s="425"/>
      <c r="AM208" s="259"/>
      <c r="AN208" s="259"/>
    </row>
    <row r="209" spans="1:40" ht="22.5" hidden="1" customHeight="1" x14ac:dyDescent="0.2">
      <c r="A209" s="413">
        <v>45806.531803437501</v>
      </c>
      <c r="B209" s="414" t="s">
        <v>56</v>
      </c>
      <c r="C209" s="414" t="s">
        <v>464</v>
      </c>
      <c r="D209" s="420" t="str">
        <f t="shared" si="0"/>
        <v>2023</v>
      </c>
      <c r="E209" s="417" t="s">
        <v>697</v>
      </c>
      <c r="F209" s="417">
        <v>70463</v>
      </c>
      <c r="G209" s="417">
        <v>15801</v>
      </c>
      <c r="H209" s="418" t="s">
        <v>637</v>
      </c>
      <c r="I209" s="417">
        <v>3116</v>
      </c>
      <c r="J209" s="419" t="s">
        <v>54</v>
      </c>
      <c r="K209" s="420"/>
      <c r="L209" s="421"/>
      <c r="M209" s="421"/>
      <c r="N209" s="421"/>
      <c r="O209" s="420"/>
      <c r="P209" s="421"/>
      <c r="Q209" s="421"/>
      <c r="R209" s="421"/>
      <c r="S209" s="422"/>
      <c r="T209" s="420"/>
      <c r="U209" s="421"/>
      <c r="V209" s="421"/>
      <c r="W209" s="423"/>
      <c r="X209" s="414" t="s">
        <v>343</v>
      </c>
      <c r="Y209" s="500" t="s">
        <v>689</v>
      </c>
      <c r="Z209" s="500" t="s">
        <v>698</v>
      </c>
      <c r="AA209" s="500">
        <v>56</v>
      </c>
      <c r="AB209" s="500" t="s">
        <v>699</v>
      </c>
      <c r="AC209" s="425"/>
      <c r="AD209" s="425"/>
      <c r="AE209" s="425"/>
      <c r="AF209" s="425"/>
      <c r="AG209" s="414" t="s">
        <v>337</v>
      </c>
      <c r="AH209" s="425"/>
      <c r="AI209" s="425"/>
      <c r="AJ209" s="425"/>
      <c r="AK209" s="425"/>
      <c r="AL209" s="425"/>
      <c r="AM209" s="259"/>
      <c r="AN209" s="259"/>
    </row>
    <row r="210" spans="1:40" ht="22.5" hidden="1" customHeight="1" x14ac:dyDescent="0.2">
      <c r="A210" s="486">
        <v>45806.550972951387</v>
      </c>
      <c r="B210" s="487" t="s">
        <v>436</v>
      </c>
      <c r="C210" s="487" t="s">
        <v>629</v>
      </c>
      <c r="D210" s="488" t="str">
        <f t="shared" si="0"/>
        <v/>
      </c>
      <c r="E210" s="493"/>
      <c r="F210" s="493"/>
      <c r="G210" s="493"/>
      <c r="H210" s="502"/>
      <c r="I210" s="493"/>
      <c r="J210" s="495"/>
      <c r="K210" s="488"/>
      <c r="L210" s="493"/>
      <c r="M210" s="493"/>
      <c r="N210" s="493"/>
      <c r="O210" s="503" t="s">
        <v>700</v>
      </c>
      <c r="P210" s="490">
        <v>3855</v>
      </c>
      <c r="Q210" s="490">
        <v>272</v>
      </c>
      <c r="R210" s="490">
        <v>171</v>
      </c>
      <c r="S210" s="498"/>
      <c r="T210" s="488"/>
      <c r="U210" s="493"/>
      <c r="V210" s="493"/>
      <c r="W210" s="495"/>
      <c r="X210" s="487" t="s">
        <v>343</v>
      </c>
      <c r="Y210" s="497" t="s">
        <v>701</v>
      </c>
      <c r="Z210" s="497" t="s">
        <v>702</v>
      </c>
      <c r="AA210" s="496"/>
      <c r="AB210" s="497" t="s">
        <v>703</v>
      </c>
      <c r="AC210" s="498"/>
      <c r="AD210" s="498"/>
      <c r="AE210" s="498"/>
      <c r="AF210" s="498"/>
      <c r="AG210" s="487" t="s">
        <v>337</v>
      </c>
      <c r="AH210" s="498"/>
      <c r="AI210" s="498"/>
      <c r="AJ210" s="498"/>
      <c r="AK210" s="498"/>
      <c r="AL210" s="498"/>
      <c r="AM210" s="499"/>
      <c r="AN210" s="499"/>
    </row>
    <row r="211" spans="1:40" ht="22.5" hidden="1" customHeight="1" x14ac:dyDescent="0.2">
      <c r="A211" s="413">
        <v>45807.458384293983</v>
      </c>
      <c r="B211" s="414" t="s">
        <v>56</v>
      </c>
      <c r="C211" s="414" t="s">
        <v>381</v>
      </c>
      <c r="D211" s="420" t="str">
        <f t="shared" si="0"/>
        <v>2012</v>
      </c>
      <c r="E211" s="416" t="s">
        <v>704</v>
      </c>
      <c r="F211" s="417">
        <v>29360</v>
      </c>
      <c r="G211" s="417">
        <v>14003</v>
      </c>
      <c r="H211" s="418" t="s">
        <v>705</v>
      </c>
      <c r="I211" s="417">
        <v>1624</v>
      </c>
      <c r="J211" s="419" t="s">
        <v>53</v>
      </c>
      <c r="K211" s="420"/>
      <c r="L211" s="421"/>
      <c r="M211" s="421"/>
      <c r="N211" s="421"/>
      <c r="O211" s="420"/>
      <c r="P211" s="421"/>
      <c r="Q211" s="421"/>
      <c r="R211" s="421"/>
      <c r="S211" s="422"/>
      <c r="T211" s="420"/>
      <c r="U211" s="421"/>
      <c r="V211" s="421"/>
      <c r="W211" s="423"/>
      <c r="X211" s="414" t="s">
        <v>343</v>
      </c>
      <c r="Y211" s="500" t="s">
        <v>701</v>
      </c>
      <c r="Z211" s="500" t="s">
        <v>702</v>
      </c>
      <c r="AA211" s="500">
        <v>6</v>
      </c>
      <c r="AB211" s="501"/>
      <c r="AC211" s="425"/>
      <c r="AD211" s="425"/>
      <c r="AE211" s="425"/>
      <c r="AF211" s="425"/>
      <c r="AG211" s="414" t="s">
        <v>337</v>
      </c>
      <c r="AH211" s="425"/>
      <c r="AI211" s="425"/>
      <c r="AJ211" s="425"/>
      <c r="AK211" s="425"/>
      <c r="AL211" s="425"/>
      <c r="AM211" s="259"/>
      <c r="AN211" s="259"/>
    </row>
    <row r="212" spans="1:40" ht="22.5" hidden="1" customHeight="1" x14ac:dyDescent="0.2">
      <c r="A212" s="413">
        <v>45807.465082430557</v>
      </c>
      <c r="B212" s="414" t="s">
        <v>56</v>
      </c>
      <c r="C212" s="414" t="s">
        <v>352</v>
      </c>
      <c r="D212" s="420" t="str">
        <f t="shared" si="0"/>
        <v>2004</v>
      </c>
      <c r="E212" s="417" t="s">
        <v>706</v>
      </c>
      <c r="F212" s="417">
        <v>10123</v>
      </c>
      <c r="G212" s="417">
        <v>14463</v>
      </c>
      <c r="H212" s="418" t="s">
        <v>707</v>
      </c>
      <c r="I212" s="417">
        <v>2344</v>
      </c>
      <c r="J212" s="419" t="s">
        <v>53</v>
      </c>
      <c r="K212" s="420"/>
      <c r="L212" s="421"/>
      <c r="M212" s="421"/>
      <c r="N212" s="421"/>
      <c r="O212" s="420"/>
      <c r="P212" s="421"/>
      <c r="Q212" s="421"/>
      <c r="R212" s="421"/>
      <c r="S212" s="422"/>
      <c r="T212" s="420"/>
      <c r="U212" s="421"/>
      <c r="V212" s="421"/>
      <c r="W212" s="423"/>
      <c r="X212" s="414" t="s">
        <v>343</v>
      </c>
      <c r="Y212" s="500" t="s">
        <v>708</v>
      </c>
      <c r="Z212" s="500" t="s">
        <v>702</v>
      </c>
      <c r="AA212" s="500">
        <v>6</v>
      </c>
      <c r="AB212" s="501"/>
      <c r="AC212" s="425"/>
      <c r="AD212" s="425"/>
      <c r="AE212" s="425"/>
      <c r="AF212" s="425"/>
      <c r="AG212" s="414" t="s">
        <v>337</v>
      </c>
      <c r="AH212" s="425"/>
      <c r="AI212" s="425"/>
      <c r="AJ212" s="425"/>
      <c r="AK212" s="425"/>
      <c r="AL212" s="425"/>
      <c r="AM212" s="259"/>
      <c r="AN212" s="259"/>
    </row>
    <row r="213" spans="1:40" ht="22.5" hidden="1" customHeight="1" x14ac:dyDescent="0.2">
      <c r="A213" s="413">
        <v>45811.655539004627</v>
      </c>
      <c r="B213" s="414" t="s">
        <v>56</v>
      </c>
      <c r="C213" s="414" t="s">
        <v>369</v>
      </c>
      <c r="D213" s="420" t="str">
        <f t="shared" si="0"/>
        <v>2019</v>
      </c>
      <c r="E213" s="416" t="s">
        <v>709</v>
      </c>
      <c r="F213" s="417">
        <v>3745</v>
      </c>
      <c r="G213" s="417">
        <v>120</v>
      </c>
      <c r="H213" s="418" t="s">
        <v>710</v>
      </c>
      <c r="I213" s="417">
        <v>15</v>
      </c>
      <c r="J213" s="419" t="s">
        <v>53</v>
      </c>
      <c r="K213" s="420"/>
      <c r="L213" s="421"/>
      <c r="M213" s="421"/>
      <c r="N213" s="421"/>
      <c r="O213" s="420"/>
      <c r="P213" s="421"/>
      <c r="Q213" s="421"/>
      <c r="R213" s="421"/>
      <c r="S213" s="422"/>
      <c r="T213" s="420"/>
      <c r="U213" s="421"/>
      <c r="V213" s="421"/>
      <c r="W213" s="423"/>
      <c r="X213" s="414" t="s">
        <v>343</v>
      </c>
      <c r="Y213" s="500" t="s">
        <v>708</v>
      </c>
      <c r="Z213" s="500" t="s">
        <v>711</v>
      </c>
      <c r="AA213" s="500">
        <v>6</v>
      </c>
      <c r="AB213" s="500" t="s">
        <v>712</v>
      </c>
      <c r="AC213" s="425"/>
      <c r="AD213" s="425"/>
      <c r="AE213" s="425"/>
      <c r="AF213" s="425"/>
      <c r="AG213" s="414" t="s">
        <v>337</v>
      </c>
      <c r="AH213" s="425"/>
      <c r="AI213" s="425"/>
      <c r="AJ213" s="425"/>
      <c r="AK213" s="425"/>
      <c r="AL213" s="425"/>
      <c r="AM213" s="259"/>
      <c r="AN213" s="259"/>
    </row>
    <row r="214" spans="1:40" ht="22.5" hidden="1" customHeight="1" x14ac:dyDescent="0.2">
      <c r="A214" s="413">
        <v>45811.680614976853</v>
      </c>
      <c r="B214" s="414" t="s">
        <v>56</v>
      </c>
      <c r="C214" s="414" t="s">
        <v>381</v>
      </c>
      <c r="D214" s="420" t="str">
        <f t="shared" si="0"/>
        <v>2019</v>
      </c>
      <c r="E214" s="416" t="s">
        <v>713</v>
      </c>
      <c r="F214" s="417">
        <v>55073</v>
      </c>
      <c r="G214" s="417">
        <v>5268</v>
      </c>
      <c r="H214" s="418" t="s">
        <v>714</v>
      </c>
      <c r="I214" s="417" t="s">
        <v>715</v>
      </c>
      <c r="J214" s="419" t="s">
        <v>53</v>
      </c>
      <c r="K214" s="420"/>
      <c r="L214" s="421"/>
      <c r="M214" s="421"/>
      <c r="N214" s="421"/>
      <c r="O214" s="420"/>
      <c r="P214" s="421"/>
      <c r="Q214" s="421"/>
      <c r="R214" s="421"/>
      <c r="S214" s="422"/>
      <c r="T214" s="420"/>
      <c r="U214" s="421"/>
      <c r="V214" s="421"/>
      <c r="W214" s="423"/>
      <c r="X214" s="414" t="s">
        <v>343</v>
      </c>
      <c r="Y214" s="500" t="s">
        <v>716</v>
      </c>
      <c r="Z214" s="500" t="s">
        <v>702</v>
      </c>
      <c r="AA214" s="500">
        <v>6</v>
      </c>
      <c r="AB214" s="501"/>
      <c r="AC214" s="425"/>
      <c r="AD214" s="425"/>
      <c r="AE214" s="425"/>
      <c r="AF214" s="425"/>
      <c r="AG214" s="414" t="s">
        <v>337</v>
      </c>
      <c r="AH214" s="425"/>
      <c r="AI214" s="425"/>
      <c r="AJ214" s="425"/>
      <c r="AK214" s="425"/>
      <c r="AL214" s="425"/>
      <c r="AM214" s="259"/>
      <c r="AN214" s="259"/>
    </row>
    <row r="215" spans="1:40" ht="22.5" hidden="1" customHeight="1" x14ac:dyDescent="0.2">
      <c r="A215" s="413">
        <v>45812.400587719909</v>
      </c>
      <c r="B215" s="414" t="s">
        <v>56</v>
      </c>
      <c r="C215" s="414" t="s">
        <v>381</v>
      </c>
      <c r="D215" s="420" t="str">
        <f t="shared" si="0"/>
        <v>2009</v>
      </c>
      <c r="E215" s="417" t="s">
        <v>717</v>
      </c>
      <c r="F215" s="417">
        <v>19010</v>
      </c>
      <c r="G215" s="417">
        <v>2088</v>
      </c>
      <c r="H215" s="418" t="s">
        <v>718</v>
      </c>
      <c r="I215" s="417">
        <v>245</v>
      </c>
      <c r="J215" s="419" t="s">
        <v>53</v>
      </c>
      <c r="K215" s="420"/>
      <c r="L215" s="421"/>
      <c r="M215" s="421"/>
      <c r="N215" s="421"/>
      <c r="O215" s="420"/>
      <c r="P215" s="421"/>
      <c r="Q215" s="421"/>
      <c r="R215" s="421"/>
      <c r="S215" s="422"/>
      <c r="T215" s="420"/>
      <c r="U215" s="421"/>
      <c r="V215" s="421"/>
      <c r="W215" s="423"/>
      <c r="X215" s="414" t="s">
        <v>343</v>
      </c>
      <c r="Y215" s="500" t="s">
        <v>701</v>
      </c>
      <c r="Z215" s="500" t="s">
        <v>719</v>
      </c>
      <c r="AA215" s="500">
        <v>12</v>
      </c>
      <c r="AB215" s="501"/>
      <c r="AC215" s="425"/>
      <c r="AD215" s="425"/>
      <c r="AE215" s="425"/>
      <c r="AF215" s="425"/>
      <c r="AG215" s="414" t="s">
        <v>337</v>
      </c>
      <c r="AH215" s="425"/>
      <c r="AI215" s="425"/>
      <c r="AJ215" s="425"/>
      <c r="AK215" s="425"/>
      <c r="AL215" s="425"/>
      <c r="AM215" s="259"/>
      <c r="AN215" s="259"/>
    </row>
    <row r="216" spans="1:40" ht="22.5" hidden="1" customHeight="1" x14ac:dyDescent="0.2">
      <c r="A216" s="413">
        <v>45813.724924270835</v>
      </c>
      <c r="B216" s="414" t="s">
        <v>56</v>
      </c>
      <c r="C216" s="414" t="s">
        <v>464</v>
      </c>
      <c r="D216" s="420" t="str">
        <f t="shared" si="0"/>
        <v>2023</v>
      </c>
      <c r="E216" s="417" t="s">
        <v>720</v>
      </c>
      <c r="F216" s="417">
        <v>68167</v>
      </c>
      <c r="G216" s="417">
        <v>6592</v>
      </c>
      <c r="H216" s="418" t="s">
        <v>721</v>
      </c>
      <c r="I216" s="417">
        <v>1269</v>
      </c>
      <c r="J216" s="419" t="s">
        <v>54</v>
      </c>
      <c r="K216" s="420"/>
      <c r="L216" s="421"/>
      <c r="M216" s="421"/>
      <c r="N216" s="421"/>
      <c r="O216" s="420"/>
      <c r="P216" s="421"/>
      <c r="Q216" s="421"/>
      <c r="R216" s="421"/>
      <c r="S216" s="422"/>
      <c r="T216" s="420"/>
      <c r="U216" s="421"/>
      <c r="V216" s="421"/>
      <c r="W216" s="423"/>
      <c r="X216" s="414" t="s">
        <v>343</v>
      </c>
      <c r="Y216" s="500" t="s">
        <v>701</v>
      </c>
      <c r="Z216" s="501"/>
      <c r="AA216" s="501"/>
      <c r="AB216" s="501"/>
      <c r="AC216" s="425"/>
      <c r="AD216" s="425"/>
      <c r="AE216" s="425"/>
      <c r="AF216" s="425"/>
      <c r="AG216" s="414" t="s">
        <v>337</v>
      </c>
      <c r="AH216" s="425"/>
      <c r="AI216" s="425"/>
      <c r="AJ216" s="425"/>
      <c r="AK216" s="425"/>
      <c r="AL216" s="425"/>
      <c r="AM216" s="259"/>
      <c r="AN216" s="259"/>
    </row>
    <row r="217" spans="1:40" ht="22.5" hidden="1" customHeight="1" x14ac:dyDescent="0.2">
      <c r="A217" s="413">
        <v>45814.619140347218</v>
      </c>
      <c r="B217" s="414" t="s">
        <v>56</v>
      </c>
      <c r="C217" s="414" t="s">
        <v>352</v>
      </c>
      <c r="D217" s="420" t="str">
        <f t="shared" si="0"/>
        <v>1998</v>
      </c>
      <c r="E217" s="416" t="s">
        <v>722</v>
      </c>
      <c r="F217" s="417">
        <v>2338</v>
      </c>
      <c r="G217" s="417">
        <v>13580</v>
      </c>
      <c r="H217" s="418" t="s">
        <v>723</v>
      </c>
      <c r="I217" s="417">
        <v>2135</v>
      </c>
      <c r="J217" s="419" t="s">
        <v>53</v>
      </c>
      <c r="K217" s="420"/>
      <c r="L217" s="421"/>
      <c r="M217" s="421"/>
      <c r="N217" s="421"/>
      <c r="O217" s="420"/>
      <c r="P217" s="421"/>
      <c r="Q217" s="421"/>
      <c r="R217" s="421"/>
      <c r="S217" s="422"/>
      <c r="T217" s="420"/>
      <c r="U217" s="421"/>
      <c r="V217" s="421"/>
      <c r="W217" s="423"/>
      <c r="X217" s="414" t="s">
        <v>343</v>
      </c>
      <c r="Y217" s="500" t="s">
        <v>716</v>
      </c>
      <c r="Z217" s="500" t="s">
        <v>724</v>
      </c>
      <c r="AA217" s="500">
        <v>29</v>
      </c>
      <c r="AB217" s="501"/>
      <c r="AC217" s="425"/>
      <c r="AD217" s="425"/>
      <c r="AE217" s="425"/>
      <c r="AF217" s="425"/>
      <c r="AG217" s="414" t="s">
        <v>337</v>
      </c>
      <c r="AH217" s="425"/>
      <c r="AI217" s="425"/>
      <c r="AJ217" s="425"/>
      <c r="AK217" s="425"/>
      <c r="AL217" s="425"/>
      <c r="AM217" s="259"/>
      <c r="AN217" s="259"/>
    </row>
    <row r="218" spans="1:40" ht="22.5" hidden="1" customHeight="1" x14ac:dyDescent="0.2">
      <c r="A218" s="413">
        <v>45817.393925856479</v>
      </c>
      <c r="B218" s="414" t="s">
        <v>56</v>
      </c>
      <c r="C218" s="414" t="s">
        <v>381</v>
      </c>
      <c r="D218" s="420" t="str">
        <f t="shared" si="0"/>
        <v>2022</v>
      </c>
      <c r="E218" s="416" t="s">
        <v>725</v>
      </c>
      <c r="F218" s="417">
        <v>65006</v>
      </c>
      <c r="G218" s="417">
        <v>9171</v>
      </c>
      <c r="H218" s="418" t="s">
        <v>726</v>
      </c>
      <c r="I218" s="417">
        <v>1751</v>
      </c>
      <c r="J218" s="419" t="s">
        <v>53</v>
      </c>
      <c r="K218" s="420"/>
      <c r="L218" s="421"/>
      <c r="M218" s="421"/>
      <c r="N218" s="421"/>
      <c r="O218" s="420"/>
      <c r="P218" s="421"/>
      <c r="Q218" s="421"/>
      <c r="R218" s="421"/>
      <c r="S218" s="422"/>
      <c r="T218" s="420"/>
      <c r="U218" s="421"/>
      <c r="V218" s="421"/>
      <c r="W218" s="423"/>
      <c r="X218" s="414" t="s">
        <v>343</v>
      </c>
      <c r="Y218" s="500" t="s">
        <v>716</v>
      </c>
      <c r="Z218" s="500" t="s">
        <v>727</v>
      </c>
      <c r="AA218" s="500">
        <v>8</v>
      </c>
      <c r="AB218" s="501"/>
      <c r="AC218" s="425"/>
      <c r="AD218" s="425"/>
      <c r="AE218" s="425"/>
      <c r="AF218" s="425"/>
      <c r="AG218" s="414" t="s">
        <v>337</v>
      </c>
      <c r="AH218" s="425"/>
      <c r="AI218" s="425"/>
      <c r="AJ218" s="425"/>
      <c r="AK218" s="425"/>
      <c r="AL218" s="425"/>
      <c r="AM218" s="259"/>
      <c r="AN218" s="259"/>
    </row>
    <row r="219" spans="1:40" ht="22.5" hidden="1" customHeight="1" x14ac:dyDescent="0.2">
      <c r="A219" s="413">
        <v>45817.497583865741</v>
      </c>
      <c r="B219" s="414" t="s">
        <v>56</v>
      </c>
      <c r="C219" s="414" t="s">
        <v>381</v>
      </c>
      <c r="D219" s="420" t="str">
        <f t="shared" si="0"/>
        <v>2017</v>
      </c>
      <c r="E219" s="416" t="s">
        <v>728</v>
      </c>
      <c r="F219" s="417">
        <v>47422</v>
      </c>
      <c r="G219" s="417">
        <v>7363</v>
      </c>
      <c r="H219" s="418" t="s">
        <v>729</v>
      </c>
      <c r="I219" s="417" t="s">
        <v>359</v>
      </c>
      <c r="J219" s="419" t="s">
        <v>53</v>
      </c>
      <c r="K219" s="420"/>
      <c r="L219" s="421"/>
      <c r="M219" s="421"/>
      <c r="N219" s="421"/>
      <c r="O219" s="420"/>
      <c r="P219" s="421"/>
      <c r="Q219" s="421"/>
      <c r="R219" s="421"/>
      <c r="S219" s="422"/>
      <c r="T219" s="420"/>
      <c r="U219" s="421"/>
      <c r="V219" s="421"/>
      <c r="W219" s="423"/>
      <c r="X219" s="414" t="s">
        <v>343</v>
      </c>
      <c r="Y219" s="500" t="s">
        <v>716</v>
      </c>
      <c r="Z219" s="500" t="s">
        <v>730</v>
      </c>
      <c r="AA219" s="500">
        <v>8</v>
      </c>
      <c r="AB219" s="501"/>
      <c r="AC219" s="425"/>
      <c r="AD219" s="425"/>
      <c r="AE219" s="425"/>
      <c r="AF219" s="425"/>
      <c r="AG219" s="414" t="s">
        <v>337</v>
      </c>
      <c r="AH219" s="425"/>
      <c r="AI219" s="425"/>
      <c r="AJ219" s="425"/>
      <c r="AK219" s="425"/>
      <c r="AL219" s="425"/>
      <c r="AM219" s="259"/>
      <c r="AN219" s="259"/>
    </row>
    <row r="220" spans="1:40" ht="22.5" hidden="1" customHeight="1" x14ac:dyDescent="0.2">
      <c r="A220" s="413">
        <v>45817.563498067131</v>
      </c>
      <c r="B220" s="414" t="s">
        <v>56</v>
      </c>
      <c r="C220" s="414" t="s">
        <v>381</v>
      </c>
      <c r="D220" s="420" t="str">
        <f t="shared" si="0"/>
        <v>2014</v>
      </c>
      <c r="E220" s="416" t="s">
        <v>731</v>
      </c>
      <c r="F220" s="417">
        <v>36915</v>
      </c>
      <c r="G220" s="417">
        <v>17684</v>
      </c>
      <c r="H220" s="418" t="s">
        <v>732</v>
      </c>
      <c r="I220" s="417">
        <v>1596</v>
      </c>
      <c r="J220" s="419" t="s">
        <v>53</v>
      </c>
      <c r="K220" s="420"/>
      <c r="L220" s="421"/>
      <c r="M220" s="421"/>
      <c r="N220" s="421"/>
      <c r="O220" s="420"/>
      <c r="P220" s="421"/>
      <c r="Q220" s="421"/>
      <c r="R220" s="421"/>
      <c r="S220" s="422"/>
      <c r="T220" s="420"/>
      <c r="U220" s="421"/>
      <c r="V220" s="421"/>
      <c r="W220" s="423"/>
      <c r="X220" s="414" t="s">
        <v>343</v>
      </c>
      <c r="Y220" s="500" t="s">
        <v>716</v>
      </c>
      <c r="Z220" s="500" t="s">
        <v>727</v>
      </c>
      <c r="AA220" s="500">
        <v>11</v>
      </c>
      <c r="AB220" s="501"/>
      <c r="AC220" s="425"/>
      <c r="AD220" s="425"/>
      <c r="AE220" s="425"/>
      <c r="AF220" s="425"/>
      <c r="AG220" s="414" t="s">
        <v>337</v>
      </c>
      <c r="AH220" s="425"/>
      <c r="AI220" s="425"/>
      <c r="AJ220" s="425"/>
      <c r="AK220" s="425"/>
      <c r="AL220" s="425"/>
      <c r="AM220" s="259"/>
      <c r="AN220" s="259"/>
    </row>
    <row r="221" spans="1:40" ht="22.5" hidden="1" customHeight="1" x14ac:dyDescent="0.2">
      <c r="A221" s="413">
        <v>45818.359407870375</v>
      </c>
      <c r="B221" s="414" t="s">
        <v>56</v>
      </c>
      <c r="C221" s="414" t="s">
        <v>381</v>
      </c>
      <c r="D221" s="420" t="str">
        <f t="shared" si="0"/>
        <v>2022</v>
      </c>
      <c r="E221" s="416" t="s">
        <v>733</v>
      </c>
      <c r="F221" s="417">
        <v>64978</v>
      </c>
      <c r="G221" s="417">
        <v>9433</v>
      </c>
      <c r="H221" s="418" t="s">
        <v>734</v>
      </c>
      <c r="I221" s="417">
        <v>1799</v>
      </c>
      <c r="J221" s="419" t="s">
        <v>53</v>
      </c>
      <c r="K221" s="420"/>
      <c r="L221" s="421"/>
      <c r="M221" s="421"/>
      <c r="N221" s="421"/>
      <c r="O221" s="420"/>
      <c r="P221" s="421"/>
      <c r="Q221" s="421"/>
      <c r="R221" s="421"/>
      <c r="S221" s="422"/>
      <c r="T221" s="420"/>
      <c r="U221" s="421"/>
      <c r="V221" s="421"/>
      <c r="W221" s="423"/>
      <c r="X221" s="414" t="s">
        <v>343</v>
      </c>
      <c r="Y221" s="500" t="s">
        <v>689</v>
      </c>
      <c r="Z221" s="500" t="s">
        <v>727</v>
      </c>
      <c r="AA221" s="500">
        <v>8</v>
      </c>
      <c r="AB221" s="501"/>
      <c r="AC221" s="425"/>
      <c r="AD221" s="425"/>
      <c r="AE221" s="425"/>
      <c r="AF221" s="425"/>
      <c r="AG221" s="414" t="s">
        <v>337</v>
      </c>
      <c r="AH221" s="425"/>
      <c r="AI221" s="425"/>
      <c r="AJ221" s="425"/>
      <c r="AK221" s="425"/>
      <c r="AL221" s="425"/>
      <c r="AM221" s="259"/>
      <c r="AN221" s="259"/>
    </row>
    <row r="222" spans="1:40" ht="22.5" hidden="1" customHeight="1" x14ac:dyDescent="0.2">
      <c r="A222" s="413">
        <v>45818.359969652782</v>
      </c>
      <c r="B222" s="414" t="s">
        <v>56</v>
      </c>
      <c r="C222" s="414" t="s">
        <v>381</v>
      </c>
      <c r="D222" s="420" t="str">
        <f t="shared" si="0"/>
        <v>2023</v>
      </c>
      <c r="E222" s="416" t="s">
        <v>735</v>
      </c>
      <c r="F222" s="417">
        <v>66858</v>
      </c>
      <c r="G222" s="417">
        <v>1787</v>
      </c>
      <c r="H222" s="418" t="s">
        <v>736</v>
      </c>
      <c r="I222" s="417">
        <v>346</v>
      </c>
      <c r="J222" s="419" t="s">
        <v>53</v>
      </c>
      <c r="K222" s="420"/>
      <c r="L222" s="421"/>
      <c r="M222" s="421"/>
      <c r="N222" s="421"/>
      <c r="O222" s="420"/>
      <c r="P222" s="421"/>
      <c r="Q222" s="421"/>
      <c r="R222" s="421"/>
      <c r="S222" s="422"/>
      <c r="T222" s="420"/>
      <c r="U222" s="421"/>
      <c r="V222" s="421"/>
      <c r="W222" s="423"/>
      <c r="X222" s="414" t="s">
        <v>343</v>
      </c>
      <c r="Y222" s="500" t="s">
        <v>689</v>
      </c>
      <c r="Z222" s="500" t="s">
        <v>727</v>
      </c>
      <c r="AA222" s="500">
        <v>8</v>
      </c>
      <c r="AB222" s="501"/>
      <c r="AC222" s="425"/>
      <c r="AD222" s="425"/>
      <c r="AE222" s="425"/>
      <c r="AF222" s="425"/>
      <c r="AG222" s="414" t="s">
        <v>337</v>
      </c>
      <c r="AH222" s="425"/>
      <c r="AI222" s="425"/>
      <c r="AJ222" s="425"/>
      <c r="AK222" s="425"/>
      <c r="AL222" s="425"/>
      <c r="AM222" s="259"/>
      <c r="AN222" s="259"/>
    </row>
    <row r="223" spans="1:40" ht="22.5" hidden="1" customHeight="1" x14ac:dyDescent="0.2">
      <c r="A223" s="413">
        <v>45818.360558032407</v>
      </c>
      <c r="B223" s="414" t="s">
        <v>56</v>
      </c>
      <c r="C223" s="414" t="s">
        <v>381</v>
      </c>
      <c r="D223" s="420" t="str">
        <f t="shared" si="0"/>
        <v>2010</v>
      </c>
      <c r="E223" s="416" t="s">
        <v>737</v>
      </c>
      <c r="F223" s="417">
        <v>22210</v>
      </c>
      <c r="G223" s="417">
        <v>6683</v>
      </c>
      <c r="H223" s="418" t="s">
        <v>738</v>
      </c>
      <c r="I223" s="417">
        <v>734</v>
      </c>
      <c r="J223" s="419" t="s">
        <v>53</v>
      </c>
      <c r="K223" s="420"/>
      <c r="L223" s="421"/>
      <c r="M223" s="421"/>
      <c r="N223" s="421"/>
      <c r="O223" s="420"/>
      <c r="P223" s="421"/>
      <c r="Q223" s="421"/>
      <c r="R223" s="421"/>
      <c r="S223" s="422"/>
      <c r="T223" s="420"/>
      <c r="U223" s="421"/>
      <c r="V223" s="421"/>
      <c r="W223" s="423"/>
      <c r="X223" s="414" t="s">
        <v>343</v>
      </c>
      <c r="Y223" s="500" t="s">
        <v>689</v>
      </c>
      <c r="Z223" s="500" t="s">
        <v>702</v>
      </c>
      <c r="AA223" s="500">
        <v>7</v>
      </c>
      <c r="AB223" s="501"/>
      <c r="AC223" s="425"/>
      <c r="AD223" s="425"/>
      <c r="AE223" s="425"/>
      <c r="AF223" s="425"/>
      <c r="AG223" s="414" t="s">
        <v>337</v>
      </c>
      <c r="AH223" s="425"/>
      <c r="AI223" s="425"/>
      <c r="AJ223" s="425"/>
      <c r="AK223" s="425"/>
      <c r="AL223" s="425"/>
      <c r="AM223" s="259"/>
      <c r="AN223" s="259"/>
    </row>
    <row r="224" spans="1:40" ht="22.5" hidden="1" customHeight="1" x14ac:dyDescent="0.2">
      <c r="A224" s="413">
        <v>45818.645602002318</v>
      </c>
      <c r="B224" s="414" t="s">
        <v>56</v>
      </c>
      <c r="C224" s="414" t="s">
        <v>381</v>
      </c>
      <c r="D224" s="420" t="str">
        <f t="shared" si="0"/>
        <v>2007</v>
      </c>
      <c r="E224" s="416" t="s">
        <v>739</v>
      </c>
      <c r="F224" s="417">
        <v>15460</v>
      </c>
      <c r="G224" s="417">
        <v>9668</v>
      </c>
      <c r="H224" s="418" t="s">
        <v>740</v>
      </c>
      <c r="I224" s="417">
        <v>1238</v>
      </c>
      <c r="J224" s="419" t="s">
        <v>54</v>
      </c>
      <c r="K224" s="420"/>
      <c r="L224" s="421"/>
      <c r="M224" s="421"/>
      <c r="N224" s="421"/>
      <c r="O224" s="420"/>
      <c r="P224" s="421"/>
      <c r="Q224" s="421"/>
      <c r="R224" s="421"/>
      <c r="S224" s="422"/>
      <c r="T224" s="420"/>
      <c r="U224" s="421"/>
      <c r="V224" s="421"/>
      <c r="W224" s="423"/>
      <c r="X224" s="414" t="s">
        <v>343</v>
      </c>
      <c r="Y224" s="500" t="s">
        <v>701</v>
      </c>
      <c r="Z224" s="500" t="s">
        <v>741</v>
      </c>
      <c r="AA224" s="500">
        <v>37</v>
      </c>
      <c r="AB224" s="501"/>
      <c r="AC224" s="425"/>
      <c r="AD224" s="425"/>
      <c r="AE224" s="425"/>
      <c r="AF224" s="425"/>
      <c r="AG224" s="414" t="s">
        <v>337</v>
      </c>
      <c r="AH224" s="425"/>
      <c r="AI224" s="425"/>
      <c r="AJ224" s="425"/>
      <c r="AK224" s="425"/>
      <c r="AL224" s="425"/>
      <c r="AM224" s="259"/>
      <c r="AN224" s="259"/>
    </row>
    <row r="225" spans="1:40" ht="22.5" hidden="1" customHeight="1" x14ac:dyDescent="0.2">
      <c r="A225" s="413">
        <v>45818.717016168986</v>
      </c>
      <c r="B225" s="414" t="s">
        <v>436</v>
      </c>
      <c r="C225" s="414" t="s">
        <v>464</v>
      </c>
      <c r="D225" s="420" t="str">
        <f t="shared" si="0"/>
        <v/>
      </c>
      <c r="E225" s="421"/>
      <c r="F225" s="421"/>
      <c r="G225" s="421"/>
      <c r="H225" s="505"/>
      <c r="I225" s="421"/>
      <c r="J225" s="423"/>
      <c r="K225" s="420"/>
      <c r="L225" s="421"/>
      <c r="M225" s="421"/>
      <c r="N225" s="421"/>
      <c r="O225" s="506" t="s">
        <v>742</v>
      </c>
      <c r="P225" s="417">
        <v>2957</v>
      </c>
      <c r="Q225" s="417">
        <v>375</v>
      </c>
      <c r="R225" s="417">
        <v>114</v>
      </c>
      <c r="S225" s="425"/>
      <c r="T225" s="420"/>
      <c r="U225" s="421"/>
      <c r="V225" s="421"/>
      <c r="W225" s="423"/>
      <c r="X225" s="414" t="s">
        <v>343</v>
      </c>
      <c r="Y225" s="500" t="s">
        <v>701</v>
      </c>
      <c r="Z225" s="500" t="s">
        <v>724</v>
      </c>
      <c r="AA225" s="500">
        <v>47</v>
      </c>
      <c r="AB225" s="500" t="s">
        <v>743</v>
      </c>
      <c r="AC225" s="425"/>
      <c r="AD225" s="425"/>
      <c r="AE225" s="425"/>
      <c r="AF225" s="425"/>
      <c r="AG225" s="414" t="s">
        <v>337</v>
      </c>
      <c r="AH225" s="425"/>
      <c r="AI225" s="425"/>
      <c r="AJ225" s="425"/>
      <c r="AK225" s="425"/>
      <c r="AL225" s="425"/>
      <c r="AM225" s="259"/>
      <c r="AN225" s="259"/>
    </row>
    <row r="226" spans="1:40" ht="22.5" hidden="1" customHeight="1" x14ac:dyDescent="0.2">
      <c r="A226" s="413">
        <v>45819.5059697338</v>
      </c>
      <c r="B226" s="414" t="s">
        <v>56</v>
      </c>
      <c r="C226" s="414" t="s">
        <v>381</v>
      </c>
      <c r="D226" s="420" t="str">
        <f t="shared" si="0"/>
        <v>2009</v>
      </c>
      <c r="E226" s="416" t="s">
        <v>744</v>
      </c>
      <c r="F226" s="417">
        <v>19100</v>
      </c>
      <c r="G226" s="417">
        <v>4192</v>
      </c>
      <c r="H226" s="418" t="s">
        <v>745</v>
      </c>
      <c r="I226" s="417">
        <v>471</v>
      </c>
      <c r="J226" s="419" t="s">
        <v>53</v>
      </c>
      <c r="K226" s="420"/>
      <c r="L226" s="421"/>
      <c r="M226" s="421"/>
      <c r="N226" s="421"/>
      <c r="O226" s="420"/>
      <c r="P226" s="421"/>
      <c r="Q226" s="421"/>
      <c r="R226" s="421"/>
      <c r="S226" s="422"/>
      <c r="T226" s="420"/>
      <c r="U226" s="421"/>
      <c r="V226" s="421"/>
      <c r="W226" s="423"/>
      <c r="X226" s="414" t="s">
        <v>343</v>
      </c>
      <c r="Y226" s="500" t="s">
        <v>701</v>
      </c>
      <c r="Z226" s="500" t="s">
        <v>702</v>
      </c>
      <c r="AA226" s="500">
        <v>6</v>
      </c>
      <c r="AB226" s="501"/>
      <c r="AC226" s="425"/>
      <c r="AD226" s="425"/>
      <c r="AE226" s="425"/>
      <c r="AF226" s="425"/>
      <c r="AG226" s="414" t="s">
        <v>337</v>
      </c>
      <c r="AH226" s="425"/>
      <c r="AI226" s="425"/>
      <c r="AJ226" s="425"/>
      <c r="AK226" s="425"/>
      <c r="AL226" s="425"/>
      <c r="AM226" s="259"/>
      <c r="AN226" s="259"/>
    </row>
    <row r="227" spans="1:40" ht="22.5" hidden="1" customHeight="1" x14ac:dyDescent="0.2">
      <c r="A227" s="413">
        <v>45820.609431331017</v>
      </c>
      <c r="B227" s="414" t="s">
        <v>56</v>
      </c>
      <c r="C227" s="414" t="s">
        <v>381</v>
      </c>
      <c r="D227" s="420" t="str">
        <f t="shared" si="0"/>
        <v>2016</v>
      </c>
      <c r="E227" s="416" t="s">
        <v>746</v>
      </c>
      <c r="F227" s="417">
        <v>43215</v>
      </c>
      <c r="G227" s="417">
        <v>5824</v>
      </c>
      <c r="H227" s="418" t="s">
        <v>747</v>
      </c>
      <c r="I227" s="417">
        <v>979</v>
      </c>
      <c r="J227" s="419" t="s">
        <v>53</v>
      </c>
      <c r="K227" s="420"/>
      <c r="L227" s="421"/>
      <c r="M227" s="421"/>
      <c r="N227" s="421"/>
      <c r="O227" s="420"/>
      <c r="P227" s="421"/>
      <c r="Q227" s="421"/>
      <c r="R227" s="421"/>
      <c r="S227" s="422"/>
      <c r="T227" s="420"/>
      <c r="U227" s="421"/>
      <c r="V227" s="421"/>
      <c r="W227" s="423"/>
      <c r="X227" s="414" t="s">
        <v>343</v>
      </c>
      <c r="Y227" s="500" t="s">
        <v>689</v>
      </c>
      <c r="Z227" s="500" t="s">
        <v>702</v>
      </c>
      <c r="AA227" s="500">
        <v>6</v>
      </c>
      <c r="AB227" s="501"/>
      <c r="AC227" s="425"/>
      <c r="AD227" s="425"/>
      <c r="AE227" s="425"/>
      <c r="AF227" s="425"/>
      <c r="AG227" s="414" t="s">
        <v>337</v>
      </c>
      <c r="AH227" s="425"/>
      <c r="AI227" s="425"/>
      <c r="AJ227" s="425"/>
      <c r="AK227" s="425"/>
      <c r="AL227" s="425"/>
      <c r="AM227" s="259"/>
      <c r="AN227" s="259"/>
    </row>
    <row r="228" spans="1:40" ht="22.5" hidden="1" customHeight="1" x14ac:dyDescent="0.2">
      <c r="A228" s="413">
        <v>45820.610129155088</v>
      </c>
      <c r="B228" s="414" t="s">
        <v>56</v>
      </c>
      <c r="C228" s="414" t="s">
        <v>381</v>
      </c>
      <c r="D228" s="420" t="str">
        <f t="shared" si="0"/>
        <v>2018</v>
      </c>
      <c r="E228" s="416" t="s">
        <v>748</v>
      </c>
      <c r="F228" s="417">
        <v>53194</v>
      </c>
      <c r="G228" s="417">
        <v>14315</v>
      </c>
      <c r="H228" s="418" t="s">
        <v>749</v>
      </c>
      <c r="I228" s="417">
        <v>2884</v>
      </c>
      <c r="J228" s="419" t="s">
        <v>53</v>
      </c>
      <c r="K228" s="420"/>
      <c r="L228" s="421"/>
      <c r="M228" s="421"/>
      <c r="N228" s="421"/>
      <c r="O228" s="420"/>
      <c r="P228" s="421"/>
      <c r="Q228" s="421"/>
      <c r="R228" s="421"/>
      <c r="S228" s="422"/>
      <c r="T228" s="420"/>
      <c r="U228" s="421"/>
      <c r="V228" s="421"/>
      <c r="W228" s="423"/>
      <c r="X228" s="414" t="s">
        <v>343</v>
      </c>
      <c r="Y228" s="500" t="s">
        <v>689</v>
      </c>
      <c r="Z228" s="500" t="s">
        <v>750</v>
      </c>
      <c r="AA228" s="500">
        <v>12</v>
      </c>
      <c r="AB228" s="501"/>
      <c r="AC228" s="425"/>
      <c r="AD228" s="425"/>
      <c r="AE228" s="425"/>
      <c r="AF228" s="425"/>
      <c r="AG228" s="414" t="s">
        <v>337</v>
      </c>
      <c r="AH228" s="425"/>
      <c r="AI228" s="425"/>
      <c r="AJ228" s="425"/>
      <c r="AK228" s="425"/>
      <c r="AL228" s="425"/>
      <c r="AM228" s="259"/>
      <c r="AN228" s="259"/>
    </row>
    <row r="229" spans="1:40" ht="22.5" customHeight="1" x14ac:dyDescent="0.2">
      <c r="A229" s="413">
        <v>45824.433191736112</v>
      </c>
      <c r="B229" s="414" t="s">
        <v>56</v>
      </c>
      <c r="C229" s="414" t="s">
        <v>381</v>
      </c>
      <c r="D229" s="420" t="str">
        <f t="shared" si="0"/>
        <v>2013</v>
      </c>
      <c r="E229" s="416" t="s">
        <v>751</v>
      </c>
      <c r="F229" s="417">
        <v>31051</v>
      </c>
      <c r="G229" s="417">
        <v>4595</v>
      </c>
      <c r="H229" s="418" t="s">
        <v>752</v>
      </c>
      <c r="I229" s="417">
        <v>463</v>
      </c>
      <c r="J229" s="419" t="s">
        <v>53</v>
      </c>
      <c r="K229" s="420"/>
      <c r="L229" s="421"/>
      <c r="M229" s="421"/>
      <c r="N229" s="421"/>
      <c r="O229" s="420"/>
      <c r="P229" s="421"/>
      <c r="Q229" s="421"/>
      <c r="R229" s="421"/>
      <c r="S229" s="422"/>
      <c r="T229" s="420"/>
      <c r="U229" s="421"/>
      <c r="V229" s="421"/>
      <c r="W229" s="423"/>
      <c r="X229" s="414" t="s">
        <v>343</v>
      </c>
      <c r="Y229" s="500" t="s">
        <v>701</v>
      </c>
      <c r="Z229" s="500" t="s">
        <v>702</v>
      </c>
      <c r="AA229" s="500">
        <v>7</v>
      </c>
      <c r="AB229" s="501"/>
      <c r="AC229" s="425"/>
      <c r="AD229" s="425"/>
      <c r="AE229" s="425"/>
      <c r="AF229" s="425"/>
      <c r="AG229" s="414" t="s">
        <v>337</v>
      </c>
      <c r="AH229" s="425"/>
      <c r="AI229" s="425"/>
      <c r="AJ229" s="425"/>
      <c r="AK229" s="425"/>
      <c r="AL229" s="425"/>
      <c r="AM229" s="259"/>
      <c r="AN229" s="259"/>
    </row>
    <row r="230" spans="1:40" ht="22.5" hidden="1" customHeight="1" x14ac:dyDescent="0.2">
      <c r="A230" s="413">
        <v>45824.573870914348</v>
      </c>
      <c r="B230" s="414" t="s">
        <v>291</v>
      </c>
      <c r="C230" s="414" t="s">
        <v>464</v>
      </c>
      <c r="D230" s="420" t="str">
        <f t="shared" si="0"/>
        <v/>
      </c>
      <c r="E230" s="421"/>
      <c r="F230" s="421"/>
      <c r="G230" s="421"/>
      <c r="H230" s="505"/>
      <c r="I230" s="421"/>
      <c r="J230" s="423"/>
      <c r="K230" s="420"/>
      <c r="L230" s="421"/>
      <c r="M230" s="421"/>
      <c r="N230" s="421"/>
      <c r="O230" s="420"/>
      <c r="P230" s="421"/>
      <c r="Q230" s="421"/>
      <c r="R230" s="421"/>
      <c r="S230" s="425"/>
      <c r="T230" s="506" t="s">
        <v>753</v>
      </c>
      <c r="U230" s="417">
        <v>2873</v>
      </c>
      <c r="V230" s="417">
        <v>57359</v>
      </c>
      <c r="W230" s="419">
        <v>14486</v>
      </c>
      <c r="X230" s="414" t="s">
        <v>343</v>
      </c>
      <c r="Y230" s="500" t="s">
        <v>716</v>
      </c>
      <c r="Z230" s="500" t="s">
        <v>724</v>
      </c>
      <c r="AA230" s="500">
        <v>26</v>
      </c>
      <c r="AB230" s="501"/>
      <c r="AC230" s="425"/>
      <c r="AD230" s="425"/>
      <c r="AE230" s="425"/>
      <c r="AF230" s="425"/>
      <c r="AG230" s="414" t="s">
        <v>337</v>
      </c>
      <c r="AH230" s="425"/>
      <c r="AI230" s="425"/>
      <c r="AJ230" s="425"/>
      <c r="AK230" s="425"/>
      <c r="AL230" s="425"/>
      <c r="AM230" s="259"/>
      <c r="AN230" s="259"/>
    </row>
    <row r="231" spans="1:40" ht="22.5" hidden="1" customHeight="1" x14ac:dyDescent="0.2">
      <c r="A231" s="413">
        <v>45824.653737696761</v>
      </c>
      <c r="B231" s="414" t="s">
        <v>56</v>
      </c>
      <c r="C231" s="414" t="s">
        <v>381</v>
      </c>
      <c r="D231" s="420" t="str">
        <f t="shared" si="0"/>
        <v>2014</v>
      </c>
      <c r="E231" s="416" t="s">
        <v>754</v>
      </c>
      <c r="F231" s="417">
        <v>37639</v>
      </c>
      <c r="G231" s="417">
        <v>21331</v>
      </c>
      <c r="H231" s="418" t="s">
        <v>755</v>
      </c>
      <c r="I231" s="417">
        <v>2200</v>
      </c>
      <c r="J231" s="419" t="s">
        <v>53</v>
      </c>
      <c r="K231" s="420"/>
      <c r="L231" s="421"/>
      <c r="M231" s="421"/>
      <c r="N231" s="421"/>
      <c r="O231" s="420"/>
      <c r="P231" s="421"/>
      <c r="Q231" s="421"/>
      <c r="R231" s="421"/>
      <c r="S231" s="422"/>
      <c r="T231" s="420"/>
      <c r="U231" s="421"/>
      <c r="V231" s="421"/>
      <c r="W231" s="423"/>
      <c r="X231" s="414" t="s">
        <v>343</v>
      </c>
      <c r="Y231" s="500" t="s">
        <v>716</v>
      </c>
      <c r="Z231" s="500" t="s">
        <v>756</v>
      </c>
      <c r="AA231" s="500">
        <v>18</v>
      </c>
      <c r="AB231" s="501"/>
      <c r="AC231" s="425"/>
      <c r="AD231" s="425"/>
      <c r="AE231" s="425"/>
      <c r="AF231" s="425"/>
      <c r="AG231" s="414" t="s">
        <v>337</v>
      </c>
      <c r="AH231" s="425"/>
      <c r="AI231" s="425"/>
      <c r="AJ231" s="425"/>
      <c r="AK231" s="425"/>
      <c r="AL231" s="425"/>
      <c r="AM231" s="259"/>
      <c r="AN231" s="259"/>
    </row>
    <row r="232" spans="1:40" ht="22.5" hidden="1" customHeight="1" x14ac:dyDescent="0.2">
      <c r="A232" s="507">
        <v>45825.418295439813</v>
      </c>
      <c r="B232" s="508" t="s">
        <v>56</v>
      </c>
      <c r="C232" s="508" t="s">
        <v>757</v>
      </c>
      <c r="D232" s="509" t="str">
        <f t="shared" si="0"/>
        <v>2022</v>
      </c>
      <c r="E232" s="510" t="s">
        <v>758</v>
      </c>
      <c r="F232" s="511">
        <v>66266</v>
      </c>
      <c r="G232" s="511">
        <v>14630</v>
      </c>
      <c r="H232" s="512" t="s">
        <v>696</v>
      </c>
      <c r="I232" s="511">
        <v>2784</v>
      </c>
      <c r="J232" s="513" t="s">
        <v>54</v>
      </c>
      <c r="K232" s="509"/>
      <c r="L232" s="514"/>
      <c r="M232" s="514"/>
      <c r="N232" s="514"/>
      <c r="O232" s="509"/>
      <c r="P232" s="514"/>
      <c r="Q232" s="514"/>
      <c r="R232" s="514"/>
      <c r="S232" s="515"/>
      <c r="T232" s="509"/>
      <c r="U232" s="514"/>
      <c r="V232" s="514"/>
      <c r="W232" s="516"/>
      <c r="X232" s="508" t="s">
        <v>343</v>
      </c>
      <c r="Y232" s="517" t="s">
        <v>759</v>
      </c>
      <c r="Z232" s="518"/>
      <c r="AA232" s="518"/>
      <c r="AB232" s="517" t="s">
        <v>760</v>
      </c>
      <c r="AC232" s="519"/>
      <c r="AD232" s="519"/>
      <c r="AE232" s="519"/>
      <c r="AF232" s="519"/>
      <c r="AG232" s="508" t="s">
        <v>337</v>
      </c>
      <c r="AH232" s="519"/>
      <c r="AI232" s="519"/>
      <c r="AJ232" s="519"/>
      <c r="AK232" s="519"/>
      <c r="AL232" s="519"/>
      <c r="AM232" s="520"/>
      <c r="AN232" s="520"/>
    </row>
    <row r="233" spans="1:40" ht="22.5" hidden="1" customHeight="1" x14ac:dyDescent="0.2">
      <c r="A233" s="413">
        <v>45825.680744432873</v>
      </c>
      <c r="B233" s="414" t="s">
        <v>56</v>
      </c>
      <c r="C233" s="414" t="s">
        <v>381</v>
      </c>
      <c r="D233" s="420" t="str">
        <f t="shared" si="0"/>
        <v>2023</v>
      </c>
      <c r="E233" s="416" t="s">
        <v>761</v>
      </c>
      <c r="F233" s="417">
        <v>68500</v>
      </c>
      <c r="G233" s="417">
        <v>7701</v>
      </c>
      <c r="H233" s="418" t="s">
        <v>762</v>
      </c>
      <c r="I233" s="417">
        <v>1485</v>
      </c>
      <c r="J233" s="419" t="s">
        <v>53</v>
      </c>
      <c r="K233" s="420"/>
      <c r="L233" s="421"/>
      <c r="M233" s="421"/>
      <c r="N233" s="421"/>
      <c r="O233" s="420"/>
      <c r="P233" s="421"/>
      <c r="Q233" s="421"/>
      <c r="R233" s="421"/>
      <c r="S233" s="422"/>
      <c r="T233" s="420"/>
      <c r="U233" s="421"/>
      <c r="V233" s="421"/>
      <c r="W233" s="423"/>
      <c r="X233" s="414" t="s">
        <v>343</v>
      </c>
      <c r="Y233" s="500" t="s">
        <v>701</v>
      </c>
      <c r="Z233" s="500" t="s">
        <v>702</v>
      </c>
      <c r="AA233" s="500">
        <v>6</v>
      </c>
      <c r="AB233" s="501"/>
      <c r="AC233" s="425"/>
      <c r="AD233" s="425"/>
      <c r="AE233" s="425"/>
      <c r="AF233" s="425"/>
      <c r="AG233" s="414" t="s">
        <v>337</v>
      </c>
      <c r="AH233" s="425"/>
      <c r="AI233" s="425"/>
      <c r="AJ233" s="425"/>
      <c r="AK233" s="425"/>
      <c r="AL233" s="425"/>
      <c r="AM233" s="259"/>
      <c r="AN233" s="259"/>
    </row>
    <row r="234" spans="1:40" ht="22.5" hidden="1" customHeight="1" x14ac:dyDescent="0.2">
      <c r="A234" s="413">
        <v>45825.681470752315</v>
      </c>
      <c r="B234" s="414" t="s">
        <v>56</v>
      </c>
      <c r="C234" s="414" t="s">
        <v>381</v>
      </c>
      <c r="D234" s="420" t="str">
        <f t="shared" si="0"/>
        <v>2023</v>
      </c>
      <c r="E234" s="416" t="s">
        <v>763</v>
      </c>
      <c r="F234" s="417">
        <v>67770</v>
      </c>
      <c r="G234" s="417">
        <v>5590</v>
      </c>
      <c r="H234" s="418" t="s">
        <v>764</v>
      </c>
      <c r="I234" s="417">
        <v>1058</v>
      </c>
      <c r="J234" s="419" t="s">
        <v>53</v>
      </c>
      <c r="K234" s="420"/>
      <c r="L234" s="421"/>
      <c r="M234" s="421"/>
      <c r="N234" s="421"/>
      <c r="O234" s="420"/>
      <c r="P234" s="421"/>
      <c r="Q234" s="421"/>
      <c r="R234" s="421"/>
      <c r="S234" s="422"/>
      <c r="T234" s="420"/>
      <c r="U234" s="421"/>
      <c r="V234" s="421"/>
      <c r="W234" s="423"/>
      <c r="X234" s="414" t="s">
        <v>343</v>
      </c>
      <c r="Y234" s="500" t="s">
        <v>701</v>
      </c>
      <c r="Z234" s="500" t="s">
        <v>702</v>
      </c>
      <c r="AA234" s="500">
        <v>6</v>
      </c>
      <c r="AB234" s="501"/>
      <c r="AC234" s="425"/>
      <c r="AD234" s="425"/>
      <c r="AE234" s="425"/>
      <c r="AF234" s="425"/>
      <c r="AG234" s="414" t="s">
        <v>337</v>
      </c>
      <c r="AH234" s="425"/>
      <c r="AI234" s="425"/>
      <c r="AJ234" s="425"/>
      <c r="AK234" s="425"/>
      <c r="AL234" s="425"/>
      <c r="AM234" s="259"/>
      <c r="AN234" s="259"/>
    </row>
    <row r="235" spans="1:40" ht="22.5" hidden="1" customHeight="1" x14ac:dyDescent="0.2">
      <c r="A235" s="413">
        <v>45826.393070972219</v>
      </c>
      <c r="B235" s="414" t="s">
        <v>436</v>
      </c>
      <c r="C235" s="414" t="s">
        <v>381</v>
      </c>
      <c r="D235" s="420" t="str">
        <f t="shared" si="0"/>
        <v/>
      </c>
      <c r="E235" s="421"/>
      <c r="F235" s="421"/>
      <c r="G235" s="421"/>
      <c r="H235" s="505"/>
      <c r="I235" s="421"/>
      <c r="J235" s="423"/>
      <c r="K235" s="420"/>
      <c r="L235" s="421"/>
      <c r="M235" s="421"/>
      <c r="N235" s="421"/>
      <c r="O235" s="506" t="s">
        <v>765</v>
      </c>
      <c r="P235" s="417">
        <v>2635</v>
      </c>
      <c r="Q235" s="417">
        <v>147</v>
      </c>
      <c r="R235" s="417">
        <v>40</v>
      </c>
      <c r="S235" s="425"/>
      <c r="T235" s="420"/>
      <c r="U235" s="421"/>
      <c r="V235" s="421"/>
      <c r="W235" s="423"/>
      <c r="X235" s="414" t="s">
        <v>343</v>
      </c>
      <c r="Y235" s="500" t="s">
        <v>701</v>
      </c>
      <c r="Z235" s="500" t="s">
        <v>766</v>
      </c>
      <c r="AA235" s="500">
        <v>2</v>
      </c>
      <c r="AB235" s="501"/>
      <c r="AC235" s="425"/>
      <c r="AD235" s="425"/>
      <c r="AE235" s="425"/>
      <c r="AF235" s="425"/>
      <c r="AG235" s="414" t="s">
        <v>337</v>
      </c>
      <c r="AH235" s="425"/>
      <c r="AI235" s="425"/>
      <c r="AJ235" s="425"/>
      <c r="AK235" s="425"/>
      <c r="AL235" s="425"/>
      <c r="AM235" s="259"/>
      <c r="AN235" s="259"/>
    </row>
    <row r="236" spans="1:40" ht="22.5" hidden="1" customHeight="1" x14ac:dyDescent="0.2">
      <c r="A236" s="413">
        <v>45827.707189537032</v>
      </c>
      <c r="B236" s="414" t="s">
        <v>56</v>
      </c>
      <c r="C236" s="414" t="s">
        <v>464</v>
      </c>
      <c r="D236" s="420" t="str">
        <f t="shared" si="0"/>
        <v>2022</v>
      </c>
      <c r="E236" s="416" t="s">
        <v>767</v>
      </c>
      <c r="F236" s="417">
        <v>65128</v>
      </c>
      <c r="G236" s="417">
        <v>9758</v>
      </c>
      <c r="H236" s="418" t="s">
        <v>768</v>
      </c>
      <c r="I236" s="417">
        <v>1859</v>
      </c>
      <c r="J236" s="419" t="s">
        <v>53</v>
      </c>
      <c r="K236" s="420"/>
      <c r="L236" s="421"/>
      <c r="M236" s="421"/>
      <c r="N236" s="421"/>
      <c r="O236" s="420"/>
      <c r="P236" s="421"/>
      <c r="Q236" s="421"/>
      <c r="R236" s="421"/>
      <c r="S236" s="422"/>
      <c r="T236" s="420"/>
      <c r="U236" s="421"/>
      <c r="V236" s="421"/>
      <c r="W236" s="423"/>
      <c r="X236" s="414" t="s">
        <v>343</v>
      </c>
      <c r="Y236" s="500" t="s">
        <v>759</v>
      </c>
      <c r="Z236" s="500" t="s">
        <v>727</v>
      </c>
      <c r="AA236" s="500">
        <v>8</v>
      </c>
      <c r="AB236" s="501"/>
      <c r="AC236" s="425"/>
      <c r="AD236" s="425"/>
      <c r="AE236" s="425"/>
      <c r="AF236" s="425"/>
      <c r="AG236" s="414" t="s">
        <v>337</v>
      </c>
      <c r="AH236" s="425"/>
      <c r="AI236" s="425"/>
      <c r="AJ236" s="425"/>
      <c r="AK236" s="425"/>
      <c r="AL236" s="425"/>
      <c r="AM236" s="259"/>
      <c r="AN236" s="259"/>
    </row>
    <row r="237" spans="1:40" ht="22.5" hidden="1" customHeight="1" x14ac:dyDescent="0.2">
      <c r="A237" s="413">
        <v>45828.401081724536</v>
      </c>
      <c r="B237" s="414" t="s">
        <v>291</v>
      </c>
      <c r="C237" s="414" t="s">
        <v>464</v>
      </c>
      <c r="D237" s="420" t="str">
        <f t="shared" si="0"/>
        <v/>
      </c>
      <c r="E237" s="421"/>
      <c r="F237" s="421"/>
      <c r="G237" s="421"/>
      <c r="H237" s="505"/>
      <c r="I237" s="421"/>
      <c r="J237" s="423"/>
      <c r="K237" s="420"/>
      <c r="L237" s="421"/>
      <c r="M237" s="421"/>
      <c r="N237" s="421"/>
      <c r="O237" s="420"/>
      <c r="P237" s="421"/>
      <c r="Q237" s="421"/>
      <c r="R237" s="421"/>
      <c r="S237" s="425"/>
      <c r="T237" s="506" t="s">
        <v>769</v>
      </c>
      <c r="U237" s="417">
        <v>3384</v>
      </c>
      <c r="V237" s="417">
        <v>70695</v>
      </c>
      <c r="W237" s="419">
        <v>16995</v>
      </c>
      <c r="X237" s="414" t="s">
        <v>343</v>
      </c>
      <c r="Y237" s="500" t="s">
        <v>716</v>
      </c>
      <c r="Z237" s="500" t="s">
        <v>770</v>
      </c>
      <c r="AA237" s="500">
        <v>76</v>
      </c>
      <c r="AB237" s="501"/>
      <c r="AC237" s="425"/>
      <c r="AD237" s="425"/>
      <c r="AE237" s="425"/>
      <c r="AF237" s="425"/>
      <c r="AG237" s="414" t="s">
        <v>337</v>
      </c>
      <c r="AH237" s="425"/>
      <c r="AI237" s="425"/>
      <c r="AJ237" s="425"/>
      <c r="AK237" s="425"/>
      <c r="AL237" s="425"/>
      <c r="AM237" s="259"/>
      <c r="AN237" s="259"/>
    </row>
    <row r="238" spans="1:40" ht="22.5" hidden="1" customHeight="1" x14ac:dyDescent="0.2">
      <c r="A238" s="413">
        <v>45828.62634456018</v>
      </c>
      <c r="B238" s="414" t="s">
        <v>56</v>
      </c>
      <c r="C238" s="414" t="s">
        <v>381</v>
      </c>
      <c r="D238" s="420" t="str">
        <f t="shared" si="0"/>
        <v>2019</v>
      </c>
      <c r="E238" s="416" t="s">
        <v>709</v>
      </c>
      <c r="F238" s="417">
        <v>55539</v>
      </c>
      <c r="G238" s="417">
        <v>7552</v>
      </c>
      <c r="H238" s="418" t="s">
        <v>771</v>
      </c>
      <c r="I238" s="417">
        <v>1517</v>
      </c>
      <c r="J238" s="419" t="s">
        <v>53</v>
      </c>
      <c r="K238" s="420"/>
      <c r="L238" s="421"/>
      <c r="M238" s="421"/>
      <c r="N238" s="421"/>
      <c r="O238" s="420"/>
      <c r="P238" s="421"/>
      <c r="Q238" s="421"/>
      <c r="R238" s="421"/>
      <c r="S238" s="422"/>
      <c r="T238" s="420"/>
      <c r="U238" s="421"/>
      <c r="V238" s="421"/>
      <c r="W238" s="423"/>
      <c r="X238" s="414" t="s">
        <v>343</v>
      </c>
      <c r="Y238" s="500" t="s">
        <v>759</v>
      </c>
      <c r="Z238" s="500" t="s">
        <v>727</v>
      </c>
      <c r="AA238" s="500">
        <v>8</v>
      </c>
      <c r="AB238" s="500" t="s">
        <v>772</v>
      </c>
      <c r="AC238" s="425"/>
      <c r="AD238" s="425"/>
      <c r="AE238" s="425"/>
      <c r="AF238" s="425"/>
      <c r="AG238" s="414" t="s">
        <v>337</v>
      </c>
      <c r="AH238" s="425"/>
      <c r="AI238" s="425"/>
      <c r="AJ238" s="425"/>
      <c r="AK238" s="425"/>
      <c r="AL238" s="425"/>
      <c r="AM238" s="259"/>
      <c r="AN238" s="259"/>
    </row>
    <row r="239" spans="1:40" ht="22.5" hidden="1" customHeight="1" x14ac:dyDescent="0.2">
      <c r="A239" s="413">
        <v>45828.691555081023</v>
      </c>
      <c r="B239" s="414" t="s">
        <v>56</v>
      </c>
      <c r="C239" s="414" t="s">
        <v>381</v>
      </c>
      <c r="D239" s="420" t="str">
        <f t="shared" si="0"/>
        <v>6/98</v>
      </c>
      <c r="E239" s="416" t="s">
        <v>773</v>
      </c>
      <c r="F239" s="417">
        <v>1825</v>
      </c>
      <c r="G239" s="417">
        <v>9906</v>
      </c>
      <c r="H239" s="418" t="s">
        <v>774</v>
      </c>
      <c r="I239" s="417">
        <v>1681</v>
      </c>
      <c r="J239" s="419" t="s">
        <v>53</v>
      </c>
      <c r="K239" s="420"/>
      <c r="L239" s="421"/>
      <c r="M239" s="421"/>
      <c r="N239" s="421"/>
      <c r="O239" s="420"/>
      <c r="P239" s="421"/>
      <c r="Q239" s="421"/>
      <c r="R239" s="421"/>
      <c r="S239" s="422"/>
      <c r="T239" s="420"/>
      <c r="U239" s="421"/>
      <c r="V239" s="421"/>
      <c r="W239" s="423"/>
      <c r="X239" s="414" t="s">
        <v>343</v>
      </c>
      <c r="Y239" s="500" t="s">
        <v>759</v>
      </c>
      <c r="Z239" s="500" t="s">
        <v>719</v>
      </c>
      <c r="AA239" s="500">
        <v>7</v>
      </c>
      <c r="AB239" s="501"/>
      <c r="AC239" s="425"/>
      <c r="AD239" s="425"/>
      <c r="AE239" s="425"/>
      <c r="AF239" s="425"/>
      <c r="AG239" s="414" t="s">
        <v>337</v>
      </c>
      <c r="AH239" s="425"/>
      <c r="AI239" s="425"/>
      <c r="AJ239" s="425"/>
      <c r="AK239" s="425"/>
      <c r="AL239" s="425"/>
      <c r="AM239" s="259"/>
      <c r="AN239" s="259"/>
    </row>
    <row r="240" spans="1:40" ht="22.5" hidden="1" customHeight="1" x14ac:dyDescent="0.2">
      <c r="A240" s="413">
        <v>45831.731937141201</v>
      </c>
      <c r="B240" s="414" t="s">
        <v>56</v>
      </c>
      <c r="C240" s="414" t="s">
        <v>381</v>
      </c>
      <c r="D240" s="420" t="str">
        <f t="shared" si="0"/>
        <v>2019</v>
      </c>
      <c r="E240" s="416" t="s">
        <v>775</v>
      </c>
      <c r="F240" s="417">
        <v>56319</v>
      </c>
      <c r="G240" s="417">
        <v>13117</v>
      </c>
      <c r="H240" s="418" t="s">
        <v>776</v>
      </c>
      <c r="I240" s="417">
        <v>2627</v>
      </c>
      <c r="J240" s="419" t="s">
        <v>53</v>
      </c>
      <c r="K240" s="420"/>
      <c r="L240" s="421"/>
      <c r="M240" s="421"/>
      <c r="N240" s="421"/>
      <c r="O240" s="420"/>
      <c r="P240" s="421"/>
      <c r="Q240" s="421"/>
      <c r="R240" s="421"/>
      <c r="S240" s="422"/>
      <c r="T240" s="420"/>
      <c r="U240" s="421"/>
      <c r="V240" s="421"/>
      <c r="W240" s="423"/>
      <c r="X240" s="414" t="s">
        <v>343</v>
      </c>
      <c r="Y240" s="500" t="s">
        <v>701</v>
      </c>
      <c r="Z240" s="500" t="s">
        <v>777</v>
      </c>
      <c r="AA240" s="500">
        <v>191</v>
      </c>
      <c r="AB240" s="500"/>
      <c r="AC240" s="425"/>
      <c r="AD240" s="425"/>
      <c r="AE240" s="425"/>
      <c r="AF240" s="425"/>
      <c r="AG240" s="414" t="s">
        <v>337</v>
      </c>
      <c r="AH240" s="425"/>
      <c r="AI240" s="425"/>
      <c r="AJ240" s="425"/>
      <c r="AK240" s="425"/>
      <c r="AL240" s="425"/>
      <c r="AM240" s="259"/>
      <c r="AN240" s="259"/>
    </row>
    <row r="241" spans="1:40" ht="22.5" hidden="1" customHeight="1" x14ac:dyDescent="0.2">
      <c r="A241" s="413">
        <v>45831.732510023146</v>
      </c>
      <c r="B241" s="414" t="s">
        <v>56</v>
      </c>
      <c r="C241" s="414" t="s">
        <v>381</v>
      </c>
      <c r="D241" s="420" t="str">
        <f t="shared" si="0"/>
        <v>2021</v>
      </c>
      <c r="E241" s="416" t="s">
        <v>778</v>
      </c>
      <c r="F241" s="417">
        <v>60932</v>
      </c>
      <c r="G241" s="417">
        <v>4621</v>
      </c>
      <c r="H241" s="418" t="s">
        <v>779</v>
      </c>
      <c r="I241" s="417">
        <v>926</v>
      </c>
      <c r="J241" s="419" t="s">
        <v>53</v>
      </c>
      <c r="K241" s="420"/>
      <c r="L241" s="421"/>
      <c r="M241" s="421"/>
      <c r="N241" s="421"/>
      <c r="O241" s="420"/>
      <c r="P241" s="421"/>
      <c r="Q241" s="421"/>
      <c r="R241" s="421"/>
      <c r="S241" s="422"/>
      <c r="T241" s="420"/>
      <c r="U241" s="421"/>
      <c r="V241" s="421"/>
      <c r="W241" s="423"/>
      <c r="X241" s="414" t="s">
        <v>343</v>
      </c>
      <c r="Y241" s="500" t="s">
        <v>701</v>
      </c>
      <c r="Z241" s="500" t="s">
        <v>780</v>
      </c>
      <c r="AA241" s="500">
        <v>4</v>
      </c>
      <c r="AB241" s="501"/>
      <c r="AC241" s="425"/>
      <c r="AD241" s="425"/>
      <c r="AE241" s="425"/>
      <c r="AF241" s="425"/>
      <c r="AG241" s="414" t="s">
        <v>337</v>
      </c>
      <c r="AH241" s="425"/>
      <c r="AI241" s="425"/>
      <c r="AJ241" s="425"/>
      <c r="AK241" s="425"/>
      <c r="AL241" s="425"/>
      <c r="AM241" s="259"/>
      <c r="AN241" s="259"/>
    </row>
    <row r="242" spans="1:40" ht="22.5" hidden="1" customHeight="1" x14ac:dyDescent="0.2">
      <c r="A242" s="413">
        <v>45832.536023217588</v>
      </c>
      <c r="B242" s="414" t="s">
        <v>56</v>
      </c>
      <c r="C242" s="414" t="s">
        <v>381</v>
      </c>
      <c r="D242" s="420" t="str">
        <f t="shared" si="0"/>
        <v>2008</v>
      </c>
      <c r="E242" s="416" t="s">
        <v>781</v>
      </c>
      <c r="F242" s="417">
        <v>18321</v>
      </c>
      <c r="G242" s="417">
        <v>31512</v>
      </c>
      <c r="H242" s="418" t="s">
        <v>782</v>
      </c>
      <c r="I242" s="417">
        <v>3743</v>
      </c>
      <c r="J242" s="419" t="s">
        <v>53</v>
      </c>
      <c r="K242" s="420"/>
      <c r="L242" s="421"/>
      <c r="M242" s="421"/>
      <c r="N242" s="421"/>
      <c r="O242" s="420"/>
      <c r="P242" s="421"/>
      <c r="Q242" s="421"/>
      <c r="R242" s="421"/>
      <c r="S242" s="422"/>
      <c r="T242" s="420"/>
      <c r="U242" s="421"/>
      <c r="V242" s="421"/>
      <c r="W242" s="423"/>
      <c r="X242" s="414" t="s">
        <v>343</v>
      </c>
      <c r="Y242" s="500" t="s">
        <v>708</v>
      </c>
      <c r="Z242" s="500" t="s">
        <v>702</v>
      </c>
      <c r="AA242" s="500">
        <v>7</v>
      </c>
      <c r="AB242" s="501"/>
      <c r="AC242" s="425"/>
      <c r="AD242" s="425"/>
      <c r="AE242" s="425"/>
      <c r="AF242" s="425"/>
      <c r="AG242" s="414" t="s">
        <v>337</v>
      </c>
      <c r="AH242" s="425"/>
      <c r="AI242" s="425"/>
      <c r="AJ242" s="425"/>
      <c r="AK242" s="425"/>
      <c r="AL242" s="425"/>
      <c r="AM242" s="259"/>
      <c r="AN242" s="259"/>
    </row>
    <row r="243" spans="1:40" ht="22.5" hidden="1" customHeight="1" x14ac:dyDescent="0.2">
      <c r="A243" s="413">
        <v>45832.597392974538</v>
      </c>
      <c r="B243" s="414" t="s">
        <v>436</v>
      </c>
      <c r="C243" s="414" t="s">
        <v>338</v>
      </c>
      <c r="D243" s="420" t="str">
        <f t="shared" si="0"/>
        <v/>
      </c>
      <c r="E243" s="421"/>
      <c r="F243" s="421"/>
      <c r="G243" s="421"/>
      <c r="H243" s="505"/>
      <c r="I243" s="421"/>
      <c r="J243" s="423"/>
      <c r="K243" s="420"/>
      <c r="L243" s="421"/>
      <c r="M243" s="421"/>
      <c r="N243" s="421"/>
      <c r="O243" s="506" t="s">
        <v>783</v>
      </c>
      <c r="P243" s="417">
        <v>3586</v>
      </c>
      <c r="Q243" s="417">
        <v>50</v>
      </c>
      <c r="R243" s="417">
        <v>30</v>
      </c>
      <c r="S243" s="425"/>
      <c r="T243" s="420"/>
      <c r="U243" s="421"/>
      <c r="V243" s="421"/>
      <c r="W243" s="423"/>
      <c r="X243" s="414" t="s">
        <v>343</v>
      </c>
      <c r="Y243" s="500" t="s">
        <v>708</v>
      </c>
      <c r="Z243" s="500" t="s">
        <v>770</v>
      </c>
      <c r="AA243" s="500">
        <v>51</v>
      </c>
      <c r="AB243" s="501"/>
      <c r="AC243" s="425"/>
      <c r="AD243" s="425"/>
      <c r="AE243" s="425"/>
      <c r="AF243" s="425"/>
      <c r="AG243" s="414" t="s">
        <v>337</v>
      </c>
      <c r="AH243" s="425"/>
      <c r="AI243" s="425"/>
      <c r="AJ243" s="425"/>
      <c r="AK243" s="425"/>
      <c r="AL243" s="425"/>
      <c r="AM243" s="259"/>
      <c r="AN243" s="259"/>
    </row>
    <row r="244" spans="1:40" ht="22.5" hidden="1" customHeight="1" x14ac:dyDescent="0.2">
      <c r="A244" s="413">
        <v>45833.370618946763</v>
      </c>
      <c r="B244" s="414" t="s">
        <v>56</v>
      </c>
      <c r="C244" s="414" t="s">
        <v>381</v>
      </c>
      <c r="D244" s="420" t="str">
        <f t="shared" si="0"/>
        <v>2005</v>
      </c>
      <c r="E244" s="416" t="s">
        <v>784</v>
      </c>
      <c r="F244" s="417">
        <v>11789</v>
      </c>
      <c r="G244" s="417">
        <v>7976</v>
      </c>
      <c r="H244" s="418" t="s">
        <v>785</v>
      </c>
      <c r="I244" s="417">
        <v>1009</v>
      </c>
      <c r="J244" s="419" t="s">
        <v>53</v>
      </c>
      <c r="K244" s="420"/>
      <c r="L244" s="421"/>
      <c r="M244" s="421"/>
      <c r="N244" s="421"/>
      <c r="O244" s="420"/>
      <c r="P244" s="421"/>
      <c r="Q244" s="421"/>
      <c r="R244" s="421"/>
      <c r="S244" s="422"/>
      <c r="T244" s="420"/>
      <c r="U244" s="421"/>
      <c r="V244" s="421"/>
      <c r="W244" s="423"/>
      <c r="X244" s="414" t="s">
        <v>343</v>
      </c>
      <c r="Y244" s="500" t="s">
        <v>701</v>
      </c>
      <c r="Z244" s="500" t="s">
        <v>702</v>
      </c>
      <c r="AA244" s="500">
        <v>4</v>
      </c>
      <c r="AB244" s="501"/>
      <c r="AC244" s="425"/>
      <c r="AD244" s="425"/>
      <c r="AE244" s="425"/>
      <c r="AF244" s="425"/>
      <c r="AG244" s="414" t="s">
        <v>337</v>
      </c>
      <c r="AH244" s="425"/>
      <c r="AI244" s="425"/>
      <c r="AJ244" s="425"/>
      <c r="AK244" s="425"/>
      <c r="AL244" s="425"/>
      <c r="AM244" s="259"/>
      <c r="AN244" s="259"/>
    </row>
    <row r="245" spans="1:40" ht="22.5" hidden="1" customHeight="1" x14ac:dyDescent="0.2">
      <c r="A245" s="413">
        <v>45833.553284918977</v>
      </c>
      <c r="B245" s="414" t="s">
        <v>56</v>
      </c>
      <c r="C245" s="414" t="s">
        <v>381</v>
      </c>
      <c r="D245" s="420" t="str">
        <f t="shared" si="0"/>
        <v>2019</v>
      </c>
      <c r="E245" s="416" t="s">
        <v>786</v>
      </c>
      <c r="F245" s="417">
        <v>54734</v>
      </c>
      <c r="G245" s="417">
        <v>4314</v>
      </c>
      <c r="H245" s="418" t="s">
        <v>787</v>
      </c>
      <c r="I245" s="417">
        <v>866</v>
      </c>
      <c r="J245" s="419" t="s">
        <v>53</v>
      </c>
      <c r="K245" s="420"/>
      <c r="L245" s="421"/>
      <c r="M245" s="421"/>
      <c r="N245" s="421"/>
      <c r="O245" s="420"/>
      <c r="P245" s="421"/>
      <c r="Q245" s="421"/>
      <c r="R245" s="421"/>
      <c r="S245" s="422"/>
      <c r="T245" s="420"/>
      <c r="U245" s="421"/>
      <c r="V245" s="421"/>
      <c r="W245" s="423"/>
      <c r="X245" s="414" t="s">
        <v>343</v>
      </c>
      <c r="Y245" s="500" t="s">
        <v>701</v>
      </c>
      <c r="Z245" s="500" t="s">
        <v>719</v>
      </c>
      <c r="AA245" s="500">
        <v>10</v>
      </c>
      <c r="AB245" s="501"/>
      <c r="AC245" s="425"/>
      <c r="AD245" s="425"/>
      <c r="AE245" s="425"/>
      <c r="AF245" s="425"/>
      <c r="AG245" s="414" t="s">
        <v>337</v>
      </c>
      <c r="AH245" s="425"/>
      <c r="AI245" s="425"/>
      <c r="AJ245" s="425"/>
      <c r="AK245" s="425"/>
      <c r="AL245" s="425"/>
      <c r="AM245" s="259"/>
      <c r="AN245" s="259"/>
    </row>
    <row r="246" spans="1:40" ht="22.5" hidden="1" customHeight="1" x14ac:dyDescent="0.2">
      <c r="A246" s="413">
        <v>45838.737730138891</v>
      </c>
      <c r="B246" s="414" t="s">
        <v>56</v>
      </c>
      <c r="C246" s="414" t="s">
        <v>338</v>
      </c>
      <c r="D246" s="420" t="str">
        <f t="shared" si="0"/>
        <v>2010</v>
      </c>
      <c r="E246" s="416" t="s">
        <v>788</v>
      </c>
      <c r="F246" s="417">
        <v>23198</v>
      </c>
      <c r="G246" s="417">
        <v>22996</v>
      </c>
      <c r="H246" s="418" t="s">
        <v>789</v>
      </c>
      <c r="I246" s="417">
        <v>2628</v>
      </c>
      <c r="J246" s="419" t="s">
        <v>53</v>
      </c>
      <c r="K246" s="420"/>
      <c r="L246" s="421"/>
      <c r="M246" s="421"/>
      <c r="N246" s="421"/>
      <c r="O246" s="420"/>
      <c r="P246" s="421"/>
      <c r="Q246" s="421"/>
      <c r="R246" s="421"/>
      <c r="S246" s="422"/>
      <c r="T246" s="420"/>
      <c r="U246" s="421"/>
      <c r="V246" s="421"/>
      <c r="W246" s="423"/>
      <c r="X246" s="414" t="s">
        <v>343</v>
      </c>
      <c r="Y246" s="500" t="s">
        <v>701</v>
      </c>
      <c r="Z246" s="500" t="s">
        <v>790</v>
      </c>
      <c r="AA246" s="500">
        <v>5</v>
      </c>
      <c r="AB246" s="501"/>
      <c r="AC246" s="425"/>
      <c r="AD246" s="425"/>
      <c r="AE246" s="425"/>
      <c r="AF246" s="425"/>
      <c r="AG246" s="414" t="s">
        <v>337</v>
      </c>
      <c r="AH246" s="425"/>
      <c r="AI246" s="425"/>
      <c r="AJ246" s="425"/>
      <c r="AK246" s="425"/>
      <c r="AL246" s="425"/>
      <c r="AM246" s="259"/>
      <c r="AN246" s="259"/>
    </row>
    <row r="247" spans="1:40" ht="22.5" customHeight="1" x14ac:dyDescent="0.2">
      <c r="A247" s="413">
        <v>45838.738406203702</v>
      </c>
      <c r="B247" s="414" t="s">
        <v>56</v>
      </c>
      <c r="C247" s="414" t="s">
        <v>338</v>
      </c>
      <c r="D247" s="420" t="str">
        <f t="shared" si="0"/>
        <v>2013</v>
      </c>
      <c r="E247" s="416" t="s">
        <v>791</v>
      </c>
      <c r="F247" s="417">
        <v>33934</v>
      </c>
      <c r="G247" s="417">
        <v>22934</v>
      </c>
      <c r="H247" s="418" t="s">
        <v>792</v>
      </c>
      <c r="I247" s="417">
        <v>2365</v>
      </c>
      <c r="J247" s="419" t="s">
        <v>53</v>
      </c>
      <c r="K247" s="420"/>
      <c r="L247" s="421"/>
      <c r="M247" s="421"/>
      <c r="N247" s="421"/>
      <c r="O247" s="420"/>
      <c r="P247" s="421"/>
      <c r="Q247" s="421"/>
      <c r="R247" s="421"/>
      <c r="S247" s="422"/>
      <c r="T247" s="420"/>
      <c r="U247" s="421"/>
      <c r="V247" s="421"/>
      <c r="W247" s="423"/>
      <c r="X247" s="414" t="s">
        <v>343</v>
      </c>
      <c r="Y247" s="500" t="s">
        <v>701</v>
      </c>
      <c r="Z247" s="500" t="s">
        <v>790</v>
      </c>
      <c r="AA247" s="500">
        <v>7</v>
      </c>
      <c r="AB247" s="501"/>
      <c r="AC247" s="425"/>
      <c r="AD247" s="425"/>
      <c r="AE247" s="425"/>
      <c r="AF247" s="425"/>
      <c r="AG247" s="414" t="s">
        <v>337</v>
      </c>
      <c r="AH247" s="425"/>
      <c r="AI247" s="425"/>
      <c r="AJ247" s="425"/>
      <c r="AK247" s="425"/>
      <c r="AL247" s="425"/>
      <c r="AM247" s="259"/>
      <c r="AN247" s="259"/>
    </row>
    <row r="248" spans="1:40" ht="22.5" hidden="1" customHeight="1" x14ac:dyDescent="0.2">
      <c r="A248" s="413">
        <v>45838.740758773143</v>
      </c>
      <c r="B248" s="414" t="s">
        <v>351</v>
      </c>
      <c r="C248" s="414" t="s">
        <v>338</v>
      </c>
      <c r="D248" s="420" t="str">
        <f t="shared" si="0"/>
        <v/>
      </c>
      <c r="E248" s="421"/>
      <c r="F248" s="421"/>
      <c r="G248" s="421"/>
      <c r="H248" s="505"/>
      <c r="I248" s="421"/>
      <c r="J248" s="423"/>
      <c r="K248" s="506" t="s">
        <v>793</v>
      </c>
      <c r="L248" s="417">
        <v>10812</v>
      </c>
      <c r="M248" s="417">
        <v>1418</v>
      </c>
      <c r="N248" s="417">
        <v>452</v>
      </c>
      <c r="O248" s="420"/>
      <c r="P248" s="421"/>
      <c r="Q248" s="421"/>
      <c r="R248" s="421"/>
      <c r="S248" s="425"/>
      <c r="T248" s="420"/>
      <c r="U248" s="421"/>
      <c r="V248" s="421"/>
      <c r="W248" s="423"/>
      <c r="X248" s="414" t="s">
        <v>343</v>
      </c>
      <c r="Y248" s="500" t="s">
        <v>701</v>
      </c>
      <c r="Z248" s="500" t="s">
        <v>702</v>
      </c>
      <c r="AA248" s="500">
        <v>3</v>
      </c>
      <c r="AB248" s="501"/>
      <c r="AC248" s="425"/>
      <c r="AD248" s="425"/>
      <c r="AE248" s="425"/>
      <c r="AF248" s="425"/>
      <c r="AG248" s="414" t="s">
        <v>337</v>
      </c>
      <c r="AH248" s="425"/>
      <c r="AI248" s="425"/>
      <c r="AJ248" s="425"/>
      <c r="AK248" s="425"/>
      <c r="AL248" s="425"/>
      <c r="AM248" s="259"/>
      <c r="AN248" s="259"/>
    </row>
    <row r="249" spans="1:40" ht="22.5" hidden="1" customHeight="1" x14ac:dyDescent="0.2">
      <c r="A249" s="413">
        <v>45838.741352870369</v>
      </c>
      <c r="B249" s="414" t="s">
        <v>56</v>
      </c>
      <c r="C249" s="414" t="s">
        <v>338</v>
      </c>
      <c r="D249" s="420" t="str">
        <f t="shared" si="0"/>
        <v>2017</v>
      </c>
      <c r="E249" s="416" t="s">
        <v>794</v>
      </c>
      <c r="F249" s="417">
        <v>47526</v>
      </c>
      <c r="G249" s="417">
        <v>7849</v>
      </c>
      <c r="H249" s="418" t="s">
        <v>795</v>
      </c>
      <c r="I249" s="417">
        <v>1501</v>
      </c>
      <c r="J249" s="419" t="s">
        <v>53</v>
      </c>
      <c r="K249" s="420"/>
      <c r="L249" s="421"/>
      <c r="M249" s="421"/>
      <c r="N249" s="421"/>
      <c r="O249" s="420"/>
      <c r="P249" s="421"/>
      <c r="Q249" s="421"/>
      <c r="R249" s="421"/>
      <c r="S249" s="422"/>
      <c r="T249" s="420"/>
      <c r="U249" s="421"/>
      <c r="V249" s="421"/>
      <c r="W249" s="423"/>
      <c r="X249" s="414" t="s">
        <v>343</v>
      </c>
      <c r="Y249" s="500" t="s">
        <v>701</v>
      </c>
      <c r="Z249" s="500" t="s">
        <v>790</v>
      </c>
      <c r="AA249" s="500">
        <v>11</v>
      </c>
      <c r="AB249" s="501"/>
      <c r="AC249" s="425"/>
      <c r="AD249" s="425"/>
      <c r="AE249" s="425"/>
      <c r="AF249" s="425"/>
      <c r="AG249" s="414" t="s">
        <v>337</v>
      </c>
      <c r="AH249" s="425"/>
      <c r="AI249" s="425"/>
      <c r="AJ249" s="425"/>
      <c r="AK249" s="425"/>
      <c r="AL249" s="425"/>
      <c r="AM249" s="259"/>
      <c r="AN249" s="259"/>
    </row>
    <row r="250" spans="1:40" ht="22.5" hidden="1" customHeight="1" x14ac:dyDescent="0.2">
      <c r="A250" s="413">
        <v>45838.741982465275</v>
      </c>
      <c r="B250" s="414" t="s">
        <v>56</v>
      </c>
      <c r="C250" s="414" t="s">
        <v>338</v>
      </c>
      <c r="D250" s="420" t="str">
        <f t="shared" si="0"/>
        <v>2017</v>
      </c>
      <c r="E250" s="416" t="s">
        <v>796</v>
      </c>
      <c r="F250" s="417">
        <v>47527</v>
      </c>
      <c r="G250" s="417">
        <v>7841</v>
      </c>
      <c r="H250" s="418" t="s">
        <v>797</v>
      </c>
      <c r="I250" s="417">
        <v>1499</v>
      </c>
      <c r="J250" s="419" t="s">
        <v>53</v>
      </c>
      <c r="K250" s="420"/>
      <c r="L250" s="421"/>
      <c r="M250" s="421"/>
      <c r="N250" s="421"/>
      <c r="O250" s="420"/>
      <c r="P250" s="421"/>
      <c r="Q250" s="421"/>
      <c r="R250" s="421"/>
      <c r="S250" s="422"/>
      <c r="T250" s="420"/>
      <c r="U250" s="421"/>
      <c r="V250" s="421"/>
      <c r="W250" s="423"/>
      <c r="X250" s="414" t="s">
        <v>343</v>
      </c>
      <c r="Y250" s="500" t="s">
        <v>701</v>
      </c>
      <c r="Z250" s="500" t="s">
        <v>790</v>
      </c>
      <c r="AA250" s="500">
        <v>12</v>
      </c>
      <c r="AB250" s="501"/>
      <c r="AC250" s="425"/>
      <c r="AD250" s="425"/>
      <c r="AE250" s="425"/>
      <c r="AF250" s="425"/>
      <c r="AG250" s="414" t="s">
        <v>337</v>
      </c>
      <c r="AH250" s="425"/>
      <c r="AI250" s="425"/>
      <c r="AJ250" s="425"/>
      <c r="AK250" s="425"/>
      <c r="AL250" s="425"/>
      <c r="AM250" s="259"/>
      <c r="AN250" s="259"/>
    </row>
    <row r="251" spans="1:40" ht="22.5" hidden="1" customHeight="1" x14ac:dyDescent="0.2">
      <c r="A251" s="413">
        <v>45838.742606689819</v>
      </c>
      <c r="B251" s="414" t="s">
        <v>56</v>
      </c>
      <c r="C251" s="414" t="s">
        <v>338</v>
      </c>
      <c r="D251" s="420" t="str">
        <f t="shared" si="0"/>
        <v>2018</v>
      </c>
      <c r="E251" s="416" t="s">
        <v>798</v>
      </c>
      <c r="F251" s="417">
        <v>50348</v>
      </c>
      <c r="G251" s="417">
        <v>2901</v>
      </c>
      <c r="H251" s="418" t="s">
        <v>799</v>
      </c>
      <c r="I251" s="417">
        <v>555</v>
      </c>
      <c r="J251" s="419" t="s">
        <v>53</v>
      </c>
      <c r="K251" s="420"/>
      <c r="L251" s="421"/>
      <c r="M251" s="421"/>
      <c r="N251" s="421"/>
      <c r="O251" s="420"/>
      <c r="P251" s="421"/>
      <c r="Q251" s="421"/>
      <c r="R251" s="421"/>
      <c r="S251" s="422"/>
      <c r="T251" s="420"/>
      <c r="U251" s="421"/>
      <c r="V251" s="421"/>
      <c r="W251" s="423"/>
      <c r="X251" s="414" t="s">
        <v>343</v>
      </c>
      <c r="Y251" s="500" t="s">
        <v>701</v>
      </c>
      <c r="Z251" s="500" t="s">
        <v>730</v>
      </c>
      <c r="AA251" s="500">
        <v>16</v>
      </c>
      <c r="AB251" s="501"/>
      <c r="AC251" s="425"/>
      <c r="AD251" s="425"/>
      <c r="AE251" s="425"/>
      <c r="AF251" s="425"/>
      <c r="AG251" s="414" t="s">
        <v>337</v>
      </c>
      <c r="AH251" s="425"/>
      <c r="AI251" s="425"/>
      <c r="AJ251" s="425"/>
      <c r="AK251" s="425"/>
      <c r="AL251" s="425"/>
      <c r="AM251" s="259"/>
      <c r="AN251" s="259"/>
    </row>
    <row r="252" spans="1:40" ht="22.5" hidden="1" customHeight="1" x14ac:dyDescent="0.2">
      <c r="A252" s="413">
        <v>45839.366200613425</v>
      </c>
      <c r="B252" s="414" t="s">
        <v>56</v>
      </c>
      <c r="C252" s="414" t="s">
        <v>338</v>
      </c>
      <c r="D252" s="420" t="str">
        <f t="shared" si="0"/>
        <v>2018</v>
      </c>
      <c r="E252" s="416" t="s">
        <v>800</v>
      </c>
      <c r="F252" s="417">
        <v>50458</v>
      </c>
      <c r="G252" s="417">
        <v>6981</v>
      </c>
      <c r="H252" s="418" t="s">
        <v>801</v>
      </c>
      <c r="I252" s="417">
        <v>1373</v>
      </c>
      <c r="J252" s="419" t="s">
        <v>53</v>
      </c>
      <c r="K252" s="420"/>
      <c r="L252" s="421"/>
      <c r="M252" s="421"/>
      <c r="N252" s="421"/>
      <c r="O252" s="420"/>
      <c r="P252" s="421"/>
      <c r="Q252" s="421"/>
      <c r="R252" s="421"/>
      <c r="S252" s="422"/>
      <c r="T252" s="420"/>
      <c r="U252" s="421"/>
      <c r="V252" s="421"/>
      <c r="W252" s="423"/>
      <c r="X252" s="414" t="s">
        <v>343</v>
      </c>
      <c r="Y252" s="500" t="s">
        <v>759</v>
      </c>
      <c r="Z252" s="501"/>
      <c r="AA252" s="501"/>
      <c r="AB252" s="501"/>
      <c r="AC252" s="425"/>
      <c r="AD252" s="425"/>
      <c r="AE252" s="425"/>
      <c r="AF252" s="425"/>
      <c r="AG252" s="414" t="s">
        <v>337</v>
      </c>
      <c r="AH252" s="425"/>
      <c r="AI252" s="425"/>
      <c r="AJ252" s="425"/>
      <c r="AK252" s="425"/>
      <c r="AL252" s="425"/>
      <c r="AM252" s="259"/>
      <c r="AN252" s="259"/>
    </row>
    <row r="253" spans="1:40" ht="22.5" hidden="1" customHeight="1" x14ac:dyDescent="0.2">
      <c r="A253" s="413">
        <v>45839.366890902777</v>
      </c>
      <c r="B253" s="414" t="s">
        <v>56</v>
      </c>
      <c r="C253" s="414" t="s">
        <v>338</v>
      </c>
      <c r="D253" s="420" t="str">
        <f t="shared" si="0"/>
        <v>2021</v>
      </c>
      <c r="E253" s="416" t="s">
        <v>802</v>
      </c>
      <c r="F253" s="417">
        <v>62098</v>
      </c>
      <c r="G253" s="417">
        <v>9822</v>
      </c>
      <c r="H253" s="418" t="s">
        <v>803</v>
      </c>
      <c r="I253" s="417">
        <v>2018</v>
      </c>
      <c r="J253" s="419" t="s">
        <v>53</v>
      </c>
      <c r="K253" s="420"/>
      <c r="L253" s="421"/>
      <c r="M253" s="421"/>
      <c r="N253" s="421"/>
      <c r="O253" s="420"/>
      <c r="P253" s="421"/>
      <c r="Q253" s="421"/>
      <c r="R253" s="421"/>
      <c r="S253" s="422"/>
      <c r="T253" s="420"/>
      <c r="U253" s="421"/>
      <c r="V253" s="421"/>
      <c r="W253" s="423"/>
      <c r="X253" s="414" t="s">
        <v>343</v>
      </c>
      <c r="Y253" s="500" t="s">
        <v>759</v>
      </c>
      <c r="Z253" s="501"/>
      <c r="AA253" s="501"/>
      <c r="AB253" s="501"/>
      <c r="AC253" s="425"/>
      <c r="AD253" s="425"/>
      <c r="AE253" s="425"/>
      <c r="AF253" s="425"/>
      <c r="AG253" s="414" t="s">
        <v>337</v>
      </c>
      <c r="AH253" s="425"/>
      <c r="AI253" s="425"/>
      <c r="AJ253" s="425"/>
      <c r="AK253" s="425"/>
      <c r="AL253" s="425"/>
      <c r="AM253" s="259"/>
      <c r="AN253" s="259"/>
    </row>
    <row r="254" spans="1:40" ht="22.5" hidden="1" customHeight="1" x14ac:dyDescent="0.2">
      <c r="A254" s="413">
        <v>45839.367425555552</v>
      </c>
      <c r="B254" s="414" t="s">
        <v>351</v>
      </c>
      <c r="C254" s="414" t="s">
        <v>338</v>
      </c>
      <c r="D254" s="420" t="str">
        <f t="shared" si="0"/>
        <v/>
      </c>
      <c r="E254" s="421"/>
      <c r="F254" s="421"/>
      <c r="G254" s="421"/>
      <c r="H254" s="505"/>
      <c r="I254" s="421"/>
      <c r="J254" s="423"/>
      <c r="K254" s="506" t="s">
        <v>804</v>
      </c>
      <c r="L254" s="417">
        <v>12848</v>
      </c>
      <c r="M254" s="417">
        <v>678</v>
      </c>
      <c r="N254" s="417">
        <v>560</v>
      </c>
      <c r="O254" s="420"/>
      <c r="P254" s="421"/>
      <c r="Q254" s="421"/>
      <c r="R254" s="421"/>
      <c r="S254" s="425"/>
      <c r="T254" s="420"/>
      <c r="U254" s="421"/>
      <c r="V254" s="421"/>
      <c r="W254" s="423"/>
      <c r="X254" s="414" t="s">
        <v>343</v>
      </c>
      <c r="Y254" s="500" t="s">
        <v>759</v>
      </c>
      <c r="Z254" s="501"/>
      <c r="AA254" s="501"/>
      <c r="AB254" s="501"/>
      <c r="AC254" s="425"/>
      <c r="AD254" s="425"/>
      <c r="AE254" s="425"/>
      <c r="AF254" s="425"/>
      <c r="AG254" s="414" t="s">
        <v>337</v>
      </c>
      <c r="AH254" s="425"/>
      <c r="AI254" s="425"/>
      <c r="AJ254" s="425"/>
      <c r="AK254" s="425"/>
      <c r="AL254" s="425"/>
      <c r="AM254" s="259"/>
      <c r="AN254" s="259"/>
    </row>
    <row r="255" spans="1:40" ht="22.5" hidden="1" customHeight="1" x14ac:dyDescent="0.2">
      <c r="A255" s="413">
        <v>45839.368099293977</v>
      </c>
      <c r="B255" s="414" t="s">
        <v>56</v>
      </c>
      <c r="C255" s="414" t="s">
        <v>338</v>
      </c>
      <c r="D255" s="420" t="str">
        <f t="shared" si="0"/>
        <v>2020</v>
      </c>
      <c r="E255" s="416" t="s">
        <v>805</v>
      </c>
      <c r="F255" s="417">
        <v>59517</v>
      </c>
      <c r="G255" s="417">
        <v>7652</v>
      </c>
      <c r="H255" s="418" t="s">
        <v>806</v>
      </c>
      <c r="I255" s="417">
        <v>1527</v>
      </c>
      <c r="J255" s="419" t="s">
        <v>53</v>
      </c>
      <c r="K255" s="420"/>
      <c r="L255" s="421"/>
      <c r="M255" s="421"/>
      <c r="N255" s="421"/>
      <c r="O255" s="420"/>
      <c r="P255" s="421"/>
      <c r="Q255" s="421"/>
      <c r="R255" s="421"/>
      <c r="S255" s="422"/>
      <c r="T255" s="420"/>
      <c r="U255" s="421"/>
      <c r="V255" s="421"/>
      <c r="W255" s="423"/>
      <c r="X255" s="414" t="s">
        <v>343</v>
      </c>
      <c r="Y255" s="500" t="s">
        <v>759</v>
      </c>
      <c r="Z255" s="501"/>
      <c r="AA255" s="501"/>
      <c r="AB255" s="501"/>
      <c r="AC255" s="425"/>
      <c r="AD255" s="425"/>
      <c r="AE255" s="425"/>
      <c r="AF255" s="425"/>
      <c r="AG255" s="414" t="s">
        <v>337</v>
      </c>
      <c r="AH255" s="425"/>
      <c r="AI255" s="425"/>
      <c r="AJ255" s="425"/>
      <c r="AK255" s="425"/>
      <c r="AL255" s="425"/>
      <c r="AM255" s="259"/>
      <c r="AN255" s="259"/>
    </row>
    <row r="256" spans="1:40" ht="22.5" hidden="1" customHeight="1" x14ac:dyDescent="0.2">
      <c r="A256" s="413">
        <v>45839.368672349534</v>
      </c>
      <c r="B256" s="414" t="s">
        <v>56</v>
      </c>
      <c r="C256" s="414" t="s">
        <v>338</v>
      </c>
      <c r="D256" s="420" t="str">
        <f t="shared" si="0"/>
        <v>2020</v>
      </c>
      <c r="E256" s="416" t="s">
        <v>807</v>
      </c>
      <c r="F256" s="417">
        <v>58549</v>
      </c>
      <c r="G256" s="417">
        <v>3574</v>
      </c>
      <c r="H256" s="418" t="s">
        <v>808</v>
      </c>
      <c r="I256" s="417">
        <v>672</v>
      </c>
      <c r="J256" s="419" t="s">
        <v>53</v>
      </c>
      <c r="K256" s="420"/>
      <c r="L256" s="421"/>
      <c r="M256" s="421"/>
      <c r="N256" s="421"/>
      <c r="O256" s="420"/>
      <c r="P256" s="421"/>
      <c r="Q256" s="421"/>
      <c r="R256" s="421"/>
      <c r="S256" s="422"/>
      <c r="T256" s="420"/>
      <c r="U256" s="421"/>
      <c r="V256" s="421"/>
      <c r="W256" s="423"/>
      <c r="X256" s="414" t="s">
        <v>343</v>
      </c>
      <c r="Y256" s="500" t="s">
        <v>759</v>
      </c>
      <c r="Z256" s="501"/>
      <c r="AA256" s="501"/>
      <c r="AB256" s="501"/>
      <c r="AC256" s="425"/>
      <c r="AD256" s="425"/>
      <c r="AE256" s="425"/>
      <c r="AF256" s="425"/>
      <c r="AG256" s="414" t="s">
        <v>337</v>
      </c>
      <c r="AH256" s="425"/>
      <c r="AI256" s="425"/>
      <c r="AJ256" s="425"/>
      <c r="AK256" s="425"/>
      <c r="AL256" s="425"/>
      <c r="AM256" s="259"/>
      <c r="AN256" s="259"/>
    </row>
    <row r="257" spans="1:40" ht="22.5" hidden="1" customHeight="1" x14ac:dyDescent="0.2">
      <c r="A257" s="413">
        <v>45839.369240185188</v>
      </c>
      <c r="B257" s="414" t="s">
        <v>56</v>
      </c>
      <c r="C257" s="414" t="s">
        <v>338</v>
      </c>
      <c r="D257" s="420" t="str">
        <f t="shared" si="0"/>
        <v>2020</v>
      </c>
      <c r="E257" s="416" t="s">
        <v>807</v>
      </c>
      <c r="F257" s="417">
        <v>58548</v>
      </c>
      <c r="G257" s="417">
        <v>3578</v>
      </c>
      <c r="H257" s="418" t="s">
        <v>809</v>
      </c>
      <c r="I257" s="417">
        <v>673</v>
      </c>
      <c r="J257" s="419" t="s">
        <v>53</v>
      </c>
      <c r="K257" s="420"/>
      <c r="L257" s="421"/>
      <c r="M257" s="421"/>
      <c r="N257" s="421"/>
      <c r="O257" s="420"/>
      <c r="P257" s="421"/>
      <c r="Q257" s="421"/>
      <c r="R257" s="421"/>
      <c r="S257" s="422"/>
      <c r="T257" s="420"/>
      <c r="U257" s="421"/>
      <c r="V257" s="421"/>
      <c r="W257" s="423"/>
      <c r="X257" s="414" t="s">
        <v>343</v>
      </c>
      <c r="Y257" s="500" t="s">
        <v>759</v>
      </c>
      <c r="Z257" s="501"/>
      <c r="AA257" s="501"/>
      <c r="AB257" s="501"/>
      <c r="AC257" s="425"/>
      <c r="AD257" s="425"/>
      <c r="AE257" s="425"/>
      <c r="AF257" s="425"/>
      <c r="AG257" s="414" t="s">
        <v>337</v>
      </c>
      <c r="AH257" s="425"/>
      <c r="AI257" s="425"/>
      <c r="AJ257" s="425"/>
      <c r="AK257" s="425"/>
      <c r="AL257" s="425"/>
      <c r="AM257" s="259"/>
      <c r="AN257" s="259"/>
    </row>
    <row r="258" spans="1:40" ht="22.5" hidden="1" customHeight="1" x14ac:dyDescent="0.2">
      <c r="A258" s="413">
        <v>45839.369763472219</v>
      </c>
      <c r="B258" s="414" t="s">
        <v>56</v>
      </c>
      <c r="C258" s="414" t="s">
        <v>338</v>
      </c>
      <c r="D258" s="420" t="str">
        <f t="shared" si="0"/>
        <v>2020</v>
      </c>
      <c r="E258" s="416" t="s">
        <v>810</v>
      </c>
      <c r="F258" s="417">
        <v>58730</v>
      </c>
      <c r="G258" s="417">
        <v>4319</v>
      </c>
      <c r="H258" s="418" t="s">
        <v>811</v>
      </c>
      <c r="I258" s="417">
        <v>822</v>
      </c>
      <c r="J258" s="419" t="s">
        <v>53</v>
      </c>
      <c r="K258" s="420"/>
      <c r="L258" s="421"/>
      <c r="M258" s="421"/>
      <c r="N258" s="421"/>
      <c r="O258" s="420"/>
      <c r="P258" s="421"/>
      <c r="Q258" s="421"/>
      <c r="R258" s="421"/>
      <c r="S258" s="422"/>
      <c r="T258" s="420"/>
      <c r="U258" s="421"/>
      <c r="V258" s="421"/>
      <c r="W258" s="423"/>
      <c r="X258" s="414" t="s">
        <v>343</v>
      </c>
      <c r="Y258" s="500" t="s">
        <v>759</v>
      </c>
      <c r="Z258" s="501"/>
      <c r="AA258" s="501"/>
      <c r="AB258" s="501"/>
      <c r="AC258" s="425"/>
      <c r="AD258" s="425"/>
      <c r="AE258" s="425"/>
      <c r="AF258" s="425"/>
      <c r="AG258" s="414" t="s">
        <v>337</v>
      </c>
      <c r="AH258" s="425"/>
      <c r="AI258" s="425"/>
      <c r="AJ258" s="425"/>
      <c r="AK258" s="425"/>
      <c r="AL258" s="425"/>
      <c r="AM258" s="259"/>
      <c r="AN258" s="259"/>
    </row>
    <row r="259" spans="1:40" ht="22.5" hidden="1" customHeight="1" x14ac:dyDescent="0.2">
      <c r="A259" s="413">
        <v>45839.37033943287</v>
      </c>
      <c r="B259" s="414" t="s">
        <v>56</v>
      </c>
      <c r="C259" s="414" t="s">
        <v>338</v>
      </c>
      <c r="D259" s="420" t="str">
        <f t="shared" si="0"/>
        <v>2021</v>
      </c>
      <c r="E259" s="416" t="s">
        <v>812</v>
      </c>
      <c r="F259" s="417">
        <v>59814</v>
      </c>
      <c r="G259" s="417">
        <v>1795</v>
      </c>
      <c r="H259" s="418" t="s">
        <v>813</v>
      </c>
      <c r="I259" s="417">
        <v>356</v>
      </c>
      <c r="J259" s="419" t="s">
        <v>53</v>
      </c>
      <c r="K259" s="420"/>
      <c r="L259" s="421"/>
      <c r="M259" s="421"/>
      <c r="N259" s="421"/>
      <c r="O259" s="420"/>
      <c r="P259" s="421"/>
      <c r="Q259" s="421"/>
      <c r="R259" s="421"/>
      <c r="S259" s="422"/>
      <c r="T259" s="420"/>
      <c r="U259" s="421"/>
      <c r="V259" s="421"/>
      <c r="W259" s="423"/>
      <c r="X259" s="414" t="s">
        <v>343</v>
      </c>
      <c r="Y259" s="500" t="s">
        <v>759</v>
      </c>
      <c r="Z259" s="501"/>
      <c r="AA259" s="501"/>
      <c r="AB259" s="501"/>
      <c r="AC259" s="425"/>
      <c r="AD259" s="425"/>
      <c r="AE259" s="425"/>
      <c r="AF259" s="425"/>
      <c r="AG259" s="414" t="s">
        <v>337</v>
      </c>
      <c r="AH259" s="425"/>
      <c r="AI259" s="425"/>
      <c r="AJ259" s="425"/>
      <c r="AK259" s="425"/>
      <c r="AL259" s="425"/>
      <c r="AM259" s="259"/>
      <c r="AN259" s="259"/>
    </row>
    <row r="260" spans="1:40" ht="22.5" hidden="1" customHeight="1" x14ac:dyDescent="0.2">
      <c r="A260" s="413">
        <v>45840.518310625004</v>
      </c>
      <c r="B260" s="414" t="s">
        <v>56</v>
      </c>
      <c r="C260" s="414" t="s">
        <v>381</v>
      </c>
      <c r="D260" s="420" t="str">
        <f t="shared" si="0"/>
        <v>2014</v>
      </c>
      <c r="E260" s="416" t="s">
        <v>814</v>
      </c>
      <c r="F260" s="417">
        <v>37530</v>
      </c>
      <c r="G260" s="417">
        <v>20835</v>
      </c>
      <c r="H260" s="418" t="s">
        <v>815</v>
      </c>
      <c r="I260" s="417">
        <v>2100</v>
      </c>
      <c r="J260" s="419" t="s">
        <v>53</v>
      </c>
      <c r="K260" s="420"/>
      <c r="L260" s="421"/>
      <c r="M260" s="421"/>
      <c r="N260" s="421"/>
      <c r="O260" s="420"/>
      <c r="P260" s="421"/>
      <c r="Q260" s="421"/>
      <c r="R260" s="421"/>
      <c r="S260" s="422"/>
      <c r="T260" s="420"/>
      <c r="U260" s="421"/>
      <c r="V260" s="421"/>
      <c r="W260" s="423"/>
      <c r="X260" s="414" t="s">
        <v>343</v>
      </c>
      <c r="Y260" s="500" t="s">
        <v>701</v>
      </c>
      <c r="Z260" s="500" t="s">
        <v>719</v>
      </c>
      <c r="AA260" s="501"/>
      <c r="AB260" s="501"/>
      <c r="AC260" s="425"/>
      <c r="AD260" s="425"/>
      <c r="AE260" s="425"/>
      <c r="AF260" s="425"/>
      <c r="AG260" s="414" t="s">
        <v>337</v>
      </c>
      <c r="AH260" s="425"/>
      <c r="AI260" s="425"/>
      <c r="AJ260" s="425"/>
      <c r="AK260" s="425"/>
      <c r="AL260" s="425"/>
      <c r="AM260" s="259"/>
      <c r="AN260" s="259"/>
    </row>
    <row r="261" spans="1:40" ht="22.5" hidden="1" customHeight="1" x14ac:dyDescent="0.2">
      <c r="A261" s="413">
        <v>45841.552614062501</v>
      </c>
      <c r="B261" s="414" t="s">
        <v>56</v>
      </c>
      <c r="C261" s="414" t="s">
        <v>816</v>
      </c>
      <c r="D261" s="420" t="str">
        <f t="shared" si="0"/>
        <v>2023</v>
      </c>
      <c r="E261" s="416" t="s">
        <v>817</v>
      </c>
      <c r="F261" s="417">
        <v>70608</v>
      </c>
      <c r="G261" s="417">
        <v>16874</v>
      </c>
      <c r="H261" s="418" t="s">
        <v>818</v>
      </c>
      <c r="I261" s="417">
        <v>3356</v>
      </c>
      <c r="J261" s="419" t="s">
        <v>53</v>
      </c>
      <c r="K261" s="420"/>
      <c r="L261" s="421"/>
      <c r="M261" s="421"/>
      <c r="N261" s="421"/>
      <c r="O261" s="420"/>
      <c r="P261" s="421"/>
      <c r="Q261" s="421"/>
      <c r="R261" s="421"/>
      <c r="S261" s="422"/>
      <c r="T261" s="420"/>
      <c r="U261" s="421"/>
      <c r="V261" s="421"/>
      <c r="W261" s="423"/>
      <c r="X261" s="414" t="s">
        <v>343</v>
      </c>
      <c r="Y261" s="500" t="s">
        <v>759</v>
      </c>
      <c r="Z261" s="500" t="s">
        <v>727</v>
      </c>
      <c r="AA261" s="501"/>
      <c r="AB261" s="501"/>
      <c r="AC261" s="425"/>
      <c r="AD261" s="425"/>
      <c r="AE261" s="425"/>
      <c r="AF261" s="425"/>
      <c r="AG261" s="414" t="s">
        <v>337</v>
      </c>
      <c r="AH261" s="425"/>
      <c r="AI261" s="425"/>
      <c r="AJ261" s="425"/>
      <c r="AK261" s="425"/>
      <c r="AL261" s="425"/>
      <c r="AM261" s="259"/>
      <c r="AN261" s="259"/>
    </row>
    <row r="262" spans="1:40" ht="22.5" hidden="1" customHeight="1" x14ac:dyDescent="0.2">
      <c r="A262" s="507">
        <v>45841.663096076387</v>
      </c>
      <c r="B262" s="508" t="s">
        <v>56</v>
      </c>
      <c r="C262" s="508" t="s">
        <v>819</v>
      </c>
      <c r="D262" s="509" t="str">
        <f t="shared" si="0"/>
        <v>2023</v>
      </c>
      <c r="E262" s="510" t="s">
        <v>817</v>
      </c>
      <c r="F262" s="511">
        <v>70608</v>
      </c>
      <c r="G262" s="511">
        <v>16874</v>
      </c>
      <c r="H262" s="512" t="s">
        <v>818</v>
      </c>
      <c r="I262" s="511">
        <v>3356</v>
      </c>
      <c r="J262" s="513" t="s">
        <v>54</v>
      </c>
      <c r="K262" s="509"/>
      <c r="L262" s="514"/>
      <c r="M262" s="514"/>
      <c r="N262" s="514"/>
      <c r="O262" s="509"/>
      <c r="P262" s="514"/>
      <c r="Q262" s="514"/>
      <c r="R262" s="514"/>
      <c r="S262" s="515"/>
      <c r="T262" s="509"/>
      <c r="U262" s="514"/>
      <c r="V262" s="514"/>
      <c r="W262" s="516"/>
      <c r="X262" s="508" t="s">
        <v>343</v>
      </c>
      <c r="Y262" s="517" t="s">
        <v>759</v>
      </c>
      <c r="Z262" s="517" t="s">
        <v>820</v>
      </c>
      <c r="AA262" s="518"/>
      <c r="AB262" s="517" t="s">
        <v>821</v>
      </c>
      <c r="AC262" s="519"/>
      <c r="AD262" s="519"/>
      <c r="AE262" s="519"/>
      <c r="AF262" s="519"/>
      <c r="AG262" s="508" t="s">
        <v>337</v>
      </c>
      <c r="AH262" s="519"/>
      <c r="AI262" s="519"/>
      <c r="AJ262" s="519"/>
      <c r="AK262" s="519"/>
      <c r="AL262" s="519"/>
      <c r="AM262" s="520"/>
      <c r="AN262" s="520"/>
    </row>
    <row r="263" spans="1:40" ht="22.5" hidden="1" customHeight="1" x14ac:dyDescent="0.2">
      <c r="A263" s="413">
        <v>45841.730905347227</v>
      </c>
      <c r="B263" s="414" t="s">
        <v>56</v>
      </c>
      <c r="C263" s="414" t="s">
        <v>338</v>
      </c>
      <c r="D263" s="420" t="str">
        <f t="shared" si="0"/>
        <v>2017</v>
      </c>
      <c r="E263" s="416" t="s">
        <v>822</v>
      </c>
      <c r="F263" s="417">
        <v>48112</v>
      </c>
      <c r="G263" s="417">
        <v>10180</v>
      </c>
      <c r="H263" s="418" t="s">
        <v>823</v>
      </c>
      <c r="I263" s="417">
        <v>1961</v>
      </c>
      <c r="J263" s="419" t="s">
        <v>53</v>
      </c>
      <c r="K263" s="420"/>
      <c r="L263" s="421"/>
      <c r="M263" s="421"/>
      <c r="N263" s="421"/>
      <c r="O263" s="420"/>
      <c r="P263" s="421"/>
      <c r="Q263" s="421"/>
      <c r="R263" s="421"/>
      <c r="S263" s="422"/>
      <c r="T263" s="420"/>
      <c r="U263" s="421"/>
      <c r="V263" s="421"/>
      <c r="W263" s="423"/>
      <c r="X263" s="414" t="s">
        <v>343</v>
      </c>
      <c r="Y263" s="500" t="s">
        <v>759</v>
      </c>
      <c r="Z263" s="501"/>
      <c r="AA263" s="501"/>
      <c r="AB263" s="501"/>
      <c r="AC263" s="425"/>
      <c r="AD263" s="425"/>
      <c r="AE263" s="425"/>
      <c r="AF263" s="425"/>
      <c r="AG263" s="414" t="s">
        <v>337</v>
      </c>
      <c r="AH263" s="425"/>
      <c r="AI263" s="425"/>
      <c r="AJ263" s="425"/>
      <c r="AK263" s="425"/>
      <c r="AL263" s="425"/>
      <c r="AM263" s="259"/>
      <c r="AN263" s="259"/>
    </row>
    <row r="264" spans="1:40" ht="22.5" hidden="1" customHeight="1" x14ac:dyDescent="0.2">
      <c r="A264" s="413">
        <v>45841.731497488421</v>
      </c>
      <c r="B264" s="414" t="s">
        <v>56</v>
      </c>
      <c r="C264" s="414" t="s">
        <v>338</v>
      </c>
      <c r="D264" s="420" t="str">
        <f t="shared" si="0"/>
        <v>2019</v>
      </c>
      <c r="E264" s="416" t="s">
        <v>824</v>
      </c>
      <c r="F264" s="417">
        <v>55840</v>
      </c>
      <c r="G264" s="417">
        <v>8291</v>
      </c>
      <c r="H264" s="418" t="s">
        <v>825</v>
      </c>
      <c r="I264" s="417">
        <v>1657</v>
      </c>
      <c r="J264" s="419" t="s">
        <v>53</v>
      </c>
      <c r="K264" s="420"/>
      <c r="L264" s="421"/>
      <c r="M264" s="421"/>
      <c r="N264" s="421"/>
      <c r="O264" s="420"/>
      <c r="P264" s="421"/>
      <c r="Q264" s="421"/>
      <c r="R264" s="421"/>
      <c r="S264" s="422"/>
      <c r="T264" s="420"/>
      <c r="U264" s="421"/>
      <c r="V264" s="421"/>
      <c r="W264" s="423"/>
      <c r="X264" s="414" t="s">
        <v>343</v>
      </c>
      <c r="Y264" s="500" t="s">
        <v>759</v>
      </c>
      <c r="Z264" s="501"/>
      <c r="AA264" s="501"/>
      <c r="AB264" s="501"/>
      <c r="AC264" s="425"/>
      <c r="AD264" s="425"/>
      <c r="AE264" s="425"/>
      <c r="AF264" s="425"/>
      <c r="AG264" s="414" t="s">
        <v>337</v>
      </c>
      <c r="AH264" s="425"/>
      <c r="AI264" s="425"/>
      <c r="AJ264" s="425"/>
      <c r="AK264" s="425"/>
      <c r="AL264" s="425"/>
      <c r="AM264" s="259"/>
      <c r="AN264" s="259"/>
    </row>
    <row r="265" spans="1:40" ht="22.5" hidden="1" customHeight="1" x14ac:dyDescent="0.2">
      <c r="A265" s="413">
        <v>45841.732045081022</v>
      </c>
      <c r="B265" s="414" t="s">
        <v>56</v>
      </c>
      <c r="C265" s="414" t="s">
        <v>338</v>
      </c>
      <c r="D265" s="420" t="str">
        <f t="shared" si="0"/>
        <v>2010</v>
      </c>
      <c r="E265" s="416" t="s">
        <v>826</v>
      </c>
      <c r="F265" s="417">
        <v>22166</v>
      </c>
      <c r="G265" s="417">
        <v>5819</v>
      </c>
      <c r="H265" s="418" t="s">
        <v>827</v>
      </c>
      <c r="I265" s="417">
        <v>648</v>
      </c>
      <c r="J265" s="419" t="s">
        <v>53</v>
      </c>
      <c r="K265" s="420"/>
      <c r="L265" s="421"/>
      <c r="M265" s="421"/>
      <c r="N265" s="421"/>
      <c r="O265" s="420"/>
      <c r="P265" s="421"/>
      <c r="Q265" s="421"/>
      <c r="R265" s="421"/>
      <c r="S265" s="422"/>
      <c r="T265" s="420"/>
      <c r="U265" s="421"/>
      <c r="V265" s="421"/>
      <c r="W265" s="423"/>
      <c r="X265" s="414" t="s">
        <v>343</v>
      </c>
      <c r="Y265" s="500" t="s">
        <v>759</v>
      </c>
      <c r="Z265" s="501"/>
      <c r="AA265" s="501"/>
      <c r="AB265" s="501"/>
      <c r="AC265" s="425"/>
      <c r="AD265" s="425"/>
      <c r="AE265" s="425"/>
      <c r="AF265" s="425"/>
      <c r="AG265" s="414" t="s">
        <v>337</v>
      </c>
      <c r="AH265" s="425"/>
      <c r="AI265" s="425"/>
      <c r="AJ265" s="425"/>
      <c r="AK265" s="425"/>
      <c r="AL265" s="425"/>
      <c r="AM265" s="259"/>
      <c r="AN265" s="259"/>
    </row>
    <row r="266" spans="1:40" ht="22.5" customHeight="1" x14ac:dyDescent="0.2">
      <c r="A266" s="413">
        <v>45841.732675023144</v>
      </c>
      <c r="B266" s="414" t="s">
        <v>56</v>
      </c>
      <c r="C266" s="414" t="s">
        <v>338</v>
      </c>
      <c r="D266" s="420" t="str">
        <f t="shared" si="0"/>
        <v>2013</v>
      </c>
      <c r="E266" s="416" t="s">
        <v>828</v>
      </c>
      <c r="F266" s="417">
        <v>33928</v>
      </c>
      <c r="G266" s="417">
        <v>22036</v>
      </c>
      <c r="H266" s="418" t="s">
        <v>829</v>
      </c>
      <c r="I266" s="417">
        <v>2284</v>
      </c>
      <c r="J266" s="419" t="s">
        <v>53</v>
      </c>
      <c r="K266" s="420"/>
      <c r="L266" s="421"/>
      <c r="M266" s="421"/>
      <c r="N266" s="421"/>
      <c r="O266" s="420"/>
      <c r="P266" s="421"/>
      <c r="Q266" s="421"/>
      <c r="R266" s="421"/>
      <c r="S266" s="422"/>
      <c r="T266" s="420"/>
      <c r="U266" s="421"/>
      <c r="V266" s="421"/>
      <c r="W266" s="423"/>
      <c r="X266" s="414" t="s">
        <v>343</v>
      </c>
      <c r="Y266" s="500" t="s">
        <v>759</v>
      </c>
      <c r="Z266" s="501"/>
      <c r="AA266" s="501"/>
      <c r="AB266" s="501"/>
      <c r="AC266" s="425"/>
      <c r="AD266" s="425"/>
      <c r="AE266" s="425"/>
      <c r="AF266" s="425"/>
      <c r="AG266" s="414" t="s">
        <v>337</v>
      </c>
      <c r="AH266" s="425"/>
      <c r="AI266" s="425"/>
      <c r="AJ266" s="425"/>
      <c r="AK266" s="425"/>
      <c r="AL266" s="425"/>
      <c r="AM266" s="259"/>
      <c r="AN266" s="259"/>
    </row>
    <row r="267" spans="1:40" ht="22.5" hidden="1" customHeight="1" x14ac:dyDescent="0.2">
      <c r="A267" s="413">
        <v>45841.733266921292</v>
      </c>
      <c r="B267" s="414" t="s">
        <v>56</v>
      </c>
      <c r="C267" s="414" t="s">
        <v>338</v>
      </c>
      <c r="D267" s="420" t="str">
        <f t="shared" si="0"/>
        <v>2913</v>
      </c>
      <c r="E267" s="416" t="s">
        <v>830</v>
      </c>
      <c r="F267" s="417">
        <v>33930</v>
      </c>
      <c r="G267" s="417">
        <v>22055</v>
      </c>
      <c r="H267" s="418" t="s">
        <v>831</v>
      </c>
      <c r="I267" s="417">
        <v>2285</v>
      </c>
      <c r="J267" s="419" t="s">
        <v>53</v>
      </c>
      <c r="K267" s="420"/>
      <c r="L267" s="421"/>
      <c r="M267" s="421"/>
      <c r="N267" s="421"/>
      <c r="O267" s="420"/>
      <c r="P267" s="421"/>
      <c r="Q267" s="421"/>
      <c r="R267" s="421"/>
      <c r="S267" s="422"/>
      <c r="T267" s="420"/>
      <c r="U267" s="421"/>
      <c r="V267" s="421"/>
      <c r="W267" s="423"/>
      <c r="X267" s="414" t="s">
        <v>343</v>
      </c>
      <c r="Y267" s="500" t="s">
        <v>759</v>
      </c>
      <c r="Z267" s="501"/>
      <c r="AA267" s="501"/>
      <c r="AB267" s="501"/>
      <c r="AC267" s="425"/>
      <c r="AD267" s="425"/>
      <c r="AE267" s="425"/>
      <c r="AF267" s="425"/>
      <c r="AG267" s="414" t="s">
        <v>337</v>
      </c>
      <c r="AH267" s="425"/>
      <c r="AI267" s="425"/>
      <c r="AJ267" s="425"/>
      <c r="AK267" s="425"/>
      <c r="AL267" s="425"/>
      <c r="AM267" s="259"/>
      <c r="AN267" s="259"/>
    </row>
    <row r="268" spans="1:40" ht="22.5" hidden="1" customHeight="1" x14ac:dyDescent="0.2">
      <c r="A268" s="413">
        <v>45841.733830428246</v>
      </c>
      <c r="B268" s="414" t="s">
        <v>56</v>
      </c>
      <c r="C268" s="414" t="s">
        <v>338</v>
      </c>
      <c r="D268" s="420" t="str">
        <f t="shared" si="0"/>
        <v>2017</v>
      </c>
      <c r="E268" s="416" t="s">
        <v>832</v>
      </c>
      <c r="F268" s="417">
        <v>48066</v>
      </c>
      <c r="G268" s="417">
        <v>9999</v>
      </c>
      <c r="H268" s="418" t="s">
        <v>833</v>
      </c>
      <c r="I268" s="417">
        <v>1932</v>
      </c>
      <c r="J268" s="419" t="s">
        <v>53</v>
      </c>
      <c r="K268" s="420"/>
      <c r="L268" s="421"/>
      <c r="M268" s="421"/>
      <c r="N268" s="421"/>
      <c r="O268" s="420"/>
      <c r="P268" s="421"/>
      <c r="Q268" s="421"/>
      <c r="R268" s="421"/>
      <c r="S268" s="422"/>
      <c r="T268" s="420"/>
      <c r="U268" s="421"/>
      <c r="V268" s="421"/>
      <c r="W268" s="423"/>
      <c r="X268" s="414" t="s">
        <v>343</v>
      </c>
      <c r="Y268" s="500" t="s">
        <v>759</v>
      </c>
      <c r="Z268" s="501"/>
      <c r="AA268" s="501"/>
      <c r="AB268" s="501"/>
      <c r="AC268" s="425"/>
      <c r="AD268" s="425"/>
      <c r="AE268" s="425"/>
      <c r="AF268" s="425"/>
      <c r="AG268" s="414" t="s">
        <v>337</v>
      </c>
      <c r="AH268" s="425"/>
      <c r="AI268" s="425"/>
      <c r="AJ268" s="425"/>
      <c r="AK268" s="425"/>
      <c r="AL268" s="425"/>
      <c r="AM268" s="259"/>
      <c r="AN268" s="259"/>
    </row>
    <row r="269" spans="1:40" ht="22.5" hidden="1" customHeight="1" x14ac:dyDescent="0.2">
      <c r="A269" s="414" t="s">
        <v>834</v>
      </c>
      <c r="B269" s="414" t="s">
        <v>56</v>
      </c>
      <c r="C269" s="414" t="s">
        <v>338</v>
      </c>
      <c r="D269" s="420" t="str">
        <f t="shared" si="0"/>
        <v>2017</v>
      </c>
      <c r="E269" s="416" t="s">
        <v>835</v>
      </c>
      <c r="F269" s="417">
        <v>46293</v>
      </c>
      <c r="G269" s="417">
        <v>3021</v>
      </c>
      <c r="H269" s="418" t="s">
        <v>836</v>
      </c>
      <c r="I269" s="417">
        <v>614</v>
      </c>
      <c r="J269" s="419" t="s">
        <v>53</v>
      </c>
      <c r="K269" s="420"/>
      <c r="L269" s="421"/>
      <c r="M269" s="421"/>
      <c r="N269" s="421"/>
      <c r="O269" s="420"/>
      <c r="P269" s="421"/>
      <c r="Q269" s="421"/>
      <c r="R269" s="421"/>
      <c r="S269" s="422"/>
      <c r="T269" s="420"/>
      <c r="U269" s="421"/>
      <c r="V269" s="421"/>
      <c r="W269" s="423"/>
      <c r="X269" s="414" t="s">
        <v>343</v>
      </c>
      <c r="Y269" s="500" t="s">
        <v>759</v>
      </c>
      <c r="Z269" s="501"/>
      <c r="AA269" s="501"/>
      <c r="AB269" s="501"/>
      <c r="AC269" s="425"/>
      <c r="AD269" s="425"/>
      <c r="AE269" s="425"/>
      <c r="AF269" s="425"/>
      <c r="AG269" s="414" t="s">
        <v>337</v>
      </c>
      <c r="AH269" s="425"/>
      <c r="AI269" s="425"/>
      <c r="AJ269" s="425"/>
      <c r="AK269" s="425"/>
      <c r="AL269" s="425"/>
      <c r="AM269" s="259"/>
      <c r="AN269" s="259"/>
    </row>
    <row r="270" spans="1:40" ht="22.5" hidden="1" customHeight="1" x14ac:dyDescent="0.2">
      <c r="A270" s="413">
        <v>45841.734976192129</v>
      </c>
      <c r="B270" s="414" t="s">
        <v>56</v>
      </c>
      <c r="C270" s="414" t="s">
        <v>338</v>
      </c>
      <c r="D270" s="420" t="str">
        <f t="shared" si="0"/>
        <v>2016</v>
      </c>
      <c r="E270" s="416" t="s">
        <v>837</v>
      </c>
      <c r="F270" s="417">
        <v>43553</v>
      </c>
      <c r="G270" s="417">
        <v>7247</v>
      </c>
      <c r="H270" s="418" t="s">
        <v>838</v>
      </c>
      <c r="I270" s="417">
        <v>1261</v>
      </c>
      <c r="J270" s="419" t="s">
        <v>53</v>
      </c>
      <c r="K270" s="420"/>
      <c r="L270" s="421"/>
      <c r="M270" s="421"/>
      <c r="N270" s="421"/>
      <c r="O270" s="420"/>
      <c r="P270" s="421"/>
      <c r="Q270" s="421"/>
      <c r="R270" s="421"/>
      <c r="S270" s="422"/>
      <c r="T270" s="420"/>
      <c r="U270" s="421"/>
      <c r="V270" s="421"/>
      <c r="W270" s="423"/>
      <c r="X270" s="414" t="s">
        <v>343</v>
      </c>
      <c r="Y270" s="500" t="s">
        <v>759</v>
      </c>
      <c r="Z270" s="501"/>
      <c r="AA270" s="501"/>
      <c r="AB270" s="501"/>
      <c r="AC270" s="425"/>
      <c r="AD270" s="425"/>
      <c r="AE270" s="425"/>
      <c r="AF270" s="425"/>
      <c r="AG270" s="414" t="s">
        <v>337</v>
      </c>
      <c r="AH270" s="425"/>
      <c r="AI270" s="425"/>
      <c r="AJ270" s="425"/>
      <c r="AK270" s="425"/>
      <c r="AL270" s="425"/>
      <c r="AM270" s="259"/>
      <c r="AN270" s="259"/>
    </row>
    <row r="271" spans="1:40" ht="22.5" hidden="1" customHeight="1" x14ac:dyDescent="0.2">
      <c r="A271" s="413">
        <v>45841.735535474538</v>
      </c>
      <c r="B271" s="414" t="s">
        <v>56</v>
      </c>
      <c r="C271" s="414" t="s">
        <v>338</v>
      </c>
      <c r="D271" s="420" t="str">
        <f t="shared" si="0"/>
        <v>2018</v>
      </c>
      <c r="E271" s="416" t="s">
        <v>839</v>
      </c>
      <c r="F271" s="417">
        <v>51042</v>
      </c>
      <c r="G271" s="417">
        <v>5688</v>
      </c>
      <c r="H271" s="418" t="s">
        <v>840</v>
      </c>
      <c r="I271" s="417">
        <v>1112</v>
      </c>
      <c r="J271" s="419" t="s">
        <v>53</v>
      </c>
      <c r="K271" s="420"/>
      <c r="L271" s="421"/>
      <c r="M271" s="421"/>
      <c r="N271" s="421"/>
      <c r="O271" s="420"/>
      <c r="P271" s="421"/>
      <c r="Q271" s="421"/>
      <c r="R271" s="421"/>
      <c r="S271" s="422"/>
      <c r="T271" s="420"/>
      <c r="U271" s="421"/>
      <c r="V271" s="421"/>
      <c r="W271" s="423"/>
      <c r="X271" s="414" t="s">
        <v>343</v>
      </c>
      <c r="Y271" s="500" t="s">
        <v>759</v>
      </c>
      <c r="Z271" s="501"/>
      <c r="AA271" s="501"/>
      <c r="AB271" s="501"/>
      <c r="AC271" s="425"/>
      <c r="AD271" s="425"/>
      <c r="AE271" s="425"/>
      <c r="AF271" s="425"/>
      <c r="AG271" s="414" t="s">
        <v>337</v>
      </c>
      <c r="AH271" s="425"/>
      <c r="AI271" s="425"/>
      <c r="AJ271" s="425"/>
      <c r="AK271" s="425"/>
      <c r="AL271" s="425"/>
      <c r="AM271" s="259"/>
      <c r="AN271" s="259"/>
    </row>
    <row r="272" spans="1:40" ht="22.5" hidden="1" customHeight="1" x14ac:dyDescent="0.2">
      <c r="A272" s="413">
        <v>45841.736077777779</v>
      </c>
      <c r="B272" s="414" t="s">
        <v>56</v>
      </c>
      <c r="C272" s="414" t="s">
        <v>338</v>
      </c>
      <c r="D272" s="420" t="str">
        <f t="shared" si="0"/>
        <v>2022</v>
      </c>
      <c r="E272" s="416" t="s">
        <v>485</v>
      </c>
      <c r="F272" s="417">
        <v>64477</v>
      </c>
      <c r="G272" s="417">
        <v>6811</v>
      </c>
      <c r="H272" s="418" t="s">
        <v>486</v>
      </c>
      <c r="I272" s="417">
        <v>1318</v>
      </c>
      <c r="J272" s="419" t="s">
        <v>53</v>
      </c>
      <c r="K272" s="420"/>
      <c r="L272" s="421"/>
      <c r="M272" s="421"/>
      <c r="N272" s="421"/>
      <c r="O272" s="420"/>
      <c r="P272" s="421"/>
      <c r="Q272" s="421"/>
      <c r="R272" s="421"/>
      <c r="S272" s="422"/>
      <c r="T272" s="420"/>
      <c r="U272" s="421"/>
      <c r="V272" s="421"/>
      <c r="W272" s="423"/>
      <c r="X272" s="414" t="s">
        <v>343</v>
      </c>
      <c r="Y272" s="500" t="s">
        <v>759</v>
      </c>
      <c r="Z272" s="501"/>
      <c r="AA272" s="501"/>
      <c r="AB272" s="501"/>
      <c r="AC272" s="425"/>
      <c r="AD272" s="425"/>
      <c r="AE272" s="425"/>
      <c r="AF272" s="425"/>
      <c r="AG272" s="414" t="s">
        <v>337</v>
      </c>
      <c r="AH272" s="425"/>
      <c r="AI272" s="425"/>
      <c r="AJ272" s="425"/>
      <c r="AK272" s="425"/>
      <c r="AL272" s="425"/>
      <c r="AM272" s="259"/>
      <c r="AN272" s="259"/>
    </row>
    <row r="273" spans="1:40" ht="22.5" hidden="1" customHeight="1" x14ac:dyDescent="0.2">
      <c r="A273" s="413">
        <v>45841.736550902773</v>
      </c>
      <c r="B273" s="414" t="s">
        <v>351</v>
      </c>
      <c r="C273" s="414" t="s">
        <v>338</v>
      </c>
      <c r="D273" s="420" t="str">
        <f t="shared" si="0"/>
        <v/>
      </c>
      <c r="E273" s="421"/>
      <c r="F273" s="421"/>
      <c r="G273" s="421"/>
      <c r="H273" s="505"/>
      <c r="I273" s="421"/>
      <c r="J273" s="423"/>
      <c r="K273" s="506" t="s">
        <v>841</v>
      </c>
      <c r="L273" s="417">
        <v>11311</v>
      </c>
      <c r="M273" s="417">
        <v>39</v>
      </c>
      <c r="N273" s="417">
        <v>33</v>
      </c>
      <c r="O273" s="420"/>
      <c r="P273" s="421"/>
      <c r="Q273" s="421"/>
      <c r="R273" s="421"/>
      <c r="S273" s="425"/>
      <c r="T273" s="420"/>
      <c r="U273" s="421"/>
      <c r="V273" s="421"/>
      <c r="W273" s="423"/>
      <c r="X273" s="414" t="s">
        <v>343</v>
      </c>
      <c r="Y273" s="500" t="s">
        <v>759</v>
      </c>
      <c r="Z273" s="501"/>
      <c r="AA273" s="501"/>
      <c r="AB273" s="501"/>
      <c r="AC273" s="425"/>
      <c r="AD273" s="425"/>
      <c r="AE273" s="425"/>
      <c r="AF273" s="425"/>
      <c r="AG273" s="414" t="s">
        <v>337</v>
      </c>
      <c r="AH273" s="425"/>
      <c r="AI273" s="425"/>
      <c r="AJ273" s="425"/>
      <c r="AK273" s="425"/>
      <c r="AL273" s="425"/>
      <c r="AM273" s="259"/>
      <c r="AN273" s="259"/>
    </row>
    <row r="274" spans="1:40" ht="22.5" hidden="1" customHeight="1" x14ac:dyDescent="0.2">
      <c r="A274" s="413">
        <v>45842.607793969903</v>
      </c>
      <c r="B274" s="414" t="s">
        <v>56</v>
      </c>
      <c r="C274" s="414" t="s">
        <v>381</v>
      </c>
      <c r="D274" s="420" t="str">
        <f t="shared" si="0"/>
        <v>2009</v>
      </c>
      <c r="E274" s="416" t="s">
        <v>842</v>
      </c>
      <c r="F274" s="417">
        <v>19380</v>
      </c>
      <c r="G274" s="417">
        <v>8003</v>
      </c>
      <c r="H274" s="418" t="s">
        <v>843</v>
      </c>
      <c r="I274" s="417">
        <v>908</v>
      </c>
      <c r="J274" s="419" t="s">
        <v>53</v>
      </c>
      <c r="K274" s="420"/>
      <c r="L274" s="421"/>
      <c r="M274" s="421"/>
      <c r="N274" s="421"/>
      <c r="O274" s="420"/>
      <c r="P274" s="421"/>
      <c r="Q274" s="421"/>
      <c r="R274" s="421"/>
      <c r="S274" s="422"/>
      <c r="T274" s="420"/>
      <c r="U274" s="421"/>
      <c r="V274" s="421"/>
      <c r="W274" s="423"/>
      <c r="X274" s="414" t="s">
        <v>343</v>
      </c>
      <c r="Y274" s="500" t="s">
        <v>716</v>
      </c>
      <c r="Z274" s="500" t="s">
        <v>727</v>
      </c>
      <c r="AA274" s="500">
        <v>14</v>
      </c>
      <c r="AB274" s="501"/>
      <c r="AC274" s="425"/>
      <c r="AD274" s="425"/>
      <c r="AE274" s="425"/>
      <c r="AF274" s="425"/>
      <c r="AG274" s="414" t="s">
        <v>337</v>
      </c>
      <c r="AH274" s="425"/>
      <c r="AI274" s="425"/>
      <c r="AJ274" s="425"/>
      <c r="AK274" s="425"/>
      <c r="AL274" s="425"/>
      <c r="AM274" s="259"/>
      <c r="AN274" s="259"/>
    </row>
    <row r="275" spans="1:40" ht="22.5" hidden="1" customHeight="1" x14ac:dyDescent="0.2">
      <c r="A275" s="413">
        <v>45842.608374293981</v>
      </c>
      <c r="B275" s="414" t="s">
        <v>56</v>
      </c>
      <c r="C275" s="414" t="s">
        <v>381</v>
      </c>
      <c r="D275" s="420" t="str">
        <f t="shared" si="0"/>
        <v>2015</v>
      </c>
      <c r="E275" s="416" t="s">
        <v>844</v>
      </c>
      <c r="F275" s="417">
        <v>38647</v>
      </c>
      <c r="G275" s="417">
        <v>1609</v>
      </c>
      <c r="H275" s="418" t="s">
        <v>845</v>
      </c>
      <c r="I275" s="417">
        <v>277</v>
      </c>
      <c r="J275" s="419" t="s">
        <v>53</v>
      </c>
      <c r="K275" s="420"/>
      <c r="L275" s="421"/>
      <c r="M275" s="421"/>
      <c r="N275" s="421"/>
      <c r="O275" s="420"/>
      <c r="P275" s="421"/>
      <c r="Q275" s="421"/>
      <c r="R275" s="421"/>
      <c r="S275" s="422"/>
      <c r="T275" s="420"/>
      <c r="U275" s="421"/>
      <c r="V275" s="421"/>
      <c r="W275" s="423"/>
      <c r="X275" s="414" t="s">
        <v>343</v>
      </c>
      <c r="Y275" s="500" t="s">
        <v>716</v>
      </c>
      <c r="Z275" s="500" t="s">
        <v>790</v>
      </c>
      <c r="AA275" s="500">
        <v>12</v>
      </c>
      <c r="AB275" s="501"/>
      <c r="AC275" s="425"/>
      <c r="AD275" s="425"/>
      <c r="AE275" s="425"/>
      <c r="AF275" s="425"/>
      <c r="AG275" s="414" t="s">
        <v>337</v>
      </c>
      <c r="AH275" s="425"/>
      <c r="AI275" s="425"/>
      <c r="AJ275" s="425"/>
      <c r="AK275" s="425"/>
      <c r="AL275" s="425"/>
      <c r="AM275" s="259"/>
      <c r="AN275" s="259"/>
    </row>
    <row r="276" spans="1:40" ht="22.5" hidden="1" customHeight="1" x14ac:dyDescent="0.2">
      <c r="A276" s="413">
        <v>45846.390038252313</v>
      </c>
      <c r="B276" s="414" t="s">
        <v>56</v>
      </c>
      <c r="C276" s="414" t="s">
        <v>369</v>
      </c>
      <c r="D276" s="420" t="str">
        <f t="shared" si="0"/>
        <v>2023</v>
      </c>
      <c r="E276" s="416" t="s">
        <v>846</v>
      </c>
      <c r="F276" s="417">
        <v>68886</v>
      </c>
      <c r="G276" s="417">
        <v>9428</v>
      </c>
      <c r="H276" s="418" t="s">
        <v>847</v>
      </c>
      <c r="I276" s="417">
        <v>1834</v>
      </c>
      <c r="J276" s="419" t="s">
        <v>53</v>
      </c>
      <c r="K276" s="420"/>
      <c r="L276" s="421"/>
      <c r="M276" s="421"/>
      <c r="N276" s="421"/>
      <c r="O276" s="420"/>
      <c r="P276" s="421"/>
      <c r="Q276" s="421"/>
      <c r="R276" s="421"/>
      <c r="S276" s="422"/>
      <c r="T276" s="420"/>
      <c r="U276" s="421"/>
      <c r="V276" s="421"/>
      <c r="W276" s="423"/>
      <c r="X276" s="414" t="s">
        <v>343</v>
      </c>
      <c r="Y276" s="500" t="s">
        <v>689</v>
      </c>
      <c r="Z276" s="500" t="s">
        <v>727</v>
      </c>
      <c r="AA276" s="500">
        <v>8</v>
      </c>
      <c r="AB276" s="501"/>
      <c r="AC276" s="425"/>
      <c r="AD276" s="425"/>
      <c r="AE276" s="425"/>
      <c r="AF276" s="425"/>
      <c r="AG276" s="414" t="s">
        <v>337</v>
      </c>
      <c r="AH276" s="425"/>
      <c r="AI276" s="425"/>
      <c r="AJ276" s="425"/>
      <c r="AK276" s="425"/>
      <c r="AL276" s="425"/>
      <c r="AM276" s="259"/>
      <c r="AN276" s="259"/>
    </row>
    <row r="277" spans="1:40" ht="22.5" hidden="1" customHeight="1" x14ac:dyDescent="0.2">
      <c r="A277" s="413">
        <v>45847.579494282407</v>
      </c>
      <c r="B277" s="414" t="s">
        <v>56</v>
      </c>
      <c r="C277" s="414" t="s">
        <v>381</v>
      </c>
      <c r="D277" s="420" t="str">
        <f t="shared" si="0"/>
        <v>2003</v>
      </c>
      <c r="E277" s="416" t="s">
        <v>468</v>
      </c>
      <c r="F277" s="417">
        <v>8078</v>
      </c>
      <c r="G277" s="417">
        <v>3472</v>
      </c>
      <c r="H277" s="418" t="s">
        <v>469</v>
      </c>
      <c r="I277" s="417">
        <v>592</v>
      </c>
      <c r="J277" s="419" t="s">
        <v>53</v>
      </c>
      <c r="K277" s="420"/>
      <c r="L277" s="421"/>
      <c r="M277" s="421"/>
      <c r="N277" s="421"/>
      <c r="O277" s="420"/>
      <c r="P277" s="421"/>
      <c r="Q277" s="421"/>
      <c r="R277" s="421"/>
      <c r="S277" s="422"/>
      <c r="T277" s="420"/>
      <c r="U277" s="421"/>
      <c r="V277" s="421"/>
      <c r="W277" s="423"/>
      <c r="X277" s="414" t="s">
        <v>343</v>
      </c>
      <c r="Y277" s="500" t="s">
        <v>689</v>
      </c>
      <c r="Z277" s="500" t="s">
        <v>766</v>
      </c>
      <c r="AA277" s="501"/>
      <c r="AB277" s="500" t="s">
        <v>848</v>
      </c>
      <c r="AC277" s="425"/>
      <c r="AD277" s="425"/>
      <c r="AE277" s="425"/>
      <c r="AF277" s="425"/>
      <c r="AG277" s="414" t="s">
        <v>337</v>
      </c>
      <c r="AH277" s="425"/>
      <c r="AI277" s="425"/>
      <c r="AJ277" s="425"/>
      <c r="AK277" s="425"/>
      <c r="AL277" s="425"/>
      <c r="AM277" s="259"/>
      <c r="AN277" s="259"/>
    </row>
    <row r="278" spans="1:40" ht="22.5" hidden="1" customHeight="1" x14ac:dyDescent="0.2">
      <c r="A278" s="413">
        <v>45848.511042719911</v>
      </c>
      <c r="B278" s="414" t="s">
        <v>56</v>
      </c>
      <c r="C278" s="414" t="s">
        <v>381</v>
      </c>
      <c r="D278" s="420" t="str">
        <f t="shared" si="0"/>
        <v>2022</v>
      </c>
      <c r="E278" s="416" t="s">
        <v>849</v>
      </c>
      <c r="F278" s="417">
        <v>60543</v>
      </c>
      <c r="G278" s="417">
        <v>10407</v>
      </c>
      <c r="H278" s="418" t="s">
        <v>850</v>
      </c>
      <c r="I278" s="417">
        <v>1972</v>
      </c>
      <c r="J278" s="419" t="s">
        <v>53</v>
      </c>
      <c r="K278" s="420"/>
      <c r="L278" s="421"/>
      <c r="M278" s="421"/>
      <c r="N278" s="421"/>
      <c r="O278" s="420"/>
      <c r="P278" s="421"/>
      <c r="Q278" s="421"/>
      <c r="R278" s="421"/>
      <c r="S278" s="422"/>
      <c r="T278" s="420"/>
      <c r="U278" s="421"/>
      <c r="V278" s="421"/>
      <c r="W278" s="423"/>
      <c r="X278" s="414" t="s">
        <v>343</v>
      </c>
      <c r="Y278" s="500" t="s">
        <v>716</v>
      </c>
      <c r="Z278" s="500" t="s">
        <v>727</v>
      </c>
      <c r="AA278" s="500">
        <v>8</v>
      </c>
      <c r="AB278" s="501"/>
      <c r="AC278" s="425"/>
      <c r="AD278" s="425"/>
      <c r="AE278" s="425"/>
      <c r="AF278" s="425"/>
      <c r="AG278" s="414" t="s">
        <v>337</v>
      </c>
      <c r="AH278" s="425"/>
      <c r="AI278" s="425"/>
      <c r="AJ278" s="425"/>
      <c r="AK278" s="425"/>
      <c r="AL278" s="425"/>
      <c r="AM278" s="259"/>
      <c r="AN278" s="259"/>
    </row>
    <row r="279" spans="1:40" ht="22.5" hidden="1" customHeight="1" x14ac:dyDescent="0.2">
      <c r="A279" s="413">
        <v>45848.511797870371</v>
      </c>
      <c r="B279" s="414" t="s">
        <v>56</v>
      </c>
      <c r="C279" s="414" t="s">
        <v>381</v>
      </c>
      <c r="D279" s="420" t="str">
        <f t="shared" si="0"/>
        <v>2022</v>
      </c>
      <c r="E279" s="416" t="s">
        <v>851</v>
      </c>
      <c r="F279" s="417">
        <v>64282</v>
      </c>
      <c r="G279" s="417">
        <v>10401</v>
      </c>
      <c r="H279" s="418" t="s">
        <v>852</v>
      </c>
      <c r="I279" s="417">
        <v>1971</v>
      </c>
      <c r="J279" s="419" t="s">
        <v>53</v>
      </c>
      <c r="K279" s="420"/>
      <c r="L279" s="421"/>
      <c r="M279" s="421"/>
      <c r="N279" s="421"/>
      <c r="O279" s="420"/>
      <c r="P279" s="421"/>
      <c r="Q279" s="421"/>
      <c r="R279" s="421"/>
      <c r="S279" s="422"/>
      <c r="T279" s="420"/>
      <c r="U279" s="421"/>
      <c r="V279" s="421"/>
      <c r="W279" s="423"/>
      <c r="X279" s="414" t="s">
        <v>343</v>
      </c>
      <c r="Y279" s="500" t="s">
        <v>716</v>
      </c>
      <c r="Z279" s="500" t="s">
        <v>790</v>
      </c>
      <c r="AA279" s="500">
        <v>12</v>
      </c>
      <c r="AB279" s="501"/>
      <c r="AC279" s="425"/>
      <c r="AD279" s="425"/>
      <c r="AE279" s="425"/>
      <c r="AF279" s="425"/>
      <c r="AG279" s="414" t="s">
        <v>337</v>
      </c>
      <c r="AH279" s="425"/>
      <c r="AI279" s="425"/>
      <c r="AJ279" s="425"/>
      <c r="AK279" s="425"/>
      <c r="AL279" s="425"/>
      <c r="AM279" s="259"/>
      <c r="AN279" s="259"/>
    </row>
    <row r="280" spans="1:40" ht="26.25" hidden="1" customHeight="1" x14ac:dyDescent="0.2">
      <c r="A280" s="413">
        <v>45852.562992013889</v>
      </c>
      <c r="B280" s="414" t="s">
        <v>56</v>
      </c>
      <c r="C280" s="414" t="s">
        <v>338</v>
      </c>
      <c r="D280" s="420" t="str">
        <f t="shared" si="0"/>
        <v>2011</v>
      </c>
      <c r="E280" s="416" t="s">
        <v>853</v>
      </c>
      <c r="F280" s="417">
        <v>26322</v>
      </c>
      <c r="G280" s="417">
        <v>16917</v>
      </c>
      <c r="H280" s="418" t="s">
        <v>854</v>
      </c>
      <c r="I280" s="417">
        <v>1870</v>
      </c>
      <c r="J280" s="419" t="s">
        <v>53</v>
      </c>
      <c r="K280" s="420"/>
      <c r="L280" s="421"/>
      <c r="M280" s="421"/>
      <c r="N280" s="421"/>
      <c r="O280" s="420"/>
      <c r="P280" s="421"/>
      <c r="Q280" s="421"/>
      <c r="R280" s="421"/>
      <c r="S280" s="422"/>
      <c r="T280" s="420"/>
      <c r="U280" s="421"/>
      <c r="V280" s="421"/>
      <c r="W280" s="423"/>
      <c r="X280" s="414" t="s">
        <v>343</v>
      </c>
      <c r="Y280" s="500" t="s">
        <v>689</v>
      </c>
      <c r="Z280" s="501"/>
      <c r="AA280" s="501"/>
      <c r="AB280" s="501"/>
      <c r="AC280" s="425"/>
      <c r="AD280" s="425"/>
      <c r="AE280" s="425"/>
      <c r="AF280" s="425"/>
      <c r="AG280" s="414" t="s">
        <v>337</v>
      </c>
      <c r="AH280" s="425"/>
      <c r="AI280" s="425"/>
      <c r="AJ280" s="425"/>
      <c r="AK280" s="425"/>
      <c r="AL280" s="425"/>
      <c r="AM280" s="259"/>
      <c r="AN280" s="259"/>
    </row>
    <row r="281" spans="1:40" ht="22.5" hidden="1" customHeight="1" x14ac:dyDescent="0.2">
      <c r="A281" s="413">
        <v>45852.563805729165</v>
      </c>
      <c r="B281" s="414" t="s">
        <v>56</v>
      </c>
      <c r="C281" s="414" t="s">
        <v>338</v>
      </c>
      <c r="D281" s="420" t="str">
        <f t="shared" si="0"/>
        <v>2010</v>
      </c>
      <c r="E281" s="416" t="s">
        <v>855</v>
      </c>
      <c r="F281" s="417">
        <v>23646</v>
      </c>
      <c r="G281" s="417">
        <v>17469</v>
      </c>
      <c r="H281" s="418" t="s">
        <v>856</v>
      </c>
      <c r="I281" s="417">
        <v>1992</v>
      </c>
      <c r="J281" s="419" t="s">
        <v>53</v>
      </c>
      <c r="K281" s="420"/>
      <c r="L281" s="421"/>
      <c r="M281" s="421"/>
      <c r="N281" s="421"/>
      <c r="O281" s="420"/>
      <c r="P281" s="421"/>
      <c r="Q281" s="421"/>
      <c r="R281" s="421"/>
      <c r="S281" s="422"/>
      <c r="T281" s="420"/>
      <c r="U281" s="421"/>
      <c r="V281" s="421"/>
      <c r="W281" s="423"/>
      <c r="X281" s="414" t="s">
        <v>343</v>
      </c>
      <c r="Y281" s="500" t="s">
        <v>689</v>
      </c>
      <c r="Z281" s="501"/>
      <c r="AA281" s="501"/>
      <c r="AB281" s="501"/>
      <c r="AC281" s="425"/>
      <c r="AD281" s="425"/>
      <c r="AE281" s="425"/>
      <c r="AF281" s="425"/>
      <c r="AG281" s="414" t="s">
        <v>337</v>
      </c>
      <c r="AH281" s="425"/>
      <c r="AI281" s="425"/>
      <c r="AJ281" s="425"/>
      <c r="AK281" s="425"/>
      <c r="AL281" s="425"/>
      <c r="AM281" s="259"/>
      <c r="AN281" s="259"/>
    </row>
    <row r="282" spans="1:40" ht="22.5" hidden="1" customHeight="1" x14ac:dyDescent="0.2">
      <c r="A282" s="413">
        <v>45852.564266261572</v>
      </c>
      <c r="B282" s="414" t="s">
        <v>351</v>
      </c>
      <c r="C282" s="414" t="s">
        <v>338</v>
      </c>
      <c r="D282" s="420" t="str">
        <f t="shared" si="0"/>
        <v/>
      </c>
      <c r="E282" s="421"/>
      <c r="F282" s="421"/>
      <c r="G282" s="421"/>
      <c r="H282" s="505"/>
      <c r="I282" s="421"/>
      <c r="J282" s="423"/>
      <c r="K282" s="506" t="s">
        <v>857</v>
      </c>
      <c r="L282" s="417">
        <v>7823</v>
      </c>
      <c r="M282" s="417">
        <v>1192</v>
      </c>
      <c r="N282" s="417">
        <v>498</v>
      </c>
      <c r="O282" s="420"/>
      <c r="P282" s="421"/>
      <c r="Q282" s="421"/>
      <c r="R282" s="421"/>
      <c r="S282" s="425"/>
      <c r="T282" s="420"/>
      <c r="U282" s="421"/>
      <c r="V282" s="421"/>
      <c r="W282" s="423"/>
      <c r="X282" s="414" t="s">
        <v>343</v>
      </c>
      <c r="Y282" s="500" t="s">
        <v>689</v>
      </c>
      <c r="Z282" s="501"/>
      <c r="AA282" s="501"/>
      <c r="AB282" s="501"/>
      <c r="AC282" s="425"/>
      <c r="AD282" s="425"/>
      <c r="AE282" s="425"/>
      <c r="AF282" s="425"/>
      <c r="AG282" s="414" t="s">
        <v>337</v>
      </c>
      <c r="AH282" s="425"/>
      <c r="AI282" s="425"/>
      <c r="AJ282" s="425"/>
      <c r="AK282" s="425"/>
      <c r="AL282" s="425"/>
      <c r="AM282" s="259"/>
      <c r="AN282" s="259"/>
    </row>
    <row r="283" spans="1:40" ht="22.5" hidden="1" customHeight="1" x14ac:dyDescent="0.2">
      <c r="A283" s="413">
        <v>45852.564915243056</v>
      </c>
      <c r="B283" s="414" t="s">
        <v>56</v>
      </c>
      <c r="C283" s="414" t="s">
        <v>338</v>
      </c>
      <c r="D283" s="420" t="str">
        <f t="shared" si="0"/>
        <v>2008</v>
      </c>
      <c r="E283" s="416" t="s">
        <v>858</v>
      </c>
      <c r="F283" s="417">
        <v>17338</v>
      </c>
      <c r="G283" s="417">
        <v>23850</v>
      </c>
      <c r="H283" s="418" t="s">
        <v>859</v>
      </c>
      <c r="I283" s="417">
        <v>2897</v>
      </c>
      <c r="J283" s="419" t="s">
        <v>53</v>
      </c>
      <c r="K283" s="420"/>
      <c r="L283" s="421"/>
      <c r="M283" s="421"/>
      <c r="N283" s="421"/>
      <c r="O283" s="420"/>
      <c r="P283" s="421"/>
      <c r="Q283" s="421"/>
      <c r="R283" s="421"/>
      <c r="S283" s="422"/>
      <c r="T283" s="420"/>
      <c r="U283" s="421"/>
      <c r="V283" s="421"/>
      <c r="W283" s="423"/>
      <c r="X283" s="414" t="s">
        <v>343</v>
      </c>
      <c r="Y283" s="500" t="s">
        <v>689</v>
      </c>
      <c r="Z283" s="501"/>
      <c r="AA283" s="501"/>
      <c r="AB283" s="501"/>
      <c r="AC283" s="425"/>
      <c r="AD283" s="425"/>
      <c r="AE283" s="425"/>
      <c r="AF283" s="425"/>
      <c r="AG283" s="414" t="s">
        <v>337</v>
      </c>
      <c r="AH283" s="425"/>
      <c r="AI283" s="425"/>
      <c r="AJ283" s="425"/>
      <c r="AK283" s="425"/>
      <c r="AL283" s="425"/>
      <c r="AM283" s="259"/>
      <c r="AN283" s="259"/>
    </row>
    <row r="284" spans="1:40" ht="22.5" hidden="1" customHeight="1" x14ac:dyDescent="0.2">
      <c r="A284" s="413">
        <v>45852.565518692129</v>
      </c>
      <c r="B284" s="414" t="s">
        <v>56</v>
      </c>
      <c r="C284" s="414" t="s">
        <v>338</v>
      </c>
      <c r="D284" s="420" t="str">
        <f t="shared" si="0"/>
        <v>2015</v>
      </c>
      <c r="E284" s="416" t="s">
        <v>860</v>
      </c>
      <c r="F284" s="417">
        <v>41733</v>
      </c>
      <c r="G284" s="417">
        <v>16964</v>
      </c>
      <c r="H284" s="418" t="s">
        <v>861</v>
      </c>
      <c r="I284" s="417">
        <v>2886</v>
      </c>
      <c r="J284" s="419" t="s">
        <v>53</v>
      </c>
      <c r="K284" s="420"/>
      <c r="L284" s="421"/>
      <c r="M284" s="421"/>
      <c r="N284" s="421"/>
      <c r="O284" s="420"/>
      <c r="P284" s="421"/>
      <c r="Q284" s="421"/>
      <c r="R284" s="421"/>
      <c r="S284" s="422"/>
      <c r="T284" s="420"/>
      <c r="U284" s="421"/>
      <c r="V284" s="421"/>
      <c r="W284" s="423"/>
      <c r="X284" s="414" t="s">
        <v>343</v>
      </c>
      <c r="Y284" s="500" t="s">
        <v>689</v>
      </c>
      <c r="Z284" s="501"/>
      <c r="AA284" s="501"/>
      <c r="AB284" s="501"/>
      <c r="AC284" s="425"/>
      <c r="AD284" s="425"/>
      <c r="AE284" s="425"/>
      <c r="AF284" s="425"/>
      <c r="AG284" s="414" t="s">
        <v>337</v>
      </c>
      <c r="AH284" s="425"/>
      <c r="AI284" s="425"/>
      <c r="AJ284" s="425"/>
      <c r="AK284" s="425"/>
      <c r="AL284" s="425"/>
      <c r="AM284" s="259"/>
      <c r="AN284" s="259"/>
    </row>
    <row r="285" spans="1:40" ht="22.5" hidden="1" customHeight="1" x14ac:dyDescent="0.2">
      <c r="A285" s="413">
        <v>45852.566052210648</v>
      </c>
      <c r="B285" s="414" t="s">
        <v>351</v>
      </c>
      <c r="C285" s="414" t="s">
        <v>338</v>
      </c>
      <c r="D285" s="420" t="str">
        <f t="shared" si="0"/>
        <v/>
      </c>
      <c r="E285" s="421"/>
      <c r="F285" s="421"/>
      <c r="G285" s="421"/>
      <c r="H285" s="505"/>
      <c r="I285" s="421"/>
      <c r="J285" s="423"/>
      <c r="K285" s="506" t="s">
        <v>862</v>
      </c>
      <c r="L285" s="417">
        <v>10141</v>
      </c>
      <c r="M285" s="417">
        <v>2442</v>
      </c>
      <c r="N285" s="417">
        <v>790</v>
      </c>
      <c r="O285" s="420"/>
      <c r="P285" s="421"/>
      <c r="Q285" s="421"/>
      <c r="R285" s="421"/>
      <c r="S285" s="425"/>
      <c r="T285" s="420"/>
      <c r="U285" s="421"/>
      <c r="V285" s="421"/>
      <c r="W285" s="423"/>
      <c r="X285" s="414" t="s">
        <v>343</v>
      </c>
      <c r="Y285" s="500" t="s">
        <v>689</v>
      </c>
      <c r="Z285" s="501"/>
      <c r="AA285" s="501"/>
      <c r="AB285" s="501"/>
      <c r="AC285" s="425"/>
      <c r="AD285" s="425"/>
      <c r="AE285" s="425"/>
      <c r="AF285" s="425"/>
      <c r="AG285" s="414" t="s">
        <v>337</v>
      </c>
      <c r="AH285" s="425"/>
      <c r="AI285" s="425"/>
      <c r="AJ285" s="425"/>
      <c r="AK285" s="425"/>
      <c r="AL285" s="425"/>
      <c r="AM285" s="259"/>
      <c r="AN285" s="259"/>
    </row>
    <row r="286" spans="1:40" ht="22.5" hidden="1" customHeight="1" x14ac:dyDescent="0.2">
      <c r="A286" s="413">
        <v>45852.582671909724</v>
      </c>
      <c r="B286" s="414" t="s">
        <v>56</v>
      </c>
      <c r="C286" s="414" t="s">
        <v>338</v>
      </c>
      <c r="D286" s="420" t="str">
        <f t="shared" si="0"/>
        <v>2022</v>
      </c>
      <c r="E286" s="416" t="s">
        <v>863</v>
      </c>
      <c r="F286" s="417">
        <v>64088</v>
      </c>
      <c r="G286" s="417">
        <v>5243</v>
      </c>
      <c r="H286" s="418" t="s">
        <v>864</v>
      </c>
      <c r="I286" s="417">
        <v>1028</v>
      </c>
      <c r="J286" s="419" t="s">
        <v>53</v>
      </c>
      <c r="K286" s="420"/>
      <c r="L286" s="421"/>
      <c r="M286" s="421"/>
      <c r="N286" s="421"/>
      <c r="O286" s="420"/>
      <c r="P286" s="421"/>
      <c r="Q286" s="421"/>
      <c r="R286" s="421"/>
      <c r="S286" s="422"/>
      <c r="T286" s="420"/>
      <c r="U286" s="421"/>
      <c r="V286" s="421"/>
      <c r="W286" s="423"/>
      <c r="X286" s="414" t="s">
        <v>343</v>
      </c>
      <c r="Y286" s="500" t="s">
        <v>689</v>
      </c>
      <c r="Z286" s="501"/>
      <c r="AA286" s="501"/>
      <c r="AB286" s="501"/>
      <c r="AC286" s="425"/>
      <c r="AD286" s="425"/>
      <c r="AE286" s="425"/>
      <c r="AF286" s="425"/>
      <c r="AG286" s="414" t="s">
        <v>337</v>
      </c>
      <c r="AH286" s="425"/>
      <c r="AI286" s="425"/>
      <c r="AJ286" s="425"/>
      <c r="AK286" s="425"/>
      <c r="AL286" s="425"/>
      <c r="AM286" s="259"/>
      <c r="AN286" s="259"/>
    </row>
    <row r="287" spans="1:40" ht="22.5" hidden="1" customHeight="1" x14ac:dyDescent="0.2">
      <c r="A287" s="413">
        <v>45852.583274131946</v>
      </c>
      <c r="B287" s="414" t="s">
        <v>56</v>
      </c>
      <c r="C287" s="414" t="s">
        <v>338</v>
      </c>
      <c r="D287" s="420" t="str">
        <f t="shared" si="0"/>
        <v>2010</v>
      </c>
      <c r="E287" s="416" t="s">
        <v>865</v>
      </c>
      <c r="F287" s="417">
        <v>21855</v>
      </c>
      <c r="G287" s="417">
        <v>3234</v>
      </c>
      <c r="H287" s="418" t="s">
        <v>813</v>
      </c>
      <c r="I287" s="417">
        <v>374</v>
      </c>
      <c r="J287" s="419" t="s">
        <v>53</v>
      </c>
      <c r="K287" s="420"/>
      <c r="L287" s="421"/>
      <c r="M287" s="421"/>
      <c r="N287" s="421"/>
      <c r="O287" s="420"/>
      <c r="P287" s="421"/>
      <c r="Q287" s="421"/>
      <c r="R287" s="421"/>
      <c r="S287" s="422"/>
      <c r="T287" s="420"/>
      <c r="U287" s="421"/>
      <c r="V287" s="421"/>
      <c r="W287" s="423"/>
      <c r="X287" s="414" t="s">
        <v>343</v>
      </c>
      <c r="Y287" s="500" t="s">
        <v>689</v>
      </c>
      <c r="Z287" s="501"/>
      <c r="AA287" s="501"/>
      <c r="AB287" s="501"/>
      <c r="AC287" s="425"/>
      <c r="AD287" s="425"/>
      <c r="AE287" s="425"/>
      <c r="AF287" s="425"/>
      <c r="AG287" s="414" t="s">
        <v>337</v>
      </c>
      <c r="AH287" s="425"/>
      <c r="AI287" s="425"/>
      <c r="AJ287" s="425"/>
      <c r="AK287" s="425"/>
      <c r="AL287" s="425"/>
      <c r="AM287" s="259"/>
      <c r="AN287" s="259"/>
    </row>
    <row r="288" spans="1:40" ht="22.5" hidden="1" customHeight="1" x14ac:dyDescent="0.2">
      <c r="A288" s="413">
        <v>45852.584188900466</v>
      </c>
      <c r="B288" s="414" t="s">
        <v>56</v>
      </c>
      <c r="C288" s="414" t="s">
        <v>338</v>
      </c>
      <c r="D288" s="420" t="str">
        <f t="shared" si="0"/>
        <v>2010</v>
      </c>
      <c r="E288" s="416" t="s">
        <v>866</v>
      </c>
      <c r="F288" s="417">
        <v>22446</v>
      </c>
      <c r="G288" s="417">
        <v>8375</v>
      </c>
      <c r="H288" s="418" t="s">
        <v>867</v>
      </c>
      <c r="I288" s="417">
        <v>937</v>
      </c>
      <c r="J288" s="419" t="s">
        <v>53</v>
      </c>
      <c r="K288" s="420"/>
      <c r="L288" s="421"/>
      <c r="M288" s="421"/>
      <c r="N288" s="421"/>
      <c r="O288" s="420"/>
      <c r="P288" s="421"/>
      <c r="Q288" s="421"/>
      <c r="R288" s="421"/>
      <c r="S288" s="422"/>
      <c r="T288" s="420"/>
      <c r="U288" s="421"/>
      <c r="V288" s="421"/>
      <c r="W288" s="423"/>
      <c r="X288" s="414" t="s">
        <v>343</v>
      </c>
      <c r="Y288" s="500" t="s">
        <v>689</v>
      </c>
      <c r="Z288" s="501"/>
      <c r="AA288" s="501"/>
      <c r="AB288" s="501"/>
      <c r="AC288" s="425"/>
      <c r="AD288" s="425"/>
      <c r="AE288" s="425"/>
      <c r="AF288" s="425"/>
      <c r="AG288" s="414" t="s">
        <v>337</v>
      </c>
      <c r="AH288" s="425"/>
      <c r="AI288" s="425"/>
      <c r="AJ288" s="425"/>
      <c r="AK288" s="425"/>
      <c r="AL288" s="425"/>
      <c r="AM288" s="259"/>
      <c r="AN288" s="259"/>
    </row>
    <row r="289" spans="1:40" ht="22.5" hidden="1" customHeight="1" x14ac:dyDescent="0.2">
      <c r="A289" s="413">
        <v>45852.584987094902</v>
      </c>
      <c r="B289" s="414" t="s">
        <v>436</v>
      </c>
      <c r="C289" s="414" t="s">
        <v>338</v>
      </c>
      <c r="D289" s="420" t="str">
        <f t="shared" si="0"/>
        <v/>
      </c>
      <c r="E289" s="421"/>
      <c r="F289" s="421"/>
      <c r="G289" s="421"/>
      <c r="H289" s="505"/>
      <c r="I289" s="421"/>
      <c r="J289" s="423"/>
      <c r="K289" s="420"/>
      <c r="L289" s="421"/>
      <c r="M289" s="421"/>
      <c r="N289" s="421"/>
      <c r="O289" s="506" t="s">
        <v>868</v>
      </c>
      <c r="P289" s="417">
        <v>4097</v>
      </c>
      <c r="Q289" s="417">
        <v>81</v>
      </c>
      <c r="R289" s="417">
        <v>47</v>
      </c>
      <c r="S289" s="425"/>
      <c r="T289" s="420"/>
      <c r="U289" s="421"/>
      <c r="V289" s="421"/>
      <c r="W289" s="423"/>
      <c r="X289" s="414" t="s">
        <v>343</v>
      </c>
      <c r="Y289" s="500" t="s">
        <v>689</v>
      </c>
      <c r="Z289" s="501"/>
      <c r="AA289" s="501"/>
      <c r="AB289" s="501"/>
      <c r="AC289" s="425"/>
      <c r="AD289" s="425"/>
      <c r="AE289" s="425"/>
      <c r="AF289" s="425"/>
      <c r="AG289" s="414" t="s">
        <v>337</v>
      </c>
      <c r="AH289" s="425"/>
      <c r="AI289" s="425"/>
      <c r="AJ289" s="425"/>
      <c r="AK289" s="425"/>
      <c r="AL289" s="425"/>
      <c r="AM289" s="259"/>
      <c r="AN289" s="259"/>
    </row>
    <row r="290" spans="1:40" ht="22.5" hidden="1" customHeight="1" x14ac:dyDescent="0.2">
      <c r="A290" s="413">
        <v>45852.585769583333</v>
      </c>
      <c r="B290" s="414" t="s">
        <v>56</v>
      </c>
      <c r="C290" s="414" t="s">
        <v>381</v>
      </c>
      <c r="D290" s="420" t="str">
        <f t="shared" si="0"/>
        <v>2016</v>
      </c>
      <c r="E290" s="416" t="s">
        <v>869</v>
      </c>
      <c r="F290" s="417">
        <v>45063</v>
      </c>
      <c r="G290" s="417">
        <v>12985</v>
      </c>
      <c r="H290" s="418" t="s">
        <v>870</v>
      </c>
      <c r="I290" s="417" t="s">
        <v>359</v>
      </c>
      <c r="J290" s="419" t="s">
        <v>53</v>
      </c>
      <c r="K290" s="420"/>
      <c r="L290" s="421"/>
      <c r="M290" s="421"/>
      <c r="N290" s="421"/>
      <c r="O290" s="420"/>
      <c r="P290" s="421"/>
      <c r="Q290" s="421"/>
      <c r="R290" s="421"/>
      <c r="S290" s="422"/>
      <c r="T290" s="420"/>
      <c r="U290" s="421"/>
      <c r="V290" s="421"/>
      <c r="W290" s="423"/>
      <c r="X290" s="414" t="s">
        <v>343</v>
      </c>
      <c r="Y290" s="500" t="s">
        <v>689</v>
      </c>
      <c r="Z290" s="501"/>
      <c r="AA290" s="501"/>
      <c r="AB290" s="501"/>
      <c r="AC290" s="425"/>
      <c r="AD290" s="425"/>
      <c r="AE290" s="425"/>
      <c r="AF290" s="425"/>
      <c r="AG290" s="414" t="s">
        <v>337</v>
      </c>
      <c r="AH290" s="425"/>
      <c r="AI290" s="425"/>
      <c r="AJ290" s="425"/>
      <c r="AK290" s="425"/>
      <c r="AL290" s="425"/>
      <c r="AM290" s="259"/>
      <c r="AN290" s="259"/>
    </row>
    <row r="291" spans="1:40" ht="22.5" hidden="1" customHeight="1" x14ac:dyDescent="0.2">
      <c r="A291" s="413">
        <v>45855.460689976855</v>
      </c>
      <c r="B291" s="414" t="s">
        <v>56</v>
      </c>
      <c r="C291" s="414" t="s">
        <v>381</v>
      </c>
      <c r="D291" s="420" t="str">
        <f t="shared" si="0"/>
        <v>2020</v>
      </c>
      <c r="E291" s="416" t="s">
        <v>871</v>
      </c>
      <c r="F291" s="417">
        <v>58923</v>
      </c>
      <c r="G291" s="417">
        <v>5912</v>
      </c>
      <c r="H291" s="418" t="s">
        <v>872</v>
      </c>
      <c r="I291" s="417">
        <v>1141</v>
      </c>
      <c r="J291" s="419" t="s">
        <v>53</v>
      </c>
      <c r="K291" s="420"/>
      <c r="L291" s="421"/>
      <c r="M291" s="421"/>
      <c r="N291" s="421"/>
      <c r="O291" s="420"/>
      <c r="P291" s="421"/>
      <c r="Q291" s="421"/>
      <c r="R291" s="421"/>
      <c r="S291" s="422"/>
      <c r="T291" s="420"/>
      <c r="U291" s="421"/>
      <c r="V291" s="421"/>
      <c r="W291" s="423"/>
      <c r="X291" s="414" t="s">
        <v>343</v>
      </c>
      <c r="Y291" s="500" t="s">
        <v>873</v>
      </c>
      <c r="Z291" s="500" t="s">
        <v>727</v>
      </c>
      <c r="AA291" s="500">
        <v>8</v>
      </c>
      <c r="AB291" s="501"/>
      <c r="AC291" s="425"/>
      <c r="AD291" s="425"/>
      <c r="AE291" s="425"/>
      <c r="AF291" s="425"/>
      <c r="AG291" s="414" t="s">
        <v>337</v>
      </c>
      <c r="AH291" s="425"/>
      <c r="AI291" s="425"/>
      <c r="AJ291" s="425"/>
      <c r="AK291" s="425"/>
      <c r="AL291" s="425"/>
      <c r="AM291" s="259"/>
      <c r="AN291" s="259"/>
    </row>
    <row r="292" spans="1:40" ht="22.5" hidden="1" customHeight="1" x14ac:dyDescent="0.2">
      <c r="A292" s="413">
        <v>45856.453569259262</v>
      </c>
      <c r="B292" s="414" t="s">
        <v>56</v>
      </c>
      <c r="C292" s="414" t="s">
        <v>338</v>
      </c>
      <c r="D292" s="420" t="str">
        <f t="shared" si="0"/>
        <v>2014</v>
      </c>
      <c r="E292" s="416" t="s">
        <v>874</v>
      </c>
      <c r="F292" s="417">
        <v>36754</v>
      </c>
      <c r="G292" s="417">
        <v>20434</v>
      </c>
      <c r="H292" s="418" t="s">
        <v>875</v>
      </c>
      <c r="I292" s="417">
        <v>2042</v>
      </c>
      <c r="J292" s="419" t="s">
        <v>54</v>
      </c>
      <c r="K292" s="420"/>
      <c r="L292" s="421"/>
      <c r="M292" s="421"/>
      <c r="N292" s="421"/>
      <c r="O292" s="420"/>
      <c r="P292" s="421"/>
      <c r="Q292" s="421"/>
      <c r="R292" s="421"/>
      <c r="S292" s="422"/>
      <c r="T292" s="420"/>
      <c r="U292" s="421"/>
      <c r="V292" s="421"/>
      <c r="W292" s="423"/>
      <c r="X292" s="414" t="s">
        <v>343</v>
      </c>
      <c r="Y292" s="500" t="s">
        <v>662</v>
      </c>
      <c r="Z292" s="501"/>
      <c r="AA292" s="501"/>
      <c r="AB292" s="501"/>
      <c r="AC292" s="425"/>
      <c r="AD292" s="425"/>
      <c r="AE292" s="425"/>
      <c r="AF292" s="425"/>
      <c r="AG292" s="414" t="s">
        <v>337</v>
      </c>
      <c r="AH292" s="425"/>
      <c r="AI292" s="425"/>
      <c r="AJ292" s="425"/>
      <c r="AK292" s="425"/>
      <c r="AL292" s="425"/>
      <c r="AM292" s="259"/>
      <c r="AN292" s="259"/>
    </row>
    <row r="293" spans="1:40" ht="22.5" hidden="1" customHeight="1" x14ac:dyDescent="0.2">
      <c r="A293" s="413">
        <v>45856.454409837963</v>
      </c>
      <c r="B293" s="414" t="s">
        <v>56</v>
      </c>
      <c r="C293" s="414" t="s">
        <v>338</v>
      </c>
      <c r="D293" s="420" t="str">
        <f t="shared" si="0"/>
        <v>2015</v>
      </c>
      <c r="E293" s="416" t="s">
        <v>876</v>
      </c>
      <c r="F293" s="417">
        <v>38678</v>
      </c>
      <c r="G293" s="417">
        <v>5077</v>
      </c>
      <c r="H293" s="418" t="s">
        <v>877</v>
      </c>
      <c r="I293" s="417">
        <v>871</v>
      </c>
      <c r="J293" s="419" t="s">
        <v>54</v>
      </c>
      <c r="K293" s="420"/>
      <c r="L293" s="421"/>
      <c r="M293" s="421"/>
      <c r="N293" s="421"/>
      <c r="O293" s="420"/>
      <c r="P293" s="421"/>
      <c r="Q293" s="421"/>
      <c r="R293" s="421"/>
      <c r="S293" s="422"/>
      <c r="T293" s="420"/>
      <c r="U293" s="421"/>
      <c r="V293" s="421"/>
      <c r="W293" s="423"/>
      <c r="X293" s="414" t="s">
        <v>343</v>
      </c>
      <c r="Y293" s="500" t="s">
        <v>701</v>
      </c>
      <c r="Z293" s="501"/>
      <c r="AA293" s="501"/>
      <c r="AB293" s="500" t="s">
        <v>878</v>
      </c>
      <c r="AC293" s="425"/>
      <c r="AD293" s="425"/>
      <c r="AE293" s="425"/>
      <c r="AF293" s="425"/>
      <c r="AG293" s="414" t="s">
        <v>337</v>
      </c>
      <c r="AH293" s="425"/>
      <c r="AI293" s="425"/>
      <c r="AJ293" s="425"/>
      <c r="AK293" s="425"/>
      <c r="AL293" s="425"/>
      <c r="AM293" s="259"/>
      <c r="AN293" s="259"/>
    </row>
    <row r="294" spans="1:40" ht="22.5" hidden="1" customHeight="1" x14ac:dyDescent="0.2">
      <c r="A294" s="413">
        <v>45856.48656164352</v>
      </c>
      <c r="B294" s="414" t="s">
        <v>56</v>
      </c>
      <c r="C294" s="414" t="s">
        <v>381</v>
      </c>
      <c r="D294" s="420" t="str">
        <f t="shared" si="0"/>
        <v>2018</v>
      </c>
      <c r="E294" s="416" t="s">
        <v>879</v>
      </c>
      <c r="F294" s="417">
        <v>51960</v>
      </c>
      <c r="G294" s="417">
        <v>9510</v>
      </c>
      <c r="H294" s="418" t="s">
        <v>880</v>
      </c>
      <c r="I294" s="417">
        <v>1922</v>
      </c>
      <c r="J294" s="419" t="s">
        <v>53</v>
      </c>
      <c r="K294" s="420"/>
      <c r="L294" s="421"/>
      <c r="M294" s="421"/>
      <c r="N294" s="421"/>
      <c r="O294" s="420"/>
      <c r="P294" s="421"/>
      <c r="Q294" s="421"/>
      <c r="R294" s="421"/>
      <c r="S294" s="422"/>
      <c r="T294" s="420"/>
      <c r="U294" s="421"/>
      <c r="V294" s="421"/>
      <c r="W294" s="423"/>
      <c r="X294" s="414" t="s">
        <v>343</v>
      </c>
      <c r="Y294" s="500" t="s">
        <v>662</v>
      </c>
      <c r="Z294" s="501"/>
      <c r="AA294" s="500"/>
      <c r="AB294" s="501"/>
      <c r="AC294" s="425"/>
      <c r="AD294" s="425"/>
      <c r="AE294" s="425"/>
      <c r="AF294" s="425"/>
      <c r="AG294" s="414" t="s">
        <v>337</v>
      </c>
      <c r="AH294" s="425"/>
      <c r="AI294" s="425"/>
      <c r="AJ294" s="425"/>
      <c r="AK294" s="425"/>
      <c r="AL294" s="425"/>
      <c r="AM294" s="259"/>
      <c r="AN294" s="259"/>
    </row>
    <row r="295" spans="1:40" ht="22.5" hidden="1" customHeight="1" x14ac:dyDescent="0.2">
      <c r="A295" s="413">
        <v>45869.68807945602</v>
      </c>
      <c r="B295" s="414" t="s">
        <v>56</v>
      </c>
      <c r="C295" s="414" t="s">
        <v>381</v>
      </c>
      <c r="D295" s="420" t="str">
        <f t="shared" si="0"/>
        <v>2022</v>
      </c>
      <c r="E295" s="416" t="s">
        <v>881</v>
      </c>
      <c r="F295" s="417">
        <v>63476</v>
      </c>
      <c r="G295" s="417">
        <v>2436</v>
      </c>
      <c r="H295" s="418" t="s">
        <v>882</v>
      </c>
      <c r="I295" s="417" t="s">
        <v>359</v>
      </c>
      <c r="J295" s="419" t="s">
        <v>53</v>
      </c>
      <c r="K295" s="420"/>
      <c r="L295" s="421"/>
      <c r="M295" s="421"/>
      <c r="N295" s="421"/>
      <c r="O295" s="420"/>
      <c r="P295" s="421"/>
      <c r="Q295" s="421"/>
      <c r="R295" s="421"/>
      <c r="S295" s="422"/>
      <c r="T295" s="420"/>
      <c r="U295" s="421"/>
      <c r="V295" s="421"/>
      <c r="W295" s="423"/>
      <c r="X295" s="414" t="s">
        <v>343</v>
      </c>
      <c r="Y295" s="500" t="s">
        <v>689</v>
      </c>
      <c r="Z295" s="500" t="s">
        <v>820</v>
      </c>
      <c r="AA295" s="500">
        <v>4</v>
      </c>
      <c r="AB295" s="501"/>
      <c r="AC295" s="425"/>
      <c r="AD295" s="425"/>
      <c r="AE295" s="425"/>
      <c r="AF295" s="425"/>
      <c r="AG295" s="414" t="s">
        <v>337</v>
      </c>
      <c r="AH295" s="425"/>
      <c r="AI295" s="425"/>
      <c r="AJ295" s="425"/>
      <c r="AK295" s="425"/>
      <c r="AL295" s="425"/>
      <c r="AM295" s="259"/>
      <c r="AN295" s="259"/>
    </row>
    <row r="296" spans="1:40" ht="22.5" hidden="1" customHeight="1" x14ac:dyDescent="0.2">
      <c r="A296" s="413">
        <v>45869.689086828701</v>
      </c>
      <c r="B296" s="414" t="s">
        <v>56</v>
      </c>
      <c r="C296" s="414" t="s">
        <v>381</v>
      </c>
      <c r="D296" s="420" t="str">
        <f t="shared" si="0"/>
        <v>2023</v>
      </c>
      <c r="E296" s="416" t="s">
        <v>883</v>
      </c>
      <c r="F296" s="417">
        <v>67539</v>
      </c>
      <c r="G296" s="417">
        <v>4704</v>
      </c>
      <c r="H296" s="418" t="s">
        <v>884</v>
      </c>
      <c r="I296" s="417">
        <v>880</v>
      </c>
      <c r="J296" s="419" t="s">
        <v>53</v>
      </c>
      <c r="K296" s="420"/>
      <c r="L296" s="421"/>
      <c r="M296" s="421"/>
      <c r="N296" s="421"/>
      <c r="O296" s="420"/>
      <c r="P296" s="421"/>
      <c r="Q296" s="421"/>
      <c r="R296" s="421"/>
      <c r="S296" s="422"/>
      <c r="T296" s="420"/>
      <c r="U296" s="421"/>
      <c r="V296" s="421"/>
      <c r="W296" s="423"/>
      <c r="X296" s="414" t="s">
        <v>343</v>
      </c>
      <c r="Y296" s="500" t="s">
        <v>716</v>
      </c>
      <c r="Z296" s="500" t="s">
        <v>719</v>
      </c>
      <c r="AA296" s="500">
        <v>11</v>
      </c>
      <c r="AB296" s="501"/>
      <c r="AC296" s="425"/>
      <c r="AD296" s="425"/>
      <c r="AE296" s="425"/>
      <c r="AF296" s="425"/>
      <c r="AG296" s="414" t="s">
        <v>337</v>
      </c>
      <c r="AH296" s="425"/>
      <c r="AI296" s="425"/>
      <c r="AJ296" s="425"/>
      <c r="AK296" s="425"/>
      <c r="AL296" s="425"/>
      <c r="AM296" s="259"/>
      <c r="AN296" s="259"/>
    </row>
    <row r="297" spans="1:40" ht="22.5" hidden="1" customHeight="1" x14ac:dyDescent="0.2">
      <c r="A297" s="413">
        <v>45870.646799386574</v>
      </c>
      <c r="B297" s="414" t="s">
        <v>56</v>
      </c>
      <c r="C297" s="414" t="s">
        <v>381</v>
      </c>
      <c r="D297" s="420" t="str">
        <f t="shared" si="0"/>
        <v>2023</v>
      </c>
      <c r="E297" s="416" t="s">
        <v>885</v>
      </c>
      <c r="F297" s="417">
        <v>70271</v>
      </c>
      <c r="G297" s="417">
        <v>14961</v>
      </c>
      <c r="H297" s="418" t="s">
        <v>886</v>
      </c>
      <c r="I297" s="417">
        <v>2946</v>
      </c>
      <c r="J297" s="419" t="s">
        <v>53</v>
      </c>
      <c r="K297" s="420"/>
      <c r="L297" s="421"/>
      <c r="M297" s="421"/>
      <c r="N297" s="421"/>
      <c r="O297" s="420"/>
      <c r="P297" s="421"/>
      <c r="Q297" s="421"/>
      <c r="R297" s="421"/>
      <c r="S297" s="422"/>
      <c r="T297" s="420"/>
      <c r="U297" s="421"/>
      <c r="V297" s="421"/>
      <c r="W297" s="423"/>
      <c r="X297" s="414" t="s">
        <v>343</v>
      </c>
      <c r="Y297" s="500" t="s">
        <v>689</v>
      </c>
      <c r="Z297" s="500" t="s">
        <v>727</v>
      </c>
      <c r="AA297" s="500">
        <v>8</v>
      </c>
      <c r="AB297" s="501"/>
      <c r="AC297" s="425"/>
      <c r="AD297" s="425"/>
      <c r="AE297" s="425"/>
      <c r="AF297" s="425"/>
      <c r="AG297" s="414" t="s">
        <v>337</v>
      </c>
      <c r="AH297" s="425"/>
      <c r="AI297" s="425"/>
      <c r="AJ297" s="425"/>
      <c r="AK297" s="425"/>
      <c r="AL297" s="425"/>
      <c r="AM297" s="259"/>
      <c r="AN297" s="259"/>
    </row>
    <row r="298" spans="1:40" ht="22.5" hidden="1" customHeight="1" x14ac:dyDescent="0.2">
      <c r="A298" s="413">
        <v>45870.684264178242</v>
      </c>
      <c r="B298" s="414" t="s">
        <v>56</v>
      </c>
      <c r="C298" s="414" t="s">
        <v>381</v>
      </c>
      <c r="D298" s="420" t="str">
        <f t="shared" si="0"/>
        <v>2009</v>
      </c>
      <c r="E298" s="416" t="s">
        <v>887</v>
      </c>
      <c r="F298" s="417">
        <v>19287</v>
      </c>
      <c r="G298" s="417">
        <v>4577</v>
      </c>
      <c r="H298" s="418" t="s">
        <v>888</v>
      </c>
      <c r="I298" s="417">
        <v>514</v>
      </c>
      <c r="J298" s="419" t="s">
        <v>53</v>
      </c>
      <c r="K298" s="420"/>
      <c r="L298" s="421"/>
      <c r="M298" s="421"/>
      <c r="N298" s="421"/>
      <c r="O298" s="420"/>
      <c r="P298" s="421"/>
      <c r="Q298" s="421"/>
      <c r="R298" s="421"/>
      <c r="S298" s="422"/>
      <c r="T298" s="420"/>
      <c r="U298" s="421"/>
      <c r="V298" s="421"/>
      <c r="W298" s="423"/>
      <c r="X298" s="414" t="s">
        <v>343</v>
      </c>
      <c r="Y298" s="500" t="s">
        <v>689</v>
      </c>
      <c r="Z298" s="500" t="s">
        <v>756</v>
      </c>
      <c r="AA298" s="500">
        <v>13</v>
      </c>
      <c r="AB298" s="501"/>
      <c r="AC298" s="425"/>
      <c r="AD298" s="425"/>
      <c r="AE298" s="425"/>
      <c r="AF298" s="425"/>
      <c r="AG298" s="414" t="s">
        <v>337</v>
      </c>
      <c r="AH298" s="425"/>
      <c r="AI298" s="425"/>
      <c r="AJ298" s="425"/>
      <c r="AK298" s="425"/>
      <c r="AL298" s="425"/>
      <c r="AM298" s="259"/>
      <c r="AN298" s="259"/>
    </row>
    <row r="299" spans="1:40" ht="22.5" hidden="1" customHeight="1" x14ac:dyDescent="0.2">
      <c r="A299" s="413">
        <v>45874.424932407404</v>
      </c>
      <c r="B299" s="414" t="s">
        <v>56</v>
      </c>
      <c r="C299" s="414" t="s">
        <v>381</v>
      </c>
      <c r="D299" s="420" t="str">
        <f t="shared" si="0"/>
        <v>2015</v>
      </c>
      <c r="E299" s="416" t="s">
        <v>889</v>
      </c>
      <c r="F299" s="417">
        <v>40532</v>
      </c>
      <c r="G299" s="417">
        <v>11484</v>
      </c>
      <c r="H299" s="418" t="s">
        <v>890</v>
      </c>
      <c r="I299" s="417">
        <v>1935</v>
      </c>
      <c r="J299" s="419" t="s">
        <v>53</v>
      </c>
      <c r="K299" s="420"/>
      <c r="L299" s="421"/>
      <c r="M299" s="421"/>
      <c r="N299" s="421"/>
      <c r="O299" s="420"/>
      <c r="P299" s="421"/>
      <c r="Q299" s="421"/>
      <c r="R299" s="421"/>
      <c r="S299" s="422"/>
      <c r="T299" s="420"/>
      <c r="U299" s="421"/>
      <c r="V299" s="421"/>
      <c r="W299" s="423"/>
      <c r="X299" s="414" t="s">
        <v>343</v>
      </c>
      <c r="Y299" s="500" t="s">
        <v>701</v>
      </c>
      <c r="Z299" s="500" t="s">
        <v>690</v>
      </c>
      <c r="AA299" s="500">
        <v>12</v>
      </c>
      <c r="AB299" s="501"/>
      <c r="AC299" s="425"/>
      <c r="AD299" s="425"/>
      <c r="AE299" s="425"/>
      <c r="AF299" s="425"/>
      <c r="AG299" s="414" t="s">
        <v>337</v>
      </c>
      <c r="AH299" s="425"/>
      <c r="AI299" s="425"/>
      <c r="AJ299" s="425"/>
      <c r="AK299" s="425"/>
      <c r="AL299" s="425"/>
      <c r="AM299" s="259"/>
      <c r="AN299" s="259"/>
    </row>
    <row r="300" spans="1:40" ht="22.5" hidden="1" customHeight="1" x14ac:dyDescent="0.2">
      <c r="A300" s="413">
        <v>45874.557106412038</v>
      </c>
      <c r="B300" s="414" t="s">
        <v>56</v>
      </c>
      <c r="C300" s="414" t="s">
        <v>381</v>
      </c>
      <c r="D300" s="420" t="str">
        <f t="shared" si="0"/>
        <v>2020</v>
      </c>
      <c r="E300" s="416" t="s">
        <v>891</v>
      </c>
      <c r="F300" s="417">
        <v>59305</v>
      </c>
      <c r="G300" s="417">
        <v>6837</v>
      </c>
      <c r="H300" s="418" t="s">
        <v>892</v>
      </c>
      <c r="I300" s="417">
        <v>1342</v>
      </c>
      <c r="J300" s="419" t="s">
        <v>53</v>
      </c>
      <c r="K300" s="420"/>
      <c r="L300" s="421"/>
      <c r="M300" s="421"/>
      <c r="N300" s="421"/>
      <c r="O300" s="420"/>
      <c r="P300" s="421"/>
      <c r="Q300" s="421"/>
      <c r="R300" s="421"/>
      <c r="S300" s="422"/>
      <c r="T300" s="420"/>
      <c r="U300" s="421"/>
      <c r="V300" s="421"/>
      <c r="W300" s="423"/>
      <c r="X300" s="414" t="s">
        <v>343</v>
      </c>
      <c r="Y300" s="500" t="s">
        <v>689</v>
      </c>
      <c r="Z300" s="500" t="s">
        <v>702</v>
      </c>
      <c r="AA300" s="501"/>
      <c r="AB300" s="501"/>
      <c r="AC300" s="425"/>
      <c r="AD300" s="425"/>
      <c r="AE300" s="425"/>
      <c r="AF300" s="425"/>
      <c r="AG300" s="414" t="s">
        <v>337</v>
      </c>
      <c r="AH300" s="425"/>
      <c r="AI300" s="425"/>
      <c r="AJ300" s="425"/>
      <c r="AK300" s="425"/>
      <c r="AL300" s="425"/>
      <c r="AM300" s="259"/>
      <c r="AN300" s="259"/>
    </row>
    <row r="301" spans="1:40" ht="22.5" hidden="1" customHeight="1" x14ac:dyDescent="0.2">
      <c r="A301" s="413">
        <v>45876.383442754624</v>
      </c>
      <c r="B301" s="414" t="s">
        <v>56</v>
      </c>
      <c r="C301" s="414" t="s">
        <v>381</v>
      </c>
      <c r="D301" s="420" t="str">
        <f t="shared" si="0"/>
        <v>2022</v>
      </c>
      <c r="E301" s="416" t="s">
        <v>893</v>
      </c>
      <c r="F301" s="417">
        <v>63966</v>
      </c>
      <c r="G301" s="417">
        <v>4669</v>
      </c>
      <c r="H301" s="418" t="s">
        <v>894</v>
      </c>
      <c r="I301" s="417">
        <v>907</v>
      </c>
      <c r="J301" s="419" t="s">
        <v>53</v>
      </c>
      <c r="K301" s="420"/>
      <c r="L301" s="421"/>
      <c r="M301" s="421"/>
      <c r="N301" s="421"/>
      <c r="O301" s="420"/>
      <c r="P301" s="421"/>
      <c r="Q301" s="421"/>
      <c r="R301" s="421"/>
      <c r="S301" s="422"/>
      <c r="T301" s="420"/>
      <c r="U301" s="421"/>
      <c r="V301" s="421"/>
      <c r="W301" s="423"/>
      <c r="X301" s="414" t="s">
        <v>343</v>
      </c>
      <c r="Y301" s="500" t="s">
        <v>689</v>
      </c>
      <c r="Z301" s="500" t="s">
        <v>727</v>
      </c>
      <c r="AA301" s="500">
        <v>8</v>
      </c>
      <c r="AB301" s="501"/>
      <c r="AC301" s="425"/>
      <c r="AD301" s="425"/>
      <c r="AE301" s="425"/>
      <c r="AF301" s="425"/>
      <c r="AG301" s="414" t="s">
        <v>337</v>
      </c>
      <c r="AH301" s="425"/>
      <c r="AI301" s="425"/>
      <c r="AJ301" s="425"/>
      <c r="AK301" s="425"/>
      <c r="AL301" s="425"/>
      <c r="AM301" s="259"/>
      <c r="AN301" s="259"/>
    </row>
    <row r="302" spans="1:40" ht="22.5" hidden="1" customHeight="1" x14ac:dyDescent="0.2">
      <c r="A302" s="413">
        <v>45876.679071226856</v>
      </c>
      <c r="B302" s="414" t="s">
        <v>56</v>
      </c>
      <c r="C302" s="414" t="s">
        <v>381</v>
      </c>
      <c r="D302" s="420" t="str">
        <f t="shared" si="0"/>
        <v>2022</v>
      </c>
      <c r="E302" s="416" t="s">
        <v>895</v>
      </c>
      <c r="F302" s="417">
        <v>64630</v>
      </c>
      <c r="G302" s="417">
        <v>8140</v>
      </c>
      <c r="H302" s="418" t="s">
        <v>762</v>
      </c>
      <c r="I302" s="417">
        <v>1569</v>
      </c>
      <c r="J302" s="419" t="s">
        <v>53</v>
      </c>
      <c r="K302" s="420"/>
      <c r="L302" s="421"/>
      <c r="M302" s="421"/>
      <c r="N302" s="421"/>
      <c r="O302" s="420"/>
      <c r="P302" s="421"/>
      <c r="Q302" s="421"/>
      <c r="R302" s="421"/>
      <c r="S302" s="422"/>
      <c r="T302" s="420"/>
      <c r="U302" s="421"/>
      <c r="V302" s="421"/>
      <c r="W302" s="423"/>
      <c r="X302" s="414" t="s">
        <v>343</v>
      </c>
      <c r="Y302" s="500" t="s">
        <v>896</v>
      </c>
      <c r="Z302" s="500" t="s">
        <v>719</v>
      </c>
      <c r="AA302" s="500">
        <v>10</v>
      </c>
      <c r="AB302" s="501"/>
      <c r="AC302" s="425"/>
      <c r="AD302" s="425"/>
      <c r="AE302" s="425"/>
      <c r="AF302" s="425"/>
      <c r="AG302" s="414" t="s">
        <v>337</v>
      </c>
      <c r="AH302" s="425"/>
      <c r="AI302" s="425"/>
      <c r="AJ302" s="425"/>
      <c r="AK302" s="425"/>
      <c r="AL302" s="425"/>
      <c r="AM302" s="259"/>
      <c r="AN302" s="259"/>
    </row>
    <row r="303" spans="1:40" ht="27" hidden="1" customHeight="1" x14ac:dyDescent="0.2">
      <c r="A303" s="413">
        <v>45878.362580057874</v>
      </c>
      <c r="B303" s="414" t="s">
        <v>436</v>
      </c>
      <c r="C303" s="414" t="s">
        <v>464</v>
      </c>
      <c r="D303" s="420" t="str">
        <f t="shared" si="0"/>
        <v/>
      </c>
      <c r="E303" s="421"/>
      <c r="F303" s="421"/>
      <c r="G303" s="421"/>
      <c r="H303" s="505"/>
      <c r="I303" s="421"/>
      <c r="J303" s="423"/>
      <c r="K303" s="420"/>
      <c r="L303" s="421"/>
      <c r="M303" s="421"/>
      <c r="N303" s="421"/>
      <c r="O303" s="506" t="s">
        <v>897</v>
      </c>
      <c r="P303" s="417">
        <v>4600</v>
      </c>
      <c r="Q303" s="417">
        <v>415</v>
      </c>
      <c r="R303" s="417">
        <v>202</v>
      </c>
      <c r="S303" s="425"/>
      <c r="T303" s="420"/>
      <c r="U303" s="421"/>
      <c r="V303" s="421"/>
      <c r="W303" s="423"/>
      <c r="X303" s="414" t="s">
        <v>343</v>
      </c>
      <c r="Y303" s="501"/>
      <c r="Z303" s="501"/>
      <c r="AA303" s="501"/>
      <c r="AB303" s="501"/>
      <c r="AC303" s="425"/>
      <c r="AD303" s="425"/>
      <c r="AE303" s="425"/>
      <c r="AF303" s="425"/>
      <c r="AG303" s="414" t="s">
        <v>337</v>
      </c>
      <c r="AH303" s="425"/>
      <c r="AI303" s="425"/>
      <c r="AJ303" s="425"/>
      <c r="AK303" s="425"/>
      <c r="AL303" s="425"/>
      <c r="AM303" s="259"/>
      <c r="AN303" s="259"/>
    </row>
    <row r="304" spans="1:40" ht="22.5" hidden="1" customHeight="1" x14ac:dyDescent="0.2">
      <c r="A304" s="413">
        <v>45878.402286643519</v>
      </c>
      <c r="B304" s="414" t="s">
        <v>56</v>
      </c>
      <c r="C304" s="414" t="s">
        <v>381</v>
      </c>
      <c r="D304" s="420" t="str">
        <f t="shared" si="0"/>
        <v>2007</v>
      </c>
      <c r="E304" s="416" t="s">
        <v>898</v>
      </c>
      <c r="F304" s="417">
        <v>15022</v>
      </c>
      <c r="G304" s="417">
        <v>6386</v>
      </c>
      <c r="H304" s="418" t="s">
        <v>899</v>
      </c>
      <c r="I304" s="417">
        <v>818</v>
      </c>
      <c r="J304" s="419" t="s">
        <v>53</v>
      </c>
      <c r="K304" s="420"/>
      <c r="L304" s="421"/>
      <c r="M304" s="421"/>
      <c r="N304" s="421"/>
      <c r="O304" s="420"/>
      <c r="P304" s="421"/>
      <c r="Q304" s="421"/>
      <c r="R304" s="421"/>
      <c r="S304" s="422"/>
      <c r="T304" s="420"/>
      <c r="U304" s="421"/>
      <c r="V304" s="421"/>
      <c r="W304" s="423"/>
      <c r="X304" s="414" t="s">
        <v>343</v>
      </c>
      <c r="Y304" s="501"/>
      <c r="Z304" s="501"/>
      <c r="AA304" s="501"/>
      <c r="AB304" s="501"/>
      <c r="AC304" s="425"/>
      <c r="AD304" s="425"/>
      <c r="AE304" s="425"/>
      <c r="AF304" s="425"/>
      <c r="AG304" s="414" t="s">
        <v>337</v>
      </c>
      <c r="AH304" s="425"/>
      <c r="AI304" s="425"/>
      <c r="AJ304" s="425"/>
      <c r="AK304" s="425"/>
      <c r="AL304" s="425"/>
      <c r="AM304" s="259"/>
      <c r="AN304" s="259"/>
    </row>
    <row r="305" spans="1:40" ht="22.5" hidden="1" customHeight="1" x14ac:dyDescent="0.2">
      <c r="A305" s="413">
        <v>45878.415075046301</v>
      </c>
      <c r="B305" s="414" t="s">
        <v>56</v>
      </c>
      <c r="C305" s="414" t="s">
        <v>381</v>
      </c>
      <c r="D305" s="420" t="str">
        <f t="shared" si="0"/>
        <v>2018</v>
      </c>
      <c r="E305" s="416" t="s">
        <v>900</v>
      </c>
      <c r="F305" s="417">
        <v>49314</v>
      </c>
      <c r="G305" s="417">
        <v>3584</v>
      </c>
      <c r="H305" s="418" t="s">
        <v>901</v>
      </c>
      <c r="I305" s="417">
        <v>687</v>
      </c>
      <c r="J305" s="419" t="s">
        <v>53</v>
      </c>
      <c r="K305" s="420"/>
      <c r="L305" s="421"/>
      <c r="M305" s="421"/>
      <c r="N305" s="421"/>
      <c r="O305" s="420"/>
      <c r="P305" s="421"/>
      <c r="Q305" s="421"/>
      <c r="R305" s="421"/>
      <c r="S305" s="422"/>
      <c r="T305" s="420"/>
      <c r="U305" s="421"/>
      <c r="V305" s="421"/>
      <c r="W305" s="423"/>
      <c r="X305" s="414" t="s">
        <v>343</v>
      </c>
      <c r="Y305" s="501"/>
      <c r="Z305" s="501"/>
      <c r="AA305" s="501"/>
      <c r="AB305" s="501"/>
      <c r="AC305" s="425"/>
      <c r="AD305" s="425"/>
      <c r="AE305" s="425"/>
      <c r="AF305" s="425"/>
      <c r="AG305" s="414" t="s">
        <v>337</v>
      </c>
      <c r="AH305" s="425"/>
      <c r="AI305" s="425"/>
      <c r="AJ305" s="425"/>
      <c r="AK305" s="425"/>
      <c r="AL305" s="425"/>
      <c r="AM305" s="259"/>
      <c r="AN305" s="259"/>
    </row>
    <row r="306" spans="1:40" ht="22.5" hidden="1" customHeight="1" x14ac:dyDescent="0.2">
      <c r="A306" s="414" t="s">
        <v>12</v>
      </c>
      <c r="B306" s="414" t="s">
        <v>56</v>
      </c>
      <c r="C306" s="414" t="s">
        <v>381</v>
      </c>
      <c r="D306" s="420" t="str">
        <f t="shared" si="0"/>
        <v>2001</v>
      </c>
      <c r="E306" s="416" t="s">
        <v>902</v>
      </c>
      <c r="F306" s="417">
        <v>5826</v>
      </c>
      <c r="G306" s="417">
        <v>4773</v>
      </c>
      <c r="H306" s="418" t="s">
        <v>903</v>
      </c>
      <c r="I306" s="417">
        <v>780</v>
      </c>
      <c r="J306" s="419" t="s">
        <v>53</v>
      </c>
      <c r="K306" s="420"/>
      <c r="L306" s="421"/>
      <c r="M306" s="421"/>
      <c r="N306" s="421"/>
      <c r="O306" s="420"/>
      <c r="P306" s="421"/>
      <c r="Q306" s="421"/>
      <c r="R306" s="421"/>
      <c r="S306" s="422"/>
      <c r="T306" s="420"/>
      <c r="U306" s="421"/>
      <c r="V306" s="421"/>
      <c r="W306" s="423"/>
      <c r="X306" s="414" t="s">
        <v>343</v>
      </c>
      <c r="Y306" s="500" t="s">
        <v>896</v>
      </c>
      <c r="Z306" s="500" t="s">
        <v>766</v>
      </c>
      <c r="AA306" s="500">
        <v>8</v>
      </c>
      <c r="AB306" s="501"/>
      <c r="AC306" s="425"/>
      <c r="AD306" s="425"/>
      <c r="AE306" s="425"/>
      <c r="AF306" s="425"/>
      <c r="AG306" s="414" t="s">
        <v>337</v>
      </c>
      <c r="AH306" s="425"/>
      <c r="AI306" s="425"/>
      <c r="AJ306" s="425"/>
      <c r="AK306" s="425"/>
      <c r="AL306" s="425"/>
      <c r="AM306" s="259"/>
      <c r="AN306" s="259"/>
    </row>
    <row r="307" spans="1:40" ht="22.5" hidden="1" customHeight="1" x14ac:dyDescent="0.2">
      <c r="A307" s="413">
        <v>45884.4979340625</v>
      </c>
      <c r="B307" s="414" t="s">
        <v>56</v>
      </c>
      <c r="C307" s="414" t="s">
        <v>381</v>
      </c>
      <c r="D307" s="420" t="str">
        <f t="shared" si="0"/>
        <v>2011</v>
      </c>
      <c r="E307" s="416" t="s">
        <v>904</v>
      </c>
      <c r="F307" s="417">
        <v>25432</v>
      </c>
      <c r="G307" s="417">
        <v>26284</v>
      </c>
      <c r="H307" s="418" t="s">
        <v>870</v>
      </c>
      <c r="I307" s="417">
        <v>2928</v>
      </c>
      <c r="J307" s="419" t="s">
        <v>53</v>
      </c>
      <c r="K307" s="420"/>
      <c r="L307" s="421"/>
      <c r="M307" s="421"/>
      <c r="N307" s="421"/>
      <c r="O307" s="420"/>
      <c r="P307" s="421"/>
      <c r="Q307" s="421"/>
      <c r="R307" s="421"/>
      <c r="S307" s="422"/>
      <c r="T307" s="420"/>
      <c r="U307" s="421"/>
      <c r="V307" s="421"/>
      <c r="W307" s="423"/>
      <c r="X307" s="414" t="s">
        <v>343</v>
      </c>
      <c r="Y307" s="500" t="s">
        <v>662</v>
      </c>
      <c r="Z307" s="500" t="s">
        <v>702</v>
      </c>
      <c r="AA307" s="500">
        <v>13</v>
      </c>
      <c r="AB307" s="501"/>
      <c r="AC307" s="425"/>
      <c r="AD307" s="425"/>
      <c r="AE307" s="425"/>
      <c r="AF307" s="425"/>
      <c r="AG307" s="414" t="s">
        <v>337</v>
      </c>
      <c r="AH307" s="425"/>
      <c r="AI307" s="425"/>
      <c r="AJ307" s="425"/>
      <c r="AK307" s="425"/>
      <c r="AL307" s="425"/>
      <c r="AM307" s="259"/>
      <c r="AN307" s="259"/>
    </row>
    <row r="308" spans="1:40" ht="22.5" hidden="1" customHeight="1" x14ac:dyDescent="0.2">
      <c r="A308" s="413">
        <v>45884.698001805555</v>
      </c>
      <c r="B308" s="414" t="s">
        <v>436</v>
      </c>
      <c r="C308" s="414" t="s">
        <v>381</v>
      </c>
      <c r="D308" s="420" t="str">
        <f t="shared" si="0"/>
        <v/>
      </c>
      <c r="E308" s="421"/>
      <c r="F308" s="421"/>
      <c r="G308" s="421"/>
      <c r="H308" s="505"/>
      <c r="I308" s="421"/>
      <c r="J308" s="423"/>
      <c r="K308" s="420"/>
      <c r="L308" s="421"/>
      <c r="M308" s="421"/>
      <c r="N308" s="421"/>
      <c r="O308" s="506" t="s">
        <v>905</v>
      </c>
      <c r="P308" s="417">
        <v>3586</v>
      </c>
      <c r="Q308" s="417">
        <v>50</v>
      </c>
      <c r="R308" s="417">
        <v>30</v>
      </c>
      <c r="S308" s="425"/>
      <c r="T308" s="420"/>
      <c r="U308" s="421"/>
      <c r="V308" s="421"/>
      <c r="W308" s="423"/>
      <c r="X308" s="414" t="s">
        <v>343</v>
      </c>
      <c r="Y308" s="501"/>
      <c r="Z308" s="501"/>
      <c r="AA308" s="501"/>
      <c r="AB308" s="501"/>
      <c r="AC308" s="425"/>
      <c r="AD308" s="425"/>
      <c r="AE308" s="425"/>
      <c r="AF308" s="425"/>
      <c r="AG308" s="414" t="s">
        <v>337</v>
      </c>
      <c r="AH308" s="425"/>
      <c r="AI308" s="425"/>
      <c r="AJ308" s="425"/>
      <c r="AK308" s="425"/>
      <c r="AL308" s="425"/>
      <c r="AM308" s="259"/>
      <c r="AN308" s="259"/>
    </row>
    <row r="309" spans="1:40" ht="22.5" hidden="1" customHeight="1" x14ac:dyDescent="0.2">
      <c r="A309" s="413">
        <v>45884.698897106486</v>
      </c>
      <c r="B309" s="414" t="s">
        <v>436</v>
      </c>
      <c r="C309" s="414" t="s">
        <v>338</v>
      </c>
      <c r="D309" s="420" t="str">
        <f t="shared" si="0"/>
        <v/>
      </c>
      <c r="E309" s="421"/>
      <c r="F309" s="421"/>
      <c r="G309" s="421"/>
      <c r="H309" s="505"/>
      <c r="I309" s="421"/>
      <c r="J309" s="423"/>
      <c r="K309" s="420"/>
      <c r="L309" s="421"/>
      <c r="M309" s="421"/>
      <c r="N309" s="421"/>
      <c r="O309" s="506" t="s">
        <v>905</v>
      </c>
      <c r="P309" s="417">
        <v>3586</v>
      </c>
      <c r="Q309" s="417">
        <v>50</v>
      </c>
      <c r="R309" s="417">
        <v>30</v>
      </c>
      <c r="S309" s="425"/>
      <c r="T309" s="420"/>
      <c r="U309" s="421"/>
      <c r="V309" s="421"/>
      <c r="W309" s="423"/>
      <c r="X309" s="414" t="s">
        <v>343</v>
      </c>
      <c r="Y309" s="501"/>
      <c r="Z309" s="501"/>
      <c r="AA309" s="501"/>
      <c r="AB309" s="501"/>
      <c r="AC309" s="425"/>
      <c r="AD309" s="425"/>
      <c r="AE309" s="425"/>
      <c r="AF309" s="425"/>
      <c r="AG309" s="414" t="s">
        <v>337</v>
      </c>
      <c r="AH309" s="425"/>
      <c r="AI309" s="425"/>
      <c r="AJ309" s="425"/>
      <c r="AK309" s="425"/>
      <c r="AL309" s="425"/>
      <c r="AM309" s="259"/>
      <c r="AN309" s="259"/>
    </row>
    <row r="310" spans="1:40" ht="22.5" hidden="1" customHeight="1" x14ac:dyDescent="0.2">
      <c r="A310" s="486">
        <v>45884.744358587966</v>
      </c>
      <c r="B310" s="487" t="s">
        <v>436</v>
      </c>
      <c r="C310" s="487" t="s">
        <v>338</v>
      </c>
      <c r="D310" s="488" t="str">
        <f t="shared" si="0"/>
        <v/>
      </c>
      <c r="E310" s="493"/>
      <c r="F310" s="493"/>
      <c r="G310" s="493"/>
      <c r="H310" s="502"/>
      <c r="I310" s="493"/>
      <c r="J310" s="495"/>
      <c r="K310" s="488"/>
      <c r="L310" s="493"/>
      <c r="M310" s="493"/>
      <c r="N310" s="493"/>
      <c r="O310" s="522">
        <v>23</v>
      </c>
      <c r="P310" s="490">
        <v>3</v>
      </c>
      <c r="Q310" s="490">
        <v>34</v>
      </c>
      <c r="R310" s="490">
        <v>3</v>
      </c>
      <c r="S310" s="498"/>
      <c r="T310" s="488"/>
      <c r="U310" s="493"/>
      <c r="V310" s="493"/>
      <c r="W310" s="495"/>
      <c r="X310" s="487" t="s">
        <v>343</v>
      </c>
      <c r="Y310" s="496"/>
      <c r="Z310" s="496"/>
      <c r="AA310" s="496"/>
      <c r="AB310" s="497" t="s">
        <v>906</v>
      </c>
      <c r="AC310" s="498"/>
      <c r="AD310" s="498"/>
      <c r="AE310" s="498"/>
      <c r="AF310" s="498"/>
      <c r="AG310" s="487" t="s">
        <v>337</v>
      </c>
      <c r="AH310" s="498"/>
      <c r="AI310" s="498"/>
      <c r="AJ310" s="498"/>
      <c r="AK310" s="498"/>
      <c r="AL310" s="498"/>
      <c r="AM310" s="499"/>
      <c r="AN310" s="499"/>
    </row>
    <row r="311" spans="1:40" ht="22.5" hidden="1" customHeight="1" x14ac:dyDescent="0.2">
      <c r="A311" s="413">
        <v>45885.457398715276</v>
      </c>
      <c r="B311" s="414" t="s">
        <v>56</v>
      </c>
      <c r="C311" s="414" t="s">
        <v>381</v>
      </c>
      <c r="D311" s="420" t="str">
        <f t="shared" si="0"/>
        <v>2010</v>
      </c>
      <c r="E311" s="416" t="s">
        <v>907</v>
      </c>
      <c r="F311" s="417">
        <v>22781</v>
      </c>
      <c r="G311" s="417">
        <v>10758</v>
      </c>
      <c r="H311" s="418" t="s">
        <v>908</v>
      </c>
      <c r="I311" s="417">
        <v>1226</v>
      </c>
      <c r="J311" s="419" t="s">
        <v>53</v>
      </c>
      <c r="K311" s="420"/>
      <c r="L311" s="421"/>
      <c r="M311" s="421"/>
      <c r="N311" s="421"/>
      <c r="O311" s="420"/>
      <c r="P311" s="421"/>
      <c r="Q311" s="421"/>
      <c r="R311" s="421"/>
      <c r="S311" s="425"/>
      <c r="T311" s="420"/>
      <c r="U311" s="421"/>
      <c r="V311" s="421"/>
      <c r="W311" s="423"/>
      <c r="X311" s="414" t="s">
        <v>343</v>
      </c>
      <c r="Y311" s="501"/>
      <c r="Z311" s="501"/>
      <c r="AA311" s="501"/>
      <c r="AB311" s="501"/>
      <c r="AC311" s="425"/>
      <c r="AD311" s="425"/>
      <c r="AE311" s="425"/>
      <c r="AF311" s="425"/>
      <c r="AG311" s="414" t="s">
        <v>337</v>
      </c>
      <c r="AH311" s="425"/>
      <c r="AI311" s="425"/>
      <c r="AJ311" s="425"/>
      <c r="AK311" s="425"/>
      <c r="AL311" s="425"/>
      <c r="AM311" s="259"/>
      <c r="AN311" s="259"/>
    </row>
    <row r="312" spans="1:40" ht="22.5" hidden="1" customHeight="1" x14ac:dyDescent="0.2">
      <c r="A312" s="413">
        <v>45887.447870011572</v>
      </c>
      <c r="B312" s="414" t="s">
        <v>56</v>
      </c>
      <c r="C312" s="414" t="s">
        <v>381</v>
      </c>
      <c r="D312" s="420" t="str">
        <f t="shared" si="0"/>
        <v>2019</v>
      </c>
      <c r="E312" s="416" t="s">
        <v>909</v>
      </c>
      <c r="F312" s="417">
        <v>55445</v>
      </c>
      <c r="G312" s="417">
        <v>6683</v>
      </c>
      <c r="H312" s="418" t="s">
        <v>910</v>
      </c>
      <c r="I312" s="417">
        <v>1347</v>
      </c>
      <c r="J312" s="419" t="s">
        <v>53</v>
      </c>
      <c r="K312" s="420"/>
      <c r="L312" s="421"/>
      <c r="M312" s="421"/>
      <c r="N312" s="421"/>
      <c r="O312" s="420"/>
      <c r="P312" s="421"/>
      <c r="Q312" s="421"/>
      <c r="R312" s="421"/>
      <c r="S312" s="425"/>
      <c r="T312" s="420"/>
      <c r="U312" s="421"/>
      <c r="V312" s="421"/>
      <c r="W312" s="423"/>
      <c r="X312" s="414" t="s">
        <v>343</v>
      </c>
      <c r="Y312" s="501"/>
      <c r="Z312" s="501"/>
      <c r="AA312" s="501"/>
      <c r="AB312" s="501"/>
      <c r="AC312" s="425"/>
      <c r="AD312" s="425"/>
      <c r="AE312" s="425"/>
      <c r="AF312" s="425"/>
      <c r="AG312" s="414" t="s">
        <v>337</v>
      </c>
      <c r="AH312" s="425"/>
      <c r="AI312" s="425"/>
      <c r="AJ312" s="425"/>
      <c r="AK312" s="425"/>
      <c r="AL312" s="425"/>
      <c r="AM312" s="259"/>
      <c r="AN312" s="259"/>
    </row>
    <row r="313" spans="1:40" ht="22.5" hidden="1" customHeight="1" x14ac:dyDescent="0.2">
      <c r="A313" s="413">
        <v>45887.70447326389</v>
      </c>
      <c r="B313" s="414" t="s">
        <v>436</v>
      </c>
      <c r="C313" s="414" t="s">
        <v>629</v>
      </c>
      <c r="D313" s="420" t="str">
        <f t="shared" si="0"/>
        <v/>
      </c>
      <c r="E313" s="421"/>
      <c r="F313" s="421"/>
      <c r="G313" s="421"/>
      <c r="H313" s="505"/>
      <c r="I313" s="421"/>
      <c r="J313" s="423"/>
      <c r="K313" s="420"/>
      <c r="L313" s="421"/>
      <c r="M313" s="421"/>
      <c r="N313" s="421"/>
      <c r="O313" s="506" t="s">
        <v>911</v>
      </c>
      <c r="P313" s="417">
        <v>4665</v>
      </c>
      <c r="Q313" s="417">
        <v>202</v>
      </c>
      <c r="R313" s="417">
        <v>257</v>
      </c>
      <c r="S313" s="414" t="s">
        <v>912</v>
      </c>
      <c r="T313" s="420"/>
      <c r="U313" s="421"/>
      <c r="V313" s="421"/>
      <c r="W313" s="423"/>
      <c r="X313" s="414" t="s">
        <v>343</v>
      </c>
      <c r="Y313" s="500" t="s">
        <v>701</v>
      </c>
      <c r="Z313" s="500" t="s">
        <v>913</v>
      </c>
      <c r="AA313" s="500">
        <v>42</v>
      </c>
      <c r="AB313" s="501"/>
      <c r="AC313" s="425"/>
      <c r="AD313" s="425"/>
      <c r="AE313" s="425"/>
      <c r="AF313" s="425"/>
      <c r="AG313" s="414" t="s">
        <v>337</v>
      </c>
      <c r="AH313" s="425"/>
      <c r="AI313" s="425"/>
      <c r="AJ313" s="425"/>
      <c r="AK313" s="425"/>
      <c r="AL313" s="425"/>
      <c r="AM313" s="259"/>
      <c r="AN313" s="259"/>
    </row>
    <row r="314" spans="1:40" ht="22.5" hidden="1" customHeight="1" x14ac:dyDescent="0.2">
      <c r="A314" s="413">
        <v>45887.726037673609</v>
      </c>
      <c r="B314" s="414" t="s">
        <v>56</v>
      </c>
      <c r="C314" s="414" t="s">
        <v>381</v>
      </c>
      <c r="D314" s="420" t="str">
        <f t="shared" si="0"/>
        <v>2019</v>
      </c>
      <c r="E314" s="416" t="s">
        <v>914</v>
      </c>
      <c r="F314" s="417">
        <v>56454</v>
      </c>
      <c r="G314" s="417">
        <v>10768</v>
      </c>
      <c r="H314" s="418" t="s">
        <v>915</v>
      </c>
      <c r="I314" s="417">
        <v>2162</v>
      </c>
      <c r="J314" s="419" t="s">
        <v>53</v>
      </c>
      <c r="K314" s="420"/>
      <c r="L314" s="421"/>
      <c r="M314" s="421"/>
      <c r="N314" s="421"/>
      <c r="O314" s="420"/>
      <c r="P314" s="421"/>
      <c r="Q314" s="421"/>
      <c r="R314" s="421"/>
      <c r="S314" s="425"/>
      <c r="T314" s="420"/>
      <c r="U314" s="421"/>
      <c r="V314" s="421"/>
      <c r="W314" s="423"/>
      <c r="X314" s="414" t="s">
        <v>343</v>
      </c>
      <c r="Y314" s="500" t="s">
        <v>689</v>
      </c>
      <c r="Z314" s="500" t="s">
        <v>727</v>
      </c>
      <c r="AA314" s="500">
        <v>10</v>
      </c>
      <c r="AB314" s="501"/>
      <c r="AC314" s="425"/>
      <c r="AD314" s="425"/>
      <c r="AE314" s="425"/>
      <c r="AF314" s="425"/>
      <c r="AG314" s="414" t="s">
        <v>337</v>
      </c>
      <c r="AH314" s="425"/>
      <c r="AI314" s="425"/>
      <c r="AJ314" s="425"/>
      <c r="AK314" s="425"/>
      <c r="AL314" s="425"/>
      <c r="AM314" s="259"/>
      <c r="AN314" s="259"/>
    </row>
    <row r="315" spans="1:40" ht="22.5" hidden="1" customHeight="1" x14ac:dyDescent="0.2">
      <c r="A315" s="413">
        <v>45890.724454467592</v>
      </c>
      <c r="B315" s="414" t="s">
        <v>56</v>
      </c>
      <c r="C315" s="414" t="s">
        <v>338</v>
      </c>
      <c r="D315" s="420" t="str">
        <f t="shared" si="0"/>
        <v>2010</v>
      </c>
      <c r="E315" s="416" t="s">
        <v>916</v>
      </c>
      <c r="F315" s="417">
        <v>22889</v>
      </c>
      <c r="G315" s="417">
        <v>11549</v>
      </c>
      <c r="H315" s="418" t="s">
        <v>498</v>
      </c>
      <c r="I315" s="417">
        <v>1322</v>
      </c>
      <c r="J315" s="419" t="s">
        <v>53</v>
      </c>
      <c r="K315" s="420"/>
      <c r="L315" s="421"/>
      <c r="M315" s="421"/>
      <c r="N315" s="421"/>
      <c r="O315" s="420"/>
      <c r="P315" s="421"/>
      <c r="Q315" s="421"/>
      <c r="R315" s="421"/>
      <c r="S315" s="425"/>
      <c r="T315" s="420"/>
      <c r="U315" s="421"/>
      <c r="V315" s="421"/>
      <c r="W315" s="423"/>
      <c r="X315" s="414" t="s">
        <v>343</v>
      </c>
      <c r="Y315" s="501"/>
      <c r="Z315" s="501"/>
      <c r="AA315" s="501"/>
      <c r="AB315" s="501"/>
      <c r="AC315" s="425"/>
      <c r="AD315" s="425"/>
      <c r="AE315" s="425"/>
      <c r="AF315" s="425"/>
      <c r="AG315" s="414" t="s">
        <v>337</v>
      </c>
      <c r="AH315" s="425"/>
      <c r="AI315" s="425"/>
      <c r="AJ315" s="425"/>
      <c r="AK315" s="425"/>
      <c r="AL315" s="425"/>
      <c r="AM315" s="259"/>
      <c r="AN315" s="259"/>
    </row>
    <row r="316" spans="1:40" ht="22.5" hidden="1" customHeight="1" x14ac:dyDescent="0.2">
      <c r="A316" s="413">
        <v>45890.725351030094</v>
      </c>
      <c r="B316" s="414" t="s">
        <v>56</v>
      </c>
      <c r="C316" s="414" t="s">
        <v>338</v>
      </c>
      <c r="D316" s="420" t="str">
        <f t="shared" si="0"/>
        <v>2011</v>
      </c>
      <c r="E316" s="416" t="s">
        <v>917</v>
      </c>
      <c r="F316" s="417">
        <v>24606</v>
      </c>
      <c r="G316" s="417">
        <v>1618</v>
      </c>
      <c r="H316" s="418" t="s">
        <v>500</v>
      </c>
      <c r="I316" s="417">
        <v>184</v>
      </c>
      <c r="J316" s="419" t="s">
        <v>53</v>
      </c>
      <c r="K316" s="420"/>
      <c r="L316" s="421"/>
      <c r="M316" s="421"/>
      <c r="N316" s="421"/>
      <c r="O316" s="420"/>
      <c r="P316" s="421"/>
      <c r="Q316" s="421"/>
      <c r="R316" s="421"/>
      <c r="S316" s="425"/>
      <c r="T316" s="420"/>
      <c r="U316" s="421"/>
      <c r="V316" s="421"/>
      <c r="W316" s="423"/>
      <c r="X316" s="414" t="s">
        <v>343</v>
      </c>
      <c r="Y316" s="501"/>
      <c r="Z316" s="501"/>
      <c r="AA316" s="501"/>
      <c r="AB316" s="501"/>
      <c r="AC316" s="425"/>
      <c r="AD316" s="425"/>
      <c r="AE316" s="425"/>
      <c r="AF316" s="425"/>
      <c r="AG316" s="414" t="s">
        <v>337</v>
      </c>
      <c r="AH316" s="425"/>
      <c r="AI316" s="425"/>
      <c r="AJ316" s="425"/>
      <c r="AK316" s="425"/>
      <c r="AL316" s="425"/>
      <c r="AM316" s="259"/>
      <c r="AN316" s="259"/>
    </row>
    <row r="317" spans="1:40" ht="22.5" hidden="1" customHeight="1" x14ac:dyDescent="0.2">
      <c r="A317" s="413">
        <v>45890.728985034722</v>
      </c>
      <c r="B317" s="414" t="s">
        <v>56</v>
      </c>
      <c r="C317" s="414" t="s">
        <v>338</v>
      </c>
      <c r="D317" s="420" t="str">
        <f t="shared" si="0"/>
        <v>2011</v>
      </c>
      <c r="E317" s="416" t="s">
        <v>503</v>
      </c>
      <c r="F317" s="417">
        <v>27513</v>
      </c>
      <c r="G317" s="417">
        <v>25913</v>
      </c>
      <c r="H317" s="418" t="s">
        <v>504</v>
      </c>
      <c r="I317" s="417">
        <v>2888</v>
      </c>
      <c r="J317" s="419" t="s">
        <v>53</v>
      </c>
      <c r="K317" s="420"/>
      <c r="L317" s="421"/>
      <c r="M317" s="421"/>
      <c r="N317" s="421"/>
      <c r="O317" s="420"/>
      <c r="P317" s="421"/>
      <c r="Q317" s="421"/>
      <c r="R317" s="421"/>
      <c r="S317" s="425"/>
      <c r="T317" s="420"/>
      <c r="U317" s="421"/>
      <c r="V317" s="421"/>
      <c r="W317" s="423"/>
      <c r="X317" s="414" t="s">
        <v>343</v>
      </c>
      <c r="Y317" s="501"/>
      <c r="Z317" s="501"/>
      <c r="AA317" s="501"/>
      <c r="AB317" s="501"/>
      <c r="AC317" s="425"/>
      <c r="AD317" s="425"/>
      <c r="AE317" s="425"/>
      <c r="AF317" s="425"/>
      <c r="AG317" s="414" t="s">
        <v>337</v>
      </c>
      <c r="AH317" s="425"/>
      <c r="AI317" s="425"/>
      <c r="AJ317" s="425"/>
      <c r="AK317" s="425"/>
      <c r="AL317" s="425"/>
      <c r="AM317" s="259"/>
      <c r="AN317" s="259"/>
    </row>
    <row r="318" spans="1:40" ht="22.5" hidden="1" customHeight="1" x14ac:dyDescent="0.2">
      <c r="A318" s="413">
        <v>45890.730764386579</v>
      </c>
      <c r="B318" s="414" t="s">
        <v>56</v>
      </c>
      <c r="C318" s="414" t="s">
        <v>338</v>
      </c>
      <c r="D318" s="420" t="str">
        <f t="shared" si="0"/>
        <v>2023</v>
      </c>
      <c r="E318" s="416" t="s">
        <v>918</v>
      </c>
      <c r="F318" s="417">
        <v>69357</v>
      </c>
      <c r="G318" s="417">
        <v>11010</v>
      </c>
      <c r="H318" s="418" t="s">
        <v>919</v>
      </c>
      <c r="I318" s="417">
        <v>2165</v>
      </c>
      <c r="J318" s="419" t="s">
        <v>53</v>
      </c>
      <c r="K318" s="420"/>
      <c r="L318" s="421"/>
      <c r="M318" s="421"/>
      <c r="N318" s="421"/>
      <c r="O318" s="420"/>
      <c r="P318" s="421"/>
      <c r="Q318" s="421"/>
      <c r="R318" s="421"/>
      <c r="S318" s="425"/>
      <c r="T318" s="420"/>
      <c r="U318" s="421"/>
      <c r="V318" s="421"/>
      <c r="W318" s="423"/>
      <c r="X318" s="414" t="s">
        <v>343</v>
      </c>
      <c r="Y318" s="501"/>
      <c r="Z318" s="501"/>
      <c r="AA318" s="501"/>
      <c r="AB318" s="501"/>
      <c r="AC318" s="425"/>
      <c r="AD318" s="425"/>
      <c r="AE318" s="425"/>
      <c r="AF318" s="425"/>
      <c r="AG318" s="414" t="s">
        <v>337</v>
      </c>
      <c r="AH318" s="425"/>
      <c r="AI318" s="425"/>
      <c r="AJ318" s="425"/>
      <c r="AK318" s="425"/>
      <c r="AL318" s="425"/>
      <c r="AM318" s="259"/>
      <c r="AN318" s="259"/>
    </row>
    <row r="319" spans="1:40" ht="22.5" hidden="1" customHeight="1" x14ac:dyDescent="0.2">
      <c r="A319" s="413">
        <v>45890.73134672454</v>
      </c>
      <c r="B319" s="414" t="s">
        <v>56</v>
      </c>
      <c r="C319" s="414" t="s">
        <v>338</v>
      </c>
      <c r="D319" s="420" t="str">
        <f t="shared" si="0"/>
        <v>2023</v>
      </c>
      <c r="E319" s="416" t="s">
        <v>920</v>
      </c>
      <c r="F319" s="417">
        <v>69418</v>
      </c>
      <c r="G319" s="417">
        <v>11286</v>
      </c>
      <c r="H319" s="418" t="s">
        <v>921</v>
      </c>
      <c r="I319" s="417">
        <v>2218</v>
      </c>
      <c r="J319" s="419" t="s">
        <v>53</v>
      </c>
      <c r="K319" s="420"/>
      <c r="L319" s="421"/>
      <c r="M319" s="421"/>
      <c r="N319" s="421"/>
      <c r="O319" s="420"/>
      <c r="P319" s="421"/>
      <c r="Q319" s="421"/>
      <c r="R319" s="421"/>
      <c r="S319" s="425"/>
      <c r="T319" s="420"/>
      <c r="U319" s="421"/>
      <c r="V319" s="421"/>
      <c r="W319" s="423"/>
      <c r="X319" s="414" t="s">
        <v>343</v>
      </c>
      <c r="Y319" s="501"/>
      <c r="Z319" s="501"/>
      <c r="AA319" s="501"/>
      <c r="AB319" s="501"/>
      <c r="AC319" s="425"/>
      <c r="AD319" s="425"/>
      <c r="AE319" s="425"/>
      <c r="AF319" s="425"/>
      <c r="AG319" s="414" t="s">
        <v>337</v>
      </c>
      <c r="AH319" s="425"/>
      <c r="AI319" s="425"/>
      <c r="AJ319" s="425"/>
      <c r="AK319" s="425"/>
      <c r="AL319" s="425"/>
      <c r="AM319" s="259"/>
      <c r="AN319" s="259"/>
    </row>
    <row r="320" spans="1:40" ht="22.5" hidden="1" customHeight="1" x14ac:dyDescent="0.2">
      <c r="A320" s="413">
        <v>45890.731937581018</v>
      </c>
      <c r="B320" s="414" t="s">
        <v>56</v>
      </c>
      <c r="C320" s="414" t="s">
        <v>338</v>
      </c>
      <c r="D320" s="420" t="str">
        <f t="shared" si="0"/>
        <v>2021</v>
      </c>
      <c r="E320" s="416" t="s">
        <v>602</v>
      </c>
      <c r="F320" s="417">
        <v>61472</v>
      </c>
      <c r="G320" s="417">
        <v>6970</v>
      </c>
      <c r="H320" s="418" t="s">
        <v>922</v>
      </c>
      <c r="I320" s="417">
        <v>1436</v>
      </c>
      <c r="J320" s="419" t="s">
        <v>53</v>
      </c>
      <c r="K320" s="420"/>
      <c r="L320" s="421"/>
      <c r="M320" s="421"/>
      <c r="N320" s="421"/>
      <c r="O320" s="420"/>
      <c r="P320" s="421"/>
      <c r="Q320" s="421"/>
      <c r="R320" s="421"/>
      <c r="S320" s="425"/>
      <c r="T320" s="420"/>
      <c r="U320" s="421"/>
      <c r="V320" s="421"/>
      <c r="W320" s="423"/>
      <c r="X320" s="414" t="s">
        <v>343</v>
      </c>
      <c r="Y320" s="501"/>
      <c r="Z320" s="501"/>
      <c r="AA320" s="501"/>
      <c r="AB320" s="501"/>
      <c r="AC320" s="425"/>
      <c r="AD320" s="425"/>
      <c r="AE320" s="425"/>
      <c r="AF320" s="425"/>
      <c r="AG320" s="414" t="s">
        <v>337</v>
      </c>
      <c r="AH320" s="425"/>
      <c r="AI320" s="425"/>
      <c r="AJ320" s="425"/>
      <c r="AK320" s="425"/>
      <c r="AL320" s="425"/>
      <c r="AM320" s="259"/>
      <c r="AN320" s="259"/>
    </row>
    <row r="321" spans="1:40" ht="22.5" hidden="1" customHeight="1" x14ac:dyDescent="0.2">
      <c r="A321" s="413">
        <v>45890.73267164352</v>
      </c>
      <c r="B321" s="414" t="s">
        <v>56</v>
      </c>
      <c r="C321" s="414" t="s">
        <v>338</v>
      </c>
      <c r="D321" s="420" t="str">
        <f t="shared" si="0"/>
        <v>2022</v>
      </c>
      <c r="E321" s="416" t="s">
        <v>733</v>
      </c>
      <c r="F321" s="417">
        <v>60854</v>
      </c>
      <c r="G321" s="417">
        <v>9447</v>
      </c>
      <c r="H321" s="418" t="s">
        <v>923</v>
      </c>
      <c r="I321" s="417">
        <v>1802</v>
      </c>
      <c r="J321" s="419" t="s">
        <v>53</v>
      </c>
      <c r="K321" s="420"/>
      <c r="L321" s="421"/>
      <c r="M321" s="421"/>
      <c r="N321" s="421"/>
      <c r="O321" s="420"/>
      <c r="P321" s="421"/>
      <c r="Q321" s="421"/>
      <c r="R321" s="421"/>
      <c r="S321" s="425"/>
      <c r="T321" s="420"/>
      <c r="U321" s="421"/>
      <c r="V321" s="421"/>
      <c r="W321" s="423"/>
      <c r="X321" s="414" t="s">
        <v>343</v>
      </c>
      <c r="Y321" s="501"/>
      <c r="Z321" s="501"/>
      <c r="AA321" s="501"/>
      <c r="AB321" s="501"/>
      <c r="AC321" s="425"/>
      <c r="AD321" s="425"/>
      <c r="AE321" s="425"/>
      <c r="AF321" s="425"/>
      <c r="AG321" s="414" t="s">
        <v>337</v>
      </c>
      <c r="AH321" s="425"/>
      <c r="AI321" s="425"/>
      <c r="AJ321" s="425"/>
      <c r="AK321" s="425"/>
      <c r="AL321" s="425"/>
      <c r="AM321" s="259"/>
      <c r="AN321" s="259"/>
    </row>
    <row r="322" spans="1:40" ht="22.5" hidden="1" customHeight="1" x14ac:dyDescent="0.2">
      <c r="A322" s="413">
        <v>45890.733924270833</v>
      </c>
      <c r="B322" s="414" t="s">
        <v>56</v>
      </c>
      <c r="C322" s="414" t="s">
        <v>338</v>
      </c>
      <c r="D322" s="420" t="str">
        <f t="shared" si="0"/>
        <v>2023</v>
      </c>
      <c r="E322" s="416" t="s">
        <v>924</v>
      </c>
      <c r="F322" s="417">
        <v>66606</v>
      </c>
      <c r="G322" s="417">
        <v>77</v>
      </c>
      <c r="H322" s="418" t="s">
        <v>925</v>
      </c>
      <c r="I322" s="417">
        <v>14</v>
      </c>
      <c r="J322" s="419" t="s">
        <v>53</v>
      </c>
      <c r="K322" s="420"/>
      <c r="L322" s="421"/>
      <c r="M322" s="421"/>
      <c r="N322" s="421"/>
      <c r="O322" s="420"/>
      <c r="P322" s="421"/>
      <c r="Q322" s="421"/>
      <c r="R322" s="421"/>
      <c r="S322" s="425"/>
      <c r="T322" s="420"/>
      <c r="U322" s="421"/>
      <c r="V322" s="421"/>
      <c r="W322" s="423"/>
      <c r="X322" s="414" t="s">
        <v>343</v>
      </c>
      <c r="Y322" s="501"/>
      <c r="Z322" s="501"/>
      <c r="AA322" s="501"/>
      <c r="AB322" s="501"/>
      <c r="AC322" s="425"/>
      <c r="AD322" s="425"/>
      <c r="AE322" s="425"/>
      <c r="AF322" s="425"/>
      <c r="AG322" s="414" t="s">
        <v>337</v>
      </c>
      <c r="AH322" s="425"/>
      <c r="AI322" s="425"/>
      <c r="AJ322" s="425"/>
      <c r="AK322" s="425"/>
      <c r="AL322" s="425"/>
      <c r="AM322" s="259"/>
      <c r="AN322" s="259"/>
    </row>
    <row r="323" spans="1:40" ht="22.5" hidden="1" customHeight="1" x14ac:dyDescent="0.2">
      <c r="A323" s="413">
        <v>45890.73452194444</v>
      </c>
      <c r="B323" s="414" t="s">
        <v>56</v>
      </c>
      <c r="C323" s="414" t="s">
        <v>338</v>
      </c>
      <c r="D323" s="420" t="str">
        <f t="shared" si="0"/>
        <v>2011</v>
      </c>
      <c r="E323" s="416" t="s">
        <v>926</v>
      </c>
      <c r="F323" s="417">
        <v>27635</v>
      </c>
      <c r="G323" s="417">
        <v>27261</v>
      </c>
      <c r="H323" s="418" t="s">
        <v>927</v>
      </c>
      <c r="I323" s="417">
        <v>3036</v>
      </c>
      <c r="J323" s="419" t="s">
        <v>53</v>
      </c>
      <c r="K323" s="420"/>
      <c r="L323" s="421"/>
      <c r="M323" s="421"/>
      <c r="N323" s="421"/>
      <c r="O323" s="420"/>
      <c r="P323" s="421"/>
      <c r="Q323" s="421"/>
      <c r="R323" s="421"/>
      <c r="S323" s="425"/>
      <c r="T323" s="420"/>
      <c r="U323" s="421"/>
      <c r="V323" s="421"/>
      <c r="W323" s="423"/>
      <c r="X323" s="414" t="s">
        <v>343</v>
      </c>
      <c r="Y323" s="501"/>
      <c r="Z323" s="501"/>
      <c r="AA323" s="501"/>
      <c r="AB323" s="501"/>
      <c r="AC323" s="425"/>
      <c r="AD323" s="425"/>
      <c r="AE323" s="425"/>
      <c r="AF323" s="425"/>
      <c r="AG323" s="414" t="s">
        <v>337</v>
      </c>
      <c r="AH323" s="425"/>
      <c r="AI323" s="425"/>
      <c r="AJ323" s="425"/>
      <c r="AK323" s="425"/>
      <c r="AL323" s="425"/>
      <c r="AM323" s="259"/>
      <c r="AN323" s="259"/>
    </row>
    <row r="324" spans="1:40" ht="22.5" hidden="1" customHeight="1" x14ac:dyDescent="0.2">
      <c r="A324" s="413">
        <v>45890.735048773146</v>
      </c>
      <c r="B324" s="414" t="s">
        <v>56</v>
      </c>
      <c r="C324" s="414" t="s">
        <v>338</v>
      </c>
      <c r="D324" s="420" t="str">
        <f t="shared" si="0"/>
        <v>2019</v>
      </c>
      <c r="E324" s="416" t="s">
        <v>928</v>
      </c>
      <c r="F324" s="417">
        <v>54945</v>
      </c>
      <c r="G324" s="417">
        <v>4688</v>
      </c>
      <c r="H324" s="418" t="s">
        <v>929</v>
      </c>
      <c r="I324" s="417">
        <v>936</v>
      </c>
      <c r="J324" s="419" t="s">
        <v>53</v>
      </c>
      <c r="K324" s="420"/>
      <c r="L324" s="421"/>
      <c r="M324" s="421"/>
      <c r="N324" s="421"/>
      <c r="O324" s="420"/>
      <c r="P324" s="421"/>
      <c r="Q324" s="421"/>
      <c r="R324" s="421"/>
      <c r="S324" s="425"/>
      <c r="T324" s="420"/>
      <c r="U324" s="421"/>
      <c r="V324" s="421"/>
      <c r="W324" s="423"/>
      <c r="X324" s="414" t="s">
        <v>343</v>
      </c>
      <c r="Y324" s="501"/>
      <c r="Z324" s="501"/>
      <c r="AA324" s="501"/>
      <c r="AB324" s="501"/>
      <c r="AC324" s="425"/>
      <c r="AD324" s="425"/>
      <c r="AE324" s="425"/>
      <c r="AF324" s="425"/>
      <c r="AG324" s="414" t="s">
        <v>337</v>
      </c>
      <c r="AH324" s="425"/>
      <c r="AI324" s="425"/>
      <c r="AJ324" s="425"/>
      <c r="AK324" s="425"/>
      <c r="AL324" s="425"/>
      <c r="AM324" s="259"/>
      <c r="AN324" s="259"/>
    </row>
    <row r="325" spans="1:40" ht="22.5" hidden="1" customHeight="1" x14ac:dyDescent="0.2">
      <c r="A325" s="413">
        <v>45890.735514467597</v>
      </c>
      <c r="B325" s="414" t="s">
        <v>351</v>
      </c>
      <c r="C325" s="414" t="s">
        <v>338</v>
      </c>
      <c r="D325" s="420" t="str">
        <f t="shared" si="0"/>
        <v/>
      </c>
      <c r="E325" s="421"/>
      <c r="F325" s="421"/>
      <c r="G325" s="421"/>
      <c r="H325" s="505"/>
      <c r="I325" s="421"/>
      <c r="J325" s="423"/>
      <c r="K325" s="506" t="s">
        <v>602</v>
      </c>
      <c r="L325" s="417">
        <v>17338</v>
      </c>
      <c r="M325" s="417">
        <v>662</v>
      </c>
      <c r="N325" s="417">
        <v>478</v>
      </c>
      <c r="O325" s="420"/>
      <c r="P325" s="421"/>
      <c r="Q325" s="421"/>
      <c r="R325" s="421"/>
      <c r="S325" s="425"/>
      <c r="T325" s="420"/>
      <c r="U325" s="421"/>
      <c r="V325" s="421"/>
      <c r="W325" s="423"/>
      <c r="X325" s="414" t="s">
        <v>343</v>
      </c>
      <c r="Y325" s="501"/>
      <c r="Z325" s="501"/>
      <c r="AA325" s="501"/>
      <c r="AB325" s="501"/>
      <c r="AC325" s="425"/>
      <c r="AD325" s="425"/>
      <c r="AE325" s="425"/>
      <c r="AF325" s="425"/>
      <c r="AG325" s="414" t="s">
        <v>337</v>
      </c>
      <c r="AH325" s="425"/>
      <c r="AI325" s="425"/>
      <c r="AJ325" s="425"/>
      <c r="AK325" s="425"/>
      <c r="AL325" s="425"/>
      <c r="AM325" s="259"/>
      <c r="AN325" s="259"/>
    </row>
    <row r="326" spans="1:40" ht="22.5" hidden="1" customHeight="1" x14ac:dyDescent="0.2">
      <c r="A326" s="413">
        <v>45891.450568460648</v>
      </c>
      <c r="B326" s="414" t="s">
        <v>351</v>
      </c>
      <c r="C326" s="414" t="s">
        <v>381</v>
      </c>
      <c r="D326" s="420" t="str">
        <f t="shared" si="0"/>
        <v/>
      </c>
      <c r="E326" s="421"/>
      <c r="F326" s="421"/>
      <c r="G326" s="421"/>
      <c r="H326" s="505"/>
      <c r="I326" s="421"/>
      <c r="J326" s="423"/>
      <c r="K326" s="506" t="s">
        <v>930</v>
      </c>
      <c r="L326" s="417">
        <v>18510</v>
      </c>
      <c r="M326" s="417">
        <v>1027</v>
      </c>
      <c r="N326" s="417">
        <v>776</v>
      </c>
      <c r="O326" s="420"/>
      <c r="P326" s="421"/>
      <c r="Q326" s="421"/>
      <c r="R326" s="421"/>
      <c r="S326" s="425"/>
      <c r="T326" s="420"/>
      <c r="U326" s="421"/>
      <c r="V326" s="421"/>
      <c r="W326" s="423"/>
      <c r="X326" s="414" t="s">
        <v>343</v>
      </c>
      <c r="Y326" s="501"/>
      <c r="Z326" s="501"/>
      <c r="AA326" s="501"/>
      <c r="AB326" s="501"/>
      <c r="AC326" s="425"/>
      <c r="AD326" s="425"/>
      <c r="AE326" s="425"/>
      <c r="AF326" s="425"/>
      <c r="AG326" s="414" t="s">
        <v>337</v>
      </c>
      <c r="AH326" s="425"/>
      <c r="AI326" s="425"/>
      <c r="AJ326" s="425"/>
      <c r="AK326" s="425"/>
      <c r="AL326" s="425"/>
      <c r="AM326" s="259"/>
      <c r="AN326" s="259"/>
    </row>
    <row r="327" spans="1:40" ht="22.5" hidden="1" customHeight="1" x14ac:dyDescent="0.2">
      <c r="A327" s="413">
        <v>45891.536022638888</v>
      </c>
      <c r="B327" s="414" t="s">
        <v>56</v>
      </c>
      <c r="C327" s="414" t="s">
        <v>381</v>
      </c>
      <c r="D327" s="420" t="str">
        <f t="shared" si="0"/>
        <v>2018</v>
      </c>
      <c r="E327" s="416" t="s">
        <v>931</v>
      </c>
      <c r="F327" s="417">
        <v>49847</v>
      </c>
      <c r="G327" s="417">
        <v>11814</v>
      </c>
      <c r="H327" s="418" t="s">
        <v>932</v>
      </c>
      <c r="I327" s="417">
        <v>2371</v>
      </c>
      <c r="J327" s="419" t="s">
        <v>53</v>
      </c>
      <c r="K327" s="420"/>
      <c r="L327" s="421"/>
      <c r="M327" s="421"/>
      <c r="N327" s="421"/>
      <c r="O327" s="420"/>
      <c r="P327" s="421"/>
      <c r="Q327" s="421"/>
      <c r="R327" s="421"/>
      <c r="S327" s="425"/>
      <c r="T327" s="420"/>
      <c r="U327" s="421"/>
      <c r="V327" s="421"/>
      <c r="W327" s="423"/>
      <c r="X327" s="414" t="s">
        <v>343</v>
      </c>
      <c r="Y327" s="501"/>
      <c r="Z327" s="501"/>
      <c r="AA327" s="501"/>
      <c r="AB327" s="501"/>
      <c r="AC327" s="425"/>
      <c r="AD327" s="425"/>
      <c r="AE327" s="425"/>
      <c r="AF327" s="425"/>
      <c r="AG327" s="414" t="s">
        <v>337</v>
      </c>
      <c r="AH327" s="425"/>
      <c r="AI327" s="425"/>
      <c r="AJ327" s="425"/>
      <c r="AK327" s="425"/>
      <c r="AL327" s="425"/>
      <c r="AM327" s="259"/>
      <c r="AN327" s="259"/>
    </row>
    <row r="328" spans="1:40" ht="22.5" customHeight="1" x14ac:dyDescent="0.2">
      <c r="A328" s="413">
        <v>45891.601258229166</v>
      </c>
      <c r="B328" s="414" t="s">
        <v>56</v>
      </c>
      <c r="C328" s="414" t="s">
        <v>381</v>
      </c>
      <c r="D328" s="420" t="str">
        <f t="shared" si="0"/>
        <v>2013</v>
      </c>
      <c r="E328" s="416" t="s">
        <v>933</v>
      </c>
      <c r="F328" s="417">
        <v>31990</v>
      </c>
      <c r="G328" s="417">
        <v>6980</v>
      </c>
      <c r="H328" s="418" t="s">
        <v>934</v>
      </c>
      <c r="I328" s="417">
        <v>724</v>
      </c>
      <c r="J328" s="419" t="s">
        <v>53</v>
      </c>
      <c r="K328" s="420"/>
      <c r="L328" s="421"/>
      <c r="M328" s="421"/>
      <c r="N328" s="421"/>
      <c r="O328" s="420"/>
      <c r="P328" s="421"/>
      <c r="Q328" s="421"/>
      <c r="R328" s="421"/>
      <c r="S328" s="425"/>
      <c r="T328" s="420"/>
      <c r="U328" s="421"/>
      <c r="V328" s="421"/>
      <c r="W328" s="423"/>
      <c r="X328" s="414" t="s">
        <v>343</v>
      </c>
      <c r="Y328" s="501"/>
      <c r="Z328" s="501"/>
      <c r="AA328" s="501"/>
      <c r="AB328" s="501"/>
      <c r="AC328" s="425"/>
      <c r="AD328" s="425"/>
      <c r="AE328" s="425"/>
      <c r="AF328" s="425"/>
      <c r="AG328" s="414" t="s">
        <v>337</v>
      </c>
      <c r="AH328" s="425"/>
      <c r="AI328" s="425"/>
      <c r="AJ328" s="425"/>
      <c r="AK328" s="425"/>
      <c r="AL328" s="425"/>
      <c r="AM328" s="259"/>
      <c r="AN328" s="259"/>
    </row>
    <row r="329" spans="1:40" ht="22.5" hidden="1" customHeight="1" x14ac:dyDescent="0.2">
      <c r="A329" s="413">
        <v>45891.67056486111</v>
      </c>
      <c r="B329" s="414" t="s">
        <v>436</v>
      </c>
      <c r="C329" s="414" t="s">
        <v>381</v>
      </c>
      <c r="D329" s="420" t="str">
        <f t="shared" si="0"/>
        <v/>
      </c>
      <c r="E329" s="421"/>
      <c r="F329" s="421"/>
      <c r="G329" s="421"/>
      <c r="H329" s="505"/>
      <c r="I329" s="421"/>
      <c r="J329" s="423"/>
      <c r="K329" s="420"/>
      <c r="L329" s="421"/>
      <c r="M329" s="421"/>
      <c r="N329" s="421"/>
      <c r="O329" s="506" t="s">
        <v>935</v>
      </c>
      <c r="P329" s="417">
        <v>2878</v>
      </c>
      <c r="Q329" s="417">
        <v>152</v>
      </c>
      <c r="R329" s="417">
        <v>46</v>
      </c>
      <c r="S329" s="425"/>
      <c r="T329" s="420"/>
      <c r="U329" s="421"/>
      <c r="V329" s="421"/>
      <c r="W329" s="423"/>
      <c r="X329" s="414" t="s">
        <v>343</v>
      </c>
      <c r="Y329" s="500" t="s">
        <v>689</v>
      </c>
      <c r="Z329" s="501"/>
      <c r="AA329" s="501"/>
      <c r="AB329" s="501"/>
      <c r="AC329" s="425"/>
      <c r="AD329" s="425"/>
      <c r="AE329" s="425"/>
      <c r="AF329" s="425"/>
      <c r="AG329" s="414" t="s">
        <v>337</v>
      </c>
      <c r="AH329" s="425"/>
      <c r="AI329" s="425"/>
      <c r="AJ329" s="425"/>
      <c r="AK329" s="425"/>
      <c r="AL329" s="425"/>
      <c r="AM329" s="259"/>
      <c r="AN329" s="259"/>
    </row>
    <row r="330" spans="1:40" ht="22.5" hidden="1" customHeight="1" x14ac:dyDescent="0.2">
      <c r="A330" s="413">
        <v>45891.69968096065</v>
      </c>
      <c r="B330" s="414" t="s">
        <v>56</v>
      </c>
      <c r="C330" s="414" t="s">
        <v>381</v>
      </c>
      <c r="D330" s="420" t="str">
        <f t="shared" si="0"/>
        <v>2011</v>
      </c>
      <c r="E330" s="416" t="s">
        <v>853</v>
      </c>
      <c r="F330" s="417">
        <v>26322</v>
      </c>
      <c r="G330" s="417">
        <v>16917</v>
      </c>
      <c r="H330" s="418" t="s">
        <v>854</v>
      </c>
      <c r="I330" s="417">
        <v>1870</v>
      </c>
      <c r="J330" s="419" t="s">
        <v>53</v>
      </c>
      <c r="K330" s="420"/>
      <c r="L330" s="421"/>
      <c r="M330" s="421"/>
      <c r="N330" s="421"/>
      <c r="O330" s="420"/>
      <c r="P330" s="421"/>
      <c r="Q330" s="421"/>
      <c r="R330" s="421"/>
      <c r="S330" s="425"/>
      <c r="T330" s="420"/>
      <c r="U330" s="421"/>
      <c r="V330" s="421"/>
      <c r="W330" s="423"/>
      <c r="X330" s="414" t="s">
        <v>343</v>
      </c>
      <c r="Y330" s="501"/>
      <c r="Z330" s="501"/>
      <c r="AA330" s="501"/>
      <c r="AB330" s="501"/>
      <c r="AC330" s="425"/>
      <c r="AD330" s="425"/>
      <c r="AE330" s="425"/>
      <c r="AF330" s="425"/>
      <c r="AG330" s="414" t="s">
        <v>337</v>
      </c>
      <c r="AH330" s="425"/>
      <c r="AI330" s="425"/>
      <c r="AJ330" s="425"/>
      <c r="AK330" s="425"/>
      <c r="AL330" s="425"/>
      <c r="AM330" s="259"/>
      <c r="AN330" s="259"/>
    </row>
    <row r="331" spans="1:40" ht="22.5" hidden="1" customHeight="1" x14ac:dyDescent="0.2">
      <c r="A331" s="413">
        <v>45891.700494201388</v>
      </c>
      <c r="B331" s="414" t="s">
        <v>56</v>
      </c>
      <c r="C331" s="414" t="s">
        <v>338</v>
      </c>
      <c r="D331" s="420" t="str">
        <f t="shared" si="0"/>
        <v>2010</v>
      </c>
      <c r="E331" s="416" t="s">
        <v>855</v>
      </c>
      <c r="F331" s="417">
        <v>23646</v>
      </c>
      <c r="G331" s="417">
        <v>17469</v>
      </c>
      <c r="H331" s="418" t="s">
        <v>856</v>
      </c>
      <c r="I331" s="417">
        <v>1992</v>
      </c>
      <c r="J331" s="419" t="s">
        <v>53</v>
      </c>
      <c r="K331" s="420"/>
      <c r="L331" s="421"/>
      <c r="M331" s="421"/>
      <c r="N331" s="421"/>
      <c r="O331" s="420"/>
      <c r="P331" s="421"/>
      <c r="Q331" s="421"/>
      <c r="R331" s="421"/>
      <c r="S331" s="425"/>
      <c r="T331" s="420"/>
      <c r="U331" s="421"/>
      <c r="V331" s="421"/>
      <c r="W331" s="423"/>
      <c r="X331" s="414" t="s">
        <v>343</v>
      </c>
      <c r="Y331" s="501"/>
      <c r="Z331" s="501"/>
      <c r="AA331" s="501"/>
      <c r="AB331" s="501"/>
      <c r="AC331" s="425"/>
      <c r="AD331" s="425"/>
      <c r="AE331" s="425"/>
      <c r="AF331" s="425"/>
      <c r="AG331" s="414" t="s">
        <v>337</v>
      </c>
      <c r="AH331" s="425"/>
      <c r="AI331" s="425"/>
      <c r="AJ331" s="425"/>
      <c r="AK331" s="425"/>
      <c r="AL331" s="425"/>
      <c r="AM331" s="259"/>
      <c r="AN331" s="259"/>
    </row>
    <row r="332" spans="1:40" ht="22.5" hidden="1" customHeight="1" x14ac:dyDescent="0.2">
      <c r="A332" s="413">
        <v>45891.701290925921</v>
      </c>
      <c r="B332" s="414" t="s">
        <v>351</v>
      </c>
      <c r="C332" s="414" t="s">
        <v>338</v>
      </c>
      <c r="D332" s="420" t="str">
        <f t="shared" si="0"/>
        <v/>
      </c>
      <c r="E332" s="421"/>
      <c r="F332" s="421"/>
      <c r="G332" s="421"/>
      <c r="H332" s="505"/>
      <c r="I332" s="421"/>
      <c r="J332" s="423"/>
      <c r="K332" s="506" t="s">
        <v>857</v>
      </c>
      <c r="L332" s="417">
        <v>7823</v>
      </c>
      <c r="M332" s="417">
        <v>1192</v>
      </c>
      <c r="N332" s="417">
        <v>498</v>
      </c>
      <c r="O332" s="420"/>
      <c r="P332" s="421"/>
      <c r="Q332" s="421"/>
      <c r="R332" s="421"/>
      <c r="S332" s="425"/>
      <c r="T332" s="420"/>
      <c r="U332" s="421"/>
      <c r="V332" s="421"/>
      <c r="W332" s="423"/>
      <c r="X332" s="414" t="s">
        <v>343</v>
      </c>
      <c r="Y332" s="501"/>
      <c r="Z332" s="501"/>
      <c r="AA332" s="501"/>
      <c r="AB332" s="501"/>
      <c r="AC332" s="425"/>
      <c r="AD332" s="425"/>
      <c r="AE332" s="425"/>
      <c r="AF332" s="425"/>
      <c r="AG332" s="414" t="s">
        <v>337</v>
      </c>
      <c r="AH332" s="425"/>
      <c r="AI332" s="425"/>
      <c r="AJ332" s="425"/>
      <c r="AK332" s="425"/>
      <c r="AL332" s="425"/>
      <c r="AM332" s="259"/>
      <c r="AN332" s="259"/>
    </row>
    <row r="333" spans="1:40" ht="22.5" hidden="1" customHeight="1" x14ac:dyDescent="0.2">
      <c r="A333" s="413">
        <v>45891.702762893518</v>
      </c>
      <c r="B333" s="414" t="s">
        <v>56</v>
      </c>
      <c r="C333" s="414" t="s">
        <v>338</v>
      </c>
      <c r="D333" s="420" t="str">
        <f t="shared" si="0"/>
        <v>2022</v>
      </c>
      <c r="E333" s="416" t="s">
        <v>481</v>
      </c>
      <c r="F333" s="417">
        <v>64881</v>
      </c>
      <c r="G333" s="417">
        <v>8737</v>
      </c>
      <c r="H333" s="418" t="s">
        <v>482</v>
      </c>
      <c r="I333" s="417">
        <v>1684</v>
      </c>
      <c r="J333" s="419" t="s">
        <v>53</v>
      </c>
      <c r="K333" s="420"/>
      <c r="L333" s="421"/>
      <c r="M333" s="421"/>
      <c r="N333" s="421"/>
      <c r="O333" s="420"/>
      <c r="P333" s="421"/>
      <c r="Q333" s="421"/>
      <c r="R333" s="421"/>
      <c r="S333" s="425"/>
      <c r="T333" s="420"/>
      <c r="U333" s="421"/>
      <c r="V333" s="421"/>
      <c r="W333" s="423"/>
      <c r="X333" s="414" t="s">
        <v>343</v>
      </c>
      <c r="Y333" s="501"/>
      <c r="Z333" s="501"/>
      <c r="AA333" s="501"/>
      <c r="AB333" s="501"/>
      <c r="AC333" s="425"/>
      <c r="AD333" s="425"/>
      <c r="AE333" s="425"/>
      <c r="AF333" s="425"/>
      <c r="AG333" s="414" t="s">
        <v>337</v>
      </c>
      <c r="AH333" s="425"/>
      <c r="AI333" s="425"/>
      <c r="AJ333" s="425"/>
      <c r="AK333" s="425"/>
      <c r="AL333" s="425"/>
      <c r="AM333" s="259"/>
      <c r="AN333" s="259"/>
    </row>
    <row r="334" spans="1:40" ht="22.5" hidden="1" customHeight="1" x14ac:dyDescent="0.2">
      <c r="A334" s="413">
        <v>45891.703340706023</v>
      </c>
      <c r="B334" s="414" t="s">
        <v>56</v>
      </c>
      <c r="C334" s="414" t="s">
        <v>338</v>
      </c>
      <c r="D334" s="420" t="str">
        <f t="shared" si="0"/>
        <v>2011</v>
      </c>
      <c r="E334" s="416" t="s">
        <v>936</v>
      </c>
      <c r="F334" s="417">
        <v>27525</v>
      </c>
      <c r="G334" s="417">
        <v>26115</v>
      </c>
      <c r="H334" s="418" t="s">
        <v>937</v>
      </c>
      <c r="I334" s="417">
        <v>2910</v>
      </c>
      <c r="J334" s="419" t="s">
        <v>53</v>
      </c>
      <c r="K334" s="420"/>
      <c r="L334" s="421"/>
      <c r="M334" s="421"/>
      <c r="N334" s="421"/>
      <c r="O334" s="420"/>
      <c r="P334" s="421"/>
      <c r="Q334" s="421"/>
      <c r="R334" s="421"/>
      <c r="S334" s="425"/>
      <c r="T334" s="420"/>
      <c r="U334" s="421"/>
      <c r="V334" s="421"/>
      <c r="W334" s="423"/>
      <c r="X334" s="414" t="s">
        <v>343</v>
      </c>
      <c r="Y334" s="501"/>
      <c r="Z334" s="501"/>
      <c r="AA334" s="501"/>
      <c r="AB334" s="501"/>
      <c r="AC334" s="425"/>
      <c r="AD334" s="425"/>
      <c r="AE334" s="425"/>
      <c r="AF334" s="425"/>
      <c r="AG334" s="414" t="s">
        <v>337</v>
      </c>
      <c r="AH334" s="425"/>
      <c r="AI334" s="425"/>
      <c r="AJ334" s="425"/>
      <c r="AK334" s="425"/>
      <c r="AL334" s="425"/>
      <c r="AM334" s="259"/>
      <c r="AN334" s="259"/>
    </row>
    <row r="335" spans="1:40" ht="22.5" hidden="1" customHeight="1" x14ac:dyDescent="0.2">
      <c r="A335" s="413">
        <v>45891.70394979167</v>
      </c>
      <c r="B335" s="414" t="s">
        <v>56</v>
      </c>
      <c r="C335" s="414" t="s">
        <v>338</v>
      </c>
      <c r="D335" s="420" t="str">
        <f t="shared" si="0"/>
        <v>2017</v>
      </c>
      <c r="E335" s="416" t="s">
        <v>938</v>
      </c>
      <c r="F335" s="417">
        <v>49469</v>
      </c>
      <c r="G335" s="417">
        <v>15615</v>
      </c>
      <c r="H335" s="418" t="s">
        <v>939</v>
      </c>
      <c r="I335" s="417">
        <v>3017</v>
      </c>
      <c r="J335" s="419" t="s">
        <v>53</v>
      </c>
      <c r="K335" s="420"/>
      <c r="L335" s="421"/>
      <c r="M335" s="421"/>
      <c r="N335" s="421"/>
      <c r="O335" s="420"/>
      <c r="P335" s="421"/>
      <c r="Q335" s="421"/>
      <c r="R335" s="421"/>
      <c r="S335" s="425"/>
      <c r="T335" s="420"/>
      <c r="U335" s="421"/>
      <c r="V335" s="421"/>
      <c r="W335" s="423"/>
      <c r="X335" s="414" t="s">
        <v>343</v>
      </c>
      <c r="Y335" s="500" t="s">
        <v>689</v>
      </c>
      <c r="Z335" s="501"/>
      <c r="AA335" s="501"/>
      <c r="AB335" s="501"/>
      <c r="AC335" s="425"/>
      <c r="AD335" s="425"/>
      <c r="AE335" s="425"/>
      <c r="AF335" s="425"/>
      <c r="AG335" s="414" t="s">
        <v>337</v>
      </c>
      <c r="AH335" s="425"/>
      <c r="AI335" s="425"/>
      <c r="AJ335" s="425"/>
      <c r="AK335" s="425"/>
      <c r="AL335" s="425"/>
      <c r="AM335" s="259"/>
      <c r="AN335" s="259"/>
    </row>
    <row r="336" spans="1:40" ht="22.5" hidden="1" customHeight="1" x14ac:dyDescent="0.2">
      <c r="A336" s="413">
        <v>45891.704481400462</v>
      </c>
      <c r="B336" s="414" t="s">
        <v>56</v>
      </c>
      <c r="C336" s="414" t="s">
        <v>338</v>
      </c>
      <c r="D336" s="420" t="str">
        <f t="shared" si="0"/>
        <v>2014</v>
      </c>
      <c r="E336" s="416" t="s">
        <v>940</v>
      </c>
      <c r="F336" s="417">
        <v>35314</v>
      </c>
      <c r="G336" s="417">
        <v>3239</v>
      </c>
      <c r="H336" s="418" t="s">
        <v>941</v>
      </c>
      <c r="I336" s="417">
        <v>292</v>
      </c>
      <c r="J336" s="419" t="s">
        <v>53</v>
      </c>
      <c r="K336" s="420"/>
      <c r="L336" s="421"/>
      <c r="M336" s="421"/>
      <c r="N336" s="421"/>
      <c r="O336" s="420"/>
      <c r="P336" s="421"/>
      <c r="Q336" s="421"/>
      <c r="R336" s="421"/>
      <c r="S336" s="425"/>
      <c r="T336" s="420"/>
      <c r="U336" s="421"/>
      <c r="V336" s="421"/>
      <c r="W336" s="423"/>
      <c r="X336" s="414" t="s">
        <v>343</v>
      </c>
      <c r="Y336" s="500" t="s">
        <v>689</v>
      </c>
      <c r="Z336" s="501"/>
      <c r="AA336" s="501"/>
      <c r="AB336" s="501"/>
      <c r="AC336" s="425"/>
      <c r="AD336" s="425"/>
      <c r="AE336" s="425"/>
      <c r="AF336" s="425"/>
      <c r="AG336" s="414" t="s">
        <v>337</v>
      </c>
      <c r="AH336" s="425"/>
      <c r="AI336" s="425"/>
      <c r="AJ336" s="425"/>
      <c r="AK336" s="425"/>
      <c r="AL336" s="425"/>
      <c r="AM336" s="259"/>
      <c r="AN336" s="259"/>
    </row>
    <row r="337" spans="1:40" ht="22.5" hidden="1" customHeight="1" x14ac:dyDescent="0.2">
      <c r="A337" s="413">
        <v>45891.705083912035</v>
      </c>
      <c r="B337" s="414" t="s">
        <v>56</v>
      </c>
      <c r="C337" s="414" t="s">
        <v>338</v>
      </c>
      <c r="D337" s="420" t="str">
        <f t="shared" si="0"/>
        <v>2018</v>
      </c>
      <c r="E337" s="416" t="s">
        <v>942</v>
      </c>
      <c r="F337" s="417">
        <v>52182</v>
      </c>
      <c r="G337" s="417">
        <v>10340</v>
      </c>
      <c r="H337" s="418" t="s">
        <v>943</v>
      </c>
      <c r="I337" s="417">
        <v>2086</v>
      </c>
      <c r="J337" s="419" t="s">
        <v>53</v>
      </c>
      <c r="K337" s="420"/>
      <c r="L337" s="421"/>
      <c r="M337" s="421"/>
      <c r="N337" s="421"/>
      <c r="O337" s="420"/>
      <c r="P337" s="421"/>
      <c r="Q337" s="421"/>
      <c r="R337" s="421"/>
      <c r="S337" s="425"/>
      <c r="T337" s="420"/>
      <c r="U337" s="421"/>
      <c r="V337" s="421"/>
      <c r="W337" s="423"/>
      <c r="X337" s="414" t="s">
        <v>343</v>
      </c>
      <c r="Y337" s="500" t="s">
        <v>689</v>
      </c>
      <c r="Z337" s="501"/>
      <c r="AA337" s="501"/>
      <c r="AB337" s="501"/>
      <c r="AC337" s="425"/>
      <c r="AD337" s="425"/>
      <c r="AE337" s="425"/>
      <c r="AF337" s="425"/>
      <c r="AG337" s="414" t="s">
        <v>337</v>
      </c>
      <c r="AH337" s="425"/>
      <c r="AI337" s="425"/>
      <c r="AJ337" s="425"/>
      <c r="AK337" s="425"/>
      <c r="AL337" s="425"/>
      <c r="AM337" s="259"/>
      <c r="AN337" s="259"/>
    </row>
    <row r="338" spans="1:40" ht="22.5" hidden="1" customHeight="1" x14ac:dyDescent="0.2">
      <c r="A338" s="413">
        <v>45891.705627314819</v>
      </c>
      <c r="B338" s="414" t="s">
        <v>56</v>
      </c>
      <c r="C338" s="414" t="s">
        <v>338</v>
      </c>
      <c r="D338" s="420" t="str">
        <f t="shared" si="0"/>
        <v>2018</v>
      </c>
      <c r="E338" s="416" t="s">
        <v>944</v>
      </c>
      <c r="F338" s="417">
        <v>51053</v>
      </c>
      <c r="G338" s="417">
        <v>6988</v>
      </c>
      <c r="H338" s="418" t="s">
        <v>945</v>
      </c>
      <c r="I338" s="417">
        <v>1375</v>
      </c>
      <c r="J338" s="419" t="s">
        <v>53</v>
      </c>
      <c r="K338" s="420"/>
      <c r="L338" s="421"/>
      <c r="M338" s="421"/>
      <c r="N338" s="421"/>
      <c r="O338" s="420"/>
      <c r="P338" s="421"/>
      <c r="Q338" s="421"/>
      <c r="R338" s="421"/>
      <c r="S338" s="425"/>
      <c r="T338" s="420"/>
      <c r="U338" s="421"/>
      <c r="V338" s="421"/>
      <c r="W338" s="423"/>
      <c r="X338" s="414" t="s">
        <v>343</v>
      </c>
      <c r="Y338" s="501"/>
      <c r="Z338" s="501"/>
      <c r="AA338" s="501"/>
      <c r="AB338" s="501"/>
      <c r="AC338" s="425"/>
      <c r="AD338" s="425"/>
      <c r="AE338" s="425"/>
      <c r="AF338" s="425"/>
      <c r="AG338" s="414" t="s">
        <v>337</v>
      </c>
      <c r="AH338" s="425"/>
      <c r="AI338" s="425"/>
      <c r="AJ338" s="425"/>
      <c r="AK338" s="425"/>
      <c r="AL338" s="425"/>
      <c r="AM338" s="259"/>
      <c r="AN338" s="259"/>
    </row>
    <row r="339" spans="1:40" ht="22.5" hidden="1" customHeight="1" x14ac:dyDescent="0.2">
      <c r="A339" s="413">
        <v>45894.39152070602</v>
      </c>
      <c r="B339" s="414" t="s">
        <v>56</v>
      </c>
      <c r="C339" s="414" t="s">
        <v>464</v>
      </c>
      <c r="D339" s="420" t="str">
        <f t="shared" si="0"/>
        <v>2023</v>
      </c>
      <c r="E339" s="416" t="s">
        <v>946</v>
      </c>
      <c r="F339" s="417">
        <v>70351</v>
      </c>
      <c r="G339" s="417">
        <v>16025</v>
      </c>
      <c r="H339" s="418" t="s">
        <v>947</v>
      </c>
      <c r="I339" s="417">
        <v>3163</v>
      </c>
      <c r="J339" s="419" t="s">
        <v>54</v>
      </c>
      <c r="K339" s="420"/>
      <c r="L339" s="421"/>
      <c r="M339" s="421"/>
      <c r="N339" s="421"/>
      <c r="O339" s="420"/>
      <c r="P339" s="421"/>
      <c r="Q339" s="421"/>
      <c r="R339" s="421"/>
      <c r="S339" s="425"/>
      <c r="T339" s="420"/>
      <c r="U339" s="421"/>
      <c r="V339" s="421"/>
      <c r="W339" s="423"/>
      <c r="X339" s="414" t="s">
        <v>343</v>
      </c>
      <c r="Y339" s="500" t="s">
        <v>662</v>
      </c>
      <c r="Z339" s="501"/>
      <c r="AA339" s="501"/>
      <c r="AB339" s="501"/>
      <c r="AC339" s="425"/>
      <c r="AD339" s="425"/>
      <c r="AE339" s="425"/>
      <c r="AF339" s="425"/>
      <c r="AG339" s="414" t="s">
        <v>337</v>
      </c>
      <c r="AH339" s="425"/>
      <c r="AI339" s="425"/>
      <c r="AJ339" s="425"/>
      <c r="AK339" s="425"/>
      <c r="AL339" s="425"/>
      <c r="AM339" s="259"/>
      <c r="AN339" s="259"/>
    </row>
    <row r="340" spans="1:40" ht="22.5" hidden="1" customHeight="1" x14ac:dyDescent="0.2">
      <c r="A340" s="413">
        <v>45894.504128749999</v>
      </c>
      <c r="B340" s="414" t="s">
        <v>56</v>
      </c>
      <c r="C340" s="414" t="s">
        <v>629</v>
      </c>
      <c r="D340" s="420" t="str">
        <f t="shared" si="0"/>
        <v>2023</v>
      </c>
      <c r="E340" s="416" t="s">
        <v>948</v>
      </c>
      <c r="F340" s="417">
        <v>70083</v>
      </c>
      <c r="G340" s="417">
        <v>14237</v>
      </c>
      <c r="H340" s="418" t="s">
        <v>949</v>
      </c>
      <c r="I340" s="417">
        <v>2802</v>
      </c>
      <c r="J340" s="419" t="s">
        <v>54</v>
      </c>
      <c r="K340" s="420"/>
      <c r="L340" s="421"/>
      <c r="M340" s="421"/>
      <c r="N340" s="421"/>
      <c r="O340" s="420"/>
      <c r="P340" s="421"/>
      <c r="Q340" s="421"/>
      <c r="R340" s="421"/>
      <c r="S340" s="425"/>
      <c r="T340" s="420"/>
      <c r="U340" s="421"/>
      <c r="V340" s="421"/>
      <c r="W340" s="423"/>
      <c r="X340" s="414" t="s">
        <v>343</v>
      </c>
      <c r="Y340" s="500" t="s">
        <v>950</v>
      </c>
      <c r="Z340" s="501"/>
      <c r="AA340" s="501"/>
      <c r="AB340" s="500" t="s">
        <v>951</v>
      </c>
      <c r="AC340" s="425"/>
      <c r="AD340" s="425"/>
      <c r="AE340" s="425"/>
      <c r="AF340" s="425"/>
      <c r="AG340" s="414" t="s">
        <v>337</v>
      </c>
      <c r="AH340" s="425"/>
      <c r="AI340" s="425"/>
      <c r="AJ340" s="425"/>
      <c r="AK340" s="425"/>
      <c r="AL340" s="425"/>
      <c r="AM340" s="259"/>
      <c r="AN340" s="259"/>
    </row>
    <row r="341" spans="1:40" ht="22.5" hidden="1" customHeight="1" x14ac:dyDescent="0.2">
      <c r="A341" s="413">
        <v>45894.504903923611</v>
      </c>
      <c r="B341" s="414" t="s">
        <v>56</v>
      </c>
      <c r="C341" s="414" t="s">
        <v>629</v>
      </c>
      <c r="D341" s="420" t="str">
        <f t="shared" si="0"/>
        <v>2022</v>
      </c>
      <c r="E341" s="416" t="s">
        <v>952</v>
      </c>
      <c r="F341" s="417">
        <v>65889</v>
      </c>
      <c r="G341" s="417">
        <v>13421</v>
      </c>
      <c r="H341" s="418" t="s">
        <v>953</v>
      </c>
      <c r="I341" s="417">
        <v>2558</v>
      </c>
      <c r="J341" s="419" t="s">
        <v>54</v>
      </c>
      <c r="K341" s="420"/>
      <c r="L341" s="421"/>
      <c r="M341" s="421"/>
      <c r="N341" s="421"/>
      <c r="O341" s="420"/>
      <c r="P341" s="421"/>
      <c r="Q341" s="421"/>
      <c r="R341" s="421"/>
      <c r="S341" s="425"/>
      <c r="T341" s="420"/>
      <c r="U341" s="421"/>
      <c r="V341" s="421"/>
      <c r="W341" s="423"/>
      <c r="X341" s="414" t="s">
        <v>343</v>
      </c>
      <c r="Y341" s="500" t="s">
        <v>950</v>
      </c>
      <c r="Z341" s="501"/>
      <c r="AA341" s="501"/>
      <c r="AB341" s="500" t="s">
        <v>951</v>
      </c>
      <c r="AC341" s="425"/>
      <c r="AD341" s="425"/>
      <c r="AE341" s="425"/>
      <c r="AF341" s="425"/>
      <c r="AG341" s="414" t="s">
        <v>337</v>
      </c>
      <c r="AH341" s="425"/>
      <c r="AI341" s="425"/>
      <c r="AJ341" s="425"/>
      <c r="AK341" s="425"/>
      <c r="AL341" s="425"/>
      <c r="AM341" s="259"/>
      <c r="AN341" s="259"/>
    </row>
    <row r="342" spans="1:40" ht="22.5" hidden="1" customHeight="1" x14ac:dyDescent="0.2">
      <c r="A342" s="413">
        <v>45894.747546678242</v>
      </c>
      <c r="B342" s="414" t="s">
        <v>56</v>
      </c>
      <c r="C342" s="414" t="s">
        <v>381</v>
      </c>
      <c r="D342" s="420" t="str">
        <f t="shared" si="0"/>
        <v>2020</v>
      </c>
      <c r="E342" s="416" t="s">
        <v>954</v>
      </c>
      <c r="F342" s="417" t="s">
        <v>12</v>
      </c>
      <c r="G342" s="417">
        <v>4340</v>
      </c>
      <c r="H342" s="418" t="s">
        <v>955</v>
      </c>
      <c r="I342" s="417">
        <v>827</v>
      </c>
      <c r="J342" s="419" t="s">
        <v>53</v>
      </c>
      <c r="K342" s="420"/>
      <c r="L342" s="421"/>
      <c r="M342" s="421"/>
      <c r="N342" s="421"/>
      <c r="O342" s="420"/>
      <c r="P342" s="421"/>
      <c r="Q342" s="421"/>
      <c r="R342" s="421"/>
      <c r="S342" s="425"/>
      <c r="T342" s="420"/>
      <c r="U342" s="421"/>
      <c r="V342" s="421"/>
      <c r="W342" s="423"/>
      <c r="X342" s="414" t="s">
        <v>343</v>
      </c>
      <c r="Y342" s="500" t="s">
        <v>956</v>
      </c>
      <c r="Z342" s="501"/>
      <c r="AA342" s="501"/>
      <c r="AB342" s="501"/>
      <c r="AC342" s="425"/>
      <c r="AD342" s="425"/>
      <c r="AE342" s="425"/>
      <c r="AF342" s="425"/>
      <c r="AG342" s="414" t="s">
        <v>337</v>
      </c>
      <c r="AH342" s="425"/>
      <c r="AI342" s="425"/>
      <c r="AJ342" s="425"/>
      <c r="AK342" s="425"/>
      <c r="AL342" s="425"/>
      <c r="AM342" s="259"/>
      <c r="AN342" s="259"/>
    </row>
    <row r="343" spans="1:40" ht="22.5" hidden="1" customHeight="1" x14ac:dyDescent="0.2">
      <c r="A343" s="413">
        <v>45895.418543437496</v>
      </c>
      <c r="B343" s="414" t="s">
        <v>56</v>
      </c>
      <c r="C343" s="414" t="s">
        <v>381</v>
      </c>
      <c r="D343" s="420" t="str">
        <f t="shared" si="0"/>
        <v>2022</v>
      </c>
      <c r="E343" s="416" t="s">
        <v>957</v>
      </c>
      <c r="F343" s="417">
        <v>63075</v>
      </c>
      <c r="G343" s="417">
        <v>997</v>
      </c>
      <c r="H343" s="418" t="s">
        <v>958</v>
      </c>
      <c r="I343" s="417">
        <v>197</v>
      </c>
      <c r="J343" s="419" t="s">
        <v>53</v>
      </c>
      <c r="K343" s="420"/>
      <c r="L343" s="421"/>
      <c r="M343" s="421"/>
      <c r="N343" s="421"/>
      <c r="O343" s="420"/>
      <c r="P343" s="421"/>
      <c r="Q343" s="421"/>
      <c r="R343" s="421"/>
      <c r="S343" s="425"/>
      <c r="T343" s="420"/>
      <c r="U343" s="421"/>
      <c r="V343" s="421"/>
      <c r="W343" s="423"/>
      <c r="X343" s="414" t="s">
        <v>343</v>
      </c>
      <c r="Y343" s="500" t="s">
        <v>689</v>
      </c>
      <c r="Z343" s="501"/>
      <c r="AA343" s="501"/>
      <c r="AB343" s="501"/>
      <c r="AC343" s="425"/>
      <c r="AD343" s="425"/>
      <c r="AE343" s="425"/>
      <c r="AF343" s="425"/>
      <c r="AG343" s="414" t="s">
        <v>337</v>
      </c>
      <c r="AH343" s="425"/>
      <c r="AI343" s="425"/>
      <c r="AJ343" s="425"/>
      <c r="AK343" s="425"/>
      <c r="AL343" s="425"/>
      <c r="AM343" s="259"/>
      <c r="AN343" s="259"/>
    </row>
    <row r="344" spans="1:40" ht="22.5" hidden="1" customHeight="1" x14ac:dyDescent="0.2">
      <c r="A344" s="413">
        <v>45898.367119884264</v>
      </c>
      <c r="B344" s="414" t="s">
        <v>56</v>
      </c>
      <c r="C344" s="414" t="s">
        <v>369</v>
      </c>
      <c r="D344" s="420" t="str">
        <f t="shared" si="0"/>
        <v>2022</v>
      </c>
      <c r="E344" s="416" t="s">
        <v>959</v>
      </c>
      <c r="F344" s="417">
        <v>63425</v>
      </c>
      <c r="G344" s="417">
        <v>2255</v>
      </c>
      <c r="H344" s="418" t="s">
        <v>960</v>
      </c>
      <c r="I344" s="417">
        <v>446</v>
      </c>
      <c r="J344" s="419" t="s">
        <v>53</v>
      </c>
      <c r="K344" s="420"/>
      <c r="L344" s="421"/>
      <c r="M344" s="421"/>
      <c r="N344" s="421"/>
      <c r="O344" s="420"/>
      <c r="P344" s="421"/>
      <c r="Q344" s="421"/>
      <c r="R344" s="421"/>
      <c r="S344" s="425"/>
      <c r="T344" s="420"/>
      <c r="U344" s="421"/>
      <c r="V344" s="421"/>
      <c r="W344" s="423"/>
      <c r="X344" s="414" t="s">
        <v>343</v>
      </c>
      <c r="Y344" s="500"/>
      <c r="Z344" s="501"/>
      <c r="AA344" s="501"/>
      <c r="AB344" s="501"/>
      <c r="AC344" s="425"/>
      <c r="AD344" s="425"/>
      <c r="AE344" s="425"/>
      <c r="AF344" s="425"/>
      <c r="AG344" s="414" t="s">
        <v>337</v>
      </c>
      <c r="AH344" s="425"/>
      <c r="AI344" s="425"/>
      <c r="AJ344" s="425"/>
      <c r="AK344" s="425"/>
      <c r="AL344" s="425"/>
      <c r="AM344" s="259"/>
      <c r="AN344" s="259"/>
    </row>
    <row r="345" spans="1:40" ht="22.5" hidden="1" customHeight="1" x14ac:dyDescent="0.2">
      <c r="A345" s="413">
        <v>45901.460898958336</v>
      </c>
      <c r="B345" s="414" t="s">
        <v>291</v>
      </c>
      <c r="C345" s="414" t="s">
        <v>464</v>
      </c>
      <c r="D345" s="420" t="str">
        <f t="shared" si="0"/>
        <v/>
      </c>
      <c r="E345" s="421"/>
      <c r="F345" s="421"/>
      <c r="G345" s="421"/>
      <c r="H345" s="505"/>
      <c r="I345" s="421"/>
      <c r="J345" s="423"/>
      <c r="K345" s="420"/>
      <c r="L345" s="421"/>
      <c r="M345" s="421"/>
      <c r="N345" s="421"/>
      <c r="O345" s="420"/>
      <c r="P345" s="421"/>
      <c r="Q345" s="421"/>
      <c r="R345" s="421"/>
      <c r="S345" s="425"/>
      <c r="T345" s="506" t="s">
        <v>769</v>
      </c>
      <c r="U345" s="417">
        <v>3384</v>
      </c>
      <c r="V345" s="417">
        <v>70695</v>
      </c>
      <c r="W345" s="419">
        <v>16995</v>
      </c>
      <c r="X345" s="414" t="s">
        <v>343</v>
      </c>
      <c r="Y345" s="500" t="s">
        <v>689</v>
      </c>
      <c r="Z345" s="501"/>
      <c r="AA345" s="501"/>
      <c r="AB345" s="500" t="s">
        <v>961</v>
      </c>
      <c r="AC345" s="425"/>
      <c r="AD345" s="425"/>
      <c r="AE345" s="425"/>
      <c r="AF345" s="425"/>
      <c r="AG345" s="414" t="s">
        <v>337</v>
      </c>
      <c r="AH345" s="425"/>
      <c r="AI345" s="425"/>
      <c r="AJ345" s="425"/>
      <c r="AK345" s="425"/>
      <c r="AL345" s="425"/>
      <c r="AM345" s="259"/>
      <c r="AN345" s="259"/>
    </row>
    <row r="346" spans="1:40" ht="22.5" hidden="1" customHeight="1" x14ac:dyDescent="0.2">
      <c r="A346" s="413">
        <v>45904.498231261576</v>
      </c>
      <c r="B346" s="414" t="s">
        <v>56</v>
      </c>
      <c r="C346" s="414" t="s">
        <v>381</v>
      </c>
      <c r="D346" s="420" t="str">
        <f t="shared" si="0"/>
        <v>2019</v>
      </c>
      <c r="E346" s="416" t="s">
        <v>962</v>
      </c>
      <c r="F346" s="417">
        <v>54822</v>
      </c>
      <c r="G346" s="417">
        <v>4273</v>
      </c>
      <c r="H346" s="418" t="s">
        <v>963</v>
      </c>
      <c r="I346" s="417" t="s">
        <v>964</v>
      </c>
      <c r="J346" s="419" t="s">
        <v>53</v>
      </c>
      <c r="K346" s="420"/>
      <c r="L346" s="421"/>
      <c r="M346" s="421"/>
      <c r="N346" s="421"/>
      <c r="O346" s="420"/>
      <c r="P346" s="421"/>
      <c r="Q346" s="421"/>
      <c r="R346" s="421"/>
      <c r="S346" s="425"/>
      <c r="T346" s="420"/>
      <c r="U346" s="421"/>
      <c r="V346" s="421"/>
      <c r="W346" s="423"/>
      <c r="X346" s="414" t="s">
        <v>343</v>
      </c>
      <c r="Y346" s="500" t="s">
        <v>689</v>
      </c>
      <c r="Z346" s="500" t="s">
        <v>727</v>
      </c>
      <c r="AA346" s="500">
        <v>8</v>
      </c>
      <c r="AB346" s="501"/>
      <c r="AC346" s="425"/>
      <c r="AD346" s="425"/>
      <c r="AE346" s="425"/>
      <c r="AF346" s="425"/>
      <c r="AG346" s="414" t="s">
        <v>337</v>
      </c>
      <c r="AH346" s="425"/>
      <c r="AI346" s="425"/>
      <c r="AJ346" s="425"/>
      <c r="AK346" s="425"/>
      <c r="AL346" s="425"/>
      <c r="AM346" s="259"/>
      <c r="AN346" s="259"/>
    </row>
    <row r="347" spans="1:40" ht="22.5" hidden="1" customHeight="1" x14ac:dyDescent="0.2">
      <c r="A347" s="413">
        <v>45905.439831990741</v>
      </c>
      <c r="B347" s="414" t="s">
        <v>56</v>
      </c>
      <c r="C347" s="414" t="s">
        <v>381</v>
      </c>
      <c r="D347" s="420" t="str">
        <f t="shared" si="0"/>
        <v>2021</v>
      </c>
      <c r="E347" s="416" t="s">
        <v>965</v>
      </c>
      <c r="F347" s="417">
        <v>61602</v>
      </c>
      <c r="G347" s="417">
        <v>7389</v>
      </c>
      <c r="H347" s="418" t="s">
        <v>705</v>
      </c>
      <c r="I347" s="417">
        <v>1537</v>
      </c>
      <c r="J347" s="419" t="s">
        <v>53</v>
      </c>
      <c r="K347" s="420"/>
      <c r="L347" s="421"/>
      <c r="M347" s="421"/>
      <c r="N347" s="421"/>
      <c r="O347" s="420"/>
      <c r="P347" s="421"/>
      <c r="Q347" s="421"/>
      <c r="R347" s="421"/>
      <c r="S347" s="425"/>
      <c r="T347" s="420"/>
      <c r="U347" s="421"/>
      <c r="V347" s="421"/>
      <c r="W347" s="423"/>
      <c r="X347" s="414" t="s">
        <v>343</v>
      </c>
      <c r="Y347" s="500" t="s">
        <v>716</v>
      </c>
      <c r="Z347" s="501"/>
      <c r="AA347" s="501"/>
      <c r="AB347" s="501"/>
      <c r="AC347" s="425"/>
      <c r="AD347" s="425"/>
      <c r="AE347" s="425"/>
      <c r="AF347" s="425"/>
      <c r="AG347" s="414" t="s">
        <v>337</v>
      </c>
      <c r="AH347" s="425"/>
      <c r="AI347" s="425"/>
      <c r="AJ347" s="425"/>
      <c r="AK347" s="425"/>
      <c r="AL347" s="425"/>
      <c r="AM347" s="259"/>
      <c r="AN347" s="259"/>
    </row>
    <row r="348" spans="1:40" ht="22.5" hidden="1" customHeight="1" x14ac:dyDescent="0.2">
      <c r="A348" s="413">
        <v>45906.450928159727</v>
      </c>
      <c r="B348" s="414" t="s">
        <v>56</v>
      </c>
      <c r="C348" s="414" t="s">
        <v>369</v>
      </c>
      <c r="D348" s="420" t="str">
        <f t="shared" si="0"/>
        <v>2017</v>
      </c>
      <c r="E348" s="416" t="s">
        <v>966</v>
      </c>
      <c r="F348" s="417">
        <v>46372</v>
      </c>
      <c r="G348" s="417">
        <v>3892</v>
      </c>
      <c r="H348" s="418" t="s">
        <v>967</v>
      </c>
      <c r="I348" s="417">
        <v>773</v>
      </c>
      <c r="J348" s="419" t="s">
        <v>53</v>
      </c>
      <c r="K348" s="420"/>
      <c r="L348" s="421"/>
      <c r="M348" s="421"/>
      <c r="N348" s="421"/>
      <c r="O348" s="420"/>
      <c r="P348" s="421"/>
      <c r="Q348" s="421"/>
      <c r="R348" s="421"/>
      <c r="S348" s="425"/>
      <c r="T348" s="420"/>
      <c r="U348" s="421"/>
      <c r="V348" s="421"/>
      <c r="W348" s="423"/>
      <c r="X348" s="414" t="s">
        <v>343</v>
      </c>
      <c r="Y348" s="500" t="s">
        <v>716</v>
      </c>
      <c r="Z348" s="501"/>
      <c r="AA348" s="501"/>
      <c r="AB348" s="501"/>
      <c r="AC348" s="425"/>
      <c r="AD348" s="425"/>
      <c r="AE348" s="425"/>
      <c r="AF348" s="425"/>
      <c r="AG348" s="414" t="s">
        <v>337</v>
      </c>
      <c r="AH348" s="425"/>
      <c r="AI348" s="425"/>
      <c r="AJ348" s="425"/>
      <c r="AK348" s="425"/>
      <c r="AL348" s="425"/>
      <c r="AM348" s="259"/>
      <c r="AN348" s="259"/>
    </row>
    <row r="349" spans="1:40" ht="22.5" hidden="1" customHeight="1" x14ac:dyDescent="0.2">
      <c r="A349" s="413">
        <v>45908.497344791671</v>
      </c>
      <c r="B349" s="414" t="s">
        <v>56</v>
      </c>
      <c r="C349" s="414" t="s">
        <v>381</v>
      </c>
      <c r="D349" s="420" t="str">
        <f t="shared" si="0"/>
        <v>2021</v>
      </c>
      <c r="E349" s="416" t="s">
        <v>968</v>
      </c>
      <c r="F349" s="417">
        <v>62206</v>
      </c>
      <c r="G349" s="417">
        <v>9868</v>
      </c>
      <c r="H349" s="418" t="s">
        <v>969</v>
      </c>
      <c r="I349" s="417">
        <v>2026</v>
      </c>
      <c r="J349" s="419" t="s">
        <v>53</v>
      </c>
      <c r="K349" s="420"/>
      <c r="L349" s="421"/>
      <c r="M349" s="421"/>
      <c r="N349" s="421"/>
      <c r="O349" s="420"/>
      <c r="P349" s="421"/>
      <c r="Q349" s="421"/>
      <c r="R349" s="421"/>
      <c r="S349" s="425"/>
      <c r="T349" s="420"/>
      <c r="U349" s="421"/>
      <c r="V349" s="421"/>
      <c r="W349" s="423"/>
      <c r="X349" s="414" t="s">
        <v>343</v>
      </c>
      <c r="Y349" s="501"/>
      <c r="Z349" s="501"/>
      <c r="AA349" s="501"/>
      <c r="AB349" s="501"/>
      <c r="AC349" s="425"/>
      <c r="AD349" s="425"/>
      <c r="AE349" s="425"/>
      <c r="AF349" s="425"/>
      <c r="AG349" s="414" t="s">
        <v>337</v>
      </c>
      <c r="AH349" s="425"/>
      <c r="AI349" s="425"/>
      <c r="AJ349" s="425"/>
      <c r="AK349" s="425"/>
      <c r="AL349" s="425"/>
      <c r="AM349" s="259"/>
      <c r="AN349" s="259"/>
    </row>
    <row r="350" spans="1:40" ht="22.5" hidden="1" customHeight="1" x14ac:dyDescent="0.2">
      <c r="A350" s="413">
        <v>45910.514381678237</v>
      </c>
      <c r="B350" s="414" t="s">
        <v>56</v>
      </c>
      <c r="C350" s="414" t="s">
        <v>381</v>
      </c>
      <c r="D350" s="420" t="str">
        <f t="shared" si="0"/>
        <v>2014</v>
      </c>
      <c r="E350" s="416" t="s">
        <v>970</v>
      </c>
      <c r="F350" s="417">
        <v>37923</v>
      </c>
      <c r="G350" s="417">
        <v>22813</v>
      </c>
      <c r="H350" s="418" t="s">
        <v>971</v>
      </c>
      <c r="I350" s="417">
        <v>2475</v>
      </c>
      <c r="J350" s="419" t="s">
        <v>53</v>
      </c>
      <c r="K350" s="420"/>
      <c r="L350" s="421"/>
      <c r="M350" s="421"/>
      <c r="N350" s="421"/>
      <c r="O350" s="420"/>
      <c r="P350" s="421"/>
      <c r="Q350" s="421"/>
      <c r="R350" s="421"/>
      <c r="S350" s="425"/>
      <c r="T350" s="420"/>
      <c r="U350" s="421"/>
      <c r="V350" s="421"/>
      <c r="W350" s="423"/>
      <c r="X350" s="414" t="s">
        <v>343</v>
      </c>
      <c r="Y350" s="500" t="s">
        <v>972</v>
      </c>
      <c r="Z350" s="501"/>
      <c r="AA350" s="501"/>
      <c r="AB350" s="501"/>
      <c r="AC350" s="425"/>
      <c r="AD350" s="425"/>
      <c r="AE350" s="425"/>
      <c r="AF350" s="425"/>
      <c r="AG350" s="414" t="s">
        <v>337</v>
      </c>
      <c r="AH350" s="425"/>
      <c r="AI350" s="425"/>
      <c r="AJ350" s="425"/>
      <c r="AK350" s="425"/>
      <c r="AL350" s="425"/>
      <c r="AM350" s="259"/>
      <c r="AN350" s="259"/>
    </row>
    <row r="351" spans="1:40" ht="22.5" hidden="1" customHeight="1" x14ac:dyDescent="0.2">
      <c r="A351" s="413">
        <v>45910.514911759259</v>
      </c>
      <c r="B351" s="414" t="s">
        <v>56</v>
      </c>
      <c r="C351" s="414" t="s">
        <v>381</v>
      </c>
      <c r="D351" s="420" t="str">
        <f t="shared" si="0"/>
        <v>2018</v>
      </c>
      <c r="E351" s="416" t="s">
        <v>512</v>
      </c>
      <c r="F351" s="417">
        <v>49395</v>
      </c>
      <c r="G351" s="417">
        <v>172</v>
      </c>
      <c r="H351" s="418" t="s">
        <v>515</v>
      </c>
      <c r="I351" s="417">
        <v>39</v>
      </c>
      <c r="J351" s="419" t="s">
        <v>53</v>
      </c>
      <c r="K351" s="420"/>
      <c r="L351" s="421"/>
      <c r="M351" s="421"/>
      <c r="N351" s="421"/>
      <c r="O351" s="420"/>
      <c r="P351" s="421"/>
      <c r="Q351" s="421"/>
      <c r="R351" s="421"/>
      <c r="S351" s="425"/>
      <c r="T351" s="420"/>
      <c r="U351" s="421"/>
      <c r="V351" s="421"/>
      <c r="W351" s="423"/>
      <c r="X351" s="414" t="s">
        <v>343</v>
      </c>
      <c r="Y351" s="500" t="s">
        <v>689</v>
      </c>
      <c r="Z351" s="500" t="s">
        <v>820</v>
      </c>
      <c r="AA351" s="500">
        <v>4</v>
      </c>
      <c r="AB351" s="501"/>
      <c r="AC351" s="425"/>
      <c r="AD351" s="425"/>
      <c r="AE351" s="425"/>
      <c r="AF351" s="425"/>
      <c r="AG351" s="414" t="s">
        <v>337</v>
      </c>
      <c r="AH351" s="425"/>
      <c r="AI351" s="425"/>
      <c r="AJ351" s="425"/>
      <c r="AK351" s="425"/>
      <c r="AL351" s="425"/>
      <c r="AM351" s="259"/>
      <c r="AN351" s="259"/>
    </row>
    <row r="352" spans="1:40" ht="22.5" hidden="1" customHeight="1" x14ac:dyDescent="0.2">
      <c r="A352" s="413">
        <v>45910.515651851849</v>
      </c>
      <c r="B352" s="414" t="s">
        <v>56</v>
      </c>
      <c r="C352" s="414" t="s">
        <v>381</v>
      </c>
      <c r="D352" s="420" t="str">
        <f t="shared" si="0"/>
        <v>2018</v>
      </c>
      <c r="E352" s="416" t="s">
        <v>514</v>
      </c>
      <c r="F352" s="417">
        <v>49394</v>
      </c>
      <c r="G352" s="417">
        <v>174</v>
      </c>
      <c r="H352" s="418" t="s">
        <v>513</v>
      </c>
      <c r="I352" s="417">
        <v>40</v>
      </c>
      <c r="J352" s="419" t="s">
        <v>53</v>
      </c>
      <c r="K352" s="420"/>
      <c r="L352" s="421"/>
      <c r="M352" s="421"/>
      <c r="N352" s="421"/>
      <c r="O352" s="420"/>
      <c r="P352" s="421"/>
      <c r="Q352" s="421"/>
      <c r="R352" s="421"/>
      <c r="S352" s="425"/>
      <c r="T352" s="420"/>
      <c r="U352" s="421"/>
      <c r="V352" s="421"/>
      <c r="W352" s="423"/>
      <c r="X352" s="414" t="s">
        <v>343</v>
      </c>
      <c r="Y352" s="500" t="s">
        <v>689</v>
      </c>
      <c r="Z352" s="500" t="s">
        <v>820</v>
      </c>
      <c r="AA352" s="500">
        <v>4</v>
      </c>
      <c r="AB352" s="501"/>
      <c r="AC352" s="425"/>
      <c r="AD352" s="425"/>
      <c r="AE352" s="425"/>
      <c r="AF352" s="425"/>
      <c r="AG352" s="414" t="s">
        <v>337</v>
      </c>
      <c r="AH352" s="425"/>
      <c r="AI352" s="425"/>
      <c r="AJ352" s="425"/>
      <c r="AK352" s="425"/>
      <c r="AL352" s="425"/>
      <c r="AM352" s="259"/>
      <c r="AN352" s="259"/>
    </row>
    <row r="353" spans="1:40" ht="22.5" hidden="1" customHeight="1" x14ac:dyDescent="0.2">
      <c r="A353" s="413">
        <v>45910.516204652777</v>
      </c>
      <c r="B353" s="414" t="s">
        <v>56</v>
      </c>
      <c r="C353" s="414" t="s">
        <v>381</v>
      </c>
      <c r="D353" s="420" t="str">
        <f t="shared" si="0"/>
        <v>2012</v>
      </c>
      <c r="E353" s="416" t="s">
        <v>704</v>
      </c>
      <c r="F353" s="417">
        <v>29515</v>
      </c>
      <c r="G353" s="417">
        <v>14124</v>
      </c>
      <c r="H353" s="418" t="s">
        <v>973</v>
      </c>
      <c r="I353" s="417">
        <v>1636</v>
      </c>
      <c r="J353" s="419" t="s">
        <v>53</v>
      </c>
      <c r="K353" s="420"/>
      <c r="L353" s="421"/>
      <c r="M353" s="421"/>
      <c r="N353" s="421"/>
      <c r="O353" s="420"/>
      <c r="P353" s="421"/>
      <c r="Q353" s="421"/>
      <c r="R353" s="421"/>
      <c r="S353" s="425"/>
      <c r="T353" s="420"/>
      <c r="U353" s="421"/>
      <c r="V353" s="421"/>
      <c r="W353" s="423"/>
      <c r="X353" s="414" t="s">
        <v>343</v>
      </c>
      <c r="Y353" s="500" t="s">
        <v>972</v>
      </c>
      <c r="Z353" s="501"/>
      <c r="AA353" s="501"/>
      <c r="AB353" s="501"/>
      <c r="AC353" s="425"/>
      <c r="AD353" s="425"/>
      <c r="AE353" s="425"/>
      <c r="AF353" s="425"/>
      <c r="AG353" s="414" t="s">
        <v>337</v>
      </c>
      <c r="AH353" s="425"/>
      <c r="AI353" s="425"/>
      <c r="AJ353" s="425"/>
      <c r="AK353" s="425"/>
      <c r="AL353" s="425"/>
      <c r="AM353" s="259"/>
      <c r="AN353" s="259"/>
    </row>
    <row r="354" spans="1:40" ht="22.5" hidden="1" customHeight="1" x14ac:dyDescent="0.2">
      <c r="A354" s="413">
        <v>45910.585993622684</v>
      </c>
      <c r="B354" s="414" t="s">
        <v>56</v>
      </c>
      <c r="C354" s="414" t="s">
        <v>381</v>
      </c>
      <c r="D354" s="420" t="str">
        <f t="shared" si="0"/>
        <v>2018</v>
      </c>
      <c r="E354" s="416" t="s">
        <v>974</v>
      </c>
      <c r="F354" s="417">
        <v>51894</v>
      </c>
      <c r="G354" s="417">
        <v>9072</v>
      </c>
      <c r="H354" s="418" t="s">
        <v>331</v>
      </c>
      <c r="I354" s="417">
        <v>1823</v>
      </c>
      <c r="J354" s="419" t="s">
        <v>53</v>
      </c>
      <c r="K354" s="420"/>
      <c r="L354" s="421"/>
      <c r="M354" s="421"/>
      <c r="N354" s="421"/>
      <c r="O354" s="420"/>
      <c r="P354" s="421"/>
      <c r="Q354" s="421"/>
      <c r="R354" s="421"/>
      <c r="S354" s="425"/>
      <c r="T354" s="420"/>
      <c r="U354" s="421"/>
      <c r="V354" s="421"/>
      <c r="W354" s="423"/>
      <c r="X354" s="414" t="s">
        <v>343</v>
      </c>
      <c r="Y354" s="500" t="s">
        <v>689</v>
      </c>
      <c r="Z354" s="500" t="s">
        <v>727</v>
      </c>
      <c r="AA354" s="500">
        <v>8</v>
      </c>
      <c r="AB354" s="501"/>
      <c r="AC354" s="425"/>
      <c r="AD354" s="425"/>
      <c r="AE354" s="425"/>
      <c r="AF354" s="425"/>
      <c r="AG354" s="414" t="s">
        <v>337</v>
      </c>
      <c r="AH354" s="425"/>
      <c r="AI354" s="425"/>
      <c r="AJ354" s="425"/>
      <c r="AK354" s="425"/>
      <c r="AL354" s="425"/>
      <c r="AM354" s="259"/>
      <c r="AN354" s="259"/>
    </row>
    <row r="355" spans="1:40" ht="22.5" hidden="1" customHeight="1" x14ac:dyDescent="0.2">
      <c r="A355" s="532">
        <v>45911.530266770831</v>
      </c>
      <c r="B355" s="533" t="s">
        <v>56</v>
      </c>
      <c r="C355" s="533" t="s">
        <v>381</v>
      </c>
      <c r="D355" s="534" t="str">
        <f t="shared" si="0"/>
        <v>2023</v>
      </c>
      <c r="E355" s="535" t="s">
        <v>975</v>
      </c>
      <c r="F355" s="536">
        <v>66708</v>
      </c>
      <c r="G355" s="536">
        <v>692</v>
      </c>
      <c r="H355" s="537" t="s">
        <v>976</v>
      </c>
      <c r="I355" s="536" t="s">
        <v>359</v>
      </c>
      <c r="J355" s="538" t="s">
        <v>53</v>
      </c>
      <c r="K355" s="534"/>
      <c r="L355" s="539"/>
      <c r="M355" s="539"/>
      <c r="N355" s="539"/>
      <c r="O355" s="534"/>
      <c r="P355" s="539"/>
      <c r="Q355" s="539"/>
      <c r="R355" s="539"/>
      <c r="S355" s="540"/>
      <c r="T355" s="534"/>
      <c r="U355" s="539"/>
      <c r="V355" s="539"/>
      <c r="W355" s="541"/>
      <c r="X355" s="533" t="s">
        <v>343</v>
      </c>
      <c r="Y355" s="542"/>
      <c r="Z355" s="542"/>
      <c r="AA355" s="542"/>
      <c r="AB355" s="543" t="s">
        <v>977</v>
      </c>
      <c r="AC355" s="540"/>
      <c r="AD355" s="540"/>
      <c r="AE355" s="540"/>
      <c r="AF355" s="540"/>
      <c r="AG355" s="533" t="s">
        <v>337</v>
      </c>
      <c r="AH355" s="540"/>
      <c r="AI355" s="540"/>
      <c r="AJ355" s="540"/>
      <c r="AK355" s="540"/>
      <c r="AL355" s="540"/>
      <c r="AM355" s="544"/>
      <c r="AN355" s="544"/>
    </row>
    <row r="356" spans="1:40" ht="22.5" hidden="1" customHeight="1" x14ac:dyDescent="0.2">
      <c r="A356" s="413">
        <v>45911.531105787042</v>
      </c>
      <c r="B356" s="414" t="s">
        <v>56</v>
      </c>
      <c r="C356" s="414" t="s">
        <v>381</v>
      </c>
      <c r="D356" s="420" t="str">
        <f t="shared" si="0"/>
        <v>2010</v>
      </c>
      <c r="E356" s="416" t="s">
        <v>978</v>
      </c>
      <c r="F356" s="417">
        <v>22986</v>
      </c>
      <c r="G356" s="417">
        <v>12725</v>
      </c>
      <c r="H356" s="418" t="s">
        <v>979</v>
      </c>
      <c r="I356" s="417">
        <v>1440</v>
      </c>
      <c r="J356" s="419" t="s">
        <v>53</v>
      </c>
      <c r="K356" s="420"/>
      <c r="L356" s="421"/>
      <c r="M356" s="421"/>
      <c r="N356" s="421"/>
      <c r="O356" s="420"/>
      <c r="P356" s="421"/>
      <c r="Q356" s="421"/>
      <c r="R356" s="421"/>
      <c r="S356" s="425"/>
      <c r="T356" s="420"/>
      <c r="U356" s="421"/>
      <c r="V356" s="421"/>
      <c r="W356" s="423"/>
      <c r="X356" s="414" t="s">
        <v>343</v>
      </c>
      <c r="Y356" s="500" t="s">
        <v>689</v>
      </c>
      <c r="Z356" s="500" t="s">
        <v>730</v>
      </c>
      <c r="AA356" s="500">
        <v>9</v>
      </c>
      <c r="AB356" s="501"/>
      <c r="AC356" s="425"/>
      <c r="AD356" s="425"/>
      <c r="AE356" s="425"/>
      <c r="AF356" s="425"/>
      <c r="AG356" s="414" t="s">
        <v>337</v>
      </c>
      <c r="AH356" s="425"/>
      <c r="AI356" s="425"/>
      <c r="AJ356" s="425"/>
      <c r="AK356" s="425"/>
      <c r="AL356" s="425"/>
      <c r="AM356" s="259"/>
      <c r="AN356" s="259"/>
    </row>
    <row r="357" spans="1:40" ht="22.5" customHeight="1" x14ac:dyDescent="0.2">
      <c r="A357" s="413">
        <v>45911.722855555556</v>
      </c>
      <c r="B357" s="414" t="s">
        <v>56</v>
      </c>
      <c r="C357" s="414" t="s">
        <v>338</v>
      </c>
      <c r="D357" s="420" t="str">
        <f t="shared" si="0"/>
        <v>2013</v>
      </c>
      <c r="E357" s="416" t="s">
        <v>980</v>
      </c>
      <c r="F357" s="417">
        <v>33263</v>
      </c>
      <c r="G357" s="417">
        <v>16669</v>
      </c>
      <c r="H357" s="418" t="s">
        <v>981</v>
      </c>
      <c r="I357" s="417">
        <v>1723</v>
      </c>
      <c r="J357" s="419" t="s">
        <v>53</v>
      </c>
      <c r="K357" s="420"/>
      <c r="L357" s="421"/>
      <c r="M357" s="421"/>
      <c r="N357" s="421"/>
      <c r="O357" s="420"/>
      <c r="P357" s="421"/>
      <c r="Q357" s="421"/>
      <c r="R357" s="421"/>
      <c r="S357" s="425"/>
      <c r="T357" s="420"/>
      <c r="U357" s="421"/>
      <c r="V357" s="421"/>
      <c r="W357" s="423"/>
      <c r="X357" s="414" t="s">
        <v>343</v>
      </c>
      <c r="Y357" s="501"/>
      <c r="Z357" s="501"/>
      <c r="AA357" s="501"/>
      <c r="AB357" s="501"/>
      <c r="AC357" s="425"/>
      <c r="AD357" s="425"/>
      <c r="AE357" s="425"/>
      <c r="AF357" s="425"/>
      <c r="AG357" s="414" t="s">
        <v>337</v>
      </c>
      <c r="AH357" s="425"/>
      <c r="AI357" s="425"/>
      <c r="AJ357" s="425"/>
      <c r="AK357" s="425"/>
      <c r="AL357" s="425"/>
      <c r="AM357" s="259"/>
      <c r="AN357" s="259"/>
    </row>
    <row r="358" spans="1:40" ht="22.5" hidden="1" customHeight="1" x14ac:dyDescent="0.2">
      <c r="A358" s="413">
        <v>45911.723477002313</v>
      </c>
      <c r="B358" s="414" t="s">
        <v>56</v>
      </c>
      <c r="C358" s="414" t="s">
        <v>338</v>
      </c>
      <c r="D358" s="420" t="str">
        <f t="shared" si="0"/>
        <v>2015</v>
      </c>
      <c r="E358" s="416" t="s">
        <v>982</v>
      </c>
      <c r="F358" s="417">
        <v>40916</v>
      </c>
      <c r="G358" s="417">
        <v>13089</v>
      </c>
      <c r="H358" s="418" t="s">
        <v>792</v>
      </c>
      <c r="I358" s="417">
        <v>2198</v>
      </c>
      <c r="J358" s="419" t="s">
        <v>53</v>
      </c>
      <c r="K358" s="420"/>
      <c r="L358" s="421"/>
      <c r="M358" s="421"/>
      <c r="N358" s="421"/>
      <c r="O358" s="420"/>
      <c r="P358" s="421"/>
      <c r="Q358" s="421"/>
      <c r="R358" s="421"/>
      <c r="S358" s="425"/>
      <c r="T358" s="420"/>
      <c r="U358" s="421"/>
      <c r="V358" s="421"/>
      <c r="W358" s="423"/>
      <c r="X358" s="414" t="s">
        <v>343</v>
      </c>
      <c r="Y358" s="501"/>
      <c r="Z358" s="501"/>
      <c r="AA358" s="501"/>
      <c r="AB358" s="501"/>
      <c r="AC358" s="425"/>
      <c r="AD358" s="425"/>
      <c r="AE358" s="425"/>
      <c r="AF358" s="425"/>
      <c r="AG358" s="414" t="s">
        <v>337</v>
      </c>
      <c r="AH358" s="425"/>
      <c r="AI358" s="425"/>
      <c r="AJ358" s="425"/>
      <c r="AK358" s="425"/>
      <c r="AL358" s="425"/>
      <c r="AM358" s="259"/>
      <c r="AN358" s="259"/>
    </row>
    <row r="359" spans="1:40" ht="22.5" hidden="1" customHeight="1" x14ac:dyDescent="0.2">
      <c r="A359" s="413">
        <v>45911.724136041666</v>
      </c>
      <c r="B359" s="414" t="s">
        <v>56</v>
      </c>
      <c r="C359" s="414" t="s">
        <v>338</v>
      </c>
      <c r="D359" s="420" t="str">
        <f t="shared" si="0"/>
        <v>2021</v>
      </c>
      <c r="E359" s="416" t="s">
        <v>983</v>
      </c>
      <c r="F359" s="417">
        <v>62743</v>
      </c>
      <c r="G359" s="417">
        <v>12609</v>
      </c>
      <c r="H359" s="418" t="s">
        <v>984</v>
      </c>
      <c r="I359" s="417">
        <v>2594</v>
      </c>
      <c r="J359" s="419" t="s">
        <v>53</v>
      </c>
      <c r="K359" s="420"/>
      <c r="L359" s="421"/>
      <c r="M359" s="421"/>
      <c r="N359" s="421"/>
      <c r="O359" s="420"/>
      <c r="P359" s="421"/>
      <c r="Q359" s="421"/>
      <c r="R359" s="421"/>
      <c r="S359" s="425"/>
      <c r="T359" s="420"/>
      <c r="U359" s="421"/>
      <c r="V359" s="421"/>
      <c r="W359" s="423"/>
      <c r="X359" s="414" t="s">
        <v>343</v>
      </c>
      <c r="Y359" s="501"/>
      <c r="Z359" s="501"/>
      <c r="AA359" s="501"/>
      <c r="AB359" s="501"/>
      <c r="AC359" s="425"/>
      <c r="AD359" s="425"/>
      <c r="AE359" s="425"/>
      <c r="AF359" s="425"/>
      <c r="AG359" s="414" t="s">
        <v>337</v>
      </c>
      <c r="AH359" s="425"/>
      <c r="AI359" s="425"/>
      <c r="AJ359" s="425"/>
      <c r="AK359" s="425"/>
      <c r="AL359" s="425"/>
      <c r="AM359" s="259"/>
      <c r="AN359" s="259"/>
    </row>
    <row r="360" spans="1:40" ht="22.5" hidden="1" customHeight="1" x14ac:dyDescent="0.2">
      <c r="A360" s="413">
        <v>45911.724710069444</v>
      </c>
      <c r="B360" s="414" t="s">
        <v>56</v>
      </c>
      <c r="C360" s="414" t="s">
        <v>338</v>
      </c>
      <c r="D360" s="420" t="str">
        <f t="shared" si="0"/>
        <v>2018</v>
      </c>
      <c r="E360" s="416" t="s">
        <v>985</v>
      </c>
      <c r="F360" s="417">
        <v>52941</v>
      </c>
      <c r="G360" s="417">
        <v>13295</v>
      </c>
      <c r="H360" s="418" t="s">
        <v>986</v>
      </c>
      <c r="I360" s="417">
        <v>2674</v>
      </c>
      <c r="J360" s="419" t="s">
        <v>53</v>
      </c>
      <c r="K360" s="420"/>
      <c r="L360" s="421"/>
      <c r="M360" s="421"/>
      <c r="N360" s="421"/>
      <c r="O360" s="420"/>
      <c r="P360" s="421"/>
      <c r="Q360" s="421"/>
      <c r="R360" s="421"/>
      <c r="S360" s="425"/>
      <c r="T360" s="420"/>
      <c r="U360" s="421"/>
      <c r="V360" s="421"/>
      <c r="W360" s="423"/>
      <c r="X360" s="414" t="s">
        <v>343</v>
      </c>
      <c r="Y360" s="501"/>
      <c r="Z360" s="501"/>
      <c r="AA360" s="501"/>
      <c r="AB360" s="501"/>
      <c r="AC360" s="425"/>
      <c r="AD360" s="425"/>
      <c r="AE360" s="425"/>
      <c r="AF360" s="425"/>
      <c r="AG360" s="414" t="s">
        <v>337</v>
      </c>
      <c r="AH360" s="425"/>
      <c r="AI360" s="425"/>
      <c r="AJ360" s="425"/>
      <c r="AK360" s="425"/>
      <c r="AL360" s="425"/>
      <c r="AM360" s="259"/>
      <c r="AN360" s="259"/>
    </row>
    <row r="361" spans="1:40" ht="22.5" hidden="1" customHeight="1" x14ac:dyDescent="0.2">
      <c r="A361" s="413">
        <v>45915.682348148148</v>
      </c>
      <c r="B361" s="414" t="s">
        <v>56</v>
      </c>
      <c r="C361" s="414" t="s">
        <v>381</v>
      </c>
      <c r="D361" s="556" t="str">
        <f t="shared" si="0"/>
        <v>2019</v>
      </c>
      <c r="E361" s="557" t="s">
        <v>988</v>
      </c>
      <c r="F361" s="414">
        <v>55559</v>
      </c>
      <c r="G361" s="414">
        <v>7266</v>
      </c>
      <c r="H361" s="558" t="s">
        <v>989</v>
      </c>
      <c r="I361" s="414">
        <v>1463</v>
      </c>
      <c r="J361" s="559" t="s">
        <v>53</v>
      </c>
      <c r="K361" s="425"/>
      <c r="L361" s="425"/>
      <c r="M361" s="425"/>
      <c r="N361" s="425"/>
      <c r="O361" s="556"/>
      <c r="P361" s="425"/>
      <c r="Q361" s="425"/>
      <c r="R361" s="425"/>
      <c r="S361" s="425"/>
      <c r="T361" s="556"/>
      <c r="U361" s="425"/>
      <c r="V361" s="425"/>
      <c r="W361" s="560"/>
      <c r="X361" s="414" t="s">
        <v>343</v>
      </c>
      <c r="Y361" s="425"/>
      <c r="Z361" s="425"/>
      <c r="AA361" s="425"/>
      <c r="AB361" s="425"/>
      <c r="AC361" s="425"/>
      <c r="AD361" s="425"/>
      <c r="AE361" s="425"/>
      <c r="AF361" s="425"/>
      <c r="AG361" s="414" t="s">
        <v>337</v>
      </c>
      <c r="AH361" s="425"/>
      <c r="AI361" s="425"/>
      <c r="AJ361" s="425"/>
      <c r="AK361" s="425"/>
      <c r="AL361" s="425"/>
      <c r="AM361" s="259"/>
      <c r="AN361" s="259"/>
    </row>
    <row r="362" spans="1:40" ht="22.5" hidden="1" customHeight="1" x14ac:dyDescent="0.2">
      <c r="A362" s="413">
        <v>45923.450700335648</v>
      </c>
      <c r="B362" s="414" t="s">
        <v>56</v>
      </c>
      <c r="C362" s="414" t="s">
        <v>381</v>
      </c>
      <c r="D362" s="556" t="str">
        <f t="shared" si="0"/>
        <v>2023</v>
      </c>
      <c r="E362" s="557" t="s">
        <v>883</v>
      </c>
      <c r="F362" s="414">
        <v>67539</v>
      </c>
      <c r="G362" s="414">
        <v>4704</v>
      </c>
      <c r="H362" s="558" t="s">
        <v>884</v>
      </c>
      <c r="I362" s="414">
        <v>880</v>
      </c>
      <c r="J362" s="559" t="s">
        <v>53</v>
      </c>
      <c r="K362" s="425"/>
      <c r="L362" s="425"/>
      <c r="M362" s="425"/>
      <c r="N362" s="425"/>
      <c r="O362" s="556"/>
      <c r="P362" s="425"/>
      <c r="Q362" s="425"/>
      <c r="R362" s="425"/>
      <c r="S362" s="425"/>
      <c r="T362" s="556"/>
      <c r="U362" s="425"/>
      <c r="V362" s="425"/>
      <c r="W362" s="560"/>
      <c r="X362" s="414" t="s">
        <v>343</v>
      </c>
      <c r="Y362" s="425"/>
      <c r="Z362" s="425"/>
      <c r="AA362" s="425"/>
      <c r="AB362" s="425"/>
      <c r="AC362" s="425"/>
      <c r="AD362" s="425"/>
      <c r="AE362" s="425"/>
      <c r="AF362" s="425"/>
      <c r="AG362" s="414" t="s">
        <v>337</v>
      </c>
      <c r="AH362" s="425"/>
      <c r="AI362" s="425"/>
      <c r="AJ362" s="425"/>
      <c r="AK362" s="425"/>
      <c r="AL362" s="425"/>
      <c r="AM362" s="259"/>
      <c r="AN362" s="259"/>
    </row>
    <row r="363" spans="1:40" ht="22.5" customHeight="1" x14ac:dyDescent="0.2">
      <c r="A363" s="413">
        <v>45923.63878552083</v>
      </c>
      <c r="B363" s="414" t="s">
        <v>56</v>
      </c>
      <c r="C363" s="414" t="s">
        <v>381</v>
      </c>
      <c r="D363" s="556" t="str">
        <f t="shared" si="0"/>
        <v>2013</v>
      </c>
      <c r="E363" s="557" t="s">
        <v>990</v>
      </c>
      <c r="F363" s="414">
        <v>34731</v>
      </c>
      <c r="G363" s="414">
        <v>29010</v>
      </c>
      <c r="H363" s="558" t="s">
        <v>991</v>
      </c>
      <c r="I363" s="414">
        <v>3003</v>
      </c>
      <c r="J363" s="559" t="s">
        <v>53</v>
      </c>
      <c r="K363" s="425"/>
      <c r="L363" s="425"/>
      <c r="M363" s="425"/>
      <c r="N363" s="425"/>
      <c r="O363" s="556"/>
      <c r="P363" s="425"/>
      <c r="Q363" s="425"/>
      <c r="R363" s="425"/>
      <c r="S363" s="425"/>
      <c r="T363" s="556"/>
      <c r="U363" s="425"/>
      <c r="V363" s="425"/>
      <c r="W363" s="560"/>
      <c r="X363" s="414" t="s">
        <v>343</v>
      </c>
      <c r="Y363" s="414" t="s">
        <v>689</v>
      </c>
      <c r="Z363" s="414" t="s">
        <v>992</v>
      </c>
      <c r="AA363" s="414">
        <v>14</v>
      </c>
      <c r="AB363" s="425"/>
      <c r="AC363" s="425"/>
      <c r="AD363" s="425"/>
      <c r="AE363" s="425"/>
      <c r="AF363" s="425"/>
      <c r="AG363" s="414" t="s">
        <v>337</v>
      </c>
      <c r="AH363" s="425"/>
      <c r="AI363" s="425"/>
      <c r="AJ363" s="425"/>
      <c r="AK363" s="425"/>
      <c r="AL363" s="425"/>
      <c r="AM363" s="259"/>
      <c r="AN363" s="259"/>
    </row>
    <row r="364" spans="1:40" ht="22.5" hidden="1" customHeight="1" x14ac:dyDescent="0.2">
      <c r="A364" s="413">
        <v>45924.446688761571</v>
      </c>
      <c r="B364" s="414" t="s">
        <v>56</v>
      </c>
      <c r="C364" s="414" t="s">
        <v>381</v>
      </c>
      <c r="D364" s="556" t="str">
        <f t="shared" si="0"/>
        <v>2017</v>
      </c>
      <c r="E364" s="557" t="s">
        <v>577</v>
      </c>
      <c r="F364" s="414">
        <v>49308</v>
      </c>
      <c r="G364" s="414">
        <v>15001</v>
      </c>
      <c r="H364" s="558" t="s">
        <v>993</v>
      </c>
      <c r="I364" s="414">
        <v>2897</v>
      </c>
      <c r="J364" s="559" t="s">
        <v>53</v>
      </c>
      <c r="K364" s="425"/>
      <c r="L364" s="425"/>
      <c r="M364" s="425"/>
      <c r="N364" s="425"/>
      <c r="O364" s="556"/>
      <c r="P364" s="425"/>
      <c r="Q364" s="425"/>
      <c r="R364" s="425"/>
      <c r="S364" s="425"/>
      <c r="T364" s="556"/>
      <c r="U364" s="425"/>
      <c r="V364" s="425"/>
      <c r="W364" s="560"/>
      <c r="X364" s="414" t="s">
        <v>343</v>
      </c>
      <c r="Y364" s="414" t="s">
        <v>701</v>
      </c>
      <c r="Z364" s="414" t="s">
        <v>820</v>
      </c>
      <c r="AA364" s="414">
        <v>5</v>
      </c>
      <c r="AB364" s="425"/>
      <c r="AC364" s="425"/>
      <c r="AD364" s="425"/>
      <c r="AE364" s="425"/>
      <c r="AF364" s="425"/>
      <c r="AG364" s="414" t="s">
        <v>337</v>
      </c>
      <c r="AH364" s="425"/>
      <c r="AI364" s="425"/>
      <c r="AJ364" s="425"/>
      <c r="AK364" s="425"/>
      <c r="AL364" s="425"/>
      <c r="AM364" s="259"/>
      <c r="AN364" s="259"/>
    </row>
    <row r="365" spans="1:40" ht="22.5" hidden="1" customHeight="1" x14ac:dyDescent="0.2">
      <c r="A365" s="413">
        <v>45924.447508414349</v>
      </c>
      <c r="B365" s="414" t="s">
        <v>56</v>
      </c>
      <c r="C365" s="414" t="s">
        <v>381</v>
      </c>
      <c r="D365" s="556" t="str">
        <f t="shared" si="0"/>
        <v>2017</v>
      </c>
      <c r="E365" s="557" t="s">
        <v>994</v>
      </c>
      <c r="F365" s="414">
        <v>46828</v>
      </c>
      <c r="G365" s="414">
        <v>5222</v>
      </c>
      <c r="H365" s="558" t="s">
        <v>995</v>
      </c>
      <c r="I365" s="414">
        <v>1003</v>
      </c>
      <c r="J365" s="559" t="s">
        <v>53</v>
      </c>
      <c r="K365" s="425"/>
      <c r="L365" s="425"/>
      <c r="M365" s="425"/>
      <c r="N365" s="425"/>
      <c r="O365" s="556"/>
      <c r="P365" s="425"/>
      <c r="Q365" s="425"/>
      <c r="R365" s="425"/>
      <c r="S365" s="425"/>
      <c r="T365" s="556"/>
      <c r="U365" s="425"/>
      <c r="V365" s="425"/>
      <c r="W365" s="560"/>
      <c r="X365" s="414" t="s">
        <v>343</v>
      </c>
      <c r="Y365" s="414" t="s">
        <v>689</v>
      </c>
      <c r="Z365" s="414" t="s">
        <v>996</v>
      </c>
      <c r="AA365" s="414">
        <v>6</v>
      </c>
      <c r="AB365" s="425"/>
      <c r="AC365" s="425"/>
      <c r="AD365" s="425"/>
      <c r="AE365" s="425"/>
      <c r="AF365" s="425"/>
      <c r="AG365" s="414" t="s">
        <v>337</v>
      </c>
      <c r="AH365" s="425"/>
      <c r="AI365" s="425"/>
      <c r="AJ365" s="425"/>
      <c r="AK365" s="425"/>
      <c r="AL365" s="425"/>
      <c r="AM365" s="259"/>
      <c r="AN365" s="259"/>
    </row>
    <row r="366" spans="1:40" ht="22.5" hidden="1" customHeight="1" x14ac:dyDescent="0.2">
      <c r="A366" s="413">
        <v>45924.525998078709</v>
      </c>
      <c r="B366" s="414" t="s">
        <v>56</v>
      </c>
      <c r="C366" s="414" t="s">
        <v>381</v>
      </c>
      <c r="D366" s="556" t="str">
        <f t="shared" si="0"/>
        <v>2020</v>
      </c>
      <c r="E366" s="557" t="s">
        <v>997</v>
      </c>
      <c r="F366" s="414">
        <v>59629</v>
      </c>
      <c r="G366" s="414">
        <v>8195</v>
      </c>
      <c r="H366" s="558" t="s">
        <v>998</v>
      </c>
      <c r="I366" s="414">
        <v>1632</v>
      </c>
      <c r="J366" s="559" t="s">
        <v>53</v>
      </c>
      <c r="K366" s="425"/>
      <c r="L366" s="425"/>
      <c r="M366" s="425"/>
      <c r="N366" s="425"/>
      <c r="O366" s="556"/>
      <c r="P366" s="425"/>
      <c r="Q366" s="425"/>
      <c r="R366" s="425"/>
      <c r="S366" s="425"/>
      <c r="T366" s="556"/>
      <c r="U366" s="425"/>
      <c r="V366" s="425"/>
      <c r="W366" s="560"/>
      <c r="X366" s="414" t="s">
        <v>343</v>
      </c>
      <c r="Y366" s="414" t="s">
        <v>701</v>
      </c>
      <c r="Z366" s="414" t="s">
        <v>702</v>
      </c>
      <c r="AA366" s="425"/>
      <c r="AB366" s="425"/>
      <c r="AC366" s="425"/>
      <c r="AD366" s="425"/>
      <c r="AE366" s="425"/>
      <c r="AF366" s="425"/>
      <c r="AG366" s="414" t="s">
        <v>337</v>
      </c>
      <c r="AH366" s="425"/>
      <c r="AI366" s="425"/>
      <c r="AJ366" s="425"/>
      <c r="AK366" s="425"/>
      <c r="AL366" s="425"/>
      <c r="AM366" s="259"/>
      <c r="AN366" s="259"/>
    </row>
    <row r="367" spans="1:40" ht="22.5" hidden="1" customHeight="1" x14ac:dyDescent="0.2">
      <c r="A367" s="413">
        <v>45926.672462337963</v>
      </c>
      <c r="B367" s="414" t="s">
        <v>56</v>
      </c>
      <c r="C367" s="414" t="s">
        <v>629</v>
      </c>
      <c r="D367" s="556" t="str">
        <f t="shared" si="0"/>
        <v>2005</v>
      </c>
      <c r="E367" s="557" t="s">
        <v>999</v>
      </c>
      <c r="F367" s="414">
        <v>11740</v>
      </c>
      <c r="G367" s="414">
        <v>7643</v>
      </c>
      <c r="H367" s="558" t="s">
        <v>1000</v>
      </c>
      <c r="I367" s="414">
        <v>966</v>
      </c>
      <c r="J367" s="559" t="s">
        <v>53</v>
      </c>
      <c r="K367" s="425"/>
      <c r="L367" s="425"/>
      <c r="M367" s="425"/>
      <c r="N367" s="425"/>
      <c r="O367" s="556"/>
      <c r="P367" s="425"/>
      <c r="Q367" s="425"/>
      <c r="R367" s="425"/>
      <c r="S367" s="425"/>
      <c r="T367" s="556"/>
      <c r="U367" s="425"/>
      <c r="V367" s="425"/>
      <c r="W367" s="560"/>
      <c r="X367" s="414" t="s">
        <v>343</v>
      </c>
      <c r="Y367" s="425"/>
      <c r="Z367" s="425"/>
      <c r="AA367" s="425"/>
      <c r="AB367" s="425"/>
      <c r="AC367" s="425"/>
      <c r="AD367" s="425"/>
      <c r="AE367" s="425"/>
      <c r="AF367" s="425"/>
      <c r="AG367" s="414" t="s">
        <v>337</v>
      </c>
      <c r="AH367" s="425"/>
      <c r="AI367" s="425"/>
      <c r="AJ367" s="425"/>
      <c r="AK367" s="425"/>
      <c r="AL367" s="425"/>
      <c r="AM367" s="259"/>
      <c r="AN367" s="259"/>
    </row>
    <row r="368" spans="1:40" ht="22.5" hidden="1" customHeight="1" x14ac:dyDescent="0.2">
      <c r="A368" s="413">
        <v>45926.673421793981</v>
      </c>
      <c r="B368" s="414" t="s">
        <v>56</v>
      </c>
      <c r="C368" s="414" t="s">
        <v>629</v>
      </c>
      <c r="D368" s="556" t="str">
        <f t="shared" si="0"/>
        <v>2005</v>
      </c>
      <c r="E368" s="557" t="s">
        <v>1001</v>
      </c>
      <c r="F368" s="414">
        <v>11959</v>
      </c>
      <c r="G368" s="414">
        <v>9139</v>
      </c>
      <c r="H368" s="558" t="s">
        <v>1002</v>
      </c>
      <c r="I368" s="414">
        <v>1147</v>
      </c>
      <c r="J368" s="559" t="s">
        <v>53</v>
      </c>
      <c r="K368" s="425"/>
      <c r="L368" s="425"/>
      <c r="M368" s="425"/>
      <c r="N368" s="425"/>
      <c r="O368" s="556"/>
      <c r="P368" s="425"/>
      <c r="Q368" s="425"/>
      <c r="R368" s="425"/>
      <c r="S368" s="425"/>
      <c r="T368" s="556"/>
      <c r="U368" s="425"/>
      <c r="V368" s="425"/>
      <c r="W368" s="560"/>
      <c r="X368" s="414" t="s">
        <v>343</v>
      </c>
      <c r="Y368" s="425"/>
      <c r="Z368" s="425"/>
      <c r="AA368" s="425"/>
      <c r="AB368" s="425"/>
      <c r="AC368" s="425"/>
      <c r="AD368" s="425"/>
      <c r="AE368" s="425"/>
      <c r="AF368" s="425"/>
      <c r="AG368" s="414" t="s">
        <v>337</v>
      </c>
      <c r="AH368" s="425"/>
      <c r="AI368" s="425"/>
      <c r="AJ368" s="425"/>
      <c r="AK368" s="425"/>
      <c r="AL368" s="425"/>
      <c r="AM368" s="259"/>
      <c r="AN368" s="259"/>
    </row>
    <row r="369" spans="1:40" ht="22.5" hidden="1" customHeight="1" x14ac:dyDescent="0.2">
      <c r="A369" s="413">
        <v>45926.707110254632</v>
      </c>
      <c r="B369" s="414" t="s">
        <v>436</v>
      </c>
      <c r="C369" s="414" t="s">
        <v>381</v>
      </c>
      <c r="D369" s="556" t="str">
        <f t="shared" si="0"/>
        <v/>
      </c>
      <c r="E369" s="425"/>
      <c r="F369" s="425"/>
      <c r="G369" s="425"/>
      <c r="H369" s="562"/>
      <c r="I369" s="425"/>
      <c r="J369" s="560"/>
      <c r="K369" s="425"/>
      <c r="L369" s="425"/>
      <c r="M369" s="425"/>
      <c r="N369" s="425"/>
      <c r="O369" s="563" t="s">
        <v>1003</v>
      </c>
      <c r="P369" s="414">
        <v>3471</v>
      </c>
      <c r="Q369" s="414">
        <v>215</v>
      </c>
      <c r="R369" s="414">
        <v>140</v>
      </c>
      <c r="S369" s="425"/>
      <c r="T369" s="556"/>
      <c r="U369" s="425"/>
      <c r="V369" s="425"/>
      <c r="W369" s="560"/>
      <c r="X369" s="414" t="s">
        <v>343</v>
      </c>
      <c r="Y369" s="425"/>
      <c r="Z369" s="425"/>
      <c r="AA369" s="425"/>
      <c r="AB369" s="425"/>
      <c r="AC369" s="425"/>
      <c r="AD369" s="425"/>
      <c r="AE369" s="425"/>
      <c r="AF369" s="425"/>
      <c r="AG369" s="414" t="s">
        <v>337</v>
      </c>
      <c r="AH369" s="425"/>
      <c r="AI369" s="425"/>
      <c r="AJ369" s="425"/>
      <c r="AK369" s="425"/>
      <c r="AL369" s="425"/>
      <c r="AM369" s="259"/>
      <c r="AN369" s="259"/>
    </row>
    <row r="370" spans="1:40" ht="22.5" hidden="1" customHeight="1" x14ac:dyDescent="0.2">
      <c r="A370" s="413">
        <v>45931.47072420139</v>
      </c>
      <c r="B370" s="414" t="s">
        <v>56</v>
      </c>
      <c r="C370" s="414" t="s">
        <v>464</v>
      </c>
      <c r="D370" s="556" t="str">
        <f t="shared" si="0"/>
        <v>2015</v>
      </c>
      <c r="E370" s="557" t="s">
        <v>1004</v>
      </c>
      <c r="F370" s="414">
        <v>40316</v>
      </c>
      <c r="G370" s="414">
        <v>10456</v>
      </c>
      <c r="H370" s="558" t="s">
        <v>373</v>
      </c>
      <c r="I370" s="414">
        <v>1761</v>
      </c>
      <c r="J370" s="559" t="s">
        <v>53</v>
      </c>
      <c r="K370" s="425"/>
      <c r="L370" s="425"/>
      <c r="M370" s="425"/>
      <c r="N370" s="425"/>
      <c r="O370" s="556"/>
      <c r="P370" s="425"/>
      <c r="Q370" s="425"/>
      <c r="R370" s="425"/>
      <c r="S370" s="425"/>
      <c r="T370" s="556"/>
      <c r="U370" s="425"/>
      <c r="V370" s="425"/>
      <c r="W370" s="560"/>
      <c r="X370" s="414" t="s">
        <v>343</v>
      </c>
      <c r="Y370" s="425"/>
      <c r="Z370" s="425"/>
      <c r="AA370" s="425"/>
      <c r="AB370" s="425"/>
      <c r="AC370" s="425"/>
      <c r="AD370" s="425"/>
      <c r="AE370" s="425"/>
      <c r="AF370" s="425"/>
      <c r="AG370" s="414" t="s">
        <v>337</v>
      </c>
      <c r="AH370" s="425"/>
      <c r="AI370" s="425"/>
      <c r="AJ370" s="425"/>
      <c r="AK370" s="425"/>
      <c r="AL370" s="425"/>
      <c r="AM370" s="259"/>
      <c r="AN370" s="259"/>
    </row>
    <row r="371" spans="1:40" ht="22.5" hidden="1" customHeight="1" x14ac:dyDescent="0.2">
      <c r="A371" s="413">
        <v>45931.528656273149</v>
      </c>
      <c r="B371" s="414" t="s">
        <v>56</v>
      </c>
      <c r="C371" s="414" t="s">
        <v>381</v>
      </c>
      <c r="D371" s="556" t="str">
        <f t="shared" si="0"/>
        <v>2022</v>
      </c>
      <c r="E371" s="557" t="s">
        <v>1005</v>
      </c>
      <c r="F371" s="414">
        <v>66549</v>
      </c>
      <c r="G371" s="414">
        <v>16252</v>
      </c>
      <c r="H371" s="558" t="s">
        <v>1006</v>
      </c>
      <c r="I371" s="414">
        <v>3052</v>
      </c>
      <c r="J371" s="559" t="s">
        <v>53</v>
      </c>
      <c r="K371" s="425"/>
      <c r="L371" s="425"/>
      <c r="M371" s="425"/>
      <c r="N371" s="425"/>
      <c r="O371" s="556"/>
      <c r="P371" s="425"/>
      <c r="Q371" s="425"/>
      <c r="R371" s="425"/>
      <c r="S371" s="425"/>
      <c r="T371" s="556"/>
      <c r="U371" s="425"/>
      <c r="V371" s="425"/>
      <c r="W371" s="560"/>
      <c r="X371" s="414" t="s">
        <v>343</v>
      </c>
      <c r="Y371" s="414" t="s">
        <v>689</v>
      </c>
      <c r="Z371" s="414" t="s">
        <v>730</v>
      </c>
      <c r="AA371" s="414">
        <v>8</v>
      </c>
      <c r="AB371" s="425"/>
      <c r="AC371" s="425"/>
      <c r="AD371" s="425"/>
      <c r="AE371" s="425"/>
      <c r="AF371" s="425"/>
      <c r="AG371" s="414" t="s">
        <v>337</v>
      </c>
      <c r="AH371" s="425"/>
      <c r="AI371" s="425"/>
      <c r="AJ371" s="425"/>
      <c r="AK371" s="425"/>
      <c r="AL371" s="425"/>
      <c r="AM371" s="259"/>
      <c r="AN371" s="259"/>
    </row>
    <row r="372" spans="1:40" ht="22.5" hidden="1" customHeight="1" x14ac:dyDescent="0.2">
      <c r="A372" s="413">
        <v>45937.510227569444</v>
      </c>
      <c r="B372" s="414" t="s">
        <v>56</v>
      </c>
      <c r="C372" s="414" t="s">
        <v>464</v>
      </c>
      <c r="D372" s="556" t="str">
        <f t="shared" si="0"/>
        <v>2009</v>
      </c>
      <c r="E372" s="557" t="s">
        <v>1007</v>
      </c>
      <c r="F372" s="414">
        <v>19100</v>
      </c>
      <c r="G372" s="414">
        <v>4192</v>
      </c>
      <c r="H372" s="558" t="s">
        <v>745</v>
      </c>
      <c r="I372" s="414">
        <v>471</v>
      </c>
      <c r="J372" s="559" t="s">
        <v>54</v>
      </c>
      <c r="K372" s="425"/>
      <c r="L372" s="425"/>
      <c r="M372" s="425"/>
      <c r="N372" s="425"/>
      <c r="O372" s="556"/>
      <c r="P372" s="425"/>
      <c r="Q372" s="425"/>
      <c r="R372" s="425"/>
      <c r="S372" s="425"/>
      <c r="T372" s="556"/>
      <c r="U372" s="425"/>
      <c r="V372" s="425"/>
      <c r="W372" s="560"/>
      <c r="X372" s="414" t="s">
        <v>343</v>
      </c>
      <c r="Y372" s="414" t="s">
        <v>689</v>
      </c>
      <c r="Z372" s="414" t="s">
        <v>1008</v>
      </c>
      <c r="AA372" s="414">
        <v>32</v>
      </c>
      <c r="AB372" s="425"/>
      <c r="AC372" s="425"/>
      <c r="AD372" s="425"/>
      <c r="AE372" s="425"/>
      <c r="AF372" s="425"/>
      <c r="AG372" s="414" t="s">
        <v>337</v>
      </c>
      <c r="AH372" s="425"/>
      <c r="AI372" s="425"/>
      <c r="AJ372" s="425"/>
      <c r="AK372" s="425"/>
      <c r="AL372" s="425"/>
      <c r="AM372" s="259"/>
      <c r="AN372" s="259"/>
    </row>
    <row r="373" spans="1:40" ht="22.5" hidden="1" customHeight="1" x14ac:dyDescent="0.2">
      <c r="A373" s="413">
        <v>45937.560720231486</v>
      </c>
      <c r="B373" s="414" t="s">
        <v>56</v>
      </c>
      <c r="C373" s="414" t="s">
        <v>381</v>
      </c>
      <c r="D373" s="556" t="str">
        <f t="shared" si="0"/>
        <v>2019</v>
      </c>
      <c r="E373" s="557" t="s">
        <v>1009</v>
      </c>
      <c r="F373" s="414">
        <v>53993</v>
      </c>
      <c r="G373" s="414">
        <v>992</v>
      </c>
      <c r="H373" s="558" t="s">
        <v>1010</v>
      </c>
      <c r="I373" s="414">
        <v>232</v>
      </c>
      <c r="J373" s="559" t="s">
        <v>53</v>
      </c>
      <c r="K373" s="425"/>
      <c r="L373" s="425"/>
      <c r="M373" s="425"/>
      <c r="N373" s="425"/>
      <c r="O373" s="556"/>
      <c r="P373" s="425"/>
      <c r="Q373" s="425"/>
      <c r="R373" s="425"/>
      <c r="S373" s="425"/>
      <c r="T373" s="556"/>
      <c r="U373" s="425"/>
      <c r="V373" s="425"/>
      <c r="W373" s="560"/>
      <c r="X373" s="414" t="s">
        <v>343</v>
      </c>
      <c r="Y373" s="414" t="s">
        <v>689</v>
      </c>
      <c r="Z373" s="414" t="s">
        <v>996</v>
      </c>
      <c r="AA373" s="414">
        <v>6</v>
      </c>
      <c r="AB373" s="425"/>
      <c r="AC373" s="425"/>
      <c r="AD373" s="425"/>
      <c r="AE373" s="425"/>
      <c r="AF373" s="425"/>
      <c r="AG373" s="414" t="s">
        <v>337</v>
      </c>
      <c r="AH373" s="425"/>
      <c r="AI373" s="425"/>
      <c r="AJ373" s="425"/>
      <c r="AK373" s="425"/>
      <c r="AL373" s="425"/>
      <c r="AM373" s="259"/>
      <c r="AN373" s="259"/>
    </row>
    <row r="374" spans="1:40" ht="22.5" hidden="1" customHeight="1" x14ac:dyDescent="0.2">
      <c r="A374" s="413">
        <v>45939.410782557869</v>
      </c>
      <c r="B374" s="414" t="s">
        <v>56</v>
      </c>
      <c r="C374" s="414" t="s">
        <v>338</v>
      </c>
      <c r="D374" s="556" t="str">
        <f t="shared" si="0"/>
        <v>2007</v>
      </c>
      <c r="E374" s="557" t="s">
        <v>1011</v>
      </c>
      <c r="F374" s="414">
        <v>14911</v>
      </c>
      <c r="G374" s="414">
        <v>5745</v>
      </c>
      <c r="H374" s="558" t="s">
        <v>1012</v>
      </c>
      <c r="I374" s="414">
        <v>739</v>
      </c>
      <c r="J374" s="559" t="s">
        <v>54</v>
      </c>
      <c r="K374" s="425"/>
      <c r="L374" s="425"/>
      <c r="M374" s="425"/>
      <c r="N374" s="425"/>
      <c r="O374" s="556"/>
      <c r="P374" s="425"/>
      <c r="Q374" s="425"/>
      <c r="R374" s="425"/>
      <c r="S374" s="425"/>
      <c r="T374" s="556"/>
      <c r="U374" s="425"/>
      <c r="V374" s="425"/>
      <c r="W374" s="560"/>
      <c r="X374" s="414" t="s">
        <v>343</v>
      </c>
      <c r="Y374" s="414" t="s">
        <v>689</v>
      </c>
      <c r="Z374" s="414" t="s">
        <v>698</v>
      </c>
      <c r="AA374" s="414">
        <v>44</v>
      </c>
      <c r="AB374" s="425"/>
      <c r="AC374" s="425"/>
      <c r="AD374" s="425"/>
      <c r="AE374" s="425"/>
      <c r="AF374" s="425"/>
      <c r="AG374" s="414" t="s">
        <v>337</v>
      </c>
      <c r="AH374" s="425"/>
      <c r="AI374" s="425"/>
      <c r="AJ374" s="425"/>
      <c r="AK374" s="425"/>
      <c r="AL374" s="425"/>
      <c r="AM374" s="259"/>
      <c r="AN374" s="259"/>
    </row>
    <row r="375" spans="1:40" ht="22.5" hidden="1" customHeight="1" x14ac:dyDescent="0.2">
      <c r="A375" s="413">
        <v>45939.411737708331</v>
      </c>
      <c r="B375" s="414" t="s">
        <v>56</v>
      </c>
      <c r="C375" s="414" t="s">
        <v>338</v>
      </c>
      <c r="D375" s="556" t="str">
        <f t="shared" si="0"/>
        <v>2009</v>
      </c>
      <c r="E375" s="557" t="s">
        <v>1013</v>
      </c>
      <c r="F375" s="414">
        <v>20072</v>
      </c>
      <c r="G375" s="414">
        <v>10788</v>
      </c>
      <c r="H375" s="558" t="s">
        <v>1014</v>
      </c>
      <c r="I375" s="414">
        <v>1212</v>
      </c>
      <c r="J375" s="559" t="s">
        <v>54</v>
      </c>
      <c r="K375" s="425"/>
      <c r="L375" s="425"/>
      <c r="M375" s="425"/>
      <c r="N375" s="425"/>
      <c r="O375" s="556"/>
      <c r="P375" s="425"/>
      <c r="Q375" s="425"/>
      <c r="R375" s="425"/>
      <c r="S375" s="425"/>
      <c r="T375" s="556"/>
      <c r="U375" s="425"/>
      <c r="V375" s="425"/>
      <c r="W375" s="560"/>
      <c r="X375" s="414" t="s">
        <v>343</v>
      </c>
      <c r="Y375" s="414" t="s">
        <v>689</v>
      </c>
      <c r="Z375" s="414" t="s">
        <v>1015</v>
      </c>
      <c r="AA375" s="414">
        <v>33</v>
      </c>
      <c r="AB375" s="425"/>
      <c r="AC375" s="425"/>
      <c r="AD375" s="425"/>
      <c r="AE375" s="425"/>
      <c r="AF375" s="425"/>
      <c r="AG375" s="414" t="s">
        <v>337</v>
      </c>
      <c r="AH375" s="425"/>
      <c r="AI375" s="425"/>
      <c r="AJ375" s="425"/>
      <c r="AK375" s="425"/>
      <c r="AL375" s="425"/>
      <c r="AM375" s="259"/>
      <c r="AN375" s="259"/>
    </row>
    <row r="376" spans="1:40" ht="22.5" hidden="1" customHeight="1" x14ac:dyDescent="0.2">
      <c r="A376" s="413">
        <v>45939.412583958328</v>
      </c>
      <c r="B376" s="414" t="s">
        <v>56</v>
      </c>
      <c r="C376" s="414" t="s">
        <v>338</v>
      </c>
      <c r="D376" s="556" t="str">
        <f t="shared" si="0"/>
        <v>2011</v>
      </c>
      <c r="E376" s="557" t="s">
        <v>1016</v>
      </c>
      <c r="F376" s="414">
        <v>24475</v>
      </c>
      <c r="G376" s="414">
        <v>454</v>
      </c>
      <c r="H376" s="558" t="s">
        <v>1017</v>
      </c>
      <c r="I376" s="414">
        <v>52</v>
      </c>
      <c r="J376" s="559" t="s">
        <v>54</v>
      </c>
      <c r="K376" s="425"/>
      <c r="L376" s="425"/>
      <c r="M376" s="425"/>
      <c r="N376" s="425"/>
      <c r="O376" s="556"/>
      <c r="P376" s="425"/>
      <c r="Q376" s="425"/>
      <c r="R376" s="425"/>
      <c r="S376" s="425"/>
      <c r="T376" s="556"/>
      <c r="U376" s="425"/>
      <c r="V376" s="425"/>
      <c r="W376" s="560"/>
      <c r="X376" s="414" t="s">
        <v>343</v>
      </c>
      <c r="Y376" s="414" t="s">
        <v>689</v>
      </c>
      <c r="Z376" s="414" t="s">
        <v>1018</v>
      </c>
      <c r="AA376" s="414">
        <v>32</v>
      </c>
      <c r="AB376" s="425"/>
      <c r="AC376" s="425"/>
      <c r="AD376" s="425"/>
      <c r="AE376" s="425"/>
      <c r="AF376" s="425"/>
      <c r="AG376" s="414" t="s">
        <v>337</v>
      </c>
      <c r="AH376" s="425"/>
      <c r="AI376" s="425"/>
      <c r="AJ376" s="425"/>
      <c r="AK376" s="425"/>
      <c r="AL376" s="425"/>
      <c r="AM376" s="259"/>
      <c r="AN376" s="259"/>
    </row>
    <row r="377" spans="1:40" ht="22.5" hidden="1" customHeight="1" x14ac:dyDescent="0.2">
      <c r="A377" s="413">
        <v>45939.413436006944</v>
      </c>
      <c r="B377" s="414" t="s">
        <v>56</v>
      </c>
      <c r="C377" s="414" t="s">
        <v>338</v>
      </c>
      <c r="D377" s="556" t="str">
        <f t="shared" si="0"/>
        <v>2011</v>
      </c>
      <c r="E377" s="557" t="s">
        <v>1019</v>
      </c>
      <c r="F377" s="414">
        <v>26677</v>
      </c>
      <c r="G377" s="414">
        <v>18874</v>
      </c>
      <c r="H377" s="558" t="s">
        <v>1020</v>
      </c>
      <c r="I377" s="414">
        <v>2082</v>
      </c>
      <c r="J377" s="559" t="s">
        <v>54</v>
      </c>
      <c r="K377" s="425"/>
      <c r="L377" s="425"/>
      <c r="M377" s="425"/>
      <c r="N377" s="425"/>
      <c r="O377" s="556"/>
      <c r="P377" s="425"/>
      <c r="Q377" s="425"/>
      <c r="R377" s="425"/>
      <c r="S377" s="425"/>
      <c r="T377" s="556"/>
      <c r="U377" s="425"/>
      <c r="V377" s="425"/>
      <c r="W377" s="560"/>
      <c r="X377" s="414" t="s">
        <v>343</v>
      </c>
      <c r="Y377" s="414" t="s">
        <v>1021</v>
      </c>
      <c r="Z377" s="414" t="s">
        <v>741</v>
      </c>
      <c r="AA377" s="414">
        <v>36</v>
      </c>
      <c r="AB377" s="414" t="s">
        <v>1022</v>
      </c>
      <c r="AC377" s="425"/>
      <c r="AD377" s="425"/>
      <c r="AE377" s="425"/>
      <c r="AF377" s="425"/>
      <c r="AG377" s="414" t="s">
        <v>337</v>
      </c>
      <c r="AH377" s="425"/>
      <c r="AI377" s="425"/>
      <c r="AJ377" s="425"/>
      <c r="AK377" s="425"/>
      <c r="AL377" s="425"/>
      <c r="AM377" s="259"/>
      <c r="AN377" s="259"/>
    </row>
    <row r="378" spans="1:40" ht="22.5" hidden="1" customHeight="1" x14ac:dyDescent="0.2">
      <c r="A378" s="413">
        <v>45939.414121377311</v>
      </c>
      <c r="B378" s="414" t="s">
        <v>56</v>
      </c>
      <c r="C378" s="414" t="s">
        <v>338</v>
      </c>
      <c r="D378" s="556" t="str">
        <f t="shared" si="0"/>
        <v>2012</v>
      </c>
      <c r="E378" s="557" t="s">
        <v>1023</v>
      </c>
      <c r="F378" s="414">
        <v>28892</v>
      </c>
      <c r="G378" s="414">
        <v>9256</v>
      </c>
      <c r="H378" s="558" t="s">
        <v>624</v>
      </c>
      <c r="I378" s="414">
        <v>1088</v>
      </c>
      <c r="J378" s="559" t="s">
        <v>54</v>
      </c>
      <c r="K378" s="425"/>
      <c r="L378" s="425"/>
      <c r="M378" s="425"/>
      <c r="N378" s="425"/>
      <c r="O378" s="556"/>
      <c r="P378" s="425"/>
      <c r="Q378" s="425"/>
      <c r="R378" s="425"/>
      <c r="S378" s="425"/>
      <c r="T378" s="556"/>
      <c r="U378" s="425"/>
      <c r="V378" s="425"/>
      <c r="W378" s="560"/>
      <c r="X378" s="414" t="s">
        <v>343</v>
      </c>
      <c r="Y378" s="414" t="s">
        <v>689</v>
      </c>
      <c r="Z378" s="414" t="s">
        <v>1024</v>
      </c>
      <c r="AA378" s="414">
        <v>34</v>
      </c>
      <c r="AB378" s="425"/>
      <c r="AC378" s="425"/>
      <c r="AD378" s="425"/>
      <c r="AE378" s="425"/>
      <c r="AF378" s="425"/>
      <c r="AG378" s="414" t="s">
        <v>337</v>
      </c>
      <c r="AH378" s="425"/>
      <c r="AI378" s="425"/>
      <c r="AJ378" s="425"/>
      <c r="AK378" s="425"/>
      <c r="AL378" s="425"/>
      <c r="AM378" s="259"/>
      <c r="AN378" s="259"/>
    </row>
    <row r="379" spans="1:40" ht="22.5" hidden="1" customHeight="1" x14ac:dyDescent="0.2">
      <c r="A379" s="413">
        <v>45939.500156412032</v>
      </c>
      <c r="B379" s="414" t="s">
        <v>291</v>
      </c>
      <c r="C379" s="414" t="s">
        <v>338</v>
      </c>
      <c r="D379" s="556" t="str">
        <f t="shared" si="0"/>
        <v/>
      </c>
      <c r="E379" s="425"/>
      <c r="F379" s="425"/>
      <c r="G379" s="425"/>
      <c r="H379" s="562"/>
      <c r="I379" s="425"/>
      <c r="J379" s="560"/>
      <c r="K379" s="425"/>
      <c r="L379" s="425"/>
      <c r="M379" s="425"/>
      <c r="N379" s="425"/>
      <c r="O379" s="556"/>
      <c r="P379" s="425"/>
      <c r="Q379" s="425"/>
      <c r="R379" s="425"/>
      <c r="S379" s="425"/>
      <c r="T379" s="563" t="s">
        <v>1025</v>
      </c>
      <c r="U379" s="414" t="s">
        <v>359</v>
      </c>
      <c r="V379" s="414">
        <v>57049</v>
      </c>
      <c r="W379" s="559">
        <v>13014</v>
      </c>
      <c r="X379" s="414" t="s">
        <v>343</v>
      </c>
      <c r="Y379" s="414" t="s">
        <v>689</v>
      </c>
      <c r="Z379" s="414" t="s">
        <v>741</v>
      </c>
      <c r="AA379" s="414">
        <v>27</v>
      </c>
      <c r="AB379" s="425"/>
      <c r="AC379" s="425"/>
      <c r="AD379" s="425"/>
      <c r="AE379" s="425"/>
      <c r="AF379" s="425"/>
      <c r="AG379" s="414" t="s">
        <v>337</v>
      </c>
      <c r="AH379" s="425"/>
      <c r="AI379" s="425"/>
      <c r="AJ379" s="425"/>
      <c r="AK379" s="425"/>
      <c r="AL379" s="425"/>
      <c r="AM379" s="259"/>
      <c r="AN379" s="259"/>
    </row>
    <row r="380" spans="1:40" ht="22.5" hidden="1" customHeight="1" x14ac:dyDescent="0.2">
      <c r="A380" s="413">
        <v>45939.500911249997</v>
      </c>
      <c r="B380" s="414" t="s">
        <v>291</v>
      </c>
      <c r="C380" s="414" t="s">
        <v>338</v>
      </c>
      <c r="D380" s="556" t="str">
        <f t="shared" si="0"/>
        <v/>
      </c>
      <c r="E380" s="425"/>
      <c r="F380" s="425"/>
      <c r="G380" s="425"/>
      <c r="H380" s="562"/>
      <c r="I380" s="425"/>
      <c r="J380" s="560"/>
      <c r="K380" s="425"/>
      <c r="L380" s="425"/>
      <c r="M380" s="425"/>
      <c r="N380" s="425"/>
      <c r="O380" s="556"/>
      <c r="P380" s="425"/>
      <c r="Q380" s="425"/>
      <c r="R380" s="425"/>
      <c r="S380" s="425"/>
      <c r="T380" s="563" t="s">
        <v>1026</v>
      </c>
      <c r="U380" s="414">
        <v>2921</v>
      </c>
      <c r="V380" s="414">
        <v>49341</v>
      </c>
      <c r="W380" s="559">
        <v>15122</v>
      </c>
      <c r="X380" s="414" t="s">
        <v>343</v>
      </c>
      <c r="Y380" s="414" t="s">
        <v>689</v>
      </c>
      <c r="Z380" s="414" t="s">
        <v>913</v>
      </c>
      <c r="AA380" s="414">
        <v>67</v>
      </c>
      <c r="AB380" s="425"/>
      <c r="AC380" s="425"/>
      <c r="AD380" s="425"/>
      <c r="AE380" s="425"/>
      <c r="AF380" s="425"/>
      <c r="AG380" s="414" t="s">
        <v>337</v>
      </c>
      <c r="AH380" s="425"/>
      <c r="AI380" s="425"/>
      <c r="AJ380" s="425"/>
      <c r="AK380" s="425"/>
      <c r="AL380" s="425"/>
      <c r="AM380" s="259"/>
      <c r="AN380" s="259"/>
    </row>
    <row r="381" spans="1:40" ht="22.5" hidden="1" customHeight="1" x14ac:dyDescent="0.2">
      <c r="A381" s="413">
        <v>45940.695500740738</v>
      </c>
      <c r="B381" s="414" t="s">
        <v>56</v>
      </c>
      <c r="C381" s="414" t="s">
        <v>381</v>
      </c>
      <c r="D381" s="556" t="str">
        <f t="shared" si="0"/>
        <v>2017</v>
      </c>
      <c r="E381" s="414" t="s">
        <v>1027</v>
      </c>
      <c r="F381" s="414">
        <v>49341</v>
      </c>
      <c r="G381" s="414">
        <v>15122</v>
      </c>
      <c r="H381" s="558" t="s">
        <v>368</v>
      </c>
      <c r="I381" s="414">
        <v>2921</v>
      </c>
      <c r="J381" s="559" t="s">
        <v>53</v>
      </c>
      <c r="K381" s="425"/>
      <c r="L381" s="425"/>
      <c r="M381" s="425"/>
      <c r="N381" s="425"/>
      <c r="O381" s="556"/>
      <c r="P381" s="425"/>
      <c r="Q381" s="425"/>
      <c r="R381" s="425"/>
      <c r="S381" s="425"/>
      <c r="T381" s="556"/>
      <c r="U381" s="425"/>
      <c r="V381" s="425"/>
      <c r="W381" s="560"/>
      <c r="X381" s="414" t="s">
        <v>343</v>
      </c>
      <c r="Y381" s="425"/>
      <c r="Z381" s="425"/>
      <c r="AA381" s="425"/>
      <c r="AB381" s="425"/>
      <c r="AC381" s="425"/>
      <c r="AD381" s="425"/>
      <c r="AE381" s="425"/>
      <c r="AF381" s="425"/>
      <c r="AG381" s="414" t="s">
        <v>337</v>
      </c>
      <c r="AH381" s="425"/>
      <c r="AI381" s="425"/>
      <c r="AJ381" s="425"/>
      <c r="AK381" s="425"/>
      <c r="AL381" s="425"/>
      <c r="AM381" s="259"/>
      <c r="AN381" s="259"/>
    </row>
    <row r="382" spans="1:40" ht="22.5" hidden="1" customHeight="1" x14ac:dyDescent="0.2">
      <c r="A382" s="486">
        <v>45940.697103240745</v>
      </c>
      <c r="B382" s="487" t="s">
        <v>56</v>
      </c>
      <c r="C382" s="487" t="s">
        <v>381</v>
      </c>
      <c r="D382" s="564" t="str">
        <f t="shared" si="0"/>
        <v>3014</v>
      </c>
      <c r="E382" s="487">
        <v>13014</v>
      </c>
      <c r="F382" s="487">
        <v>57049</v>
      </c>
      <c r="G382" s="487">
        <v>13014</v>
      </c>
      <c r="H382" s="565" t="s">
        <v>363</v>
      </c>
      <c r="I382" s="487" t="s">
        <v>359</v>
      </c>
      <c r="J382" s="566" t="s">
        <v>53</v>
      </c>
      <c r="K382" s="498"/>
      <c r="L382" s="498"/>
      <c r="M382" s="498"/>
      <c r="N382" s="498"/>
      <c r="O382" s="564"/>
      <c r="P382" s="498"/>
      <c r="Q382" s="498"/>
      <c r="R382" s="498"/>
      <c r="S382" s="498"/>
      <c r="T382" s="564"/>
      <c r="U382" s="498"/>
      <c r="V382" s="498"/>
      <c r="W382" s="567"/>
      <c r="X382" s="487" t="s">
        <v>343</v>
      </c>
      <c r="Y382" s="498"/>
      <c r="Z382" s="498"/>
      <c r="AA382" s="498"/>
      <c r="AB382" s="498"/>
      <c r="AC382" s="498"/>
      <c r="AD382" s="498"/>
      <c r="AE382" s="498"/>
      <c r="AF382" s="498"/>
      <c r="AG382" s="487" t="s">
        <v>337</v>
      </c>
      <c r="AH382" s="498"/>
      <c r="AI382" s="498"/>
      <c r="AJ382" s="498"/>
      <c r="AK382" s="498"/>
      <c r="AL382" s="498"/>
      <c r="AM382" s="499"/>
      <c r="AN382" s="499"/>
    </row>
    <row r="383" spans="1:40" ht="22.5" hidden="1" customHeight="1" x14ac:dyDescent="0.2">
      <c r="A383" s="413">
        <v>45941.390204780095</v>
      </c>
      <c r="B383" s="414" t="s">
        <v>56</v>
      </c>
      <c r="C383" s="414" t="s">
        <v>381</v>
      </c>
      <c r="D383" s="556" t="str">
        <f t="shared" si="0"/>
        <v>2006</v>
      </c>
      <c r="E383" s="557" t="s">
        <v>1028</v>
      </c>
      <c r="F383" s="414">
        <v>12509</v>
      </c>
      <c r="G383" s="414">
        <v>12813</v>
      </c>
      <c r="H383" s="558" t="s">
        <v>1029</v>
      </c>
      <c r="I383" s="414">
        <v>1591</v>
      </c>
      <c r="J383" s="559" t="s">
        <v>53</v>
      </c>
      <c r="K383" s="425"/>
      <c r="L383" s="425"/>
      <c r="M383" s="425"/>
      <c r="N383" s="425"/>
      <c r="O383" s="556"/>
      <c r="P383" s="425"/>
      <c r="Q383" s="425"/>
      <c r="R383" s="425"/>
      <c r="S383" s="425"/>
      <c r="T383" s="556"/>
      <c r="U383" s="425"/>
      <c r="V383" s="425"/>
      <c r="W383" s="560"/>
      <c r="X383" s="414" t="s">
        <v>343</v>
      </c>
      <c r="Y383" s="414" t="s">
        <v>662</v>
      </c>
      <c r="Z383" s="414" t="s">
        <v>1030</v>
      </c>
      <c r="AA383" s="414">
        <v>17</v>
      </c>
      <c r="AB383" s="425"/>
      <c r="AC383" s="425"/>
      <c r="AD383" s="425"/>
      <c r="AE383" s="425"/>
      <c r="AF383" s="425"/>
      <c r="AG383" s="414" t="s">
        <v>337</v>
      </c>
      <c r="AH383" s="425"/>
      <c r="AI383" s="425"/>
      <c r="AJ383" s="425"/>
      <c r="AK383" s="425"/>
      <c r="AL383" s="425"/>
      <c r="AM383" s="259"/>
      <c r="AN383" s="259"/>
    </row>
    <row r="384" spans="1:40" ht="22.5" hidden="1" customHeight="1" x14ac:dyDescent="0.2">
      <c r="A384" s="413">
        <v>45941.391168483795</v>
      </c>
      <c r="B384" s="414" t="s">
        <v>56</v>
      </c>
      <c r="C384" s="414" t="s">
        <v>381</v>
      </c>
      <c r="D384" s="556" t="str">
        <f t="shared" si="0"/>
        <v>2006</v>
      </c>
      <c r="E384" s="557" t="s">
        <v>1031</v>
      </c>
      <c r="F384" s="414">
        <v>12693</v>
      </c>
      <c r="G384" s="414">
        <v>14326</v>
      </c>
      <c r="H384" s="558" t="s">
        <v>1032</v>
      </c>
      <c r="I384" s="414">
        <v>1766</v>
      </c>
      <c r="J384" s="559" t="s">
        <v>53</v>
      </c>
      <c r="K384" s="425"/>
      <c r="L384" s="425"/>
      <c r="M384" s="425"/>
      <c r="N384" s="425"/>
      <c r="O384" s="556"/>
      <c r="P384" s="425"/>
      <c r="Q384" s="425"/>
      <c r="R384" s="425"/>
      <c r="S384" s="425"/>
      <c r="T384" s="556"/>
      <c r="U384" s="425"/>
      <c r="V384" s="425"/>
      <c r="W384" s="560"/>
      <c r="X384" s="414" t="s">
        <v>343</v>
      </c>
      <c r="Y384" s="414" t="s">
        <v>662</v>
      </c>
      <c r="Z384" s="414" t="s">
        <v>820</v>
      </c>
      <c r="AA384" s="414">
        <v>3</v>
      </c>
      <c r="AB384" s="425"/>
      <c r="AC384" s="425"/>
      <c r="AD384" s="425"/>
      <c r="AE384" s="425"/>
      <c r="AF384" s="425"/>
      <c r="AG384" s="414" t="s">
        <v>337</v>
      </c>
      <c r="AH384" s="425"/>
      <c r="AI384" s="425"/>
      <c r="AJ384" s="425"/>
      <c r="AK384" s="425"/>
      <c r="AL384" s="425"/>
      <c r="AM384" s="259"/>
      <c r="AN384" s="259"/>
    </row>
    <row r="385" spans="1:40" ht="22.5" hidden="1" customHeight="1" x14ac:dyDescent="0.2">
      <c r="A385" s="413">
        <v>45941.391840497687</v>
      </c>
      <c r="B385" s="414" t="s">
        <v>56</v>
      </c>
      <c r="C385" s="414" t="s">
        <v>381</v>
      </c>
      <c r="D385" s="556" t="str">
        <f t="shared" si="0"/>
        <v>2006</v>
      </c>
      <c r="E385" s="557" t="s">
        <v>1033</v>
      </c>
      <c r="F385" s="414">
        <v>12838</v>
      </c>
      <c r="G385" s="414">
        <v>15254</v>
      </c>
      <c r="H385" s="558" t="s">
        <v>1034</v>
      </c>
      <c r="I385" s="414">
        <v>1879</v>
      </c>
      <c r="J385" s="559" t="s">
        <v>53</v>
      </c>
      <c r="K385" s="425"/>
      <c r="L385" s="425"/>
      <c r="M385" s="425"/>
      <c r="N385" s="425"/>
      <c r="O385" s="556"/>
      <c r="P385" s="425"/>
      <c r="Q385" s="425"/>
      <c r="R385" s="425"/>
      <c r="S385" s="425"/>
      <c r="T385" s="556"/>
      <c r="U385" s="425"/>
      <c r="V385" s="425"/>
      <c r="W385" s="560"/>
      <c r="X385" s="414" t="s">
        <v>343</v>
      </c>
      <c r="Y385" s="414" t="s">
        <v>662</v>
      </c>
      <c r="Z385" s="414" t="s">
        <v>820</v>
      </c>
      <c r="AA385" s="414">
        <v>3</v>
      </c>
      <c r="AB385" s="425"/>
      <c r="AC385" s="425"/>
      <c r="AD385" s="425"/>
      <c r="AE385" s="425"/>
      <c r="AF385" s="425"/>
      <c r="AG385" s="414" t="s">
        <v>337</v>
      </c>
      <c r="AH385" s="425"/>
      <c r="AI385" s="425"/>
      <c r="AJ385" s="425"/>
      <c r="AK385" s="425"/>
      <c r="AL385" s="425"/>
      <c r="AM385" s="259"/>
      <c r="AN385" s="259"/>
    </row>
    <row r="386" spans="1:40" ht="22.5" hidden="1" customHeight="1" x14ac:dyDescent="0.2">
      <c r="A386" s="413">
        <v>45941.465933993051</v>
      </c>
      <c r="B386" s="414" t="s">
        <v>56</v>
      </c>
      <c r="C386" s="414" t="s">
        <v>381</v>
      </c>
      <c r="D386" s="556" t="str">
        <f t="shared" si="0"/>
        <v>2001</v>
      </c>
      <c r="E386" s="557" t="s">
        <v>1035</v>
      </c>
      <c r="F386" s="414">
        <v>5714</v>
      </c>
      <c r="G386" s="414">
        <v>4073</v>
      </c>
      <c r="H386" s="558" t="s">
        <v>1036</v>
      </c>
      <c r="I386" s="414">
        <v>667</v>
      </c>
      <c r="J386" s="559" t="s">
        <v>53</v>
      </c>
      <c r="K386" s="425"/>
      <c r="L386" s="425"/>
      <c r="M386" s="425"/>
      <c r="N386" s="425"/>
      <c r="O386" s="556"/>
      <c r="P386" s="425"/>
      <c r="Q386" s="425"/>
      <c r="R386" s="425"/>
      <c r="S386" s="425"/>
      <c r="T386" s="556"/>
      <c r="U386" s="425"/>
      <c r="V386" s="425"/>
      <c r="W386" s="560"/>
      <c r="X386" s="414" t="s">
        <v>343</v>
      </c>
      <c r="Y386" s="414" t="s">
        <v>662</v>
      </c>
      <c r="Z386" s="414" t="s">
        <v>730</v>
      </c>
      <c r="AA386" s="414">
        <v>10</v>
      </c>
      <c r="AB386" s="425"/>
      <c r="AC386" s="425"/>
      <c r="AD386" s="425"/>
      <c r="AE386" s="425"/>
      <c r="AF386" s="425"/>
      <c r="AG386" s="414" t="s">
        <v>337</v>
      </c>
      <c r="AH386" s="425"/>
      <c r="AI386" s="425"/>
      <c r="AJ386" s="425"/>
      <c r="AK386" s="425"/>
      <c r="AL386" s="425"/>
      <c r="AM386" s="259"/>
      <c r="AN386" s="259"/>
    </row>
    <row r="387" spans="1:40" ht="22.5" hidden="1" customHeight="1" x14ac:dyDescent="0.2">
      <c r="A387" s="413">
        <v>45943.490530115741</v>
      </c>
      <c r="B387" s="414" t="s">
        <v>56</v>
      </c>
      <c r="C387" s="414" t="s">
        <v>381</v>
      </c>
      <c r="D387" s="556" t="str">
        <f t="shared" si="0"/>
        <v>2023</v>
      </c>
      <c r="E387" s="557" t="s">
        <v>1037</v>
      </c>
      <c r="F387" s="414">
        <v>69888</v>
      </c>
      <c r="G387" s="414">
        <v>13128</v>
      </c>
      <c r="H387" s="558" t="s">
        <v>1038</v>
      </c>
      <c r="I387" s="414" t="s">
        <v>359</v>
      </c>
      <c r="J387" s="559" t="s">
        <v>53</v>
      </c>
      <c r="K387" s="425"/>
      <c r="L387" s="425"/>
      <c r="M387" s="425"/>
      <c r="N387" s="425"/>
      <c r="O387" s="556"/>
      <c r="P387" s="425"/>
      <c r="Q387" s="425"/>
      <c r="R387" s="425"/>
      <c r="S387" s="425"/>
      <c r="T387" s="556"/>
      <c r="U387" s="425"/>
      <c r="V387" s="425"/>
      <c r="W387" s="560"/>
      <c r="X387" s="414" t="s">
        <v>343</v>
      </c>
      <c r="Y387" s="414" t="s">
        <v>689</v>
      </c>
      <c r="Z387" s="414" t="s">
        <v>996</v>
      </c>
      <c r="AA387" s="414">
        <v>6</v>
      </c>
      <c r="AB387" s="425"/>
      <c r="AC387" s="425"/>
      <c r="AD387" s="425"/>
      <c r="AE387" s="425"/>
      <c r="AF387" s="425"/>
      <c r="AG387" s="414" t="s">
        <v>337</v>
      </c>
      <c r="AH387" s="425"/>
      <c r="AI387" s="425"/>
      <c r="AJ387" s="425"/>
      <c r="AK387" s="425"/>
      <c r="AL387" s="425"/>
      <c r="AM387" s="259"/>
      <c r="AN387" s="259"/>
    </row>
    <row r="388" spans="1:40" ht="22.5" hidden="1" customHeight="1" x14ac:dyDescent="0.2">
      <c r="A388" s="413">
        <v>45943.547257129627</v>
      </c>
      <c r="B388" s="414" t="s">
        <v>56</v>
      </c>
      <c r="C388" s="414" t="s">
        <v>381</v>
      </c>
      <c r="D388" s="556" t="str">
        <f t="shared" si="0"/>
        <v>2022</v>
      </c>
      <c r="E388" s="557" t="s">
        <v>1039</v>
      </c>
      <c r="F388" s="414">
        <v>65563</v>
      </c>
      <c r="G388" s="414">
        <v>11730</v>
      </c>
      <c r="H388" s="558" t="s">
        <v>1040</v>
      </c>
      <c r="I388" s="414">
        <v>2229</v>
      </c>
      <c r="J388" s="559" t="s">
        <v>53</v>
      </c>
      <c r="K388" s="425"/>
      <c r="L388" s="425"/>
      <c r="M388" s="425"/>
      <c r="N388" s="425"/>
      <c r="O388" s="556"/>
      <c r="P388" s="425"/>
      <c r="Q388" s="425"/>
      <c r="R388" s="425"/>
      <c r="S388" s="425"/>
      <c r="T388" s="556"/>
      <c r="U388" s="425"/>
      <c r="V388" s="425"/>
      <c r="W388" s="560"/>
      <c r="X388" s="414" t="s">
        <v>343</v>
      </c>
      <c r="Y388" s="414" t="s">
        <v>689</v>
      </c>
      <c r="Z388" s="414" t="s">
        <v>702</v>
      </c>
      <c r="AA388" s="414">
        <v>4</v>
      </c>
      <c r="AB388" s="425"/>
      <c r="AC388" s="425"/>
      <c r="AD388" s="425"/>
      <c r="AE388" s="425"/>
      <c r="AF388" s="425"/>
      <c r="AG388" s="414" t="s">
        <v>337</v>
      </c>
      <c r="AH388" s="425"/>
      <c r="AI388" s="425"/>
      <c r="AJ388" s="425"/>
      <c r="AK388" s="425"/>
      <c r="AL388" s="425"/>
      <c r="AM388" s="259"/>
      <c r="AN388" s="259"/>
    </row>
    <row r="389" spans="1:40" ht="22.5" hidden="1" customHeight="1" x14ac:dyDescent="0.2">
      <c r="A389" s="413">
        <v>45944.615546724541</v>
      </c>
      <c r="B389" s="414" t="s">
        <v>56</v>
      </c>
      <c r="C389" s="414" t="s">
        <v>381</v>
      </c>
      <c r="D389" s="556" t="str">
        <f t="shared" si="0"/>
        <v>2023</v>
      </c>
      <c r="E389" s="557" t="s">
        <v>1041</v>
      </c>
      <c r="F389" s="414">
        <v>69997</v>
      </c>
      <c r="G389" s="414">
        <v>13793</v>
      </c>
      <c r="H389" s="558" t="s">
        <v>1042</v>
      </c>
      <c r="I389" s="414">
        <v>2703</v>
      </c>
      <c r="J389" s="559" t="s">
        <v>53</v>
      </c>
      <c r="K389" s="425"/>
      <c r="L389" s="425"/>
      <c r="M389" s="425"/>
      <c r="N389" s="425"/>
      <c r="O389" s="556"/>
      <c r="P389" s="425"/>
      <c r="Q389" s="425"/>
      <c r="R389" s="425"/>
      <c r="S389" s="425"/>
      <c r="T389" s="556"/>
      <c r="U389" s="425"/>
      <c r="V389" s="425"/>
      <c r="W389" s="560"/>
      <c r="X389" s="414" t="s">
        <v>343</v>
      </c>
      <c r="Y389" s="414" t="s">
        <v>701</v>
      </c>
      <c r="Z389" s="414" t="s">
        <v>719</v>
      </c>
      <c r="AA389" s="425"/>
      <c r="AB389" s="425"/>
      <c r="AC389" s="425"/>
      <c r="AD389" s="425"/>
      <c r="AE389" s="425"/>
      <c r="AF389" s="425"/>
      <c r="AG389" s="414" t="s">
        <v>337</v>
      </c>
      <c r="AH389" s="425"/>
      <c r="AI389" s="425"/>
      <c r="AJ389" s="425"/>
      <c r="AK389" s="425"/>
      <c r="AL389" s="425"/>
      <c r="AM389" s="259"/>
      <c r="AN389" s="259"/>
    </row>
    <row r="390" spans="1:40" ht="22.5" hidden="1" customHeight="1" x14ac:dyDescent="0.2">
      <c r="A390" s="413">
        <v>45945.559556273147</v>
      </c>
      <c r="B390" s="414" t="s">
        <v>56</v>
      </c>
      <c r="C390" s="414" t="s">
        <v>369</v>
      </c>
      <c r="D390" s="556" t="str">
        <f t="shared" si="0"/>
        <v>2008</v>
      </c>
      <c r="E390" s="557" t="s">
        <v>1043</v>
      </c>
      <c r="F390" s="414">
        <v>17345</v>
      </c>
      <c r="G390" s="414">
        <v>28375</v>
      </c>
      <c r="H390" s="558" t="s">
        <v>1044</v>
      </c>
      <c r="I390" s="414">
        <v>3398</v>
      </c>
      <c r="J390" s="559" t="s">
        <v>53</v>
      </c>
      <c r="K390" s="425"/>
      <c r="L390" s="425"/>
      <c r="M390" s="425"/>
      <c r="N390" s="425"/>
      <c r="O390" s="556"/>
      <c r="P390" s="425"/>
      <c r="Q390" s="425"/>
      <c r="R390" s="425"/>
      <c r="S390" s="425"/>
      <c r="T390" s="556"/>
      <c r="U390" s="425"/>
      <c r="V390" s="425"/>
      <c r="W390" s="560"/>
      <c r="X390" s="414" t="s">
        <v>343</v>
      </c>
      <c r="Y390" s="414" t="s">
        <v>701</v>
      </c>
      <c r="Z390" s="414" t="s">
        <v>750</v>
      </c>
      <c r="AA390" s="414">
        <v>27</v>
      </c>
      <c r="AB390" s="425"/>
      <c r="AC390" s="425"/>
      <c r="AD390" s="425"/>
      <c r="AE390" s="425"/>
      <c r="AF390" s="425"/>
      <c r="AG390" s="414" t="s">
        <v>337</v>
      </c>
      <c r="AH390" s="425"/>
      <c r="AI390" s="425"/>
      <c r="AJ390" s="425"/>
      <c r="AK390" s="425"/>
      <c r="AL390" s="425"/>
      <c r="AM390" s="259"/>
      <c r="AN390" s="259"/>
    </row>
    <row r="391" spans="1:40" ht="22.5" hidden="1" customHeight="1" x14ac:dyDescent="0.2">
      <c r="A391" s="413">
        <v>45946.524537511577</v>
      </c>
      <c r="B391" s="414" t="s">
        <v>436</v>
      </c>
      <c r="C391" s="414" t="s">
        <v>381</v>
      </c>
      <c r="D391" s="556" t="str">
        <f t="shared" si="0"/>
        <v/>
      </c>
      <c r="E391" s="425"/>
      <c r="F391" s="425"/>
      <c r="G391" s="425"/>
      <c r="H391" s="562"/>
      <c r="I391" s="425"/>
      <c r="J391" s="560"/>
      <c r="K391" s="425"/>
      <c r="L391" s="425"/>
      <c r="M391" s="425"/>
      <c r="N391" s="425"/>
      <c r="O391" s="563" t="s">
        <v>1045</v>
      </c>
      <c r="P391" s="414">
        <v>2123</v>
      </c>
      <c r="Q391" s="414">
        <v>886</v>
      </c>
      <c r="R391" s="414">
        <v>183</v>
      </c>
      <c r="S391" s="425"/>
      <c r="T391" s="556"/>
      <c r="U391" s="425"/>
      <c r="V391" s="425"/>
      <c r="W391" s="560"/>
      <c r="X391" s="414" t="s">
        <v>343</v>
      </c>
      <c r="Y391" s="414" t="s">
        <v>689</v>
      </c>
      <c r="Z391" s="414" t="s">
        <v>820</v>
      </c>
      <c r="AA391" s="414">
        <v>2</v>
      </c>
      <c r="AB391" s="425"/>
      <c r="AC391" s="425"/>
      <c r="AD391" s="425"/>
      <c r="AE391" s="425"/>
      <c r="AF391" s="425"/>
      <c r="AG391" s="414" t="s">
        <v>337</v>
      </c>
      <c r="AH391" s="425"/>
      <c r="AI391" s="425"/>
      <c r="AJ391" s="425"/>
      <c r="AK391" s="425"/>
      <c r="AL391" s="425"/>
      <c r="AM391" s="259"/>
      <c r="AN391" s="259"/>
    </row>
    <row r="392" spans="1:40" ht="22.5" hidden="1" customHeight="1" x14ac:dyDescent="0.2">
      <c r="A392" s="413">
        <v>45947.716605706017</v>
      </c>
      <c r="B392" s="414" t="s">
        <v>56</v>
      </c>
      <c r="C392" s="414" t="s">
        <v>381</v>
      </c>
      <c r="D392" s="556" t="str">
        <f t="shared" si="0"/>
        <v>2022</v>
      </c>
      <c r="E392" s="557" t="s">
        <v>1046</v>
      </c>
      <c r="F392" s="414">
        <v>63182</v>
      </c>
      <c r="G392" s="414">
        <v>3312</v>
      </c>
      <c r="H392" s="558" t="s">
        <v>1047</v>
      </c>
      <c r="I392" s="414">
        <v>633</v>
      </c>
      <c r="J392" s="559" t="s">
        <v>54</v>
      </c>
      <c r="K392" s="425"/>
      <c r="L392" s="425"/>
      <c r="M392" s="425"/>
      <c r="N392" s="425"/>
      <c r="O392" s="556"/>
      <c r="P392" s="425"/>
      <c r="Q392" s="425"/>
      <c r="R392" s="425"/>
      <c r="S392" s="425"/>
      <c r="T392" s="556"/>
      <c r="U392" s="425"/>
      <c r="V392" s="425"/>
      <c r="W392" s="560"/>
      <c r="X392" s="414" t="s">
        <v>343</v>
      </c>
      <c r="Y392" s="414" t="s">
        <v>662</v>
      </c>
      <c r="Z392" s="425"/>
      <c r="AA392" s="425"/>
      <c r="AB392" s="425"/>
      <c r="AC392" s="425"/>
      <c r="AD392" s="425"/>
      <c r="AE392" s="425"/>
      <c r="AF392" s="425"/>
      <c r="AG392" s="414" t="s">
        <v>337</v>
      </c>
      <c r="AH392" s="425"/>
      <c r="AI392" s="425"/>
      <c r="AJ392" s="425"/>
      <c r="AK392" s="425"/>
      <c r="AL392" s="425"/>
      <c r="AM392" s="259"/>
      <c r="AN392" s="259"/>
    </row>
    <row r="393" spans="1:40" ht="22.5" hidden="1" customHeight="1" x14ac:dyDescent="0.2">
      <c r="A393" s="413">
        <v>45947.717287824074</v>
      </c>
      <c r="B393" s="414" t="s">
        <v>56</v>
      </c>
      <c r="C393" s="414" t="s">
        <v>381</v>
      </c>
      <c r="D393" s="556" t="str">
        <f t="shared" si="0"/>
        <v>2022</v>
      </c>
      <c r="E393" s="557" t="s">
        <v>1048</v>
      </c>
      <c r="F393" s="414">
        <v>55993</v>
      </c>
      <c r="G393" s="414">
        <v>4086</v>
      </c>
      <c r="H393" s="558" t="s">
        <v>476</v>
      </c>
      <c r="I393" s="414">
        <v>783</v>
      </c>
      <c r="J393" s="559" t="s">
        <v>54</v>
      </c>
      <c r="K393" s="425"/>
      <c r="L393" s="425"/>
      <c r="M393" s="425"/>
      <c r="N393" s="425"/>
      <c r="O393" s="556"/>
      <c r="P393" s="425"/>
      <c r="Q393" s="425"/>
      <c r="R393" s="425"/>
      <c r="S393" s="425"/>
      <c r="T393" s="556"/>
      <c r="U393" s="425"/>
      <c r="V393" s="425"/>
      <c r="W393" s="560"/>
      <c r="X393" s="414" t="s">
        <v>343</v>
      </c>
      <c r="Y393" s="414" t="s">
        <v>1049</v>
      </c>
      <c r="Z393" s="425"/>
      <c r="AA393" s="425"/>
      <c r="AB393" s="425"/>
      <c r="AC393" s="425"/>
      <c r="AD393" s="425"/>
      <c r="AE393" s="425"/>
      <c r="AF393" s="425"/>
      <c r="AG393" s="414" t="s">
        <v>337</v>
      </c>
      <c r="AH393" s="425"/>
      <c r="AI393" s="425"/>
      <c r="AJ393" s="425"/>
      <c r="AK393" s="425"/>
      <c r="AL393" s="425"/>
      <c r="AM393" s="259"/>
      <c r="AN393" s="259"/>
    </row>
    <row r="394" spans="1:40" ht="24.75" hidden="1" customHeight="1" x14ac:dyDescent="0.2">
      <c r="A394" s="486">
        <v>45951.667871377314</v>
      </c>
      <c r="B394" s="487" t="s">
        <v>56</v>
      </c>
      <c r="C394" s="487" t="s">
        <v>381</v>
      </c>
      <c r="D394" s="564" t="str">
        <f t="shared" si="0"/>
        <v>2025</v>
      </c>
      <c r="E394" s="568" t="s">
        <v>1050</v>
      </c>
      <c r="F394" s="487">
        <v>77158</v>
      </c>
      <c r="G394" s="487">
        <v>9355</v>
      </c>
      <c r="H394" s="565" t="s">
        <v>530</v>
      </c>
      <c r="I394" s="487">
        <v>1757</v>
      </c>
      <c r="J394" s="566" t="s">
        <v>53</v>
      </c>
      <c r="K394" s="498"/>
      <c r="L394" s="498"/>
      <c r="M394" s="498"/>
      <c r="N394" s="498"/>
      <c r="O394" s="564"/>
      <c r="P394" s="498"/>
      <c r="Q394" s="498"/>
      <c r="R394" s="498"/>
      <c r="S394" s="498"/>
      <c r="T394" s="564"/>
      <c r="U394" s="498"/>
      <c r="V394" s="498"/>
      <c r="W394" s="567"/>
      <c r="X394" s="487" t="s">
        <v>343</v>
      </c>
      <c r="Y394" s="498"/>
      <c r="Z394" s="498"/>
      <c r="AA394" s="498"/>
      <c r="AB394" s="569" t="s">
        <v>1051</v>
      </c>
      <c r="AC394" s="498"/>
      <c r="AD394" s="498"/>
      <c r="AE394" s="498"/>
      <c r="AF394" s="498"/>
      <c r="AG394" s="487" t="s">
        <v>337</v>
      </c>
      <c r="AH394" s="498"/>
      <c r="AI394" s="498"/>
      <c r="AJ394" s="498"/>
      <c r="AK394" s="498"/>
      <c r="AL394" s="498"/>
      <c r="AM394" s="499"/>
      <c r="AN394" s="499"/>
    </row>
    <row r="395" spans="1:40" ht="22.5" hidden="1" customHeight="1" x14ac:dyDescent="0.2">
      <c r="A395" s="413">
        <v>45951.716194641209</v>
      </c>
      <c r="B395" s="414" t="s">
        <v>56</v>
      </c>
      <c r="C395" s="414" t="s">
        <v>464</v>
      </c>
      <c r="D395" s="556" t="str">
        <f t="shared" si="0"/>
        <v>2017</v>
      </c>
      <c r="E395" s="557" t="s">
        <v>1026</v>
      </c>
      <c r="F395" s="414">
        <v>49341</v>
      </c>
      <c r="G395" s="414">
        <v>15122</v>
      </c>
      <c r="H395" s="558" t="s">
        <v>368</v>
      </c>
      <c r="I395" s="414">
        <v>2921</v>
      </c>
      <c r="J395" s="559" t="s">
        <v>54</v>
      </c>
      <c r="K395" s="425"/>
      <c r="L395" s="425"/>
      <c r="M395" s="425"/>
      <c r="N395" s="425"/>
      <c r="O395" s="556"/>
      <c r="P395" s="425"/>
      <c r="Q395" s="425"/>
      <c r="R395" s="425"/>
      <c r="S395" s="425"/>
      <c r="T395" s="556"/>
      <c r="U395" s="425"/>
      <c r="V395" s="425"/>
      <c r="W395" s="560"/>
      <c r="X395" s="414" t="s">
        <v>343</v>
      </c>
      <c r="Y395" s="414" t="s">
        <v>689</v>
      </c>
      <c r="Z395" s="425"/>
      <c r="AA395" s="425"/>
      <c r="AB395" s="425"/>
      <c r="AC395" s="425"/>
      <c r="AD395" s="425"/>
      <c r="AE395" s="425"/>
      <c r="AF395" s="425"/>
      <c r="AG395" s="414" t="s">
        <v>337</v>
      </c>
      <c r="AH395" s="425"/>
      <c r="AI395" s="425"/>
      <c r="AJ395" s="425"/>
      <c r="AK395" s="425"/>
      <c r="AL395" s="425"/>
      <c r="AM395" s="259"/>
      <c r="AN395" s="259"/>
    </row>
    <row r="396" spans="1:40" ht="22.5" hidden="1" customHeight="1" x14ac:dyDescent="0.2">
      <c r="A396" s="413">
        <v>45951.717184201392</v>
      </c>
      <c r="B396" s="414" t="s">
        <v>56</v>
      </c>
      <c r="C396" s="414" t="s">
        <v>464</v>
      </c>
      <c r="D396" s="556" t="str">
        <f t="shared" si="0"/>
        <v>2019</v>
      </c>
      <c r="E396" s="557" t="s">
        <v>1025</v>
      </c>
      <c r="F396" s="414">
        <v>57049</v>
      </c>
      <c r="G396" s="414">
        <v>13014</v>
      </c>
      <c r="H396" s="558" t="s">
        <v>363</v>
      </c>
      <c r="I396" s="414" t="s">
        <v>359</v>
      </c>
      <c r="J396" s="559" t="s">
        <v>54</v>
      </c>
      <c r="K396" s="425"/>
      <c r="L396" s="425"/>
      <c r="M396" s="425"/>
      <c r="N396" s="425"/>
      <c r="O396" s="556"/>
      <c r="P396" s="425"/>
      <c r="Q396" s="425"/>
      <c r="R396" s="425"/>
      <c r="S396" s="425"/>
      <c r="T396" s="556"/>
      <c r="U396" s="425"/>
      <c r="V396" s="425"/>
      <c r="W396" s="560"/>
      <c r="X396" s="414" t="s">
        <v>343</v>
      </c>
      <c r="Y396" s="414" t="s">
        <v>689</v>
      </c>
      <c r="Z396" s="425"/>
      <c r="AA396" s="425"/>
      <c r="AB396" s="425"/>
      <c r="AC396" s="425"/>
      <c r="AD396" s="425"/>
      <c r="AE396" s="425"/>
      <c r="AF396" s="425"/>
      <c r="AG396" s="414" t="s">
        <v>337</v>
      </c>
      <c r="AH396" s="425"/>
      <c r="AI396" s="425"/>
      <c r="AJ396" s="425"/>
      <c r="AK396" s="425"/>
      <c r="AL396" s="425"/>
      <c r="AM396" s="259"/>
      <c r="AN396" s="259"/>
    </row>
    <row r="397" spans="1:40" ht="22.5" hidden="1" customHeight="1" x14ac:dyDescent="0.2">
      <c r="A397" s="413">
        <v>45952.491728171299</v>
      </c>
      <c r="B397" s="414" t="s">
        <v>56</v>
      </c>
      <c r="C397" s="414" t="s">
        <v>381</v>
      </c>
      <c r="D397" s="556" t="str">
        <f t="shared" si="0"/>
        <v>2021</v>
      </c>
      <c r="E397" s="557" t="s">
        <v>1052</v>
      </c>
      <c r="F397" s="414">
        <v>62547</v>
      </c>
      <c r="G397" s="414">
        <v>11331</v>
      </c>
      <c r="H397" s="558" t="s">
        <v>1053</v>
      </c>
      <c r="I397" s="414">
        <v>2335</v>
      </c>
      <c r="J397" s="559" t="s">
        <v>53</v>
      </c>
      <c r="K397" s="425"/>
      <c r="L397" s="425"/>
      <c r="M397" s="425"/>
      <c r="N397" s="425"/>
      <c r="O397" s="556"/>
      <c r="P397" s="425"/>
      <c r="Q397" s="425"/>
      <c r="R397" s="425"/>
      <c r="S397" s="425"/>
      <c r="T397" s="556"/>
      <c r="U397" s="425"/>
      <c r="V397" s="425"/>
      <c r="W397" s="560"/>
      <c r="X397" s="414" t="s">
        <v>343</v>
      </c>
      <c r="Y397" s="414" t="s">
        <v>689</v>
      </c>
      <c r="Z397" s="425"/>
      <c r="AA397" s="425"/>
      <c r="AB397" s="425"/>
      <c r="AC397" s="425"/>
      <c r="AD397" s="425"/>
      <c r="AE397" s="425"/>
      <c r="AF397" s="425"/>
      <c r="AG397" s="414" t="s">
        <v>337</v>
      </c>
      <c r="AH397" s="425"/>
      <c r="AI397" s="425"/>
      <c r="AJ397" s="425"/>
      <c r="AK397" s="425"/>
      <c r="AL397" s="425"/>
      <c r="AM397" s="259"/>
      <c r="AN397" s="259"/>
    </row>
    <row r="398" spans="1:40" ht="22.5" hidden="1" customHeight="1" x14ac:dyDescent="0.2">
      <c r="A398" s="413">
        <v>45952.4923666088</v>
      </c>
      <c r="B398" s="414" t="s">
        <v>56</v>
      </c>
      <c r="C398" s="414" t="s">
        <v>381</v>
      </c>
      <c r="D398" s="556" t="str">
        <f t="shared" si="0"/>
        <v>2022</v>
      </c>
      <c r="E398" s="557" t="s">
        <v>1054</v>
      </c>
      <c r="F398" s="414">
        <v>65636</v>
      </c>
      <c r="G398" s="414">
        <v>11902</v>
      </c>
      <c r="H398" s="558" t="s">
        <v>1055</v>
      </c>
      <c r="I398" s="414">
        <v>2268</v>
      </c>
      <c r="J398" s="559" t="s">
        <v>53</v>
      </c>
      <c r="K398" s="425"/>
      <c r="L398" s="425"/>
      <c r="M398" s="425"/>
      <c r="N398" s="425"/>
      <c r="O398" s="556"/>
      <c r="P398" s="425"/>
      <c r="Q398" s="425"/>
      <c r="R398" s="425"/>
      <c r="S398" s="425"/>
      <c r="T398" s="556"/>
      <c r="U398" s="425"/>
      <c r="V398" s="425"/>
      <c r="W398" s="560"/>
      <c r="X398" s="414" t="s">
        <v>343</v>
      </c>
      <c r="Y398" s="414" t="s">
        <v>689</v>
      </c>
      <c r="Z398" s="425"/>
      <c r="AA398" s="425"/>
      <c r="AB398" s="425"/>
      <c r="AC398" s="425"/>
      <c r="AD398" s="425"/>
      <c r="AE398" s="425"/>
      <c r="AF398" s="425"/>
      <c r="AG398" s="414" t="s">
        <v>337</v>
      </c>
      <c r="AH398" s="425"/>
      <c r="AI398" s="425"/>
      <c r="AJ398" s="425"/>
      <c r="AK398" s="425"/>
      <c r="AL398" s="425"/>
      <c r="AM398" s="259"/>
      <c r="AN398" s="259"/>
    </row>
    <row r="399" spans="1:40" ht="22.5" hidden="1" customHeight="1" x14ac:dyDescent="0.2">
      <c r="A399" s="486">
        <v>45952.715693136575</v>
      </c>
      <c r="B399" s="487" t="s">
        <v>56</v>
      </c>
      <c r="C399" s="487" t="s">
        <v>381</v>
      </c>
      <c r="D399" s="564" t="str">
        <f t="shared" si="0"/>
        <v>2023</v>
      </c>
      <c r="E399" s="568" t="s">
        <v>1056</v>
      </c>
      <c r="F399" s="487">
        <v>67553</v>
      </c>
      <c r="G399" s="487">
        <v>5419</v>
      </c>
      <c r="H399" s="565" t="s">
        <v>1057</v>
      </c>
      <c r="I399" s="487">
        <v>1026</v>
      </c>
      <c r="J399" s="566" t="s">
        <v>53</v>
      </c>
      <c r="K399" s="498"/>
      <c r="L399" s="498"/>
      <c r="M399" s="498"/>
      <c r="N399" s="498"/>
      <c r="O399" s="564"/>
      <c r="P399" s="498"/>
      <c r="Q399" s="498"/>
      <c r="R399" s="498"/>
      <c r="S399" s="498"/>
      <c r="T399" s="564"/>
      <c r="U399" s="498"/>
      <c r="V399" s="498"/>
      <c r="W399" s="567"/>
      <c r="X399" s="487" t="s">
        <v>343</v>
      </c>
      <c r="Y399" s="498"/>
      <c r="Z399" s="498"/>
      <c r="AA399" s="498"/>
      <c r="AB399" s="487" t="s">
        <v>1058</v>
      </c>
      <c r="AC399" s="498"/>
      <c r="AD399" s="498"/>
      <c r="AE399" s="498"/>
      <c r="AF399" s="498"/>
      <c r="AG399" s="487" t="s">
        <v>337</v>
      </c>
      <c r="AH399" s="498"/>
      <c r="AI399" s="498"/>
      <c r="AJ399" s="498"/>
      <c r="AK399" s="498"/>
      <c r="AL399" s="498"/>
      <c r="AM399" s="499"/>
      <c r="AN399" s="499"/>
    </row>
    <row r="400" spans="1:40" ht="22.5" hidden="1" customHeight="1" x14ac:dyDescent="0.2">
      <c r="A400" s="413">
        <v>45953.453804849538</v>
      </c>
      <c r="B400" s="414" t="s">
        <v>56</v>
      </c>
      <c r="C400" s="414" t="s">
        <v>381</v>
      </c>
      <c r="D400" s="556" t="str">
        <f t="shared" si="0"/>
        <v>2022</v>
      </c>
      <c r="E400" s="557" t="s">
        <v>1059</v>
      </c>
      <c r="F400" s="414">
        <v>66456</v>
      </c>
      <c r="G400" s="414">
        <v>15939</v>
      </c>
      <c r="H400" s="558" t="s">
        <v>1060</v>
      </c>
      <c r="I400" s="414">
        <v>2992</v>
      </c>
      <c r="J400" s="559" t="s">
        <v>53</v>
      </c>
      <c r="K400" s="425"/>
      <c r="L400" s="425"/>
      <c r="M400" s="425"/>
      <c r="N400" s="425"/>
      <c r="O400" s="556"/>
      <c r="P400" s="425"/>
      <c r="Q400" s="425"/>
      <c r="R400" s="425"/>
      <c r="S400" s="425"/>
      <c r="T400" s="556"/>
      <c r="U400" s="425"/>
      <c r="V400" s="425"/>
      <c r="W400" s="560"/>
      <c r="X400" s="414" t="s">
        <v>343</v>
      </c>
      <c r="Y400" s="414" t="s">
        <v>689</v>
      </c>
      <c r="Z400" s="414" t="s">
        <v>719</v>
      </c>
      <c r="AA400" s="414">
        <v>10</v>
      </c>
      <c r="AB400" s="425"/>
      <c r="AC400" s="425"/>
      <c r="AD400" s="425"/>
      <c r="AE400" s="425"/>
      <c r="AF400" s="425"/>
      <c r="AG400" s="414" t="s">
        <v>337</v>
      </c>
      <c r="AH400" s="425"/>
      <c r="AI400" s="425"/>
      <c r="AJ400" s="425"/>
      <c r="AK400" s="425"/>
      <c r="AL400" s="425"/>
      <c r="AM400" s="259"/>
      <c r="AN400" s="259"/>
    </row>
    <row r="401" spans="1:40" ht="22.5" hidden="1" customHeight="1" x14ac:dyDescent="0.2">
      <c r="A401" s="413">
        <v>45953.711028414356</v>
      </c>
      <c r="B401" s="414" t="s">
        <v>56</v>
      </c>
      <c r="C401" s="414" t="s">
        <v>381</v>
      </c>
      <c r="D401" s="556" t="str">
        <f t="shared" si="0"/>
        <v>2014</v>
      </c>
      <c r="E401" s="557" t="s">
        <v>1061</v>
      </c>
      <c r="F401" s="414">
        <v>37531</v>
      </c>
      <c r="G401" s="414">
        <v>21637</v>
      </c>
      <c r="H401" s="558" t="s">
        <v>1062</v>
      </c>
      <c r="I401" s="414">
        <v>2259</v>
      </c>
      <c r="J401" s="559" t="s">
        <v>53</v>
      </c>
      <c r="K401" s="425"/>
      <c r="L401" s="425"/>
      <c r="M401" s="425"/>
      <c r="N401" s="425"/>
      <c r="O401" s="556"/>
      <c r="P401" s="425"/>
      <c r="Q401" s="425"/>
      <c r="R401" s="425"/>
      <c r="S401" s="425"/>
      <c r="T401" s="556"/>
      <c r="U401" s="425"/>
      <c r="V401" s="425"/>
      <c r="W401" s="560"/>
      <c r="X401" s="414" t="s">
        <v>343</v>
      </c>
      <c r="Y401" s="414" t="s">
        <v>689</v>
      </c>
      <c r="Z401" s="414" t="s">
        <v>1063</v>
      </c>
      <c r="AA401" s="414">
        <v>12</v>
      </c>
      <c r="AB401" s="425"/>
      <c r="AC401" s="425"/>
      <c r="AD401" s="425"/>
      <c r="AE401" s="425"/>
      <c r="AF401" s="425"/>
      <c r="AG401" s="414" t="s">
        <v>337</v>
      </c>
      <c r="AH401" s="425"/>
      <c r="AI401" s="425"/>
      <c r="AJ401" s="425"/>
      <c r="AK401" s="425"/>
      <c r="AL401" s="425"/>
      <c r="AM401" s="259"/>
      <c r="AN401" s="259"/>
    </row>
    <row r="402" spans="1:40" ht="22.5" hidden="1" customHeight="1" x14ac:dyDescent="0.2">
      <c r="A402" s="486">
        <v>45954.396092592593</v>
      </c>
      <c r="B402" s="487" t="s">
        <v>56</v>
      </c>
      <c r="C402" s="487" t="s">
        <v>464</v>
      </c>
      <c r="D402" s="564" t="str">
        <f t="shared" si="0"/>
        <v>2023</v>
      </c>
      <c r="E402" s="568" t="s">
        <v>1064</v>
      </c>
      <c r="F402" s="487">
        <v>70568</v>
      </c>
      <c r="G402" s="487">
        <v>16304</v>
      </c>
      <c r="H402" s="565" t="s">
        <v>1065</v>
      </c>
      <c r="I402" s="487">
        <v>3223</v>
      </c>
      <c r="J402" s="566" t="s">
        <v>54</v>
      </c>
      <c r="K402" s="498"/>
      <c r="L402" s="498"/>
      <c r="M402" s="498"/>
      <c r="N402" s="498"/>
      <c r="O402" s="564"/>
      <c r="P402" s="498"/>
      <c r="Q402" s="498"/>
      <c r="R402" s="498"/>
      <c r="S402" s="498"/>
      <c r="T402" s="564"/>
      <c r="U402" s="498"/>
      <c r="V402" s="498"/>
      <c r="W402" s="567"/>
      <c r="X402" s="487" t="s">
        <v>343</v>
      </c>
      <c r="Y402" s="487" t="s">
        <v>662</v>
      </c>
      <c r="Z402" s="498"/>
      <c r="AA402" s="498"/>
      <c r="AB402" s="487" t="s">
        <v>1066</v>
      </c>
      <c r="AC402" s="498"/>
      <c r="AD402" s="498"/>
      <c r="AE402" s="498"/>
      <c r="AF402" s="498"/>
      <c r="AG402" s="487" t="s">
        <v>337</v>
      </c>
      <c r="AH402" s="498"/>
      <c r="AI402" s="498"/>
      <c r="AJ402" s="498"/>
      <c r="AK402" s="498"/>
      <c r="AL402" s="498"/>
      <c r="AM402" s="499"/>
      <c r="AN402" s="499"/>
    </row>
    <row r="403" spans="1:40" ht="22.5" hidden="1" customHeight="1" x14ac:dyDescent="0.2">
      <c r="A403" s="413">
        <v>45957.494995196757</v>
      </c>
      <c r="B403" s="414" t="s">
        <v>56</v>
      </c>
      <c r="C403" s="414" t="s">
        <v>352</v>
      </c>
      <c r="D403" s="425" t="str">
        <f t="shared" si="0"/>
        <v>1998</v>
      </c>
      <c r="E403" s="557" t="s">
        <v>1067</v>
      </c>
      <c r="F403" s="414">
        <v>1483</v>
      </c>
      <c r="G403" s="414">
        <v>7556</v>
      </c>
      <c r="H403" s="558" t="s">
        <v>1068</v>
      </c>
      <c r="I403" s="414">
        <v>1316</v>
      </c>
      <c r="J403" s="414" t="s">
        <v>53</v>
      </c>
      <c r="K403" s="425"/>
      <c r="L403" s="425"/>
      <c r="M403" s="425"/>
      <c r="N403" s="425"/>
      <c r="O403" s="425"/>
      <c r="P403" s="425"/>
      <c r="Q403" s="425"/>
      <c r="R403" s="425"/>
      <c r="S403" s="425"/>
      <c r="T403" s="425"/>
      <c r="U403" s="425"/>
      <c r="V403" s="425"/>
      <c r="W403" s="425"/>
      <c r="X403" s="414" t="s">
        <v>343</v>
      </c>
      <c r="Y403" s="414" t="s">
        <v>689</v>
      </c>
      <c r="Z403" s="414" t="s">
        <v>996</v>
      </c>
      <c r="AA403" s="414">
        <v>6</v>
      </c>
      <c r="AB403" s="425"/>
      <c r="AC403" s="425"/>
      <c r="AD403" s="425"/>
      <c r="AE403" s="425"/>
      <c r="AF403" s="425"/>
      <c r="AG403" s="414" t="s">
        <v>337</v>
      </c>
      <c r="AH403" s="425"/>
      <c r="AI403" s="425"/>
      <c r="AJ403" s="425"/>
      <c r="AK403" s="425"/>
      <c r="AL403" s="425"/>
      <c r="AM403" s="259"/>
      <c r="AN403" s="259"/>
    </row>
    <row r="404" spans="1:40" ht="22.5" hidden="1" customHeight="1" x14ac:dyDescent="0.2">
      <c r="A404" s="413">
        <v>45958.658583344906</v>
      </c>
      <c r="B404" s="414" t="s">
        <v>56</v>
      </c>
      <c r="C404" s="414" t="s">
        <v>381</v>
      </c>
      <c r="D404" s="425" t="str">
        <f t="shared" si="0"/>
        <v>2018</v>
      </c>
      <c r="E404" s="557" t="s">
        <v>1069</v>
      </c>
      <c r="F404" s="414">
        <v>51005</v>
      </c>
      <c r="G404" s="414">
        <v>5525</v>
      </c>
      <c r="H404" s="558" t="s">
        <v>1070</v>
      </c>
      <c r="I404" s="414">
        <v>1077</v>
      </c>
      <c r="J404" s="414" t="s">
        <v>53</v>
      </c>
      <c r="K404" s="425"/>
      <c r="L404" s="425"/>
      <c r="M404" s="425"/>
      <c r="N404" s="425"/>
      <c r="O404" s="425"/>
      <c r="P404" s="425"/>
      <c r="Q404" s="425"/>
      <c r="R404" s="425"/>
      <c r="S404" s="425"/>
      <c r="T404" s="425"/>
      <c r="U404" s="425"/>
      <c r="V404" s="425"/>
      <c r="W404" s="425"/>
      <c r="X404" s="414" t="s">
        <v>343</v>
      </c>
      <c r="Y404" s="414" t="s">
        <v>716</v>
      </c>
      <c r="Z404" s="414" t="s">
        <v>702</v>
      </c>
      <c r="AA404" s="414">
        <v>12</v>
      </c>
      <c r="AB404" s="425"/>
      <c r="AC404" s="425"/>
      <c r="AD404" s="425"/>
      <c r="AE404" s="425"/>
      <c r="AF404" s="425"/>
      <c r="AG404" s="414" t="s">
        <v>337</v>
      </c>
      <c r="AH404" s="425"/>
      <c r="AI404" s="425"/>
      <c r="AJ404" s="425"/>
      <c r="AK404" s="425"/>
      <c r="AL404" s="425"/>
      <c r="AM404" s="259"/>
      <c r="AN404" s="259"/>
    </row>
    <row r="405" spans="1:40" ht="22.5" hidden="1" customHeight="1" x14ac:dyDescent="0.2">
      <c r="A405" s="413">
        <v>45960.424570995368</v>
      </c>
      <c r="B405" s="414" t="s">
        <v>436</v>
      </c>
      <c r="C405" s="414" t="s">
        <v>381</v>
      </c>
      <c r="D405" s="425" t="str">
        <f t="shared" si="0"/>
        <v/>
      </c>
      <c r="E405" s="425"/>
      <c r="F405" s="425"/>
      <c r="G405" s="425"/>
      <c r="H405" s="562"/>
      <c r="I405" s="425"/>
      <c r="J405" s="425"/>
      <c r="K405" s="425"/>
      <c r="L405" s="425"/>
      <c r="M405" s="425"/>
      <c r="N405" s="425"/>
      <c r="O405" s="557" t="s">
        <v>1071</v>
      </c>
      <c r="P405" s="414">
        <v>4547</v>
      </c>
      <c r="Q405" s="414">
        <v>340</v>
      </c>
      <c r="R405" s="414">
        <v>159</v>
      </c>
      <c r="S405" s="425"/>
      <c r="T405" s="425"/>
      <c r="U405" s="425"/>
      <c r="V405" s="425"/>
      <c r="W405" s="425"/>
      <c r="X405" s="414" t="s">
        <v>343</v>
      </c>
      <c r="Y405" s="414" t="s">
        <v>701</v>
      </c>
      <c r="Z405" s="414" t="s">
        <v>766</v>
      </c>
      <c r="AA405" s="414">
        <v>2</v>
      </c>
      <c r="AB405" s="425"/>
      <c r="AC405" s="425"/>
      <c r="AD405" s="425"/>
      <c r="AE405" s="425"/>
      <c r="AF405" s="425"/>
      <c r="AG405" s="414" t="s">
        <v>337</v>
      </c>
      <c r="AH405" s="425"/>
      <c r="AI405" s="425"/>
      <c r="AJ405" s="425"/>
      <c r="AK405" s="425"/>
      <c r="AL405" s="425"/>
      <c r="AM405" s="259"/>
      <c r="AN405" s="259"/>
    </row>
    <row r="406" spans="1:40" ht="22.5" hidden="1" customHeight="1" x14ac:dyDescent="0.2">
      <c r="A406" s="413">
        <v>45961.508010671299</v>
      </c>
      <c r="B406" s="414" t="s">
        <v>56</v>
      </c>
      <c r="C406" s="414" t="s">
        <v>381</v>
      </c>
      <c r="D406" s="425" t="str">
        <f t="shared" si="0"/>
        <v>2021</v>
      </c>
      <c r="E406" s="557" t="s">
        <v>1072</v>
      </c>
      <c r="F406" s="414">
        <v>60676</v>
      </c>
      <c r="G406" s="414">
        <v>3617</v>
      </c>
      <c r="H406" s="558" t="s">
        <v>1073</v>
      </c>
      <c r="I406" s="414">
        <v>735</v>
      </c>
      <c r="J406" s="414" t="s">
        <v>53</v>
      </c>
      <c r="K406" s="425"/>
      <c r="L406" s="425"/>
      <c r="M406" s="425"/>
      <c r="N406" s="425"/>
      <c r="O406" s="425"/>
      <c r="P406" s="425"/>
      <c r="Q406" s="425"/>
      <c r="R406" s="425"/>
      <c r="S406" s="425"/>
      <c r="T406" s="425"/>
      <c r="U406" s="425"/>
      <c r="V406" s="425"/>
      <c r="W406" s="425"/>
      <c r="X406" s="414" t="s">
        <v>343</v>
      </c>
      <c r="Y406" s="414" t="s">
        <v>716</v>
      </c>
      <c r="Z406" s="414" t="s">
        <v>820</v>
      </c>
      <c r="AA406" s="414">
        <v>12</v>
      </c>
      <c r="AB406" s="425"/>
      <c r="AC406" s="425"/>
      <c r="AD406" s="425"/>
      <c r="AE406" s="425"/>
      <c r="AF406" s="425"/>
      <c r="AG406" s="414" t="s">
        <v>337</v>
      </c>
      <c r="AH406" s="425"/>
      <c r="AI406" s="425"/>
      <c r="AJ406" s="425"/>
      <c r="AK406" s="425"/>
      <c r="AL406" s="425"/>
      <c r="AM406" s="259"/>
      <c r="AN406" s="259"/>
    </row>
    <row r="407" spans="1:40" ht="22.5" hidden="1" customHeight="1" x14ac:dyDescent="0.2">
      <c r="A407" s="413">
        <v>45961.638273599536</v>
      </c>
      <c r="B407" s="414" t="s">
        <v>56</v>
      </c>
      <c r="C407" s="414" t="s">
        <v>381</v>
      </c>
      <c r="D407" s="425" t="str">
        <f t="shared" si="0"/>
        <v>2022</v>
      </c>
      <c r="E407" s="557" t="s">
        <v>1074</v>
      </c>
      <c r="F407" s="414">
        <v>63766</v>
      </c>
      <c r="G407" s="414">
        <v>3871</v>
      </c>
      <c r="H407" s="558" t="s">
        <v>1075</v>
      </c>
      <c r="I407" s="414">
        <v>741</v>
      </c>
      <c r="J407" s="414" t="s">
        <v>53</v>
      </c>
      <c r="K407" s="425"/>
      <c r="L407" s="425"/>
      <c r="M407" s="425"/>
      <c r="N407" s="425"/>
      <c r="O407" s="425"/>
      <c r="P407" s="425"/>
      <c r="Q407" s="425"/>
      <c r="R407" s="425"/>
      <c r="S407" s="425"/>
      <c r="T407" s="425"/>
      <c r="U407" s="425"/>
      <c r="V407" s="425"/>
      <c r="W407" s="425"/>
      <c r="X407" s="414" t="s">
        <v>343</v>
      </c>
      <c r="Y407" s="414" t="s">
        <v>701</v>
      </c>
      <c r="Z407" s="414" t="s">
        <v>702</v>
      </c>
      <c r="AA407" s="414">
        <v>6</v>
      </c>
      <c r="AB407" s="425"/>
      <c r="AC407" s="425"/>
      <c r="AD407" s="425"/>
      <c r="AE407" s="425"/>
      <c r="AF407" s="425"/>
      <c r="AG407" s="414" t="s">
        <v>337</v>
      </c>
      <c r="AH407" s="425"/>
      <c r="AI407" s="425"/>
      <c r="AJ407" s="425"/>
      <c r="AK407" s="425"/>
      <c r="AL407" s="425"/>
      <c r="AM407" s="259"/>
      <c r="AN407" s="259"/>
    </row>
    <row r="408" spans="1:40" ht="22.5" hidden="1" customHeight="1" x14ac:dyDescent="0.2">
      <c r="A408" s="486">
        <v>45964.67315480324</v>
      </c>
      <c r="B408" s="487" t="s">
        <v>56</v>
      </c>
      <c r="C408" s="487" t="s">
        <v>381</v>
      </c>
      <c r="D408" s="498" t="str">
        <f t="shared" si="0"/>
        <v>2024</v>
      </c>
      <c r="E408" s="568" t="s">
        <v>1076</v>
      </c>
      <c r="F408" s="487">
        <v>74023</v>
      </c>
      <c r="G408" s="487">
        <v>14033</v>
      </c>
      <c r="H408" s="565" t="s">
        <v>1077</v>
      </c>
      <c r="I408" s="487">
        <v>2700</v>
      </c>
      <c r="J408" s="487" t="s">
        <v>53</v>
      </c>
      <c r="K408" s="498"/>
      <c r="L408" s="498"/>
      <c r="M408" s="498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87" t="s">
        <v>343</v>
      </c>
      <c r="Y408" s="498"/>
      <c r="Z408" s="498"/>
      <c r="AA408" s="498"/>
      <c r="AB408" s="487" t="s">
        <v>1058</v>
      </c>
      <c r="AC408" s="498"/>
      <c r="AD408" s="498"/>
      <c r="AE408" s="498"/>
      <c r="AF408" s="498"/>
      <c r="AG408" s="487" t="s">
        <v>337</v>
      </c>
      <c r="AH408" s="498"/>
      <c r="AI408" s="498"/>
      <c r="AJ408" s="498"/>
      <c r="AK408" s="498"/>
      <c r="AL408" s="498"/>
      <c r="AM408" s="499"/>
      <c r="AN408" s="499"/>
    </row>
    <row r="409" spans="1:40" ht="12.75" x14ac:dyDescent="0.2">
      <c r="A409" s="571"/>
      <c r="B409" s="571"/>
      <c r="C409" s="571"/>
      <c r="D409" s="572"/>
      <c r="E409" s="573"/>
      <c r="F409" s="573"/>
      <c r="G409" s="573"/>
      <c r="H409" s="573"/>
      <c r="I409" s="573"/>
      <c r="J409" s="574"/>
      <c r="K409" s="572"/>
      <c r="L409" s="573"/>
      <c r="M409" s="573"/>
      <c r="N409" s="573"/>
      <c r="O409" s="572"/>
      <c r="P409" s="573"/>
      <c r="Q409" s="573"/>
      <c r="R409" s="573"/>
      <c r="S409" s="571"/>
      <c r="T409" s="572"/>
      <c r="U409" s="573"/>
      <c r="V409" s="573"/>
      <c r="W409" s="574"/>
      <c r="X409" s="571"/>
      <c r="Y409" s="575"/>
      <c r="Z409" s="575"/>
      <c r="AA409" s="575"/>
      <c r="AB409" s="575"/>
      <c r="AC409" s="571"/>
      <c r="AD409" s="571"/>
      <c r="AE409" s="571"/>
      <c r="AF409" s="571"/>
      <c r="AG409" s="571"/>
      <c r="AH409" s="571"/>
      <c r="AI409" s="571"/>
      <c r="AJ409" s="571"/>
      <c r="AK409" s="571"/>
      <c r="AL409" s="571"/>
      <c r="AM409" s="571"/>
      <c r="AN409" s="571"/>
    </row>
    <row r="410" spans="1:40" ht="12.75" x14ac:dyDescent="0.2">
      <c r="A410" s="341"/>
      <c r="B410" s="341"/>
      <c r="C410" s="571"/>
      <c r="D410" s="572"/>
      <c r="E410" s="573"/>
      <c r="F410" s="573"/>
      <c r="G410" s="573"/>
      <c r="H410" s="573"/>
      <c r="I410" s="573"/>
      <c r="J410" s="574"/>
      <c r="K410" s="572"/>
      <c r="L410" s="573"/>
      <c r="M410" s="573"/>
      <c r="N410" s="573"/>
      <c r="O410" s="572"/>
      <c r="P410" s="573"/>
      <c r="Q410" s="573"/>
      <c r="R410" s="573"/>
      <c r="S410" s="571"/>
      <c r="T410" s="572"/>
      <c r="U410" s="573"/>
      <c r="V410" s="573"/>
      <c r="W410" s="574"/>
      <c r="X410" s="571"/>
      <c r="Y410" s="575"/>
      <c r="Z410" s="575"/>
      <c r="AA410" s="575"/>
      <c r="AB410" s="575"/>
      <c r="AD410" s="571"/>
      <c r="AE410" s="571"/>
      <c r="AF410" s="571"/>
      <c r="AG410" s="571"/>
      <c r="AH410" s="571"/>
      <c r="AI410" s="571"/>
      <c r="AJ410" s="571"/>
      <c r="AK410" s="571"/>
      <c r="AL410" s="571"/>
      <c r="AM410" s="571"/>
      <c r="AN410" s="571"/>
    </row>
    <row r="411" spans="1:40" ht="12.75" x14ac:dyDescent="0.2">
      <c r="A411" s="571"/>
      <c r="B411" s="571"/>
      <c r="C411" s="576"/>
      <c r="D411" s="572"/>
      <c r="E411" s="573"/>
      <c r="F411" s="573"/>
      <c r="G411" s="573"/>
      <c r="H411" s="573"/>
      <c r="I411" s="573"/>
      <c r="J411" s="574"/>
      <c r="K411" s="572"/>
      <c r="L411" s="573"/>
      <c r="M411" s="573"/>
      <c r="N411" s="573"/>
      <c r="O411" s="572"/>
      <c r="P411" s="573"/>
      <c r="Q411" s="573"/>
      <c r="R411" s="573"/>
      <c r="S411" s="571"/>
      <c r="T411" s="572"/>
      <c r="U411" s="573"/>
      <c r="V411" s="573"/>
      <c r="W411" s="574"/>
      <c r="X411" s="571"/>
      <c r="Y411" s="575"/>
      <c r="Z411" s="575"/>
      <c r="AA411" s="575"/>
      <c r="AB411" s="575"/>
      <c r="AC411" s="571"/>
      <c r="AD411" s="571"/>
      <c r="AE411" s="571"/>
      <c r="AF411" s="571"/>
      <c r="AG411" s="571"/>
      <c r="AH411" s="571"/>
      <c r="AI411" s="571"/>
      <c r="AJ411" s="571"/>
      <c r="AK411" s="571"/>
      <c r="AL411" s="571"/>
      <c r="AM411" s="571"/>
      <c r="AN411" s="571"/>
    </row>
    <row r="412" spans="1:40" ht="23.25" customHeight="1" x14ac:dyDescent="0.2">
      <c r="A412" s="571"/>
      <c r="B412" s="571"/>
      <c r="C412" s="341"/>
      <c r="D412" s="572"/>
      <c r="E412" s="573"/>
      <c r="F412" s="573"/>
      <c r="G412" s="573"/>
      <c r="H412" s="573"/>
      <c r="I412" s="573"/>
      <c r="J412" s="574"/>
      <c r="K412" s="572"/>
      <c r="L412" s="573"/>
      <c r="M412" s="573"/>
      <c r="N412" s="573"/>
      <c r="O412" s="572"/>
      <c r="P412" s="573"/>
      <c r="Q412" s="573"/>
      <c r="R412" s="573"/>
      <c r="S412" s="571"/>
      <c r="T412" s="572"/>
      <c r="U412" s="573"/>
      <c r="V412" s="573"/>
      <c r="W412" s="574"/>
      <c r="X412" s="571"/>
      <c r="Y412" s="575"/>
      <c r="Z412" s="575"/>
      <c r="AA412" s="575"/>
      <c r="AB412" s="575"/>
      <c r="AC412" s="571"/>
      <c r="AD412" s="571"/>
      <c r="AE412" s="571"/>
      <c r="AF412" s="571"/>
      <c r="AG412" s="571"/>
      <c r="AH412" s="571"/>
      <c r="AI412" s="571"/>
      <c r="AJ412" s="571"/>
      <c r="AK412" s="571"/>
      <c r="AL412" s="571"/>
      <c r="AM412" s="571"/>
      <c r="AN412" s="571"/>
    </row>
    <row r="413" spans="1:40" ht="12.75" x14ac:dyDescent="0.2">
      <c r="A413" s="571"/>
      <c r="B413" s="571"/>
      <c r="C413" s="572"/>
      <c r="E413" s="573"/>
      <c r="F413" s="577" t="s">
        <v>1078</v>
      </c>
      <c r="G413" s="573"/>
      <c r="H413" s="573"/>
      <c r="I413" s="573"/>
      <c r="J413" s="574"/>
      <c r="K413" s="572"/>
      <c r="L413" s="573"/>
      <c r="M413" s="573"/>
      <c r="N413" s="573"/>
      <c r="O413" s="572"/>
      <c r="P413" s="573"/>
      <c r="Q413" s="573"/>
      <c r="R413" s="573"/>
      <c r="S413" s="571"/>
      <c r="T413" s="572"/>
      <c r="U413" s="573"/>
      <c r="V413" s="573"/>
      <c r="W413" s="574"/>
      <c r="X413" s="571"/>
      <c r="Y413" s="575"/>
      <c r="Z413" s="575"/>
      <c r="AA413" s="575"/>
      <c r="AB413" s="575"/>
      <c r="AC413" s="571"/>
      <c r="AD413" s="571"/>
      <c r="AE413" s="571"/>
      <c r="AF413" s="571"/>
      <c r="AG413" s="571"/>
      <c r="AH413" s="571"/>
      <c r="AI413" s="571"/>
      <c r="AJ413" s="571"/>
      <c r="AK413" s="571"/>
      <c r="AL413" s="571"/>
      <c r="AM413" s="571"/>
      <c r="AN413" s="571"/>
    </row>
    <row r="414" spans="1:40" ht="12.75" x14ac:dyDescent="0.2">
      <c r="A414" s="571"/>
      <c r="B414" s="571"/>
      <c r="C414" s="571"/>
      <c r="D414" s="572"/>
      <c r="E414" s="573"/>
      <c r="F414" s="573"/>
      <c r="G414" s="573"/>
      <c r="H414" s="573"/>
      <c r="I414" s="573"/>
      <c r="J414" s="574"/>
      <c r="K414" s="572"/>
      <c r="L414" s="573"/>
      <c r="M414" s="573"/>
      <c r="N414" s="573"/>
      <c r="O414" s="572"/>
      <c r="P414" s="573"/>
      <c r="Q414" s="573"/>
      <c r="R414" s="573"/>
      <c r="S414" s="571"/>
      <c r="T414" s="572"/>
      <c r="U414" s="573"/>
      <c r="V414" s="573"/>
      <c r="W414" s="574"/>
      <c r="X414" s="571"/>
      <c r="Y414" s="575"/>
      <c r="Z414" s="575"/>
      <c r="AA414" s="575"/>
      <c r="AB414" s="575"/>
      <c r="AC414" s="571"/>
      <c r="AD414" s="571"/>
      <c r="AE414" s="571"/>
      <c r="AF414" s="571"/>
      <c r="AG414" s="571"/>
      <c r="AH414" s="571"/>
      <c r="AI414" s="571"/>
      <c r="AJ414" s="571"/>
      <c r="AK414" s="571"/>
      <c r="AL414" s="571"/>
      <c r="AM414" s="571"/>
      <c r="AN414" s="571"/>
    </row>
    <row r="415" spans="1:40" ht="12.75" x14ac:dyDescent="0.2">
      <c r="A415" s="571"/>
      <c r="B415" s="571"/>
      <c r="C415" s="571"/>
      <c r="D415" s="572"/>
      <c r="E415" s="573"/>
      <c r="F415" s="573"/>
      <c r="G415" s="573"/>
      <c r="H415" s="573"/>
      <c r="I415" s="573"/>
      <c r="J415" s="574"/>
      <c r="K415" s="572"/>
      <c r="L415" s="573"/>
      <c r="M415" s="573"/>
      <c r="N415" s="573"/>
      <c r="O415" s="572"/>
      <c r="P415" s="573"/>
      <c r="Q415" s="573"/>
      <c r="R415" s="573"/>
      <c r="S415" s="571"/>
      <c r="T415" s="572"/>
      <c r="U415" s="573"/>
      <c r="V415" s="573"/>
      <c r="W415" s="574"/>
      <c r="X415" s="571"/>
      <c r="Y415" s="575"/>
      <c r="Z415" s="575"/>
      <c r="AA415" s="575"/>
      <c r="AB415" s="575"/>
      <c r="AC415" s="571"/>
      <c r="AD415" s="571"/>
      <c r="AE415" s="571"/>
      <c r="AF415" s="571"/>
      <c r="AG415" s="571"/>
      <c r="AH415" s="571"/>
      <c r="AI415" s="571"/>
      <c r="AJ415" s="571"/>
      <c r="AK415" s="571"/>
      <c r="AL415" s="571"/>
      <c r="AM415" s="571"/>
      <c r="AN415" s="571"/>
    </row>
    <row r="416" spans="1:40" ht="12.75" x14ac:dyDescent="0.2">
      <c r="A416" s="571"/>
      <c r="B416" s="571"/>
      <c r="C416" s="571"/>
      <c r="D416" s="572"/>
      <c r="E416" s="573"/>
      <c r="F416" s="573"/>
      <c r="G416" s="573"/>
      <c r="H416" s="573"/>
      <c r="I416" s="573"/>
      <c r="J416" s="574"/>
      <c r="K416" s="572"/>
      <c r="L416" s="573"/>
      <c r="M416" s="573"/>
      <c r="N416" s="573"/>
      <c r="O416" s="572"/>
      <c r="P416" s="573"/>
      <c r="Q416" s="573"/>
      <c r="R416" s="573"/>
      <c r="S416" s="571"/>
      <c r="T416" s="572"/>
      <c r="U416" s="573"/>
      <c r="V416" s="573"/>
      <c r="W416" s="574"/>
      <c r="X416" s="571"/>
      <c r="Y416" s="575"/>
      <c r="Z416" s="575"/>
      <c r="AA416" s="575"/>
      <c r="AB416" s="575"/>
      <c r="AC416" s="571"/>
      <c r="AD416" s="571"/>
      <c r="AE416" s="571"/>
      <c r="AF416" s="571"/>
      <c r="AG416" s="571"/>
      <c r="AH416" s="571"/>
      <c r="AI416" s="571"/>
      <c r="AJ416" s="571"/>
      <c r="AK416" s="571"/>
      <c r="AL416" s="571"/>
      <c r="AM416" s="571"/>
      <c r="AN416" s="571"/>
    </row>
    <row r="417" spans="1:40" ht="12.75" x14ac:dyDescent="0.2">
      <c r="A417" s="571"/>
      <c r="B417" s="571"/>
      <c r="C417" s="571"/>
      <c r="D417" s="572"/>
      <c r="E417" s="573"/>
      <c r="F417" s="573"/>
      <c r="G417" s="573"/>
      <c r="H417" s="573"/>
      <c r="I417" s="573"/>
      <c r="J417" s="574"/>
      <c r="K417" s="572"/>
      <c r="L417" s="573"/>
      <c r="M417" s="573"/>
      <c r="N417" s="573"/>
      <c r="O417" s="572"/>
      <c r="P417" s="573"/>
      <c r="Q417" s="573"/>
      <c r="R417" s="573"/>
      <c r="S417" s="571"/>
      <c r="T417" s="572"/>
      <c r="U417" s="573"/>
      <c r="V417" s="573"/>
      <c r="W417" s="574"/>
      <c r="X417" s="571"/>
      <c r="Y417" s="575"/>
      <c r="Z417" s="575"/>
      <c r="AA417" s="575"/>
      <c r="AB417" s="575"/>
      <c r="AC417" s="571"/>
      <c r="AD417" s="571"/>
      <c r="AE417" s="571"/>
      <c r="AF417" s="571"/>
      <c r="AG417" s="571"/>
      <c r="AH417" s="571"/>
      <c r="AI417" s="571"/>
      <c r="AJ417" s="571"/>
      <c r="AK417" s="571"/>
      <c r="AL417" s="571"/>
      <c r="AM417" s="571"/>
      <c r="AN417" s="571"/>
    </row>
    <row r="418" spans="1:40" ht="12.75" x14ac:dyDescent="0.2">
      <c r="A418" s="571"/>
      <c r="B418" s="571"/>
      <c r="C418" s="571"/>
      <c r="D418" s="572"/>
      <c r="E418" s="573"/>
      <c r="F418" s="573"/>
      <c r="G418" s="573"/>
      <c r="H418" s="573"/>
      <c r="I418" s="573"/>
      <c r="J418" s="574"/>
      <c r="K418" s="572"/>
      <c r="L418" s="573"/>
      <c r="M418" s="573"/>
      <c r="N418" s="573"/>
      <c r="O418" s="572"/>
      <c r="P418" s="573"/>
      <c r="Q418" s="573"/>
      <c r="R418" s="573"/>
      <c r="S418" s="571"/>
      <c r="T418" s="572"/>
      <c r="U418" s="573"/>
      <c r="V418" s="573"/>
      <c r="W418" s="574"/>
      <c r="X418" s="571"/>
      <c r="Y418" s="575"/>
      <c r="Z418" s="575"/>
      <c r="AA418" s="575"/>
      <c r="AB418" s="575"/>
      <c r="AC418" s="571"/>
      <c r="AD418" s="571"/>
      <c r="AE418" s="571"/>
      <c r="AF418" s="571"/>
      <c r="AG418" s="571"/>
      <c r="AH418" s="571"/>
      <c r="AI418" s="571"/>
      <c r="AJ418" s="571"/>
      <c r="AK418" s="571"/>
      <c r="AL418" s="571"/>
      <c r="AM418" s="571"/>
      <c r="AN418" s="571"/>
    </row>
    <row r="419" spans="1:40" ht="12.75" x14ac:dyDescent="0.2">
      <c r="A419" s="571"/>
      <c r="B419" s="571"/>
      <c r="C419" s="571"/>
      <c r="D419" s="572"/>
      <c r="E419" s="573"/>
      <c r="F419" s="573"/>
      <c r="G419" s="573"/>
      <c r="H419" s="573"/>
      <c r="I419" s="573"/>
      <c r="J419" s="574"/>
      <c r="K419" s="572"/>
      <c r="L419" s="573"/>
      <c r="M419" s="573"/>
      <c r="N419" s="573"/>
      <c r="O419" s="572"/>
      <c r="P419" s="573"/>
      <c r="Q419" s="573"/>
      <c r="R419" s="573"/>
      <c r="S419" s="571"/>
      <c r="T419" s="572"/>
      <c r="U419" s="573"/>
      <c r="V419" s="573"/>
      <c r="W419" s="574"/>
      <c r="X419" s="571"/>
      <c r="Y419" s="575"/>
      <c r="Z419" s="575"/>
      <c r="AA419" s="575"/>
      <c r="AB419" s="575"/>
      <c r="AC419" s="571"/>
      <c r="AD419" s="571"/>
      <c r="AE419" s="571"/>
      <c r="AF419" s="571"/>
      <c r="AG419" s="571"/>
      <c r="AH419" s="571"/>
      <c r="AI419" s="571"/>
      <c r="AJ419" s="571"/>
      <c r="AK419" s="571"/>
      <c r="AL419" s="571"/>
      <c r="AM419" s="571"/>
      <c r="AN419" s="571"/>
    </row>
    <row r="420" spans="1:40" ht="12.75" x14ac:dyDescent="0.2">
      <c r="A420" s="571"/>
      <c r="B420" s="571"/>
      <c r="C420" s="571"/>
      <c r="D420" s="572"/>
      <c r="E420" s="573"/>
      <c r="F420" s="573"/>
      <c r="G420" s="573"/>
      <c r="H420" s="573"/>
      <c r="I420" s="573"/>
      <c r="J420" s="574"/>
      <c r="K420" s="572"/>
      <c r="L420" s="573"/>
      <c r="M420" s="573"/>
      <c r="N420" s="573"/>
      <c r="O420" s="572"/>
      <c r="P420" s="573"/>
      <c r="Q420" s="573"/>
      <c r="R420" s="573"/>
      <c r="S420" s="571"/>
      <c r="T420" s="572"/>
      <c r="U420" s="573"/>
      <c r="V420" s="573"/>
      <c r="W420" s="574"/>
      <c r="X420" s="571"/>
      <c r="Y420" s="575"/>
      <c r="Z420" s="575"/>
      <c r="AA420" s="575"/>
      <c r="AB420" s="575"/>
      <c r="AC420" s="571"/>
      <c r="AD420" s="571"/>
      <c r="AE420" s="571"/>
      <c r="AF420" s="571"/>
      <c r="AG420" s="571"/>
      <c r="AH420" s="571"/>
      <c r="AI420" s="571"/>
      <c r="AJ420" s="571"/>
      <c r="AK420" s="571"/>
      <c r="AL420" s="571"/>
      <c r="AM420" s="571"/>
      <c r="AN420" s="571"/>
    </row>
    <row r="421" spans="1:40" ht="12.75" x14ac:dyDescent="0.2">
      <c r="A421" s="571"/>
      <c r="B421" s="571"/>
      <c r="C421" s="571"/>
      <c r="D421" s="572"/>
      <c r="E421" s="573"/>
      <c r="F421" s="573"/>
      <c r="G421" s="573"/>
      <c r="H421" s="573"/>
      <c r="I421" s="573"/>
      <c r="J421" s="574"/>
      <c r="K421" s="572"/>
      <c r="L421" s="573"/>
      <c r="M421" s="573"/>
      <c r="N421" s="573"/>
      <c r="O421" s="572"/>
      <c r="P421" s="573"/>
      <c r="Q421" s="573"/>
      <c r="R421" s="573"/>
      <c r="S421" s="571"/>
      <c r="T421" s="572"/>
      <c r="U421" s="573"/>
      <c r="V421" s="573"/>
      <c r="W421" s="574"/>
      <c r="X421" s="571"/>
      <c r="Y421" s="575"/>
      <c r="Z421" s="575"/>
      <c r="AA421" s="575"/>
      <c r="AB421" s="575"/>
      <c r="AC421" s="571"/>
      <c r="AD421" s="571"/>
      <c r="AE421" s="571"/>
      <c r="AF421" s="571"/>
      <c r="AG421" s="571"/>
      <c r="AH421" s="571"/>
      <c r="AI421" s="571"/>
      <c r="AJ421" s="571"/>
      <c r="AK421" s="571"/>
      <c r="AL421" s="571"/>
      <c r="AM421" s="571"/>
      <c r="AN421" s="571"/>
    </row>
    <row r="422" spans="1:40" ht="12.75" x14ac:dyDescent="0.2">
      <c r="A422" s="571"/>
      <c r="B422" s="571"/>
      <c r="C422" s="571"/>
      <c r="D422" s="572"/>
      <c r="E422" s="573"/>
      <c r="F422" s="573"/>
      <c r="G422" s="573"/>
      <c r="H422" s="573"/>
      <c r="I422" s="573"/>
      <c r="J422" s="574"/>
      <c r="K422" s="572"/>
      <c r="L422" s="573"/>
      <c r="M422" s="573"/>
      <c r="N422" s="573"/>
      <c r="O422" s="572"/>
      <c r="P422" s="573"/>
      <c r="Q422" s="573"/>
      <c r="R422" s="573"/>
      <c r="S422" s="571"/>
      <c r="T422" s="572"/>
      <c r="U422" s="573"/>
      <c r="V422" s="573"/>
      <c r="W422" s="578"/>
      <c r="X422" s="571"/>
      <c r="Y422" s="575"/>
      <c r="Z422" s="575"/>
      <c r="AA422" s="575"/>
      <c r="AB422" s="575"/>
      <c r="AC422" s="571"/>
      <c r="AD422" s="571"/>
      <c r="AE422" s="571"/>
      <c r="AF422" s="571"/>
      <c r="AG422" s="571"/>
      <c r="AH422" s="571"/>
      <c r="AI422" s="571"/>
      <c r="AJ422" s="571"/>
      <c r="AK422" s="571"/>
      <c r="AL422" s="571"/>
      <c r="AM422" s="571"/>
      <c r="AN422" s="571"/>
    </row>
    <row r="423" spans="1:40" ht="12.75" x14ac:dyDescent="0.2">
      <c r="A423" s="571"/>
      <c r="B423" s="571"/>
      <c r="C423" s="571"/>
      <c r="D423" s="572"/>
      <c r="E423" s="573"/>
      <c r="F423" s="573"/>
      <c r="G423" s="573"/>
      <c r="H423" s="573"/>
      <c r="I423" s="573"/>
      <c r="J423" s="574"/>
      <c r="K423" s="572"/>
      <c r="L423" s="573"/>
      <c r="M423" s="573"/>
      <c r="N423" s="573"/>
      <c r="O423" s="572"/>
      <c r="P423" s="573"/>
      <c r="Q423" s="573"/>
      <c r="R423" s="573"/>
      <c r="S423" s="571"/>
      <c r="T423" s="572"/>
      <c r="U423" s="573"/>
      <c r="V423" s="573"/>
      <c r="W423" s="574"/>
      <c r="X423" s="571"/>
      <c r="Y423" s="575"/>
      <c r="Z423" s="575"/>
      <c r="AA423" s="575"/>
      <c r="AB423" s="575"/>
      <c r="AC423" s="571"/>
      <c r="AD423" s="571"/>
      <c r="AE423" s="571"/>
      <c r="AF423" s="571"/>
      <c r="AG423" s="571"/>
      <c r="AH423" s="571"/>
      <c r="AI423" s="571"/>
      <c r="AJ423" s="571"/>
      <c r="AK423" s="571"/>
      <c r="AL423" s="571"/>
      <c r="AM423" s="571"/>
      <c r="AN423" s="571"/>
    </row>
    <row r="424" spans="1:40" ht="12.75" x14ac:dyDescent="0.2">
      <c r="A424" s="571"/>
      <c r="B424" s="571"/>
      <c r="C424" s="571"/>
      <c r="D424" s="572"/>
      <c r="E424" s="573"/>
      <c r="F424" s="573"/>
      <c r="G424" s="573"/>
      <c r="H424" s="573"/>
      <c r="I424" s="573"/>
      <c r="J424" s="574"/>
      <c r="K424" s="572"/>
      <c r="L424" s="573"/>
      <c r="M424" s="573"/>
      <c r="N424" s="573"/>
      <c r="O424" s="572"/>
      <c r="P424" s="573"/>
      <c r="Q424" s="573"/>
      <c r="R424" s="573"/>
      <c r="S424" s="571"/>
      <c r="T424" s="572"/>
      <c r="U424" s="573"/>
      <c r="V424" s="573"/>
      <c r="W424" s="574"/>
      <c r="X424" s="571"/>
      <c r="Y424" s="575"/>
      <c r="Z424" s="575"/>
      <c r="AA424" s="575"/>
      <c r="AB424" s="575"/>
      <c r="AC424" s="571"/>
      <c r="AD424" s="571"/>
      <c r="AE424" s="571"/>
      <c r="AF424" s="571"/>
      <c r="AG424" s="571"/>
      <c r="AH424" s="571"/>
      <c r="AI424" s="571"/>
      <c r="AJ424" s="571"/>
      <c r="AK424" s="571"/>
      <c r="AL424" s="571"/>
      <c r="AM424" s="571"/>
      <c r="AN424" s="571"/>
    </row>
    <row r="425" spans="1:40" ht="12.75" x14ac:dyDescent="0.2">
      <c r="A425" s="571"/>
      <c r="B425" s="571"/>
      <c r="C425" s="571"/>
      <c r="D425" s="572"/>
      <c r="E425" s="573"/>
      <c r="F425" s="573"/>
      <c r="G425" s="573"/>
      <c r="H425" s="573"/>
      <c r="I425" s="573"/>
      <c r="J425" s="574"/>
      <c r="K425" s="572"/>
      <c r="L425" s="573"/>
      <c r="M425" s="573"/>
      <c r="N425" s="573"/>
      <c r="O425" s="572"/>
      <c r="P425" s="573"/>
      <c r="Q425" s="573"/>
      <c r="R425" s="573"/>
      <c r="S425" s="571"/>
      <c r="T425" s="572"/>
      <c r="U425" s="573"/>
      <c r="V425" s="573"/>
      <c r="W425" s="574"/>
      <c r="X425" s="571"/>
      <c r="Y425" s="575"/>
      <c r="Z425" s="575"/>
      <c r="AA425" s="575"/>
      <c r="AB425" s="575"/>
      <c r="AC425" s="571"/>
      <c r="AD425" s="571"/>
      <c r="AE425" s="571"/>
      <c r="AF425" s="571"/>
      <c r="AG425" s="571"/>
      <c r="AH425" s="571"/>
      <c r="AI425" s="571"/>
      <c r="AJ425" s="571"/>
      <c r="AK425" s="571"/>
      <c r="AL425" s="571"/>
      <c r="AM425" s="571"/>
      <c r="AN425" s="571"/>
    </row>
    <row r="426" spans="1:40" ht="12.75" x14ac:dyDescent="0.2">
      <c r="A426" s="571"/>
      <c r="B426" s="571"/>
      <c r="C426" s="571"/>
      <c r="D426" s="572"/>
      <c r="E426" s="573"/>
      <c r="F426" s="573"/>
      <c r="G426" s="573"/>
      <c r="H426" s="573"/>
      <c r="I426" s="573"/>
      <c r="J426" s="574"/>
      <c r="K426" s="572"/>
      <c r="L426" s="573"/>
      <c r="M426" s="573"/>
      <c r="N426" s="573"/>
      <c r="O426" s="572"/>
      <c r="P426" s="573"/>
      <c r="Q426" s="573"/>
      <c r="R426" s="573"/>
      <c r="S426" s="571"/>
      <c r="T426" s="572"/>
      <c r="U426" s="573"/>
      <c r="V426" s="573"/>
      <c r="W426" s="574"/>
      <c r="X426" s="571"/>
      <c r="Y426" s="575"/>
      <c r="Z426" s="575"/>
      <c r="AA426" s="575"/>
      <c r="AB426" s="575"/>
      <c r="AC426" s="571"/>
      <c r="AD426" s="571"/>
      <c r="AE426" s="571"/>
      <c r="AF426" s="571"/>
      <c r="AG426" s="571"/>
      <c r="AH426" s="571"/>
      <c r="AI426" s="571"/>
      <c r="AJ426" s="571"/>
      <c r="AK426" s="571"/>
      <c r="AL426" s="571"/>
      <c r="AM426" s="571"/>
      <c r="AN426" s="571"/>
    </row>
    <row r="427" spans="1:40" ht="12.75" x14ac:dyDescent="0.2">
      <c r="A427" s="571"/>
      <c r="B427" s="571"/>
      <c r="C427" s="571"/>
      <c r="D427" s="572"/>
      <c r="E427" s="573"/>
      <c r="F427" s="573"/>
      <c r="G427" s="573"/>
      <c r="H427" s="573"/>
      <c r="I427" s="573"/>
      <c r="J427" s="574"/>
      <c r="K427" s="572"/>
      <c r="L427" s="573"/>
      <c r="M427" s="573"/>
      <c r="N427" s="573"/>
      <c r="O427" s="572"/>
      <c r="P427" s="573"/>
      <c r="Q427" s="573"/>
      <c r="R427" s="573"/>
      <c r="S427" s="571"/>
      <c r="T427" s="572"/>
      <c r="U427" s="573"/>
      <c r="V427" s="573"/>
      <c r="W427" s="574"/>
      <c r="X427" s="571"/>
      <c r="Y427" s="575"/>
      <c r="Z427" s="575"/>
      <c r="AA427" s="575"/>
      <c r="AB427" s="575"/>
      <c r="AC427" s="571"/>
      <c r="AD427" s="571"/>
      <c r="AE427" s="571"/>
      <c r="AF427" s="571"/>
      <c r="AG427" s="571"/>
      <c r="AH427" s="571"/>
      <c r="AI427" s="571"/>
      <c r="AJ427" s="571"/>
      <c r="AK427" s="571"/>
      <c r="AL427" s="571"/>
      <c r="AM427" s="571"/>
      <c r="AN427" s="571"/>
    </row>
    <row r="428" spans="1:40" ht="12.75" x14ac:dyDescent="0.2">
      <c r="A428" s="571"/>
      <c r="B428" s="571"/>
      <c r="C428" s="571"/>
      <c r="D428" s="572"/>
      <c r="E428" s="573"/>
      <c r="F428" s="573"/>
      <c r="G428" s="573"/>
      <c r="H428" s="573"/>
      <c r="I428" s="573"/>
      <c r="J428" s="574"/>
      <c r="K428" s="572"/>
      <c r="L428" s="573"/>
      <c r="M428" s="573"/>
      <c r="N428" s="573"/>
      <c r="O428" s="572"/>
      <c r="P428" s="573"/>
      <c r="Q428" s="573"/>
      <c r="R428" s="573"/>
      <c r="S428" s="571"/>
      <c r="T428" s="572"/>
      <c r="U428" s="573"/>
      <c r="V428" s="573"/>
      <c r="W428" s="574"/>
      <c r="X428" s="571"/>
      <c r="Y428" s="575"/>
      <c r="Z428" s="575"/>
      <c r="AA428" s="575"/>
      <c r="AB428" s="575"/>
      <c r="AC428" s="571"/>
      <c r="AD428" s="571"/>
      <c r="AE428" s="571"/>
      <c r="AF428" s="571"/>
      <c r="AG428" s="571"/>
      <c r="AH428" s="571"/>
      <c r="AI428" s="571"/>
      <c r="AJ428" s="571"/>
      <c r="AK428" s="571"/>
      <c r="AL428" s="571"/>
      <c r="AM428" s="571"/>
      <c r="AN428" s="571"/>
    </row>
    <row r="429" spans="1:40" ht="12.75" x14ac:dyDescent="0.2">
      <c r="A429" s="571"/>
      <c r="B429" s="571"/>
      <c r="C429" s="571"/>
      <c r="D429" s="572"/>
      <c r="E429" s="573"/>
      <c r="F429" s="573"/>
      <c r="G429" s="573"/>
      <c r="H429" s="573"/>
      <c r="I429" s="573"/>
      <c r="J429" s="574"/>
      <c r="K429" s="572"/>
      <c r="L429" s="573"/>
      <c r="M429" s="573"/>
      <c r="N429" s="573"/>
      <c r="O429" s="572"/>
      <c r="P429" s="573"/>
      <c r="Q429" s="573"/>
      <c r="R429" s="573"/>
      <c r="S429" s="571"/>
      <c r="T429" s="572"/>
      <c r="U429" s="573"/>
      <c r="V429" s="573"/>
      <c r="W429" s="574"/>
      <c r="X429" s="571"/>
      <c r="Y429" s="575"/>
      <c r="Z429" s="575"/>
      <c r="AA429" s="575"/>
      <c r="AB429" s="575"/>
      <c r="AC429" s="571"/>
      <c r="AD429" s="571"/>
      <c r="AE429" s="571"/>
      <c r="AF429" s="571"/>
      <c r="AG429" s="571"/>
      <c r="AH429" s="571"/>
      <c r="AI429" s="571"/>
      <c r="AJ429" s="571"/>
      <c r="AK429" s="571"/>
      <c r="AL429" s="571"/>
      <c r="AM429" s="571"/>
      <c r="AN429" s="571"/>
    </row>
    <row r="430" spans="1:40" ht="12.75" x14ac:dyDescent="0.2">
      <c r="A430" s="571"/>
      <c r="B430" s="571"/>
      <c r="C430" s="571"/>
      <c r="D430" s="572"/>
      <c r="E430" s="573"/>
      <c r="F430" s="573"/>
      <c r="G430" s="573"/>
      <c r="H430" s="573"/>
      <c r="I430" s="573"/>
      <c r="J430" s="574"/>
      <c r="K430" s="572"/>
      <c r="L430" s="573"/>
      <c r="M430" s="573"/>
      <c r="N430" s="573"/>
      <c r="O430" s="572"/>
      <c r="P430" s="573"/>
      <c r="Q430" s="573"/>
      <c r="R430" s="573"/>
      <c r="S430" s="571"/>
      <c r="T430" s="572"/>
      <c r="U430" s="573"/>
      <c r="V430" s="573"/>
      <c r="W430" s="574"/>
      <c r="X430" s="571"/>
      <c r="Y430" s="575"/>
      <c r="Z430" s="575"/>
      <c r="AA430" s="575"/>
      <c r="AB430" s="575"/>
      <c r="AC430" s="571"/>
      <c r="AD430" s="571"/>
      <c r="AE430" s="571"/>
      <c r="AF430" s="571"/>
      <c r="AG430" s="571"/>
      <c r="AH430" s="571"/>
      <c r="AI430" s="571"/>
      <c r="AJ430" s="571"/>
      <c r="AK430" s="571"/>
      <c r="AL430" s="571"/>
      <c r="AM430" s="571"/>
      <c r="AN430" s="571"/>
    </row>
    <row r="431" spans="1:40" ht="12.75" x14ac:dyDescent="0.2">
      <c r="A431" s="571"/>
      <c r="B431" s="571"/>
      <c r="C431" s="571"/>
      <c r="D431" s="572"/>
      <c r="E431" s="573"/>
      <c r="F431" s="573"/>
      <c r="G431" s="573"/>
      <c r="H431" s="573"/>
      <c r="I431" s="573"/>
      <c r="J431" s="574"/>
      <c r="K431" s="572"/>
      <c r="L431" s="573"/>
      <c r="M431" s="573"/>
      <c r="N431" s="573"/>
      <c r="O431" s="572"/>
      <c r="P431" s="573"/>
      <c r="Q431" s="573"/>
      <c r="R431" s="573"/>
      <c r="S431" s="571"/>
      <c r="T431" s="572"/>
      <c r="U431" s="573"/>
      <c r="V431" s="573"/>
      <c r="W431" s="574"/>
      <c r="X431" s="571"/>
      <c r="Y431" s="575"/>
      <c r="Z431" s="575"/>
      <c r="AA431" s="575"/>
      <c r="AB431" s="575"/>
      <c r="AC431" s="571"/>
      <c r="AD431" s="571"/>
      <c r="AE431" s="571"/>
      <c r="AF431" s="571"/>
      <c r="AG431" s="571"/>
      <c r="AH431" s="571"/>
      <c r="AI431" s="571"/>
      <c r="AJ431" s="571"/>
      <c r="AK431" s="571"/>
      <c r="AL431" s="571"/>
      <c r="AM431" s="571"/>
      <c r="AN431" s="571"/>
    </row>
    <row r="432" spans="1:40" ht="12.75" x14ac:dyDescent="0.2">
      <c r="A432" s="571"/>
      <c r="B432" s="571"/>
      <c r="C432" s="571"/>
      <c r="D432" s="572"/>
      <c r="E432" s="573"/>
      <c r="F432" s="573"/>
      <c r="G432" s="573"/>
      <c r="H432" s="573"/>
      <c r="I432" s="573"/>
      <c r="J432" s="574"/>
      <c r="K432" s="572"/>
      <c r="L432" s="573"/>
      <c r="M432" s="573"/>
      <c r="N432" s="573"/>
      <c r="O432" s="572"/>
      <c r="P432" s="573"/>
      <c r="Q432" s="573"/>
      <c r="R432" s="573"/>
      <c r="S432" s="571"/>
      <c r="T432" s="572"/>
      <c r="U432" s="573"/>
      <c r="V432" s="573"/>
      <c r="W432" s="574"/>
      <c r="X432" s="571"/>
      <c r="Y432" s="575"/>
      <c r="Z432" s="575"/>
      <c r="AA432" s="575"/>
      <c r="AB432" s="575"/>
      <c r="AC432" s="571"/>
      <c r="AD432" s="571"/>
      <c r="AE432" s="571"/>
      <c r="AF432" s="571"/>
      <c r="AG432" s="571"/>
      <c r="AH432" s="571"/>
      <c r="AI432" s="571"/>
      <c r="AJ432" s="571"/>
      <c r="AK432" s="571"/>
      <c r="AL432" s="571"/>
      <c r="AM432" s="571"/>
      <c r="AN432" s="571"/>
    </row>
    <row r="433" spans="1:40" ht="12.75" x14ac:dyDescent="0.2">
      <c r="A433" s="571"/>
      <c r="B433" s="571"/>
      <c r="C433" s="571"/>
      <c r="D433" s="572"/>
      <c r="E433" s="573"/>
      <c r="F433" s="573"/>
      <c r="G433" s="573"/>
      <c r="H433" s="573"/>
      <c r="I433" s="573"/>
      <c r="J433" s="574"/>
      <c r="K433" s="572"/>
      <c r="L433" s="573"/>
      <c r="M433" s="573"/>
      <c r="N433" s="573"/>
      <c r="O433" s="572"/>
      <c r="P433" s="573"/>
      <c r="Q433" s="573"/>
      <c r="R433" s="573"/>
      <c r="S433" s="571"/>
      <c r="T433" s="572"/>
      <c r="U433" s="573"/>
      <c r="V433" s="573"/>
      <c r="W433" s="574"/>
      <c r="X433" s="571"/>
      <c r="Y433" s="575"/>
      <c r="Z433" s="575"/>
      <c r="AA433" s="575"/>
      <c r="AB433" s="575"/>
      <c r="AC433" s="571"/>
      <c r="AD433" s="571"/>
      <c r="AE433" s="571"/>
      <c r="AF433" s="571"/>
      <c r="AG433" s="571"/>
      <c r="AH433" s="571"/>
      <c r="AI433" s="571"/>
      <c r="AJ433" s="571"/>
      <c r="AK433" s="571"/>
      <c r="AL433" s="571"/>
      <c r="AM433" s="571"/>
      <c r="AN433" s="571"/>
    </row>
    <row r="434" spans="1:40" ht="12.75" x14ac:dyDescent="0.2">
      <c r="A434" s="571"/>
      <c r="B434" s="571"/>
      <c r="C434" s="571"/>
      <c r="D434" s="572"/>
      <c r="E434" s="573"/>
      <c r="F434" s="573"/>
      <c r="G434" s="573"/>
      <c r="H434" s="573"/>
      <c r="I434" s="573"/>
      <c r="J434" s="574"/>
      <c r="K434" s="572"/>
      <c r="L434" s="573"/>
      <c r="M434" s="573"/>
      <c r="N434" s="573"/>
      <c r="O434" s="572"/>
      <c r="P434" s="573"/>
      <c r="Q434" s="573"/>
      <c r="R434" s="573"/>
      <c r="S434" s="571"/>
      <c r="T434" s="572"/>
      <c r="U434" s="573"/>
      <c r="V434" s="573"/>
      <c r="W434" s="574"/>
      <c r="X434" s="571"/>
      <c r="Y434" s="575"/>
      <c r="Z434" s="575"/>
      <c r="AA434" s="575"/>
      <c r="AB434" s="575"/>
      <c r="AC434" s="571"/>
      <c r="AD434" s="571"/>
      <c r="AE434" s="571"/>
      <c r="AF434" s="571"/>
      <c r="AG434" s="571"/>
      <c r="AH434" s="571"/>
      <c r="AI434" s="571"/>
      <c r="AJ434" s="571"/>
      <c r="AK434" s="571"/>
      <c r="AL434" s="571"/>
      <c r="AM434" s="571"/>
      <c r="AN434" s="571"/>
    </row>
    <row r="435" spans="1:40" ht="12.75" x14ac:dyDescent="0.2">
      <c r="A435" s="571"/>
      <c r="B435" s="571"/>
      <c r="C435" s="571"/>
      <c r="D435" s="572"/>
      <c r="E435" s="573"/>
      <c r="F435" s="573"/>
      <c r="G435" s="573"/>
      <c r="H435" s="573"/>
      <c r="I435" s="573"/>
      <c r="J435" s="574"/>
      <c r="K435" s="572"/>
      <c r="L435" s="573"/>
      <c r="M435" s="573"/>
      <c r="N435" s="573"/>
      <c r="O435" s="572"/>
      <c r="P435" s="573"/>
      <c r="Q435" s="573"/>
      <c r="R435" s="573"/>
      <c r="S435" s="571"/>
      <c r="T435" s="572"/>
      <c r="U435" s="573"/>
      <c r="V435" s="573"/>
      <c r="W435" s="574"/>
      <c r="X435" s="571"/>
      <c r="Y435" s="575"/>
      <c r="Z435" s="575"/>
      <c r="AA435" s="575"/>
      <c r="AB435" s="575"/>
      <c r="AC435" s="571"/>
      <c r="AD435" s="571"/>
      <c r="AE435" s="571"/>
      <c r="AF435" s="571"/>
      <c r="AG435" s="571"/>
      <c r="AH435" s="571"/>
      <c r="AI435" s="571"/>
      <c r="AJ435" s="571"/>
      <c r="AK435" s="571"/>
      <c r="AL435" s="571"/>
      <c r="AM435" s="571"/>
      <c r="AN435" s="571"/>
    </row>
    <row r="436" spans="1:40" ht="12.75" x14ac:dyDescent="0.2">
      <c r="A436" s="571"/>
      <c r="B436" s="571"/>
      <c r="C436" s="571"/>
      <c r="D436" s="572"/>
      <c r="E436" s="573"/>
      <c r="F436" s="573"/>
      <c r="G436" s="573"/>
      <c r="H436" s="573"/>
      <c r="I436" s="573"/>
      <c r="J436" s="574"/>
      <c r="K436" s="572"/>
      <c r="L436" s="573"/>
      <c r="M436" s="573"/>
      <c r="N436" s="573"/>
      <c r="O436" s="572"/>
      <c r="P436" s="573"/>
      <c r="Q436" s="573"/>
      <c r="R436" s="573"/>
      <c r="S436" s="571"/>
      <c r="T436" s="572"/>
      <c r="U436" s="573"/>
      <c r="V436" s="573"/>
      <c r="W436" s="574"/>
      <c r="X436" s="571"/>
      <c r="Y436" s="575"/>
      <c r="Z436" s="575"/>
      <c r="AA436" s="575"/>
      <c r="AB436" s="575"/>
      <c r="AC436" s="571"/>
      <c r="AD436" s="571"/>
      <c r="AE436" s="571"/>
      <c r="AF436" s="571"/>
      <c r="AG436" s="571"/>
      <c r="AH436" s="571"/>
      <c r="AI436" s="571"/>
      <c r="AJ436" s="571"/>
      <c r="AK436" s="571"/>
      <c r="AL436" s="571"/>
      <c r="AM436" s="571"/>
      <c r="AN436" s="571"/>
    </row>
    <row r="437" spans="1:40" ht="12.75" x14ac:dyDescent="0.2">
      <c r="A437" s="571"/>
      <c r="B437" s="571"/>
      <c r="C437" s="571"/>
      <c r="D437" s="572"/>
      <c r="E437" s="573"/>
      <c r="F437" s="573"/>
      <c r="G437" s="573"/>
      <c r="H437" s="573"/>
      <c r="I437" s="573"/>
      <c r="J437" s="574"/>
      <c r="K437" s="572"/>
      <c r="L437" s="573"/>
      <c r="M437" s="573"/>
      <c r="N437" s="573"/>
      <c r="O437" s="572"/>
      <c r="P437" s="573"/>
      <c r="Q437" s="573"/>
      <c r="R437" s="573"/>
      <c r="S437" s="571"/>
      <c r="T437" s="572"/>
      <c r="U437" s="573"/>
      <c r="V437" s="573"/>
      <c r="W437" s="574"/>
      <c r="X437" s="571"/>
      <c r="Y437" s="575"/>
      <c r="Z437" s="575"/>
      <c r="AA437" s="575"/>
      <c r="AB437" s="575"/>
      <c r="AC437" s="571"/>
      <c r="AD437" s="571"/>
      <c r="AE437" s="571"/>
      <c r="AF437" s="571"/>
      <c r="AG437" s="571"/>
      <c r="AH437" s="571"/>
      <c r="AI437" s="571"/>
      <c r="AJ437" s="571"/>
      <c r="AK437" s="571"/>
      <c r="AL437" s="571"/>
      <c r="AM437" s="571"/>
      <c r="AN437" s="571"/>
    </row>
    <row r="438" spans="1:40" ht="12.75" x14ac:dyDescent="0.2">
      <c r="A438" s="571"/>
      <c r="B438" s="571"/>
      <c r="C438" s="571"/>
      <c r="D438" s="572"/>
      <c r="E438" s="573"/>
      <c r="F438" s="573"/>
      <c r="G438" s="573"/>
      <c r="H438" s="573"/>
      <c r="I438" s="573"/>
      <c r="J438" s="574"/>
      <c r="K438" s="572"/>
      <c r="L438" s="573"/>
      <c r="M438" s="573"/>
      <c r="N438" s="573"/>
      <c r="O438" s="572"/>
      <c r="P438" s="573"/>
      <c r="Q438" s="573"/>
      <c r="R438" s="573"/>
      <c r="S438" s="571"/>
      <c r="T438" s="572"/>
      <c r="U438" s="573"/>
      <c r="V438" s="573"/>
      <c r="W438" s="574"/>
      <c r="X438" s="571"/>
      <c r="Y438" s="575"/>
      <c r="Z438" s="575"/>
      <c r="AA438" s="575"/>
      <c r="AB438" s="575"/>
      <c r="AC438" s="571"/>
      <c r="AD438" s="571"/>
      <c r="AE438" s="571"/>
      <c r="AF438" s="571"/>
      <c r="AG438" s="571"/>
      <c r="AH438" s="571"/>
      <c r="AI438" s="571"/>
      <c r="AJ438" s="571"/>
      <c r="AK438" s="571"/>
      <c r="AL438" s="571"/>
      <c r="AM438" s="571"/>
      <c r="AN438" s="571"/>
    </row>
    <row r="439" spans="1:40" ht="12.75" x14ac:dyDescent="0.2">
      <c r="A439" s="571"/>
      <c r="B439" s="571"/>
      <c r="C439" s="571"/>
      <c r="D439" s="572"/>
      <c r="E439" s="573"/>
      <c r="F439" s="573"/>
      <c r="G439" s="573"/>
      <c r="H439" s="573"/>
      <c r="I439" s="573"/>
      <c r="J439" s="574"/>
      <c r="K439" s="572"/>
      <c r="L439" s="573"/>
      <c r="M439" s="573"/>
      <c r="N439" s="573"/>
      <c r="O439" s="572"/>
      <c r="P439" s="573"/>
      <c r="Q439" s="573"/>
      <c r="R439" s="573"/>
      <c r="S439" s="571"/>
      <c r="T439" s="572"/>
      <c r="U439" s="573"/>
      <c r="V439" s="573"/>
      <c r="W439" s="574"/>
      <c r="X439" s="571"/>
      <c r="Y439" s="575"/>
      <c r="Z439" s="575"/>
      <c r="AA439" s="575"/>
      <c r="AB439" s="575"/>
      <c r="AC439" s="571"/>
      <c r="AD439" s="571"/>
      <c r="AE439" s="571"/>
      <c r="AF439" s="571"/>
      <c r="AG439" s="571"/>
      <c r="AH439" s="571"/>
      <c r="AI439" s="571"/>
      <c r="AJ439" s="571"/>
      <c r="AK439" s="571"/>
      <c r="AL439" s="571"/>
      <c r="AM439" s="571"/>
      <c r="AN439" s="571"/>
    </row>
    <row r="440" spans="1:40" ht="12.75" x14ac:dyDescent="0.2">
      <c r="A440" s="571"/>
      <c r="B440" s="571"/>
      <c r="C440" s="571"/>
      <c r="D440" s="572"/>
      <c r="E440" s="573"/>
      <c r="F440" s="573"/>
      <c r="G440" s="573"/>
      <c r="H440" s="573"/>
      <c r="I440" s="573"/>
      <c r="J440" s="574"/>
      <c r="K440" s="572"/>
      <c r="L440" s="573"/>
      <c r="M440" s="573"/>
      <c r="N440" s="573"/>
      <c r="O440" s="572"/>
      <c r="P440" s="573"/>
      <c r="Q440" s="573"/>
      <c r="R440" s="573"/>
      <c r="S440" s="571"/>
      <c r="T440" s="572"/>
      <c r="U440" s="573"/>
      <c r="V440" s="573"/>
      <c r="W440" s="574"/>
      <c r="X440" s="571"/>
      <c r="Y440" s="575"/>
      <c r="Z440" s="575"/>
      <c r="AA440" s="575"/>
      <c r="AB440" s="575"/>
      <c r="AC440" s="571"/>
      <c r="AD440" s="571"/>
      <c r="AE440" s="571"/>
      <c r="AF440" s="571"/>
      <c r="AG440" s="571"/>
      <c r="AH440" s="571"/>
      <c r="AI440" s="571"/>
      <c r="AJ440" s="571"/>
      <c r="AK440" s="571"/>
      <c r="AL440" s="571"/>
      <c r="AM440" s="571"/>
      <c r="AN440" s="571"/>
    </row>
    <row r="441" spans="1:40" ht="12.75" x14ac:dyDescent="0.2">
      <c r="A441" s="571"/>
      <c r="B441" s="571"/>
      <c r="C441" s="571"/>
      <c r="D441" s="572"/>
      <c r="E441" s="573"/>
      <c r="F441" s="573"/>
      <c r="G441" s="573"/>
      <c r="H441" s="573"/>
      <c r="I441" s="573"/>
      <c r="J441" s="574"/>
      <c r="K441" s="572"/>
      <c r="L441" s="573"/>
      <c r="M441" s="573"/>
      <c r="N441" s="573"/>
      <c r="O441" s="572"/>
      <c r="P441" s="573"/>
      <c r="Q441" s="573"/>
      <c r="R441" s="573"/>
      <c r="S441" s="571"/>
      <c r="T441" s="572"/>
      <c r="U441" s="573"/>
      <c r="V441" s="573"/>
      <c r="W441" s="574"/>
      <c r="X441" s="571"/>
      <c r="Y441" s="575"/>
      <c r="Z441" s="575"/>
      <c r="AA441" s="575"/>
      <c r="AB441" s="575"/>
      <c r="AC441" s="571"/>
      <c r="AD441" s="571"/>
      <c r="AE441" s="571"/>
      <c r="AF441" s="571"/>
      <c r="AG441" s="571"/>
      <c r="AH441" s="571"/>
      <c r="AI441" s="571"/>
      <c r="AJ441" s="571"/>
      <c r="AK441" s="571"/>
      <c r="AL441" s="571"/>
      <c r="AM441" s="571"/>
      <c r="AN441" s="571"/>
    </row>
    <row r="442" spans="1:40" ht="12.75" x14ac:dyDescent="0.2">
      <c r="A442" s="571"/>
      <c r="B442" s="571"/>
      <c r="C442" s="571"/>
      <c r="D442" s="572"/>
      <c r="E442" s="573"/>
      <c r="F442" s="573"/>
      <c r="G442" s="573"/>
      <c r="H442" s="573"/>
      <c r="I442" s="573"/>
      <c r="J442" s="574"/>
      <c r="K442" s="572"/>
      <c r="L442" s="573"/>
      <c r="M442" s="573"/>
      <c r="N442" s="573"/>
      <c r="O442" s="572"/>
      <c r="P442" s="573"/>
      <c r="Q442" s="573"/>
      <c r="R442" s="573"/>
      <c r="S442" s="571"/>
      <c r="T442" s="572"/>
      <c r="U442" s="573"/>
      <c r="V442" s="573"/>
      <c r="W442" s="574"/>
      <c r="X442" s="571"/>
      <c r="Y442" s="575"/>
      <c r="Z442" s="575"/>
      <c r="AA442" s="575"/>
      <c r="AB442" s="575"/>
      <c r="AC442" s="571"/>
      <c r="AD442" s="571"/>
      <c r="AE442" s="571"/>
      <c r="AF442" s="571"/>
      <c r="AG442" s="571"/>
      <c r="AH442" s="571"/>
      <c r="AI442" s="571"/>
      <c r="AJ442" s="571"/>
      <c r="AK442" s="571"/>
      <c r="AL442" s="571"/>
      <c r="AM442" s="571"/>
      <c r="AN442" s="571"/>
    </row>
    <row r="443" spans="1:40" ht="12.75" x14ac:dyDescent="0.2">
      <c r="A443" s="571"/>
      <c r="B443" s="571"/>
      <c r="C443" s="571"/>
      <c r="D443" s="572"/>
      <c r="E443" s="573"/>
      <c r="F443" s="573"/>
      <c r="G443" s="573"/>
      <c r="H443" s="573"/>
      <c r="I443" s="573"/>
      <c r="J443" s="574"/>
      <c r="K443" s="572"/>
      <c r="L443" s="573"/>
      <c r="M443" s="573"/>
      <c r="N443" s="573"/>
      <c r="O443" s="572"/>
      <c r="P443" s="573"/>
      <c r="Q443" s="573"/>
      <c r="R443" s="573"/>
      <c r="S443" s="571"/>
      <c r="T443" s="572"/>
      <c r="U443" s="573"/>
      <c r="V443" s="573"/>
      <c r="W443" s="574"/>
      <c r="X443" s="571"/>
      <c r="Y443" s="575"/>
      <c r="Z443" s="575"/>
      <c r="AA443" s="575"/>
      <c r="AB443" s="575"/>
      <c r="AC443" s="571"/>
      <c r="AD443" s="571"/>
      <c r="AE443" s="571"/>
      <c r="AF443" s="571"/>
      <c r="AG443" s="571"/>
      <c r="AH443" s="571"/>
      <c r="AI443" s="571"/>
      <c r="AJ443" s="571"/>
      <c r="AK443" s="571"/>
      <c r="AL443" s="571"/>
      <c r="AM443" s="571"/>
      <c r="AN443" s="571"/>
    </row>
    <row r="444" spans="1:40" ht="12.75" x14ac:dyDescent="0.2">
      <c r="A444" s="571"/>
      <c r="B444" s="571"/>
      <c r="C444" s="571"/>
      <c r="D444" s="572"/>
      <c r="E444" s="573"/>
      <c r="F444" s="573"/>
      <c r="G444" s="573"/>
      <c r="H444" s="573"/>
      <c r="I444" s="573"/>
      <c r="J444" s="574"/>
      <c r="K444" s="572"/>
      <c r="L444" s="573"/>
      <c r="M444" s="573"/>
      <c r="N444" s="573"/>
      <c r="O444" s="572"/>
      <c r="P444" s="573"/>
      <c r="Q444" s="573"/>
      <c r="R444" s="573"/>
      <c r="S444" s="571"/>
      <c r="T444" s="572"/>
      <c r="U444" s="573"/>
      <c r="V444" s="573"/>
      <c r="W444" s="574"/>
      <c r="X444" s="571"/>
      <c r="Y444" s="575"/>
      <c r="Z444" s="575"/>
      <c r="AA444" s="575"/>
      <c r="AB444" s="575"/>
      <c r="AC444" s="571"/>
      <c r="AD444" s="571"/>
      <c r="AE444" s="571"/>
      <c r="AF444" s="571"/>
      <c r="AG444" s="571"/>
      <c r="AH444" s="571"/>
      <c r="AI444" s="571"/>
      <c r="AJ444" s="571"/>
      <c r="AK444" s="571"/>
      <c r="AL444" s="571"/>
      <c r="AM444" s="571"/>
      <c r="AN444" s="571"/>
    </row>
    <row r="445" spans="1:40" ht="12.75" x14ac:dyDescent="0.2">
      <c r="A445" s="571"/>
      <c r="B445" s="571"/>
      <c r="C445" s="571"/>
      <c r="D445" s="572"/>
      <c r="E445" s="573"/>
      <c r="F445" s="573"/>
      <c r="G445" s="573"/>
      <c r="H445" s="573"/>
      <c r="I445" s="573"/>
      <c r="J445" s="574"/>
      <c r="K445" s="572"/>
      <c r="L445" s="573"/>
      <c r="M445" s="573"/>
      <c r="N445" s="573"/>
      <c r="O445" s="572"/>
      <c r="P445" s="573"/>
      <c r="Q445" s="573"/>
      <c r="R445" s="573"/>
      <c r="S445" s="571"/>
      <c r="T445" s="572"/>
      <c r="U445" s="573"/>
      <c r="V445" s="573"/>
      <c r="W445" s="574"/>
      <c r="X445" s="571"/>
      <c r="Y445" s="575"/>
      <c r="Z445" s="575"/>
      <c r="AA445" s="575"/>
      <c r="AB445" s="575"/>
      <c r="AC445" s="571"/>
      <c r="AD445" s="571"/>
      <c r="AE445" s="571"/>
      <c r="AF445" s="571"/>
      <c r="AG445" s="571"/>
      <c r="AH445" s="571"/>
      <c r="AI445" s="571"/>
      <c r="AJ445" s="571"/>
      <c r="AK445" s="571"/>
      <c r="AL445" s="571"/>
      <c r="AM445" s="571"/>
      <c r="AN445" s="571"/>
    </row>
    <row r="446" spans="1:40" ht="12.75" x14ac:dyDescent="0.2">
      <c r="A446" s="571"/>
      <c r="B446" s="571"/>
      <c r="C446" s="571"/>
      <c r="D446" s="572"/>
      <c r="E446" s="573"/>
      <c r="F446" s="573"/>
      <c r="G446" s="573"/>
      <c r="H446" s="573"/>
      <c r="I446" s="573"/>
      <c r="J446" s="574"/>
      <c r="K446" s="572"/>
      <c r="L446" s="573"/>
      <c r="M446" s="573"/>
      <c r="N446" s="573"/>
      <c r="O446" s="572"/>
      <c r="P446" s="573"/>
      <c r="Q446" s="573"/>
      <c r="R446" s="573"/>
      <c r="S446" s="571"/>
      <c r="T446" s="572"/>
      <c r="U446" s="573"/>
      <c r="V446" s="573"/>
      <c r="W446" s="574"/>
      <c r="X446" s="571"/>
      <c r="Y446" s="575"/>
      <c r="Z446" s="575"/>
      <c r="AA446" s="575"/>
      <c r="AB446" s="575"/>
      <c r="AC446" s="571"/>
      <c r="AD446" s="571"/>
      <c r="AE446" s="571"/>
      <c r="AF446" s="571"/>
      <c r="AG446" s="571"/>
      <c r="AH446" s="571"/>
      <c r="AI446" s="571"/>
      <c r="AJ446" s="571"/>
      <c r="AK446" s="571"/>
      <c r="AL446" s="571"/>
      <c r="AM446" s="571"/>
      <c r="AN446" s="571"/>
    </row>
    <row r="447" spans="1:40" ht="12.75" x14ac:dyDescent="0.2">
      <c r="A447" s="571"/>
      <c r="B447" s="571"/>
      <c r="C447" s="571"/>
      <c r="D447" s="572"/>
      <c r="E447" s="573"/>
      <c r="F447" s="573"/>
      <c r="G447" s="573"/>
      <c r="H447" s="573"/>
      <c r="I447" s="573"/>
      <c r="J447" s="574"/>
      <c r="K447" s="572"/>
      <c r="L447" s="573"/>
      <c r="M447" s="573"/>
      <c r="N447" s="573"/>
      <c r="O447" s="572"/>
      <c r="P447" s="573"/>
      <c r="Q447" s="573"/>
      <c r="R447" s="573"/>
      <c r="S447" s="571"/>
      <c r="T447" s="572"/>
      <c r="U447" s="573"/>
      <c r="V447" s="573"/>
      <c r="W447" s="574"/>
      <c r="X447" s="571"/>
      <c r="Y447" s="575"/>
      <c r="Z447" s="575"/>
      <c r="AA447" s="575"/>
      <c r="AB447" s="575"/>
      <c r="AC447" s="571"/>
      <c r="AD447" s="571"/>
      <c r="AE447" s="571"/>
      <c r="AF447" s="571"/>
      <c r="AG447" s="571"/>
      <c r="AH447" s="571"/>
      <c r="AI447" s="571"/>
      <c r="AJ447" s="571"/>
      <c r="AK447" s="571"/>
      <c r="AL447" s="571"/>
      <c r="AM447" s="571"/>
      <c r="AN447" s="571"/>
    </row>
    <row r="448" spans="1:40" ht="12.75" x14ac:dyDescent="0.2">
      <c r="A448" s="571"/>
      <c r="B448" s="571"/>
      <c r="C448" s="571"/>
      <c r="D448" s="572"/>
      <c r="E448" s="573"/>
      <c r="F448" s="573"/>
      <c r="G448" s="573"/>
      <c r="H448" s="573"/>
      <c r="I448" s="573"/>
      <c r="J448" s="574"/>
      <c r="K448" s="572"/>
      <c r="L448" s="573"/>
      <c r="M448" s="573"/>
      <c r="N448" s="573"/>
      <c r="O448" s="572"/>
      <c r="P448" s="573"/>
      <c r="Q448" s="573"/>
      <c r="R448" s="573"/>
      <c r="S448" s="571"/>
      <c r="T448" s="572"/>
      <c r="U448" s="573"/>
      <c r="V448" s="573"/>
      <c r="W448" s="574"/>
      <c r="X448" s="571"/>
      <c r="Y448" s="575"/>
      <c r="Z448" s="575"/>
      <c r="AA448" s="575"/>
      <c r="AB448" s="575"/>
      <c r="AC448" s="571"/>
      <c r="AD448" s="571"/>
      <c r="AE448" s="571"/>
      <c r="AF448" s="571"/>
      <c r="AG448" s="571"/>
      <c r="AH448" s="571"/>
      <c r="AI448" s="571"/>
      <c r="AJ448" s="571"/>
      <c r="AK448" s="571"/>
      <c r="AL448" s="571"/>
      <c r="AM448" s="571"/>
      <c r="AN448" s="571"/>
    </row>
    <row r="449" spans="1:40" ht="12.75" x14ac:dyDescent="0.2">
      <c r="A449" s="571"/>
      <c r="B449" s="571"/>
      <c r="C449" s="571"/>
      <c r="D449" s="572"/>
      <c r="E449" s="573"/>
      <c r="F449" s="573"/>
      <c r="G449" s="573"/>
      <c r="H449" s="573"/>
      <c r="I449" s="573"/>
      <c r="J449" s="574"/>
      <c r="K449" s="572"/>
      <c r="L449" s="573"/>
      <c r="M449" s="573"/>
      <c r="N449" s="573"/>
      <c r="O449" s="572"/>
      <c r="P449" s="573"/>
      <c r="Q449" s="573"/>
      <c r="R449" s="573"/>
      <c r="S449" s="571"/>
      <c r="T449" s="572"/>
      <c r="U449" s="573"/>
      <c r="V449" s="573"/>
      <c r="W449" s="574"/>
      <c r="X449" s="571"/>
      <c r="Y449" s="575"/>
      <c r="Z449" s="575"/>
      <c r="AA449" s="575"/>
      <c r="AB449" s="575"/>
      <c r="AC449" s="571"/>
      <c r="AD449" s="571"/>
      <c r="AE449" s="571"/>
      <c r="AF449" s="571"/>
      <c r="AG449" s="571"/>
      <c r="AH449" s="571"/>
      <c r="AI449" s="571"/>
      <c r="AJ449" s="571"/>
      <c r="AK449" s="571"/>
      <c r="AL449" s="571"/>
      <c r="AM449" s="571"/>
      <c r="AN449" s="571"/>
    </row>
    <row r="450" spans="1:40" ht="12.75" x14ac:dyDescent="0.2">
      <c r="A450" s="571"/>
      <c r="B450" s="571"/>
      <c r="C450" s="571"/>
      <c r="D450" s="572"/>
      <c r="E450" s="573"/>
      <c r="F450" s="573"/>
      <c r="G450" s="573"/>
      <c r="H450" s="573"/>
      <c r="I450" s="573"/>
      <c r="J450" s="574"/>
      <c r="K450" s="572"/>
      <c r="L450" s="573"/>
      <c r="M450" s="573"/>
      <c r="N450" s="573"/>
      <c r="O450" s="572"/>
      <c r="P450" s="573"/>
      <c r="Q450" s="573"/>
      <c r="R450" s="573"/>
      <c r="S450" s="571"/>
      <c r="T450" s="572"/>
      <c r="U450" s="573"/>
      <c r="V450" s="573"/>
      <c r="W450" s="574"/>
      <c r="X450" s="571"/>
      <c r="Y450" s="575"/>
      <c r="Z450" s="575"/>
      <c r="AA450" s="575"/>
      <c r="AB450" s="575"/>
      <c r="AC450" s="571"/>
      <c r="AD450" s="571"/>
      <c r="AE450" s="571"/>
      <c r="AF450" s="571"/>
      <c r="AG450" s="571"/>
      <c r="AH450" s="571"/>
      <c r="AI450" s="571"/>
      <c r="AJ450" s="571"/>
      <c r="AK450" s="571"/>
      <c r="AL450" s="571"/>
      <c r="AM450" s="571"/>
      <c r="AN450" s="571"/>
    </row>
    <row r="451" spans="1:40" ht="12.75" x14ac:dyDescent="0.2">
      <c r="A451" s="571"/>
      <c r="B451" s="571"/>
      <c r="C451" s="571"/>
      <c r="D451" s="572"/>
      <c r="E451" s="573"/>
      <c r="F451" s="573"/>
      <c r="G451" s="573"/>
      <c r="H451" s="573"/>
      <c r="I451" s="573"/>
      <c r="J451" s="574"/>
      <c r="K451" s="572"/>
      <c r="L451" s="573"/>
      <c r="M451" s="573"/>
      <c r="N451" s="573"/>
      <c r="O451" s="572"/>
      <c r="P451" s="573"/>
      <c r="Q451" s="573"/>
      <c r="R451" s="573"/>
      <c r="S451" s="571"/>
      <c r="T451" s="572"/>
      <c r="U451" s="573"/>
      <c r="V451" s="573"/>
      <c r="W451" s="574"/>
      <c r="X451" s="571"/>
      <c r="Y451" s="575"/>
      <c r="Z451" s="575"/>
      <c r="AA451" s="575"/>
      <c r="AB451" s="575"/>
      <c r="AC451" s="571"/>
      <c r="AD451" s="571"/>
      <c r="AE451" s="571"/>
      <c r="AF451" s="571"/>
      <c r="AG451" s="571"/>
      <c r="AH451" s="571"/>
      <c r="AI451" s="571"/>
      <c r="AJ451" s="571"/>
      <c r="AK451" s="571"/>
      <c r="AL451" s="571"/>
      <c r="AM451" s="571"/>
      <c r="AN451" s="571"/>
    </row>
    <row r="452" spans="1:40" ht="12.75" x14ac:dyDescent="0.2">
      <c r="A452" s="571"/>
      <c r="B452" s="571"/>
      <c r="C452" s="571"/>
      <c r="D452" s="572"/>
      <c r="E452" s="573"/>
      <c r="F452" s="573"/>
      <c r="G452" s="573"/>
      <c r="H452" s="573"/>
      <c r="I452" s="573"/>
      <c r="J452" s="574"/>
      <c r="K452" s="572"/>
      <c r="L452" s="573"/>
      <c r="M452" s="573"/>
      <c r="N452" s="573"/>
      <c r="O452" s="572"/>
      <c r="P452" s="573"/>
      <c r="Q452" s="573"/>
      <c r="R452" s="573"/>
      <c r="S452" s="571"/>
      <c r="T452" s="572"/>
      <c r="U452" s="573"/>
      <c r="V452" s="573"/>
      <c r="W452" s="574"/>
      <c r="X452" s="571"/>
      <c r="Y452" s="575"/>
      <c r="Z452" s="575"/>
      <c r="AA452" s="575"/>
      <c r="AB452" s="575"/>
      <c r="AC452" s="571"/>
      <c r="AD452" s="571"/>
      <c r="AE452" s="571"/>
      <c r="AF452" s="571"/>
      <c r="AG452" s="571"/>
      <c r="AH452" s="571"/>
      <c r="AI452" s="571"/>
      <c r="AJ452" s="571"/>
      <c r="AK452" s="571"/>
      <c r="AL452" s="571"/>
      <c r="AM452" s="571"/>
      <c r="AN452" s="571"/>
    </row>
    <row r="453" spans="1:40" ht="12.75" x14ac:dyDescent="0.2">
      <c r="A453" s="571"/>
      <c r="B453" s="571"/>
      <c r="C453" s="571"/>
      <c r="D453" s="572"/>
      <c r="E453" s="573"/>
      <c r="F453" s="573"/>
      <c r="G453" s="573"/>
      <c r="H453" s="573"/>
      <c r="I453" s="573"/>
      <c r="J453" s="574"/>
      <c r="K453" s="572"/>
      <c r="L453" s="573"/>
      <c r="M453" s="573"/>
      <c r="N453" s="573"/>
      <c r="O453" s="572"/>
      <c r="P453" s="573"/>
      <c r="Q453" s="573"/>
      <c r="R453" s="573"/>
      <c r="S453" s="571"/>
      <c r="T453" s="572"/>
      <c r="U453" s="573"/>
      <c r="V453" s="573"/>
      <c r="W453" s="574"/>
      <c r="X453" s="571"/>
      <c r="Y453" s="575"/>
      <c r="Z453" s="575"/>
      <c r="AA453" s="575"/>
      <c r="AB453" s="575"/>
      <c r="AC453" s="571"/>
      <c r="AD453" s="571"/>
      <c r="AE453" s="571"/>
      <c r="AF453" s="571"/>
      <c r="AG453" s="571"/>
      <c r="AH453" s="571"/>
      <c r="AI453" s="571"/>
      <c r="AJ453" s="571"/>
      <c r="AK453" s="571"/>
      <c r="AL453" s="571"/>
      <c r="AM453" s="571"/>
      <c r="AN453" s="571"/>
    </row>
    <row r="454" spans="1:40" ht="12.75" x14ac:dyDescent="0.2">
      <c r="A454" s="571"/>
      <c r="B454" s="571"/>
      <c r="C454" s="571"/>
      <c r="D454" s="572"/>
      <c r="E454" s="573"/>
      <c r="F454" s="573"/>
      <c r="G454" s="573"/>
      <c r="H454" s="573"/>
      <c r="I454" s="573"/>
      <c r="J454" s="574"/>
      <c r="K454" s="572"/>
      <c r="L454" s="573"/>
      <c r="M454" s="573"/>
      <c r="N454" s="573"/>
      <c r="O454" s="572"/>
      <c r="P454" s="573"/>
      <c r="Q454" s="573"/>
      <c r="R454" s="573"/>
      <c r="S454" s="571"/>
      <c r="T454" s="572"/>
      <c r="U454" s="573"/>
      <c r="V454" s="573"/>
      <c r="W454" s="574"/>
      <c r="X454" s="571"/>
      <c r="Y454" s="575"/>
      <c r="Z454" s="575"/>
      <c r="AA454" s="575"/>
      <c r="AB454" s="575"/>
      <c r="AC454" s="571"/>
      <c r="AD454" s="571"/>
      <c r="AE454" s="571"/>
      <c r="AF454" s="571"/>
      <c r="AG454" s="571"/>
      <c r="AH454" s="571"/>
      <c r="AI454" s="571"/>
      <c r="AJ454" s="571"/>
      <c r="AK454" s="571"/>
      <c r="AL454" s="571"/>
      <c r="AM454" s="571"/>
      <c r="AN454" s="571"/>
    </row>
    <row r="455" spans="1:40" ht="12.75" x14ac:dyDescent="0.2">
      <c r="A455" s="571"/>
      <c r="B455" s="571"/>
      <c r="C455" s="571"/>
      <c r="D455" s="572"/>
      <c r="E455" s="573"/>
      <c r="F455" s="573"/>
      <c r="G455" s="573"/>
      <c r="H455" s="573"/>
      <c r="I455" s="573"/>
      <c r="J455" s="574"/>
      <c r="K455" s="572"/>
      <c r="L455" s="573"/>
      <c r="M455" s="573"/>
      <c r="N455" s="573"/>
      <c r="O455" s="572"/>
      <c r="P455" s="573"/>
      <c r="Q455" s="573"/>
      <c r="R455" s="573"/>
      <c r="S455" s="571"/>
      <c r="T455" s="572"/>
      <c r="U455" s="573"/>
      <c r="V455" s="573"/>
      <c r="W455" s="574"/>
      <c r="X455" s="571"/>
      <c r="Y455" s="575"/>
      <c r="Z455" s="575"/>
      <c r="AA455" s="575"/>
      <c r="AB455" s="575"/>
      <c r="AC455" s="571"/>
      <c r="AD455" s="571"/>
      <c r="AE455" s="571"/>
      <c r="AF455" s="571"/>
      <c r="AG455" s="571"/>
      <c r="AH455" s="571"/>
      <c r="AI455" s="571"/>
      <c r="AJ455" s="571"/>
      <c r="AK455" s="571"/>
      <c r="AL455" s="571"/>
      <c r="AM455" s="571"/>
      <c r="AN455" s="571"/>
    </row>
    <row r="456" spans="1:40" ht="12.75" x14ac:dyDescent="0.2">
      <c r="A456" s="571"/>
      <c r="B456" s="571"/>
      <c r="C456" s="571"/>
      <c r="D456" s="572"/>
      <c r="E456" s="573"/>
      <c r="F456" s="573"/>
      <c r="G456" s="573"/>
      <c r="H456" s="573"/>
      <c r="I456" s="573"/>
      <c r="J456" s="574"/>
      <c r="K456" s="572"/>
      <c r="L456" s="573"/>
      <c r="M456" s="573"/>
      <c r="N456" s="573"/>
      <c r="O456" s="572"/>
      <c r="P456" s="573"/>
      <c r="Q456" s="573"/>
      <c r="R456" s="573"/>
      <c r="S456" s="571"/>
      <c r="T456" s="572"/>
      <c r="U456" s="573"/>
      <c r="V456" s="573"/>
      <c r="W456" s="574"/>
      <c r="X456" s="571"/>
      <c r="Y456" s="575"/>
      <c r="Z456" s="575"/>
      <c r="AA456" s="575"/>
      <c r="AB456" s="575"/>
      <c r="AC456" s="571"/>
      <c r="AD456" s="571"/>
      <c r="AE456" s="571"/>
      <c r="AF456" s="571"/>
      <c r="AG456" s="571"/>
      <c r="AH456" s="571"/>
      <c r="AI456" s="571"/>
      <c r="AJ456" s="571"/>
      <c r="AK456" s="571"/>
      <c r="AL456" s="571"/>
      <c r="AM456" s="571"/>
      <c r="AN456" s="571"/>
    </row>
    <row r="457" spans="1:40" ht="12.75" x14ac:dyDescent="0.2">
      <c r="A457" s="571"/>
      <c r="B457" s="571"/>
      <c r="C457" s="571"/>
      <c r="D457" s="572"/>
      <c r="E457" s="573"/>
      <c r="F457" s="573"/>
      <c r="G457" s="573"/>
      <c r="H457" s="573"/>
      <c r="I457" s="573"/>
      <c r="J457" s="574"/>
      <c r="K457" s="572"/>
      <c r="L457" s="573"/>
      <c r="M457" s="573"/>
      <c r="N457" s="573"/>
      <c r="O457" s="572"/>
      <c r="P457" s="573"/>
      <c r="Q457" s="573"/>
      <c r="R457" s="573"/>
      <c r="S457" s="571"/>
      <c r="T457" s="572"/>
      <c r="U457" s="573"/>
      <c r="V457" s="573"/>
      <c r="W457" s="574"/>
      <c r="X457" s="571"/>
      <c r="Y457" s="575"/>
      <c r="Z457" s="575"/>
      <c r="AA457" s="575"/>
      <c r="AB457" s="575"/>
      <c r="AC457" s="571"/>
      <c r="AD457" s="571"/>
      <c r="AE457" s="571"/>
      <c r="AF457" s="571"/>
      <c r="AG457" s="571"/>
      <c r="AH457" s="571"/>
      <c r="AI457" s="571"/>
      <c r="AJ457" s="571"/>
      <c r="AK457" s="571"/>
      <c r="AL457" s="571"/>
      <c r="AM457" s="571"/>
      <c r="AN457" s="571"/>
    </row>
    <row r="458" spans="1:40" ht="12.75" x14ac:dyDescent="0.2">
      <c r="A458" s="571"/>
      <c r="B458" s="571"/>
      <c r="C458" s="571"/>
      <c r="D458" s="572"/>
      <c r="E458" s="573"/>
      <c r="F458" s="573"/>
      <c r="G458" s="573"/>
      <c r="H458" s="573"/>
      <c r="I458" s="573"/>
      <c r="J458" s="574"/>
      <c r="K458" s="572"/>
      <c r="L458" s="573"/>
      <c r="M458" s="573"/>
      <c r="N458" s="573"/>
      <c r="O458" s="572"/>
      <c r="P458" s="573"/>
      <c r="Q458" s="573"/>
      <c r="R458" s="573"/>
      <c r="S458" s="571"/>
      <c r="T458" s="572"/>
      <c r="U458" s="573"/>
      <c r="V458" s="573"/>
      <c r="W458" s="574"/>
      <c r="X458" s="571"/>
      <c r="Y458" s="575"/>
      <c r="Z458" s="575"/>
      <c r="AA458" s="575"/>
      <c r="AB458" s="575"/>
      <c r="AC458" s="571"/>
      <c r="AD458" s="571"/>
      <c r="AE458" s="571"/>
      <c r="AF458" s="571"/>
      <c r="AG458" s="571"/>
      <c r="AH458" s="571"/>
      <c r="AI458" s="571"/>
      <c r="AJ458" s="571"/>
      <c r="AK458" s="571"/>
      <c r="AL458" s="571"/>
      <c r="AM458" s="571"/>
      <c r="AN458" s="571"/>
    </row>
    <row r="459" spans="1:40" ht="12.75" x14ac:dyDescent="0.2">
      <c r="A459" s="571"/>
      <c r="B459" s="571"/>
      <c r="C459" s="571"/>
      <c r="D459" s="572"/>
      <c r="E459" s="573"/>
      <c r="F459" s="573"/>
      <c r="G459" s="573"/>
      <c r="H459" s="573"/>
      <c r="I459" s="573"/>
      <c r="J459" s="574"/>
      <c r="K459" s="572"/>
      <c r="L459" s="573"/>
      <c r="M459" s="573"/>
      <c r="N459" s="573"/>
      <c r="O459" s="572"/>
      <c r="P459" s="573"/>
      <c r="Q459" s="573"/>
      <c r="R459" s="573"/>
      <c r="S459" s="571"/>
      <c r="T459" s="572"/>
      <c r="U459" s="573"/>
      <c r="V459" s="573"/>
      <c r="W459" s="574"/>
      <c r="X459" s="571"/>
      <c r="Y459" s="575"/>
      <c r="Z459" s="575"/>
      <c r="AA459" s="575"/>
      <c r="AB459" s="575"/>
      <c r="AC459" s="571"/>
      <c r="AD459" s="571"/>
      <c r="AE459" s="571"/>
      <c r="AF459" s="571"/>
      <c r="AG459" s="571"/>
      <c r="AH459" s="571"/>
      <c r="AI459" s="571"/>
      <c r="AJ459" s="571"/>
      <c r="AK459" s="571"/>
      <c r="AL459" s="571"/>
      <c r="AM459" s="571"/>
      <c r="AN459" s="571"/>
    </row>
    <row r="460" spans="1:40" ht="12.75" x14ac:dyDescent="0.2">
      <c r="A460" s="571"/>
      <c r="B460" s="571"/>
      <c r="C460" s="571"/>
      <c r="D460" s="572"/>
      <c r="E460" s="573"/>
      <c r="F460" s="573"/>
      <c r="G460" s="573"/>
      <c r="H460" s="573"/>
      <c r="I460" s="573"/>
      <c r="J460" s="574"/>
      <c r="K460" s="572"/>
      <c r="L460" s="573"/>
      <c r="M460" s="573"/>
      <c r="N460" s="573"/>
      <c r="O460" s="572"/>
      <c r="P460" s="573"/>
      <c r="Q460" s="573"/>
      <c r="R460" s="573"/>
      <c r="S460" s="571"/>
      <c r="T460" s="572"/>
      <c r="U460" s="573"/>
      <c r="V460" s="573"/>
      <c r="W460" s="574"/>
      <c r="X460" s="571"/>
      <c r="Y460" s="575"/>
      <c r="Z460" s="575"/>
      <c r="AA460" s="575"/>
      <c r="AB460" s="575"/>
      <c r="AC460" s="571"/>
      <c r="AD460" s="571"/>
      <c r="AE460" s="571"/>
      <c r="AF460" s="571"/>
      <c r="AG460" s="571"/>
      <c r="AH460" s="571"/>
      <c r="AI460" s="571"/>
      <c r="AJ460" s="571"/>
      <c r="AK460" s="571"/>
      <c r="AL460" s="571"/>
      <c r="AM460" s="571"/>
      <c r="AN460" s="571"/>
    </row>
    <row r="461" spans="1:40" ht="12.75" x14ac:dyDescent="0.2">
      <c r="A461" s="571"/>
      <c r="B461" s="571"/>
      <c r="C461" s="571"/>
      <c r="D461" s="572"/>
      <c r="E461" s="573"/>
      <c r="F461" s="573"/>
      <c r="G461" s="573"/>
      <c r="H461" s="573"/>
      <c r="I461" s="573"/>
      <c r="J461" s="574"/>
      <c r="K461" s="572"/>
      <c r="L461" s="573"/>
      <c r="M461" s="573"/>
      <c r="N461" s="573"/>
      <c r="O461" s="572"/>
      <c r="P461" s="573"/>
      <c r="Q461" s="573"/>
      <c r="R461" s="573"/>
      <c r="S461" s="571"/>
      <c r="T461" s="572"/>
      <c r="U461" s="573"/>
      <c r="V461" s="573"/>
      <c r="W461" s="574"/>
      <c r="X461" s="571"/>
      <c r="Y461" s="575"/>
      <c r="Z461" s="575"/>
      <c r="AA461" s="575"/>
      <c r="AB461" s="575"/>
      <c r="AC461" s="571"/>
      <c r="AD461" s="571"/>
      <c r="AE461" s="571"/>
      <c r="AF461" s="571"/>
      <c r="AG461" s="571"/>
      <c r="AH461" s="571"/>
      <c r="AI461" s="571"/>
      <c r="AJ461" s="571"/>
      <c r="AK461" s="571"/>
      <c r="AL461" s="571"/>
      <c r="AM461" s="571"/>
      <c r="AN461" s="571"/>
    </row>
    <row r="462" spans="1:40" ht="12.75" x14ac:dyDescent="0.2">
      <c r="A462" s="571"/>
      <c r="B462" s="571"/>
      <c r="C462" s="571"/>
      <c r="D462" s="572"/>
      <c r="E462" s="573"/>
      <c r="F462" s="573"/>
      <c r="G462" s="573"/>
      <c r="H462" s="573"/>
      <c r="I462" s="573"/>
      <c r="J462" s="574"/>
      <c r="K462" s="572"/>
      <c r="L462" s="573"/>
      <c r="M462" s="573"/>
      <c r="N462" s="573"/>
      <c r="O462" s="572"/>
      <c r="P462" s="573"/>
      <c r="Q462" s="573"/>
      <c r="R462" s="573"/>
      <c r="S462" s="571"/>
      <c r="T462" s="572"/>
      <c r="U462" s="573"/>
      <c r="V462" s="573"/>
      <c r="W462" s="574"/>
      <c r="X462" s="571"/>
      <c r="Y462" s="575"/>
      <c r="Z462" s="575"/>
      <c r="AA462" s="575"/>
      <c r="AB462" s="575"/>
      <c r="AC462" s="571"/>
      <c r="AD462" s="571"/>
      <c r="AE462" s="571"/>
      <c r="AF462" s="571"/>
      <c r="AG462" s="571"/>
      <c r="AH462" s="571"/>
      <c r="AI462" s="571"/>
      <c r="AJ462" s="571"/>
      <c r="AK462" s="571"/>
      <c r="AL462" s="571"/>
      <c r="AM462" s="571"/>
      <c r="AN462" s="571"/>
    </row>
    <row r="463" spans="1:40" ht="12.75" x14ac:dyDescent="0.2">
      <c r="A463" s="571"/>
      <c r="B463" s="571"/>
      <c r="C463" s="571"/>
      <c r="D463" s="572"/>
      <c r="E463" s="573"/>
      <c r="F463" s="573"/>
      <c r="G463" s="573"/>
      <c r="H463" s="573"/>
      <c r="I463" s="573"/>
      <c r="J463" s="574"/>
      <c r="K463" s="572"/>
      <c r="L463" s="573"/>
      <c r="M463" s="573"/>
      <c r="N463" s="573"/>
      <c r="O463" s="572"/>
      <c r="P463" s="573"/>
      <c r="Q463" s="573"/>
      <c r="R463" s="573"/>
      <c r="S463" s="571"/>
      <c r="T463" s="572"/>
      <c r="U463" s="573"/>
      <c r="V463" s="573"/>
      <c r="W463" s="574"/>
      <c r="X463" s="571"/>
      <c r="Y463" s="575"/>
      <c r="Z463" s="575"/>
      <c r="AA463" s="575"/>
      <c r="AB463" s="575"/>
      <c r="AC463" s="571"/>
      <c r="AD463" s="571"/>
      <c r="AE463" s="571"/>
      <c r="AF463" s="571"/>
      <c r="AG463" s="571"/>
      <c r="AH463" s="571"/>
      <c r="AI463" s="571"/>
      <c r="AJ463" s="571"/>
      <c r="AK463" s="571"/>
      <c r="AL463" s="571"/>
      <c r="AM463" s="571"/>
      <c r="AN463" s="571"/>
    </row>
    <row r="464" spans="1:40" ht="12.75" x14ac:dyDescent="0.2">
      <c r="A464" s="571"/>
      <c r="B464" s="571"/>
      <c r="C464" s="571"/>
      <c r="D464" s="572"/>
      <c r="E464" s="573"/>
      <c r="F464" s="573"/>
      <c r="G464" s="573"/>
      <c r="H464" s="573"/>
      <c r="I464" s="573"/>
      <c r="J464" s="574"/>
      <c r="K464" s="572"/>
      <c r="L464" s="573"/>
      <c r="M464" s="573"/>
      <c r="N464" s="573"/>
      <c r="O464" s="572"/>
      <c r="P464" s="573"/>
      <c r="Q464" s="573"/>
      <c r="R464" s="573"/>
      <c r="S464" s="571"/>
      <c r="T464" s="572"/>
      <c r="U464" s="573"/>
      <c r="V464" s="573"/>
      <c r="W464" s="574"/>
      <c r="X464" s="571"/>
      <c r="Y464" s="575"/>
      <c r="Z464" s="575"/>
      <c r="AA464" s="575"/>
      <c r="AB464" s="575"/>
      <c r="AC464" s="571"/>
      <c r="AD464" s="571"/>
      <c r="AE464" s="571"/>
      <c r="AF464" s="571"/>
      <c r="AG464" s="571"/>
      <c r="AH464" s="571"/>
      <c r="AI464" s="571"/>
      <c r="AJ464" s="571"/>
      <c r="AK464" s="571"/>
      <c r="AL464" s="571"/>
      <c r="AM464" s="571"/>
      <c r="AN464" s="571"/>
    </row>
    <row r="465" spans="1:40" ht="12.75" x14ac:dyDescent="0.2">
      <c r="A465" s="571"/>
      <c r="B465" s="571"/>
      <c r="C465" s="571"/>
      <c r="D465" s="572"/>
      <c r="E465" s="573"/>
      <c r="F465" s="573"/>
      <c r="G465" s="573"/>
      <c r="H465" s="573"/>
      <c r="I465" s="573"/>
      <c r="J465" s="574"/>
      <c r="K465" s="572"/>
      <c r="L465" s="573"/>
      <c r="M465" s="573"/>
      <c r="N465" s="573"/>
      <c r="O465" s="572"/>
      <c r="P465" s="573"/>
      <c r="Q465" s="573"/>
      <c r="R465" s="573"/>
      <c r="S465" s="571"/>
      <c r="T465" s="572"/>
      <c r="U465" s="573"/>
      <c r="V465" s="573"/>
      <c r="W465" s="574"/>
      <c r="X465" s="571"/>
      <c r="Y465" s="575"/>
      <c r="Z465" s="575"/>
      <c r="AA465" s="575"/>
      <c r="AB465" s="575"/>
      <c r="AC465" s="571"/>
      <c r="AD465" s="571"/>
      <c r="AE465" s="571"/>
      <c r="AF465" s="571"/>
      <c r="AG465" s="571"/>
      <c r="AH465" s="571"/>
      <c r="AI465" s="571"/>
      <c r="AJ465" s="571"/>
      <c r="AK465" s="571"/>
      <c r="AL465" s="571"/>
      <c r="AM465" s="571"/>
      <c r="AN465" s="571"/>
    </row>
    <row r="466" spans="1:40" ht="12.75" x14ac:dyDescent="0.2">
      <c r="A466" s="571"/>
      <c r="B466" s="571"/>
      <c r="C466" s="571"/>
      <c r="D466" s="572"/>
      <c r="E466" s="573"/>
      <c r="F466" s="573"/>
      <c r="G466" s="573"/>
      <c r="H466" s="573"/>
      <c r="I466" s="573"/>
      <c r="J466" s="574"/>
      <c r="K466" s="572"/>
      <c r="L466" s="573"/>
      <c r="M466" s="573"/>
      <c r="N466" s="573"/>
      <c r="O466" s="572"/>
      <c r="P466" s="573"/>
      <c r="Q466" s="573"/>
      <c r="R466" s="573"/>
      <c r="S466" s="571"/>
      <c r="T466" s="572"/>
      <c r="U466" s="573"/>
      <c r="V466" s="573"/>
      <c r="W466" s="574"/>
      <c r="X466" s="571"/>
      <c r="Y466" s="575"/>
      <c r="Z466" s="575"/>
      <c r="AA466" s="575"/>
      <c r="AB466" s="575"/>
      <c r="AC466" s="571"/>
      <c r="AD466" s="571"/>
      <c r="AE466" s="571"/>
      <c r="AF466" s="571"/>
      <c r="AG466" s="571"/>
      <c r="AH466" s="571"/>
      <c r="AI466" s="571"/>
      <c r="AJ466" s="571"/>
      <c r="AK466" s="571"/>
      <c r="AL466" s="571"/>
      <c r="AM466" s="571"/>
      <c r="AN466" s="571"/>
    </row>
    <row r="467" spans="1:40" ht="12.75" x14ac:dyDescent="0.2">
      <c r="A467" s="571"/>
      <c r="B467" s="571"/>
      <c r="C467" s="571"/>
      <c r="D467" s="572"/>
      <c r="E467" s="573"/>
      <c r="F467" s="573"/>
      <c r="G467" s="573"/>
      <c r="H467" s="573"/>
      <c r="I467" s="573"/>
      <c r="J467" s="574"/>
      <c r="K467" s="572"/>
      <c r="L467" s="573"/>
      <c r="M467" s="573"/>
      <c r="N467" s="573"/>
      <c r="O467" s="572"/>
      <c r="P467" s="573"/>
      <c r="Q467" s="573"/>
      <c r="R467" s="573"/>
      <c r="S467" s="571"/>
      <c r="T467" s="572"/>
      <c r="U467" s="573"/>
      <c r="V467" s="573"/>
      <c r="W467" s="574"/>
      <c r="X467" s="571"/>
      <c r="Y467" s="575"/>
      <c r="Z467" s="575"/>
      <c r="AA467" s="575"/>
      <c r="AB467" s="575"/>
      <c r="AC467" s="571"/>
      <c r="AD467" s="571"/>
      <c r="AE467" s="571"/>
      <c r="AF467" s="571"/>
      <c r="AG467" s="571"/>
      <c r="AH467" s="571"/>
      <c r="AI467" s="571"/>
      <c r="AJ467" s="571"/>
      <c r="AK467" s="571"/>
      <c r="AL467" s="571"/>
      <c r="AM467" s="571"/>
      <c r="AN467" s="571"/>
    </row>
    <row r="468" spans="1:40" ht="12.75" x14ac:dyDescent="0.2">
      <c r="A468" s="571"/>
      <c r="B468" s="571"/>
      <c r="C468" s="571"/>
      <c r="D468" s="572"/>
      <c r="E468" s="573"/>
      <c r="F468" s="573"/>
      <c r="G468" s="573"/>
      <c r="H468" s="573"/>
      <c r="I468" s="573"/>
      <c r="J468" s="574"/>
      <c r="K468" s="572"/>
      <c r="L468" s="573"/>
      <c r="M468" s="573"/>
      <c r="N468" s="573"/>
      <c r="O468" s="572"/>
      <c r="P468" s="573"/>
      <c r="Q468" s="573"/>
      <c r="R468" s="573"/>
      <c r="S468" s="571"/>
      <c r="T468" s="572"/>
      <c r="U468" s="573"/>
      <c r="V468" s="573"/>
      <c r="W468" s="574"/>
      <c r="X468" s="571"/>
      <c r="Y468" s="575"/>
      <c r="Z468" s="575"/>
      <c r="AA468" s="575"/>
      <c r="AB468" s="575"/>
      <c r="AC468" s="571"/>
      <c r="AD468" s="571"/>
      <c r="AE468" s="571"/>
      <c r="AF468" s="571"/>
      <c r="AG468" s="571"/>
      <c r="AH468" s="571"/>
      <c r="AI468" s="571"/>
      <c r="AJ468" s="571"/>
      <c r="AK468" s="571"/>
      <c r="AL468" s="571"/>
      <c r="AM468" s="571"/>
      <c r="AN468" s="571"/>
    </row>
    <row r="469" spans="1:40" ht="12.75" x14ac:dyDescent="0.2">
      <c r="A469" s="571"/>
      <c r="B469" s="571"/>
      <c r="C469" s="571"/>
      <c r="D469" s="572"/>
      <c r="E469" s="573"/>
      <c r="F469" s="573"/>
      <c r="G469" s="573"/>
      <c r="H469" s="573"/>
      <c r="I469" s="573"/>
      <c r="J469" s="574"/>
      <c r="K469" s="572"/>
      <c r="L469" s="573"/>
      <c r="M469" s="573"/>
      <c r="N469" s="573"/>
      <c r="O469" s="572"/>
      <c r="P469" s="573"/>
      <c r="Q469" s="573"/>
      <c r="R469" s="573"/>
      <c r="S469" s="571"/>
      <c r="T469" s="572"/>
      <c r="U469" s="573"/>
      <c r="V469" s="573"/>
      <c r="W469" s="574"/>
      <c r="X469" s="571"/>
      <c r="Y469" s="575"/>
      <c r="Z469" s="575"/>
      <c r="AA469" s="575"/>
      <c r="AB469" s="575"/>
      <c r="AC469" s="571"/>
      <c r="AD469" s="571"/>
      <c r="AE469" s="571"/>
      <c r="AF469" s="571"/>
      <c r="AG469" s="571"/>
      <c r="AH469" s="571"/>
      <c r="AI469" s="571"/>
      <c r="AJ469" s="571"/>
      <c r="AK469" s="571"/>
      <c r="AL469" s="571"/>
      <c r="AM469" s="571"/>
      <c r="AN469" s="571"/>
    </row>
    <row r="470" spans="1:40" ht="12.75" x14ac:dyDescent="0.2">
      <c r="A470" s="571"/>
      <c r="B470" s="571"/>
      <c r="C470" s="571"/>
      <c r="D470" s="572"/>
      <c r="E470" s="573"/>
      <c r="F470" s="573"/>
      <c r="G470" s="573"/>
      <c r="H470" s="573"/>
      <c r="I470" s="573"/>
      <c r="J470" s="574"/>
      <c r="K470" s="572"/>
      <c r="L470" s="573"/>
      <c r="M470" s="573"/>
      <c r="N470" s="573"/>
      <c r="O470" s="572"/>
      <c r="P470" s="573"/>
      <c r="Q470" s="573"/>
      <c r="R470" s="573"/>
      <c r="S470" s="571"/>
      <c r="T470" s="572"/>
      <c r="U470" s="573"/>
      <c r="V470" s="573"/>
      <c r="W470" s="574"/>
      <c r="X470" s="571"/>
      <c r="Y470" s="575"/>
      <c r="Z470" s="575"/>
      <c r="AA470" s="575"/>
      <c r="AB470" s="575"/>
      <c r="AC470" s="571"/>
      <c r="AD470" s="571"/>
      <c r="AE470" s="571"/>
      <c r="AF470" s="571"/>
      <c r="AG470" s="571"/>
      <c r="AH470" s="571"/>
      <c r="AI470" s="571"/>
      <c r="AJ470" s="571"/>
      <c r="AK470" s="571"/>
      <c r="AL470" s="571"/>
      <c r="AM470" s="571"/>
      <c r="AN470" s="571"/>
    </row>
    <row r="471" spans="1:40" ht="12.75" x14ac:dyDescent="0.2">
      <c r="A471" s="571"/>
      <c r="B471" s="571"/>
      <c r="C471" s="571"/>
      <c r="D471" s="572"/>
      <c r="E471" s="573"/>
      <c r="F471" s="573"/>
      <c r="G471" s="573"/>
      <c r="H471" s="573"/>
      <c r="I471" s="573"/>
      <c r="J471" s="574"/>
      <c r="K471" s="572"/>
      <c r="L471" s="573"/>
      <c r="M471" s="573"/>
      <c r="N471" s="573"/>
      <c r="O471" s="572"/>
      <c r="P471" s="573"/>
      <c r="Q471" s="573"/>
      <c r="R471" s="573"/>
      <c r="S471" s="571"/>
      <c r="T471" s="572"/>
      <c r="U471" s="573"/>
      <c r="V471" s="573"/>
      <c r="W471" s="574"/>
      <c r="X471" s="571"/>
      <c r="Y471" s="575"/>
      <c r="Z471" s="575"/>
      <c r="AA471" s="575"/>
      <c r="AB471" s="575"/>
      <c r="AC471" s="571"/>
      <c r="AD471" s="571"/>
      <c r="AE471" s="571"/>
      <c r="AF471" s="571"/>
      <c r="AG471" s="571"/>
      <c r="AH471" s="571"/>
      <c r="AI471" s="571"/>
      <c r="AJ471" s="571"/>
      <c r="AK471" s="571"/>
      <c r="AL471" s="571"/>
      <c r="AM471" s="571"/>
      <c r="AN471" s="571"/>
    </row>
    <row r="472" spans="1:40" ht="12.75" x14ac:dyDescent="0.2">
      <c r="A472" s="571"/>
      <c r="B472" s="571"/>
      <c r="C472" s="571"/>
      <c r="D472" s="572"/>
      <c r="E472" s="573"/>
      <c r="F472" s="573"/>
      <c r="G472" s="573"/>
      <c r="H472" s="573"/>
      <c r="I472" s="573"/>
      <c r="J472" s="574"/>
      <c r="K472" s="572"/>
      <c r="L472" s="573"/>
      <c r="M472" s="573"/>
      <c r="N472" s="573"/>
      <c r="O472" s="572"/>
      <c r="P472" s="573"/>
      <c r="Q472" s="573"/>
      <c r="R472" s="573"/>
      <c r="S472" s="571"/>
      <c r="T472" s="572"/>
      <c r="U472" s="573"/>
      <c r="V472" s="573"/>
      <c r="W472" s="574"/>
      <c r="X472" s="571"/>
      <c r="Y472" s="575"/>
      <c r="Z472" s="575"/>
      <c r="AA472" s="575"/>
      <c r="AB472" s="575"/>
      <c r="AC472" s="571"/>
      <c r="AD472" s="571"/>
      <c r="AE472" s="571"/>
      <c r="AF472" s="571"/>
      <c r="AG472" s="571"/>
      <c r="AH472" s="571"/>
      <c r="AI472" s="571"/>
      <c r="AJ472" s="571"/>
      <c r="AK472" s="571"/>
      <c r="AL472" s="571"/>
      <c r="AM472" s="571"/>
      <c r="AN472" s="571"/>
    </row>
    <row r="473" spans="1:40" ht="12.75" x14ac:dyDescent="0.2">
      <c r="A473" s="571"/>
      <c r="B473" s="571"/>
      <c r="C473" s="571"/>
      <c r="D473" s="572"/>
      <c r="E473" s="573"/>
      <c r="F473" s="573"/>
      <c r="G473" s="573"/>
      <c r="H473" s="573"/>
      <c r="I473" s="573"/>
      <c r="J473" s="574"/>
      <c r="K473" s="572"/>
      <c r="L473" s="573"/>
      <c r="M473" s="573"/>
      <c r="N473" s="573"/>
      <c r="O473" s="572"/>
      <c r="P473" s="573"/>
      <c r="Q473" s="573"/>
      <c r="R473" s="573"/>
      <c r="S473" s="571"/>
      <c r="T473" s="572"/>
      <c r="U473" s="573"/>
      <c r="V473" s="573"/>
      <c r="W473" s="574"/>
      <c r="X473" s="571"/>
      <c r="Y473" s="575"/>
      <c r="Z473" s="575"/>
      <c r="AA473" s="575"/>
      <c r="AB473" s="575"/>
      <c r="AC473" s="571"/>
      <c r="AD473" s="571"/>
      <c r="AE473" s="571"/>
      <c r="AF473" s="571"/>
      <c r="AG473" s="571"/>
      <c r="AH473" s="571"/>
      <c r="AI473" s="571"/>
      <c r="AJ473" s="571"/>
      <c r="AK473" s="571"/>
      <c r="AL473" s="571"/>
      <c r="AM473" s="571"/>
      <c r="AN473" s="571"/>
    </row>
    <row r="474" spans="1:40" ht="12.75" x14ac:dyDescent="0.2">
      <c r="A474" s="571"/>
      <c r="B474" s="571"/>
      <c r="C474" s="571"/>
      <c r="D474" s="572"/>
      <c r="E474" s="573"/>
      <c r="F474" s="573"/>
      <c r="G474" s="573"/>
      <c r="H474" s="573"/>
      <c r="I474" s="573"/>
      <c r="J474" s="574"/>
      <c r="K474" s="572"/>
      <c r="L474" s="573"/>
      <c r="M474" s="573"/>
      <c r="N474" s="573"/>
      <c r="O474" s="572"/>
      <c r="P474" s="573"/>
      <c r="Q474" s="573"/>
      <c r="R474" s="573"/>
      <c r="S474" s="571"/>
      <c r="T474" s="572"/>
      <c r="U474" s="573"/>
      <c r="V474" s="573"/>
      <c r="W474" s="574"/>
      <c r="X474" s="571"/>
      <c r="Y474" s="575"/>
      <c r="Z474" s="575"/>
      <c r="AA474" s="575"/>
      <c r="AB474" s="575"/>
      <c r="AC474" s="571"/>
      <c r="AD474" s="571"/>
      <c r="AE474" s="571"/>
      <c r="AF474" s="571"/>
      <c r="AG474" s="571"/>
      <c r="AH474" s="571"/>
      <c r="AI474" s="571"/>
      <c r="AJ474" s="571"/>
      <c r="AK474" s="571"/>
      <c r="AL474" s="571"/>
      <c r="AM474" s="571"/>
      <c r="AN474" s="571"/>
    </row>
    <row r="475" spans="1:40" ht="12.75" x14ac:dyDescent="0.2">
      <c r="A475" s="571"/>
      <c r="B475" s="571"/>
      <c r="C475" s="571"/>
      <c r="D475" s="572"/>
      <c r="E475" s="573"/>
      <c r="F475" s="573"/>
      <c r="G475" s="573"/>
      <c r="H475" s="573"/>
      <c r="I475" s="573"/>
      <c r="J475" s="574"/>
      <c r="K475" s="572"/>
      <c r="L475" s="573"/>
      <c r="M475" s="573"/>
      <c r="N475" s="573"/>
      <c r="O475" s="572"/>
      <c r="P475" s="573"/>
      <c r="Q475" s="573"/>
      <c r="R475" s="573"/>
      <c r="S475" s="571"/>
      <c r="T475" s="572"/>
      <c r="U475" s="573"/>
      <c r="V475" s="573"/>
      <c r="W475" s="574"/>
      <c r="X475" s="571"/>
      <c r="Y475" s="575"/>
      <c r="Z475" s="575"/>
      <c r="AA475" s="575"/>
      <c r="AB475" s="575"/>
      <c r="AC475" s="571"/>
      <c r="AD475" s="571"/>
      <c r="AE475" s="571"/>
      <c r="AF475" s="571"/>
      <c r="AG475" s="571"/>
      <c r="AH475" s="571"/>
      <c r="AI475" s="571"/>
      <c r="AJ475" s="571"/>
      <c r="AK475" s="571"/>
      <c r="AL475" s="571"/>
      <c r="AM475" s="571"/>
      <c r="AN475" s="571"/>
    </row>
    <row r="476" spans="1:40" ht="12.75" x14ac:dyDescent="0.2">
      <c r="A476" s="571"/>
      <c r="B476" s="571"/>
      <c r="C476" s="571"/>
      <c r="D476" s="572"/>
      <c r="E476" s="573"/>
      <c r="F476" s="573"/>
      <c r="G476" s="573"/>
      <c r="H476" s="573"/>
      <c r="I476" s="573"/>
      <c r="J476" s="574"/>
      <c r="K476" s="572"/>
      <c r="L476" s="573"/>
      <c r="M476" s="573"/>
      <c r="N476" s="573"/>
      <c r="O476" s="572"/>
      <c r="P476" s="573"/>
      <c r="Q476" s="573"/>
      <c r="R476" s="573"/>
      <c r="S476" s="571"/>
      <c r="T476" s="572"/>
      <c r="U476" s="573"/>
      <c r="V476" s="573"/>
      <c r="W476" s="574"/>
      <c r="X476" s="571"/>
      <c r="Y476" s="575"/>
      <c r="Z476" s="575"/>
      <c r="AA476" s="575"/>
      <c r="AB476" s="575"/>
      <c r="AC476" s="571"/>
      <c r="AD476" s="571"/>
      <c r="AE476" s="571"/>
      <c r="AF476" s="571"/>
      <c r="AG476" s="571"/>
      <c r="AH476" s="571"/>
      <c r="AI476" s="571"/>
      <c r="AJ476" s="571"/>
      <c r="AK476" s="571"/>
      <c r="AL476" s="571"/>
      <c r="AM476" s="571"/>
      <c r="AN476" s="571"/>
    </row>
    <row r="477" spans="1:40" ht="12.75" x14ac:dyDescent="0.2">
      <c r="A477" s="571"/>
      <c r="B477" s="571"/>
      <c r="C477" s="571"/>
      <c r="D477" s="572"/>
      <c r="E477" s="573"/>
      <c r="F477" s="573"/>
      <c r="G477" s="573"/>
      <c r="H477" s="573"/>
      <c r="I477" s="573"/>
      <c r="J477" s="574"/>
      <c r="K477" s="572"/>
      <c r="L477" s="573"/>
      <c r="M477" s="573"/>
      <c r="N477" s="573"/>
      <c r="O477" s="572"/>
      <c r="P477" s="573"/>
      <c r="Q477" s="573"/>
      <c r="R477" s="573"/>
      <c r="S477" s="571"/>
      <c r="T477" s="572"/>
      <c r="U477" s="573"/>
      <c r="V477" s="573"/>
      <c r="W477" s="574"/>
      <c r="X477" s="571"/>
      <c r="Y477" s="575"/>
      <c r="Z477" s="575"/>
      <c r="AA477" s="575"/>
      <c r="AB477" s="575"/>
      <c r="AC477" s="571"/>
      <c r="AD477" s="571"/>
      <c r="AE477" s="571"/>
      <c r="AF477" s="571"/>
      <c r="AG477" s="571"/>
      <c r="AH477" s="571"/>
      <c r="AI477" s="571"/>
      <c r="AJ477" s="571"/>
      <c r="AK477" s="571"/>
      <c r="AL477" s="571"/>
      <c r="AM477" s="571"/>
      <c r="AN477" s="571"/>
    </row>
    <row r="478" spans="1:40" ht="12.75" x14ac:dyDescent="0.2">
      <c r="A478" s="571"/>
      <c r="B478" s="571"/>
      <c r="C478" s="571"/>
      <c r="D478" s="572"/>
      <c r="E478" s="573"/>
      <c r="F478" s="573"/>
      <c r="G478" s="573"/>
      <c r="H478" s="573"/>
      <c r="I478" s="573"/>
      <c r="J478" s="574"/>
      <c r="K478" s="572"/>
      <c r="L478" s="573"/>
      <c r="M478" s="573"/>
      <c r="N478" s="573"/>
      <c r="O478" s="572"/>
      <c r="P478" s="573"/>
      <c r="Q478" s="573"/>
      <c r="R478" s="573"/>
      <c r="S478" s="571"/>
      <c r="T478" s="572"/>
      <c r="U478" s="573"/>
      <c r="V478" s="573"/>
      <c r="W478" s="574"/>
      <c r="X478" s="571"/>
      <c r="Y478" s="575"/>
      <c r="Z478" s="575"/>
      <c r="AA478" s="575"/>
      <c r="AB478" s="575"/>
      <c r="AC478" s="571"/>
      <c r="AD478" s="571"/>
      <c r="AE478" s="571"/>
      <c r="AF478" s="571"/>
      <c r="AG478" s="571"/>
      <c r="AH478" s="571"/>
      <c r="AI478" s="571"/>
      <c r="AJ478" s="571"/>
      <c r="AK478" s="571"/>
      <c r="AL478" s="571"/>
      <c r="AM478" s="571"/>
      <c r="AN478" s="571"/>
    </row>
    <row r="479" spans="1:40" ht="12.75" x14ac:dyDescent="0.2">
      <c r="A479" s="571"/>
      <c r="B479" s="571"/>
      <c r="C479" s="571"/>
      <c r="D479" s="572"/>
      <c r="E479" s="573"/>
      <c r="F479" s="573"/>
      <c r="G479" s="573"/>
      <c r="H479" s="573"/>
      <c r="I479" s="573"/>
      <c r="J479" s="574"/>
      <c r="K479" s="572"/>
      <c r="L479" s="573"/>
      <c r="M479" s="573"/>
      <c r="N479" s="573"/>
      <c r="O479" s="572"/>
      <c r="P479" s="573"/>
      <c r="Q479" s="573"/>
      <c r="R479" s="573"/>
      <c r="S479" s="571"/>
      <c r="T479" s="572"/>
      <c r="U479" s="573"/>
      <c r="V479" s="573"/>
      <c r="W479" s="574"/>
      <c r="X479" s="571"/>
      <c r="Y479" s="575"/>
      <c r="Z479" s="575"/>
      <c r="AA479" s="575"/>
      <c r="AB479" s="575"/>
      <c r="AC479" s="571"/>
      <c r="AD479" s="571"/>
      <c r="AE479" s="571"/>
      <c r="AF479" s="571"/>
      <c r="AG479" s="571"/>
      <c r="AH479" s="571"/>
      <c r="AI479" s="571"/>
      <c r="AJ479" s="571"/>
      <c r="AK479" s="571"/>
      <c r="AL479" s="571"/>
      <c r="AM479" s="571"/>
      <c r="AN479" s="571"/>
    </row>
    <row r="480" spans="1:40" ht="12.75" x14ac:dyDescent="0.2">
      <c r="A480" s="571"/>
      <c r="B480" s="571"/>
      <c r="C480" s="571"/>
      <c r="D480" s="572"/>
      <c r="E480" s="573"/>
      <c r="F480" s="573"/>
      <c r="G480" s="573"/>
      <c r="H480" s="573"/>
      <c r="I480" s="573"/>
      <c r="J480" s="574"/>
      <c r="K480" s="572"/>
      <c r="L480" s="573"/>
      <c r="M480" s="573"/>
      <c r="N480" s="573"/>
      <c r="O480" s="572"/>
      <c r="P480" s="573"/>
      <c r="Q480" s="573"/>
      <c r="R480" s="573"/>
      <c r="S480" s="571"/>
      <c r="T480" s="572"/>
      <c r="U480" s="573"/>
      <c r="V480" s="573"/>
      <c r="W480" s="574"/>
      <c r="X480" s="571"/>
      <c r="Y480" s="575"/>
      <c r="Z480" s="575"/>
      <c r="AA480" s="575"/>
      <c r="AB480" s="575"/>
      <c r="AC480" s="571"/>
      <c r="AD480" s="571"/>
      <c r="AE480" s="571"/>
      <c r="AF480" s="571"/>
      <c r="AG480" s="571"/>
      <c r="AH480" s="571"/>
      <c r="AI480" s="571"/>
      <c r="AJ480" s="571"/>
      <c r="AK480" s="571"/>
      <c r="AL480" s="571"/>
      <c r="AM480" s="571"/>
      <c r="AN480" s="571"/>
    </row>
    <row r="481" spans="1:40" ht="12.75" x14ac:dyDescent="0.2">
      <c r="A481" s="571"/>
      <c r="B481" s="571"/>
      <c r="C481" s="571"/>
      <c r="D481" s="572"/>
      <c r="E481" s="573"/>
      <c r="F481" s="573"/>
      <c r="G481" s="573"/>
      <c r="H481" s="573"/>
      <c r="I481" s="573"/>
      <c r="J481" s="574"/>
      <c r="K481" s="572"/>
      <c r="L481" s="573"/>
      <c r="M481" s="573"/>
      <c r="N481" s="573"/>
      <c r="O481" s="572"/>
      <c r="P481" s="573"/>
      <c r="Q481" s="573"/>
      <c r="R481" s="573"/>
      <c r="S481" s="571"/>
      <c r="T481" s="572"/>
      <c r="U481" s="573"/>
      <c r="V481" s="573"/>
      <c r="W481" s="574"/>
      <c r="X481" s="571"/>
      <c r="Y481" s="575"/>
      <c r="Z481" s="575"/>
      <c r="AA481" s="575"/>
      <c r="AB481" s="575"/>
      <c r="AC481" s="571"/>
      <c r="AD481" s="571"/>
      <c r="AE481" s="571"/>
      <c r="AF481" s="571"/>
      <c r="AG481" s="571"/>
      <c r="AH481" s="571"/>
      <c r="AI481" s="571"/>
      <c r="AJ481" s="571"/>
      <c r="AK481" s="571"/>
      <c r="AL481" s="571"/>
      <c r="AM481" s="571"/>
      <c r="AN481" s="571"/>
    </row>
    <row r="482" spans="1:40" ht="12.75" x14ac:dyDescent="0.2">
      <c r="A482" s="571"/>
      <c r="B482" s="571"/>
      <c r="C482" s="571"/>
      <c r="D482" s="572"/>
      <c r="E482" s="573"/>
      <c r="F482" s="573"/>
      <c r="G482" s="573"/>
      <c r="H482" s="573"/>
      <c r="I482" s="573"/>
      <c r="J482" s="574"/>
      <c r="K482" s="572"/>
      <c r="L482" s="573"/>
      <c r="M482" s="573"/>
      <c r="N482" s="573"/>
      <c r="O482" s="572"/>
      <c r="P482" s="573"/>
      <c r="Q482" s="573"/>
      <c r="R482" s="573"/>
      <c r="S482" s="571"/>
      <c r="T482" s="572"/>
      <c r="U482" s="573"/>
      <c r="V482" s="573"/>
      <c r="W482" s="574"/>
      <c r="X482" s="571"/>
      <c r="Y482" s="575"/>
      <c r="Z482" s="575"/>
      <c r="AA482" s="575"/>
      <c r="AB482" s="575"/>
      <c r="AC482" s="571"/>
      <c r="AD482" s="571"/>
      <c r="AE482" s="571"/>
      <c r="AF482" s="571"/>
      <c r="AG482" s="571"/>
      <c r="AH482" s="571"/>
      <c r="AI482" s="571"/>
      <c r="AJ482" s="571"/>
      <c r="AK482" s="571"/>
      <c r="AL482" s="571"/>
      <c r="AM482" s="571"/>
      <c r="AN482" s="571"/>
    </row>
    <row r="483" spans="1:40" ht="12.75" x14ac:dyDescent="0.2">
      <c r="A483" s="571"/>
      <c r="B483" s="571"/>
      <c r="C483" s="571"/>
      <c r="D483" s="572"/>
      <c r="E483" s="573"/>
      <c r="F483" s="573"/>
      <c r="G483" s="573"/>
      <c r="H483" s="573"/>
      <c r="I483" s="573"/>
      <c r="J483" s="574"/>
      <c r="K483" s="572"/>
      <c r="L483" s="573"/>
      <c r="M483" s="573"/>
      <c r="N483" s="573"/>
      <c r="O483" s="572"/>
      <c r="P483" s="573"/>
      <c r="Q483" s="573"/>
      <c r="R483" s="573"/>
      <c r="S483" s="571"/>
      <c r="T483" s="572"/>
      <c r="U483" s="573"/>
      <c r="V483" s="573"/>
      <c r="W483" s="574"/>
      <c r="X483" s="571"/>
      <c r="Y483" s="575"/>
      <c r="Z483" s="575"/>
      <c r="AA483" s="575"/>
      <c r="AB483" s="575"/>
      <c r="AC483" s="571"/>
      <c r="AD483" s="571"/>
      <c r="AE483" s="571"/>
      <c r="AF483" s="571"/>
      <c r="AG483" s="571"/>
      <c r="AH483" s="571"/>
      <c r="AI483" s="571"/>
      <c r="AJ483" s="571"/>
      <c r="AK483" s="571"/>
      <c r="AL483" s="571"/>
      <c r="AM483" s="571"/>
      <c r="AN483" s="571"/>
    </row>
    <row r="484" spans="1:40" ht="12.75" x14ac:dyDescent="0.2">
      <c r="A484" s="571"/>
      <c r="B484" s="571"/>
      <c r="C484" s="571"/>
      <c r="D484" s="572"/>
      <c r="E484" s="573"/>
      <c r="F484" s="573"/>
      <c r="G484" s="573"/>
      <c r="H484" s="573"/>
      <c r="I484" s="573"/>
      <c r="J484" s="574"/>
      <c r="K484" s="572"/>
      <c r="L484" s="573"/>
      <c r="M484" s="573"/>
      <c r="N484" s="573"/>
      <c r="O484" s="572"/>
      <c r="P484" s="573"/>
      <c r="Q484" s="573"/>
      <c r="R484" s="573"/>
      <c r="S484" s="571"/>
      <c r="T484" s="572"/>
      <c r="U484" s="573"/>
      <c r="V484" s="573"/>
      <c r="W484" s="574"/>
      <c r="X484" s="571"/>
      <c r="Y484" s="575"/>
      <c r="Z484" s="575"/>
      <c r="AA484" s="575"/>
      <c r="AB484" s="575"/>
      <c r="AC484" s="571"/>
      <c r="AD484" s="571"/>
      <c r="AE484" s="571"/>
      <c r="AF484" s="571"/>
      <c r="AG484" s="571"/>
      <c r="AH484" s="571"/>
      <c r="AI484" s="571"/>
      <c r="AJ484" s="571"/>
      <c r="AK484" s="571"/>
      <c r="AL484" s="571"/>
      <c r="AM484" s="571"/>
      <c r="AN484" s="571"/>
    </row>
    <row r="485" spans="1:40" ht="12.75" x14ac:dyDescent="0.2">
      <c r="A485" s="571"/>
      <c r="B485" s="571"/>
      <c r="C485" s="571"/>
      <c r="D485" s="572"/>
      <c r="E485" s="573"/>
      <c r="F485" s="573"/>
      <c r="G485" s="573"/>
      <c r="H485" s="573"/>
      <c r="I485" s="573"/>
      <c r="J485" s="574"/>
      <c r="K485" s="572"/>
      <c r="L485" s="573"/>
      <c r="M485" s="573"/>
      <c r="N485" s="573"/>
      <c r="O485" s="572"/>
      <c r="P485" s="573"/>
      <c r="Q485" s="573"/>
      <c r="R485" s="573"/>
      <c r="S485" s="571"/>
      <c r="T485" s="572"/>
      <c r="U485" s="573"/>
      <c r="V485" s="573"/>
      <c r="W485" s="574"/>
      <c r="X485" s="571"/>
      <c r="Y485" s="575"/>
      <c r="Z485" s="575"/>
      <c r="AA485" s="575"/>
      <c r="AB485" s="575"/>
      <c r="AC485" s="571"/>
      <c r="AD485" s="571"/>
      <c r="AE485" s="571"/>
      <c r="AF485" s="571"/>
      <c r="AG485" s="571"/>
      <c r="AH485" s="571"/>
      <c r="AI485" s="571"/>
      <c r="AJ485" s="571"/>
      <c r="AK485" s="571"/>
      <c r="AL485" s="571"/>
      <c r="AM485" s="571"/>
      <c r="AN485" s="571"/>
    </row>
    <row r="486" spans="1:40" ht="12.75" x14ac:dyDescent="0.2">
      <c r="A486" s="571"/>
      <c r="B486" s="571"/>
      <c r="C486" s="571"/>
      <c r="D486" s="572"/>
      <c r="E486" s="573"/>
      <c r="F486" s="573"/>
      <c r="G486" s="573"/>
      <c r="H486" s="573"/>
      <c r="I486" s="573"/>
      <c r="J486" s="574"/>
      <c r="K486" s="572"/>
      <c r="L486" s="573"/>
      <c r="M486" s="573"/>
      <c r="N486" s="573"/>
      <c r="O486" s="572"/>
      <c r="P486" s="573"/>
      <c r="Q486" s="573"/>
      <c r="R486" s="573"/>
      <c r="S486" s="571"/>
      <c r="T486" s="572"/>
      <c r="U486" s="573"/>
      <c r="V486" s="573"/>
      <c r="W486" s="574"/>
      <c r="X486" s="571"/>
      <c r="Y486" s="575"/>
      <c r="Z486" s="575"/>
      <c r="AA486" s="575"/>
      <c r="AB486" s="575"/>
      <c r="AC486" s="571"/>
      <c r="AD486" s="571"/>
      <c r="AE486" s="571"/>
      <c r="AF486" s="571"/>
      <c r="AG486" s="571"/>
      <c r="AH486" s="571"/>
      <c r="AI486" s="571"/>
      <c r="AJ486" s="571"/>
      <c r="AK486" s="571"/>
      <c r="AL486" s="571"/>
      <c r="AM486" s="571"/>
      <c r="AN486" s="571"/>
    </row>
    <row r="487" spans="1:40" ht="12.75" x14ac:dyDescent="0.2">
      <c r="A487" s="571"/>
      <c r="B487" s="571"/>
      <c r="C487" s="571"/>
      <c r="D487" s="572"/>
      <c r="E487" s="573"/>
      <c r="F487" s="573"/>
      <c r="G487" s="573"/>
      <c r="H487" s="573"/>
      <c r="I487" s="573"/>
      <c r="J487" s="574"/>
      <c r="K487" s="572"/>
      <c r="L487" s="573"/>
      <c r="M487" s="573"/>
      <c r="N487" s="573"/>
      <c r="O487" s="572"/>
      <c r="P487" s="573"/>
      <c r="Q487" s="573"/>
      <c r="R487" s="573"/>
      <c r="S487" s="571"/>
      <c r="T487" s="572"/>
      <c r="U487" s="573"/>
      <c r="V487" s="573"/>
      <c r="W487" s="574"/>
      <c r="X487" s="571"/>
      <c r="Y487" s="575"/>
      <c r="Z487" s="575"/>
      <c r="AA487" s="575"/>
      <c r="AB487" s="575"/>
      <c r="AC487" s="571"/>
      <c r="AD487" s="571"/>
      <c r="AE487" s="571"/>
      <c r="AF487" s="571"/>
      <c r="AG487" s="571"/>
      <c r="AH487" s="571"/>
      <c r="AI487" s="571"/>
      <c r="AJ487" s="571"/>
      <c r="AK487" s="571"/>
      <c r="AL487" s="571"/>
      <c r="AM487" s="571"/>
      <c r="AN487" s="571"/>
    </row>
    <row r="488" spans="1:40" ht="12.75" x14ac:dyDescent="0.2">
      <c r="A488" s="571"/>
      <c r="B488" s="571"/>
      <c r="C488" s="571"/>
      <c r="D488" s="572"/>
      <c r="E488" s="573"/>
      <c r="F488" s="573"/>
      <c r="G488" s="573"/>
      <c r="H488" s="573"/>
      <c r="I488" s="573"/>
      <c r="J488" s="574"/>
      <c r="K488" s="572"/>
      <c r="L488" s="573"/>
      <c r="M488" s="573"/>
      <c r="N488" s="573"/>
      <c r="O488" s="572"/>
      <c r="P488" s="573"/>
      <c r="Q488" s="573"/>
      <c r="R488" s="573"/>
      <c r="S488" s="571"/>
      <c r="T488" s="572"/>
      <c r="U488" s="573"/>
      <c r="V488" s="573"/>
      <c r="W488" s="574"/>
      <c r="X488" s="571"/>
      <c r="Y488" s="575"/>
      <c r="Z488" s="575"/>
      <c r="AA488" s="575"/>
      <c r="AB488" s="575"/>
      <c r="AC488" s="571"/>
      <c r="AD488" s="571"/>
      <c r="AE488" s="571"/>
      <c r="AF488" s="571"/>
      <c r="AG488" s="571"/>
      <c r="AH488" s="571"/>
      <c r="AI488" s="571"/>
      <c r="AJ488" s="571"/>
      <c r="AK488" s="571"/>
      <c r="AL488" s="571"/>
      <c r="AM488" s="571"/>
      <c r="AN488" s="571"/>
    </row>
    <row r="489" spans="1:40" ht="12.75" x14ac:dyDescent="0.2">
      <c r="A489" s="571"/>
      <c r="B489" s="571"/>
      <c r="C489" s="571"/>
      <c r="D489" s="572"/>
      <c r="E489" s="573"/>
      <c r="F489" s="573"/>
      <c r="G489" s="573"/>
      <c r="H489" s="573"/>
      <c r="I489" s="573"/>
      <c r="J489" s="574"/>
      <c r="K489" s="572"/>
      <c r="L489" s="573"/>
      <c r="M489" s="573"/>
      <c r="N489" s="573"/>
      <c r="O489" s="572"/>
      <c r="P489" s="573"/>
      <c r="Q489" s="573"/>
      <c r="R489" s="573"/>
      <c r="S489" s="571"/>
      <c r="T489" s="572"/>
      <c r="U489" s="573"/>
      <c r="V489" s="573"/>
      <c r="W489" s="574"/>
      <c r="X489" s="571"/>
      <c r="Y489" s="575"/>
      <c r="Z489" s="575"/>
      <c r="AA489" s="575"/>
      <c r="AB489" s="575"/>
      <c r="AC489" s="571"/>
      <c r="AD489" s="571"/>
      <c r="AE489" s="571"/>
      <c r="AF489" s="571"/>
      <c r="AG489" s="571"/>
      <c r="AH489" s="571"/>
      <c r="AI489" s="571"/>
      <c r="AJ489" s="571"/>
      <c r="AK489" s="571"/>
      <c r="AL489" s="571"/>
      <c r="AM489" s="571"/>
      <c r="AN489" s="571"/>
    </row>
    <row r="490" spans="1:40" ht="12.75" x14ac:dyDescent="0.2">
      <c r="A490" s="571"/>
      <c r="B490" s="571"/>
      <c r="C490" s="571"/>
      <c r="D490" s="572"/>
      <c r="E490" s="573"/>
      <c r="F490" s="573"/>
      <c r="G490" s="573"/>
      <c r="H490" s="573"/>
      <c r="I490" s="573"/>
      <c r="J490" s="574"/>
      <c r="K490" s="572"/>
      <c r="L490" s="573"/>
      <c r="M490" s="573"/>
      <c r="N490" s="573"/>
      <c r="O490" s="572"/>
      <c r="P490" s="573"/>
      <c r="Q490" s="573"/>
      <c r="R490" s="573"/>
      <c r="S490" s="571"/>
      <c r="T490" s="572"/>
      <c r="U490" s="573"/>
      <c r="V490" s="573"/>
      <c r="W490" s="574"/>
      <c r="X490" s="571"/>
      <c r="Y490" s="575"/>
      <c r="Z490" s="575"/>
      <c r="AA490" s="575"/>
      <c r="AB490" s="575"/>
      <c r="AC490" s="571"/>
      <c r="AD490" s="571"/>
      <c r="AE490" s="571"/>
      <c r="AF490" s="571"/>
      <c r="AG490" s="571"/>
      <c r="AH490" s="571"/>
      <c r="AI490" s="571"/>
      <c r="AJ490" s="571"/>
      <c r="AK490" s="571"/>
      <c r="AL490" s="571"/>
      <c r="AM490" s="571"/>
      <c r="AN490" s="571"/>
    </row>
    <row r="491" spans="1:40" ht="12.75" x14ac:dyDescent="0.2">
      <c r="A491" s="571"/>
      <c r="B491" s="571"/>
      <c r="C491" s="571"/>
      <c r="D491" s="572"/>
      <c r="E491" s="573"/>
      <c r="F491" s="573"/>
      <c r="G491" s="573"/>
      <c r="H491" s="573"/>
      <c r="I491" s="573"/>
      <c r="J491" s="574"/>
      <c r="K491" s="572"/>
      <c r="L491" s="573"/>
      <c r="M491" s="573"/>
      <c r="N491" s="573"/>
      <c r="O491" s="572"/>
      <c r="P491" s="573"/>
      <c r="Q491" s="573"/>
      <c r="R491" s="573"/>
      <c r="S491" s="571"/>
      <c r="T491" s="572"/>
      <c r="U491" s="573"/>
      <c r="V491" s="573"/>
      <c r="W491" s="574"/>
      <c r="X491" s="571"/>
      <c r="Y491" s="575"/>
      <c r="Z491" s="575"/>
      <c r="AA491" s="575"/>
      <c r="AB491" s="575"/>
      <c r="AC491" s="571"/>
      <c r="AD491" s="571"/>
      <c r="AE491" s="571"/>
      <c r="AF491" s="571"/>
      <c r="AG491" s="571"/>
      <c r="AH491" s="571"/>
      <c r="AI491" s="571"/>
      <c r="AJ491" s="571"/>
      <c r="AK491" s="571"/>
      <c r="AL491" s="571"/>
      <c r="AM491" s="571"/>
      <c r="AN491" s="571"/>
    </row>
    <row r="492" spans="1:40" ht="12.75" x14ac:dyDescent="0.2">
      <c r="A492" s="571"/>
      <c r="B492" s="571"/>
      <c r="C492" s="571"/>
      <c r="D492" s="572"/>
      <c r="E492" s="573"/>
      <c r="F492" s="573"/>
      <c r="G492" s="573"/>
      <c r="H492" s="573"/>
      <c r="I492" s="573"/>
      <c r="J492" s="574"/>
      <c r="K492" s="572"/>
      <c r="L492" s="573"/>
      <c r="M492" s="573"/>
      <c r="N492" s="573"/>
      <c r="O492" s="572"/>
      <c r="P492" s="573"/>
      <c r="Q492" s="573"/>
      <c r="R492" s="573"/>
      <c r="S492" s="571"/>
      <c r="T492" s="572"/>
      <c r="U492" s="573"/>
      <c r="V492" s="573"/>
      <c r="W492" s="574"/>
      <c r="X492" s="571"/>
      <c r="Y492" s="575"/>
      <c r="Z492" s="575"/>
      <c r="AA492" s="575"/>
      <c r="AB492" s="575"/>
      <c r="AC492" s="571"/>
      <c r="AD492" s="571"/>
      <c r="AE492" s="571"/>
      <c r="AF492" s="571"/>
      <c r="AG492" s="571"/>
      <c r="AH492" s="571"/>
      <c r="AI492" s="571"/>
      <c r="AJ492" s="571"/>
      <c r="AK492" s="571"/>
      <c r="AL492" s="571"/>
      <c r="AM492" s="571"/>
      <c r="AN492" s="571"/>
    </row>
    <row r="493" spans="1:40" ht="12.75" x14ac:dyDescent="0.2">
      <c r="A493" s="571"/>
      <c r="B493" s="571"/>
      <c r="C493" s="571"/>
      <c r="D493" s="572"/>
      <c r="E493" s="573"/>
      <c r="F493" s="573"/>
      <c r="G493" s="573"/>
      <c r="H493" s="573"/>
      <c r="I493" s="573"/>
      <c r="J493" s="574"/>
      <c r="K493" s="572"/>
      <c r="L493" s="573"/>
      <c r="M493" s="573"/>
      <c r="N493" s="573"/>
      <c r="O493" s="572"/>
      <c r="P493" s="573"/>
      <c r="Q493" s="573"/>
      <c r="R493" s="573"/>
      <c r="S493" s="571"/>
      <c r="T493" s="572"/>
      <c r="U493" s="573"/>
      <c r="V493" s="573"/>
      <c r="W493" s="574"/>
      <c r="X493" s="571"/>
      <c r="Y493" s="575"/>
      <c r="Z493" s="575"/>
      <c r="AA493" s="575"/>
      <c r="AB493" s="575"/>
      <c r="AC493" s="571"/>
      <c r="AD493" s="571"/>
      <c r="AE493" s="571"/>
      <c r="AF493" s="571"/>
      <c r="AG493" s="571"/>
      <c r="AH493" s="571"/>
      <c r="AI493" s="571"/>
      <c r="AJ493" s="571"/>
      <c r="AK493" s="571"/>
      <c r="AL493" s="571"/>
      <c r="AM493" s="571"/>
      <c r="AN493" s="571"/>
    </row>
    <row r="494" spans="1:40" ht="12.75" x14ac:dyDescent="0.2">
      <c r="A494" s="571"/>
      <c r="B494" s="571"/>
      <c r="C494" s="571"/>
      <c r="D494" s="572"/>
      <c r="E494" s="573"/>
      <c r="F494" s="573"/>
      <c r="G494" s="573"/>
      <c r="H494" s="573"/>
      <c r="I494" s="573"/>
      <c r="J494" s="574"/>
      <c r="K494" s="572"/>
      <c r="L494" s="573"/>
      <c r="M494" s="573"/>
      <c r="N494" s="573"/>
      <c r="O494" s="572"/>
      <c r="P494" s="573"/>
      <c r="Q494" s="573"/>
      <c r="R494" s="573"/>
      <c r="S494" s="571"/>
      <c r="T494" s="572"/>
      <c r="U494" s="573"/>
      <c r="V494" s="573"/>
      <c r="W494" s="574"/>
      <c r="X494" s="571"/>
      <c r="Y494" s="575"/>
      <c r="Z494" s="575"/>
      <c r="AA494" s="575"/>
      <c r="AB494" s="575"/>
      <c r="AC494" s="571"/>
      <c r="AD494" s="571"/>
      <c r="AE494" s="571"/>
      <c r="AF494" s="571"/>
      <c r="AG494" s="571"/>
      <c r="AH494" s="571"/>
      <c r="AI494" s="571"/>
      <c r="AJ494" s="571"/>
      <c r="AK494" s="571"/>
      <c r="AL494" s="571"/>
      <c r="AM494" s="571"/>
      <c r="AN494" s="571"/>
    </row>
    <row r="495" spans="1:40" ht="12.75" x14ac:dyDescent="0.2">
      <c r="A495" s="571"/>
      <c r="B495" s="571"/>
      <c r="C495" s="571"/>
      <c r="D495" s="572"/>
      <c r="E495" s="573"/>
      <c r="F495" s="573"/>
      <c r="G495" s="573"/>
      <c r="H495" s="573"/>
      <c r="I495" s="573"/>
      <c r="J495" s="574"/>
      <c r="K495" s="572"/>
      <c r="L495" s="573"/>
      <c r="M495" s="573"/>
      <c r="N495" s="573"/>
      <c r="O495" s="572"/>
      <c r="P495" s="573"/>
      <c r="Q495" s="573"/>
      <c r="R495" s="573"/>
      <c r="S495" s="571"/>
      <c r="T495" s="572"/>
      <c r="U495" s="573"/>
      <c r="V495" s="573"/>
      <c r="W495" s="574"/>
      <c r="X495" s="571"/>
      <c r="Y495" s="575"/>
      <c r="Z495" s="575"/>
      <c r="AA495" s="575"/>
      <c r="AB495" s="575"/>
      <c r="AC495" s="571"/>
      <c r="AD495" s="571"/>
      <c r="AE495" s="571"/>
      <c r="AF495" s="571"/>
      <c r="AG495" s="571"/>
      <c r="AH495" s="571"/>
      <c r="AI495" s="571"/>
      <c r="AJ495" s="571"/>
      <c r="AK495" s="571"/>
      <c r="AL495" s="571"/>
      <c r="AM495" s="571"/>
      <c r="AN495" s="571"/>
    </row>
    <row r="496" spans="1:40" ht="12.75" x14ac:dyDescent="0.2">
      <c r="A496" s="571"/>
      <c r="B496" s="571"/>
      <c r="C496" s="571"/>
      <c r="D496" s="572"/>
      <c r="E496" s="573"/>
      <c r="F496" s="573"/>
      <c r="G496" s="573"/>
      <c r="H496" s="573"/>
      <c r="I496" s="573"/>
      <c r="J496" s="574"/>
      <c r="K496" s="572"/>
      <c r="L496" s="573"/>
      <c r="M496" s="573"/>
      <c r="N496" s="573"/>
      <c r="O496" s="572"/>
      <c r="P496" s="573"/>
      <c r="Q496" s="573"/>
      <c r="R496" s="573"/>
      <c r="S496" s="571"/>
      <c r="T496" s="572"/>
      <c r="U496" s="573"/>
      <c r="V496" s="573"/>
      <c r="W496" s="574"/>
      <c r="X496" s="571"/>
      <c r="Y496" s="575"/>
      <c r="Z496" s="575"/>
      <c r="AA496" s="575"/>
      <c r="AB496" s="575"/>
      <c r="AC496" s="571"/>
      <c r="AD496" s="571"/>
      <c r="AE496" s="571"/>
      <c r="AF496" s="571"/>
      <c r="AG496" s="571"/>
      <c r="AH496" s="571"/>
      <c r="AI496" s="571"/>
      <c r="AJ496" s="571"/>
      <c r="AK496" s="571"/>
      <c r="AL496" s="571"/>
      <c r="AM496" s="571"/>
      <c r="AN496" s="571"/>
    </row>
    <row r="497" spans="1:40" ht="12.75" x14ac:dyDescent="0.2">
      <c r="A497" s="571"/>
      <c r="B497" s="571"/>
      <c r="C497" s="571"/>
      <c r="D497" s="572"/>
      <c r="E497" s="573"/>
      <c r="F497" s="573"/>
      <c r="G497" s="573"/>
      <c r="H497" s="573"/>
      <c r="I497" s="573"/>
      <c r="J497" s="574"/>
      <c r="K497" s="572"/>
      <c r="L497" s="573"/>
      <c r="M497" s="573"/>
      <c r="N497" s="573"/>
      <c r="O497" s="572"/>
      <c r="P497" s="573"/>
      <c r="Q497" s="573"/>
      <c r="R497" s="573"/>
      <c r="S497" s="571"/>
      <c r="T497" s="572"/>
      <c r="U497" s="573"/>
      <c r="V497" s="573"/>
      <c r="W497" s="574"/>
      <c r="X497" s="571"/>
      <c r="Y497" s="575"/>
      <c r="Z497" s="575"/>
      <c r="AA497" s="575"/>
      <c r="AB497" s="575"/>
      <c r="AC497" s="571"/>
      <c r="AD497" s="571"/>
      <c r="AE497" s="571"/>
      <c r="AF497" s="571"/>
      <c r="AG497" s="571"/>
      <c r="AH497" s="571"/>
      <c r="AI497" s="571"/>
      <c r="AJ497" s="571"/>
      <c r="AK497" s="571"/>
      <c r="AL497" s="571"/>
      <c r="AM497" s="571"/>
      <c r="AN497" s="571"/>
    </row>
    <row r="498" spans="1:40" ht="12.75" x14ac:dyDescent="0.2">
      <c r="A498" s="571"/>
      <c r="B498" s="571"/>
      <c r="C498" s="571"/>
      <c r="D498" s="572"/>
      <c r="E498" s="573"/>
      <c r="F498" s="573"/>
      <c r="G498" s="573"/>
      <c r="H498" s="573"/>
      <c r="I498" s="573"/>
      <c r="J498" s="574"/>
      <c r="K498" s="572"/>
      <c r="L498" s="573"/>
      <c r="M498" s="573"/>
      <c r="N498" s="573"/>
      <c r="O498" s="572"/>
      <c r="P498" s="573"/>
      <c r="Q498" s="573"/>
      <c r="R498" s="573"/>
      <c r="S498" s="571"/>
      <c r="T498" s="572"/>
      <c r="U498" s="573"/>
      <c r="V498" s="573"/>
      <c r="W498" s="574"/>
      <c r="X498" s="571"/>
      <c r="Y498" s="575"/>
      <c r="Z498" s="575"/>
      <c r="AA498" s="575"/>
      <c r="AB498" s="575"/>
      <c r="AC498" s="571"/>
      <c r="AD498" s="571"/>
      <c r="AE498" s="571"/>
      <c r="AF498" s="571"/>
      <c r="AG498" s="571"/>
      <c r="AH498" s="571"/>
      <c r="AI498" s="571"/>
      <c r="AJ498" s="571"/>
      <c r="AK498" s="571"/>
      <c r="AL498" s="571"/>
      <c r="AM498" s="571"/>
      <c r="AN498" s="571"/>
    </row>
    <row r="499" spans="1:40" ht="12.75" x14ac:dyDescent="0.2">
      <c r="A499" s="571"/>
      <c r="B499" s="571"/>
      <c r="C499" s="571"/>
      <c r="D499" s="572"/>
      <c r="E499" s="573"/>
      <c r="F499" s="573"/>
      <c r="G499" s="573"/>
      <c r="H499" s="573"/>
      <c r="I499" s="573"/>
      <c r="J499" s="574"/>
      <c r="K499" s="572"/>
      <c r="L499" s="573"/>
      <c r="M499" s="573"/>
      <c r="N499" s="573"/>
      <c r="O499" s="572"/>
      <c r="P499" s="573"/>
      <c r="Q499" s="573"/>
      <c r="R499" s="573"/>
      <c r="S499" s="571"/>
      <c r="T499" s="572"/>
      <c r="U499" s="573"/>
      <c r="V499" s="573"/>
      <c r="W499" s="574"/>
      <c r="X499" s="571"/>
      <c r="Y499" s="575"/>
      <c r="Z499" s="575"/>
      <c r="AA499" s="575"/>
      <c r="AB499" s="575"/>
      <c r="AC499" s="571"/>
      <c r="AD499" s="571"/>
      <c r="AE499" s="571"/>
      <c r="AF499" s="571"/>
      <c r="AG499" s="571"/>
      <c r="AH499" s="571"/>
      <c r="AI499" s="571"/>
      <c r="AJ499" s="571"/>
      <c r="AK499" s="571"/>
      <c r="AL499" s="571"/>
      <c r="AM499" s="571"/>
      <c r="AN499" s="571"/>
    </row>
    <row r="500" spans="1:40" ht="12.75" x14ac:dyDescent="0.2">
      <c r="A500" s="571"/>
      <c r="B500" s="571"/>
      <c r="C500" s="571"/>
      <c r="D500" s="572"/>
      <c r="E500" s="573"/>
      <c r="F500" s="573"/>
      <c r="G500" s="573"/>
      <c r="H500" s="573"/>
      <c r="I500" s="573"/>
      <c r="J500" s="574"/>
      <c r="K500" s="572"/>
      <c r="L500" s="573"/>
      <c r="M500" s="573"/>
      <c r="N500" s="573"/>
      <c r="O500" s="572"/>
      <c r="P500" s="573"/>
      <c r="Q500" s="573"/>
      <c r="R500" s="573"/>
      <c r="S500" s="571"/>
      <c r="T500" s="572"/>
      <c r="U500" s="573"/>
      <c r="V500" s="573"/>
      <c r="W500" s="574"/>
      <c r="X500" s="571"/>
      <c r="Y500" s="575"/>
      <c r="Z500" s="575"/>
      <c r="AA500" s="575"/>
      <c r="AB500" s="575"/>
      <c r="AC500" s="571"/>
      <c r="AD500" s="571"/>
      <c r="AE500" s="571"/>
      <c r="AF500" s="571"/>
      <c r="AG500" s="571"/>
      <c r="AH500" s="571"/>
      <c r="AI500" s="571"/>
      <c r="AJ500" s="571"/>
      <c r="AK500" s="571"/>
      <c r="AL500" s="571"/>
      <c r="AM500" s="571"/>
      <c r="AN500" s="571"/>
    </row>
    <row r="501" spans="1:40" ht="12.75" x14ac:dyDescent="0.2">
      <c r="A501" s="571"/>
      <c r="B501" s="571"/>
      <c r="C501" s="571"/>
      <c r="D501" s="572"/>
      <c r="E501" s="573"/>
      <c r="F501" s="573"/>
      <c r="G501" s="573"/>
      <c r="H501" s="573"/>
      <c r="I501" s="573"/>
      <c r="J501" s="574"/>
      <c r="K501" s="572"/>
      <c r="L501" s="573"/>
      <c r="M501" s="573"/>
      <c r="N501" s="573"/>
      <c r="O501" s="572"/>
      <c r="P501" s="573"/>
      <c r="Q501" s="573"/>
      <c r="R501" s="573"/>
      <c r="S501" s="571"/>
      <c r="T501" s="572"/>
      <c r="U501" s="573"/>
      <c r="V501" s="573"/>
      <c r="W501" s="574"/>
      <c r="X501" s="571"/>
      <c r="Y501" s="575"/>
      <c r="Z501" s="575"/>
      <c r="AA501" s="575"/>
      <c r="AB501" s="575"/>
      <c r="AC501" s="571"/>
      <c r="AD501" s="571"/>
      <c r="AE501" s="571"/>
      <c r="AF501" s="571"/>
      <c r="AG501" s="571"/>
      <c r="AH501" s="571"/>
      <c r="AI501" s="571"/>
      <c r="AJ501" s="571"/>
      <c r="AK501" s="571"/>
      <c r="AL501" s="571"/>
      <c r="AM501" s="571"/>
      <c r="AN501" s="571"/>
    </row>
    <row r="502" spans="1:40" ht="12.75" x14ac:dyDescent="0.2">
      <c r="A502" s="571"/>
      <c r="B502" s="571"/>
      <c r="C502" s="571"/>
      <c r="D502" s="572"/>
      <c r="E502" s="573"/>
      <c r="F502" s="573"/>
      <c r="G502" s="573"/>
      <c r="H502" s="573"/>
      <c r="I502" s="573"/>
      <c r="J502" s="574"/>
      <c r="K502" s="572"/>
      <c r="L502" s="573"/>
      <c r="M502" s="573"/>
      <c r="N502" s="573"/>
      <c r="O502" s="572"/>
      <c r="P502" s="573"/>
      <c r="Q502" s="573"/>
      <c r="R502" s="573"/>
      <c r="S502" s="571"/>
      <c r="T502" s="572"/>
      <c r="U502" s="573"/>
      <c r="V502" s="573"/>
      <c r="W502" s="574"/>
      <c r="X502" s="571"/>
      <c r="Y502" s="575"/>
      <c r="Z502" s="575"/>
      <c r="AA502" s="575"/>
      <c r="AB502" s="575"/>
      <c r="AC502" s="571"/>
      <c r="AD502" s="571"/>
      <c r="AE502" s="571"/>
      <c r="AF502" s="571"/>
      <c r="AG502" s="571"/>
      <c r="AH502" s="571"/>
      <c r="AI502" s="571"/>
      <c r="AJ502" s="571"/>
      <c r="AK502" s="571"/>
      <c r="AL502" s="571"/>
      <c r="AM502" s="571"/>
      <c r="AN502" s="571"/>
    </row>
    <row r="503" spans="1:40" ht="12.75" x14ac:dyDescent="0.2">
      <c r="A503" s="571"/>
      <c r="B503" s="571"/>
      <c r="C503" s="571"/>
      <c r="D503" s="572"/>
      <c r="E503" s="573"/>
      <c r="F503" s="573"/>
      <c r="G503" s="573"/>
      <c r="H503" s="573"/>
      <c r="I503" s="573"/>
      <c r="J503" s="574"/>
      <c r="K503" s="572"/>
      <c r="L503" s="573"/>
      <c r="M503" s="573"/>
      <c r="N503" s="573"/>
      <c r="O503" s="572"/>
      <c r="P503" s="573"/>
      <c r="Q503" s="573"/>
      <c r="R503" s="573"/>
      <c r="S503" s="571"/>
      <c r="T503" s="572"/>
      <c r="U503" s="573"/>
      <c r="V503" s="573"/>
      <c r="W503" s="574"/>
      <c r="X503" s="571"/>
      <c r="Y503" s="575"/>
      <c r="Z503" s="575"/>
      <c r="AA503" s="575"/>
      <c r="AB503" s="575"/>
      <c r="AC503" s="571"/>
      <c r="AD503" s="571"/>
      <c r="AE503" s="571"/>
      <c r="AF503" s="571"/>
      <c r="AG503" s="571"/>
      <c r="AH503" s="571"/>
      <c r="AI503" s="571"/>
      <c r="AJ503" s="571"/>
      <c r="AK503" s="571"/>
      <c r="AL503" s="571"/>
      <c r="AM503" s="571"/>
      <c r="AN503" s="571"/>
    </row>
    <row r="504" spans="1:40" ht="12.75" x14ac:dyDescent="0.2">
      <c r="A504" s="571"/>
      <c r="B504" s="571"/>
      <c r="C504" s="571"/>
      <c r="D504" s="572"/>
      <c r="E504" s="573"/>
      <c r="F504" s="573"/>
      <c r="G504" s="573"/>
      <c r="H504" s="573"/>
      <c r="I504" s="573"/>
      <c r="J504" s="574"/>
      <c r="K504" s="572"/>
      <c r="L504" s="573"/>
      <c r="M504" s="573"/>
      <c r="N504" s="573"/>
      <c r="O504" s="572"/>
      <c r="P504" s="573"/>
      <c r="Q504" s="573"/>
      <c r="R504" s="573"/>
      <c r="S504" s="571"/>
      <c r="T504" s="572"/>
      <c r="U504" s="573"/>
      <c r="V504" s="573"/>
      <c r="W504" s="574"/>
      <c r="X504" s="571"/>
      <c r="Y504" s="575"/>
      <c r="Z504" s="575"/>
      <c r="AA504" s="575"/>
      <c r="AB504" s="575"/>
      <c r="AC504" s="571"/>
      <c r="AD504" s="571"/>
      <c r="AE504" s="571"/>
      <c r="AF504" s="571"/>
      <c r="AG504" s="571"/>
      <c r="AH504" s="571"/>
      <c r="AI504" s="571"/>
      <c r="AJ504" s="571"/>
      <c r="AK504" s="571"/>
      <c r="AL504" s="571"/>
      <c r="AM504" s="571"/>
      <c r="AN504" s="571"/>
    </row>
    <row r="505" spans="1:40" ht="12.75" x14ac:dyDescent="0.2">
      <c r="A505" s="571"/>
      <c r="B505" s="571"/>
      <c r="C505" s="571"/>
      <c r="D505" s="572"/>
      <c r="E505" s="573"/>
      <c r="F505" s="573"/>
      <c r="G505" s="573"/>
      <c r="H505" s="573"/>
      <c r="I505" s="573"/>
      <c r="J505" s="574"/>
      <c r="K505" s="572"/>
      <c r="L505" s="573"/>
      <c r="M505" s="573"/>
      <c r="N505" s="573"/>
      <c r="O505" s="572"/>
      <c r="P505" s="573"/>
      <c r="Q505" s="573"/>
      <c r="R505" s="573"/>
      <c r="S505" s="571"/>
      <c r="T505" s="572"/>
      <c r="U505" s="573"/>
      <c r="V505" s="573"/>
      <c r="W505" s="574"/>
      <c r="X505" s="571"/>
      <c r="Y505" s="575"/>
      <c r="Z505" s="575"/>
      <c r="AA505" s="575"/>
      <c r="AB505" s="575"/>
      <c r="AC505" s="571"/>
      <c r="AD505" s="571"/>
      <c r="AE505" s="571"/>
      <c r="AF505" s="571"/>
      <c r="AG505" s="571"/>
      <c r="AH505" s="571"/>
      <c r="AI505" s="571"/>
      <c r="AJ505" s="571"/>
      <c r="AK505" s="571"/>
      <c r="AL505" s="571"/>
      <c r="AM505" s="571"/>
      <c r="AN505" s="571"/>
    </row>
    <row r="506" spans="1:40" ht="12.75" x14ac:dyDescent="0.2">
      <c r="A506" s="571"/>
      <c r="B506" s="571"/>
      <c r="C506" s="571"/>
      <c r="D506" s="572"/>
      <c r="E506" s="573"/>
      <c r="F506" s="573"/>
      <c r="G506" s="573"/>
      <c r="H506" s="573"/>
      <c r="I506" s="573"/>
      <c r="J506" s="574"/>
      <c r="K506" s="572"/>
      <c r="L506" s="573"/>
      <c r="M506" s="573"/>
      <c r="N506" s="573"/>
      <c r="O506" s="572"/>
      <c r="P506" s="573"/>
      <c r="Q506" s="573"/>
      <c r="R506" s="573"/>
      <c r="S506" s="571"/>
      <c r="T506" s="572"/>
      <c r="U506" s="573"/>
      <c r="V506" s="573"/>
      <c r="W506" s="574"/>
      <c r="X506" s="571"/>
      <c r="Y506" s="575"/>
      <c r="Z506" s="575"/>
      <c r="AA506" s="575"/>
      <c r="AB506" s="575"/>
      <c r="AC506" s="571"/>
      <c r="AD506" s="571"/>
      <c r="AE506" s="571"/>
      <c r="AF506" s="571"/>
      <c r="AG506" s="571"/>
      <c r="AH506" s="571"/>
      <c r="AI506" s="571"/>
      <c r="AJ506" s="571"/>
      <c r="AK506" s="571"/>
      <c r="AL506" s="571"/>
      <c r="AM506" s="571"/>
      <c r="AN506" s="571"/>
    </row>
    <row r="507" spans="1:40" ht="12.75" x14ac:dyDescent="0.2">
      <c r="A507" s="571"/>
      <c r="B507" s="571"/>
      <c r="C507" s="571"/>
      <c r="D507" s="572"/>
      <c r="E507" s="573"/>
      <c r="F507" s="573"/>
      <c r="G507" s="573"/>
      <c r="H507" s="573"/>
      <c r="I507" s="573"/>
      <c r="J507" s="574"/>
      <c r="K507" s="572"/>
      <c r="L507" s="573"/>
      <c r="M507" s="573"/>
      <c r="N507" s="573"/>
      <c r="O507" s="572"/>
      <c r="P507" s="573"/>
      <c r="Q507" s="573"/>
      <c r="R507" s="573"/>
      <c r="S507" s="571"/>
      <c r="T507" s="572"/>
      <c r="U507" s="573"/>
      <c r="V507" s="573"/>
      <c r="W507" s="574"/>
      <c r="X507" s="571"/>
      <c r="Y507" s="575"/>
      <c r="Z507" s="575"/>
      <c r="AA507" s="575"/>
      <c r="AB507" s="575"/>
      <c r="AC507" s="571"/>
      <c r="AD507" s="571"/>
      <c r="AE507" s="571"/>
      <c r="AF507" s="571"/>
      <c r="AG507" s="571"/>
      <c r="AH507" s="571"/>
      <c r="AI507" s="571"/>
      <c r="AJ507" s="571"/>
      <c r="AK507" s="571"/>
      <c r="AL507" s="571"/>
      <c r="AM507" s="571"/>
      <c r="AN507" s="571"/>
    </row>
  </sheetData>
  <mergeCells count="4">
    <mergeCell ref="D1:J1"/>
    <mergeCell ref="K1:N1"/>
    <mergeCell ref="O1:S1"/>
    <mergeCell ref="T1:W1"/>
  </mergeCells>
  <dataValidations count="1">
    <dataValidation allowBlank="1" showDropDown="1" sqref="H3:H408" xr:uid="{00000000-0002-0000-0B00-000000000000}"/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ACTUALIZADO de REGISTRO PRODUCC</vt:lpstr>
      <vt:lpstr>INVENTARIO DE ESCRITURAS</vt:lpstr>
      <vt:lpstr>RESUMEN PRODUCCIÓN v1</vt:lpstr>
      <vt:lpstr>HORARIOS</vt:lpstr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VIVAR</dc:creator>
  <cp:lastModifiedBy>LUIS VIVAR</cp:lastModifiedBy>
  <dcterms:created xsi:type="dcterms:W3CDTF">2026-09-24T15:57:42Z</dcterms:created>
  <dcterms:modified xsi:type="dcterms:W3CDTF">2026-09-24T18:26:23Z</dcterms:modified>
</cp:coreProperties>
</file>